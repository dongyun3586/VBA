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bookViews>
    <workbookView xWindow="0" yWindow="0" windowWidth="11625" windowHeight="7515" tabRatio="872" activeTab="10"/>
  </bookViews>
  <sheets>
    <sheet name="학급명렬표" sheetId="1" r:id="rId1"/>
    <sheet name="인성" sheetId="2" r:id="rId2"/>
    <sheet name="인지적특성&amp;학습능력" sheetId="3" r:id="rId3"/>
    <sheet name="창의성" sheetId="4" r:id="rId4"/>
    <sheet name="잠재력&amp;진로" sheetId="5" r:id="rId5"/>
    <sheet name="배려&amp;타인존중" sheetId="6" r:id="rId6"/>
    <sheet name="나눔&amp;협력" sheetId="7" r:id="rId7"/>
    <sheet name="대인관계 지향성" sheetId="8" r:id="rId8"/>
    <sheet name="규칙준수" sheetId="9" r:id="rId9"/>
    <sheet name="예체능" sheetId="10" r:id="rId10"/>
    <sheet name="종합의견" sheetId="11" r:id="rId11"/>
  </sheet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3" i="5" l="1"/>
  <c r="X5" i="3" l="1"/>
  <c r="X6" i="3"/>
  <c r="X7" i="3"/>
  <c r="X8" i="3"/>
  <c r="X9" i="3"/>
  <c r="X10" i="3"/>
  <c r="X11" i="3"/>
  <c r="X12" i="3"/>
  <c r="X13" i="3"/>
  <c r="X14" i="3"/>
  <c r="X15" i="3"/>
  <c r="X16" i="3"/>
  <c r="X17" i="3"/>
  <c r="X18" i="3"/>
  <c r="X19" i="3"/>
  <c r="X20" i="3"/>
  <c r="X21" i="3"/>
  <c r="X22" i="3"/>
  <c r="X23" i="3"/>
  <c r="X4" i="3"/>
  <c r="E4" i="5" l="1"/>
  <c r="C4" i="11" l="1"/>
  <c r="X49" i="11" l="1"/>
  <c r="W49" i="11"/>
  <c r="V49" i="11"/>
  <c r="U49" i="11"/>
  <c r="T49" i="11"/>
  <c r="S49" i="11"/>
  <c r="R49" i="11"/>
  <c r="Q49" i="11"/>
  <c r="P49" i="11"/>
  <c r="N49" i="11"/>
  <c r="M49" i="11"/>
  <c r="L49" i="11"/>
  <c r="K49" i="11"/>
  <c r="J49" i="11"/>
  <c r="I49" i="11"/>
  <c r="H49" i="11"/>
  <c r="G49" i="11"/>
  <c r="F49" i="11"/>
  <c r="C49" i="11"/>
  <c r="B49" i="11"/>
  <c r="X48" i="11"/>
  <c r="W48" i="11"/>
  <c r="V48" i="11"/>
  <c r="U48" i="11"/>
  <c r="T48" i="11"/>
  <c r="S48" i="11"/>
  <c r="R48" i="11"/>
  <c r="Q48" i="11"/>
  <c r="P48" i="11"/>
  <c r="N48" i="11"/>
  <c r="M48" i="11"/>
  <c r="L48" i="11"/>
  <c r="K48" i="11"/>
  <c r="J48" i="11"/>
  <c r="I48" i="11"/>
  <c r="H48" i="11"/>
  <c r="G48" i="11"/>
  <c r="F48" i="11"/>
  <c r="C48" i="11"/>
  <c r="B48" i="11"/>
  <c r="X47" i="11"/>
  <c r="W47" i="11"/>
  <c r="V47" i="11"/>
  <c r="U47" i="11"/>
  <c r="T47" i="11"/>
  <c r="S47" i="11"/>
  <c r="R47" i="11"/>
  <c r="Q47" i="11"/>
  <c r="P47" i="11"/>
  <c r="N47" i="11"/>
  <c r="M47" i="11"/>
  <c r="L47" i="11"/>
  <c r="K47" i="11"/>
  <c r="J47" i="11"/>
  <c r="I47" i="11"/>
  <c r="H47" i="11"/>
  <c r="G47" i="11"/>
  <c r="F47" i="11"/>
  <c r="C47" i="11"/>
  <c r="B47" i="11"/>
  <c r="X46" i="11"/>
  <c r="W46" i="11"/>
  <c r="V46" i="11"/>
  <c r="U46" i="11"/>
  <c r="T46" i="11"/>
  <c r="S46" i="11"/>
  <c r="R46" i="11"/>
  <c r="Q46" i="11"/>
  <c r="P46" i="11"/>
  <c r="N46" i="11"/>
  <c r="M46" i="11"/>
  <c r="L46" i="11"/>
  <c r="K46" i="11"/>
  <c r="J46" i="11"/>
  <c r="I46" i="11"/>
  <c r="H46" i="11"/>
  <c r="G46" i="11"/>
  <c r="F46" i="11"/>
  <c r="C46" i="11"/>
  <c r="B46" i="11"/>
  <c r="X45" i="11"/>
  <c r="W45" i="11"/>
  <c r="V45" i="11"/>
  <c r="U45" i="11"/>
  <c r="T45" i="11"/>
  <c r="S45" i="11"/>
  <c r="R45" i="11"/>
  <c r="Q45" i="11"/>
  <c r="P45" i="11"/>
  <c r="N45" i="11"/>
  <c r="M45" i="11"/>
  <c r="L45" i="11"/>
  <c r="K45" i="11"/>
  <c r="J45" i="11"/>
  <c r="I45" i="11"/>
  <c r="H45" i="11"/>
  <c r="G45" i="11"/>
  <c r="F45" i="11"/>
  <c r="C45" i="11"/>
  <c r="B45" i="11"/>
  <c r="X44" i="11"/>
  <c r="W44" i="11"/>
  <c r="V44" i="11"/>
  <c r="U44" i="11"/>
  <c r="T44" i="11"/>
  <c r="S44" i="11"/>
  <c r="R44" i="11"/>
  <c r="Q44" i="11"/>
  <c r="P44" i="11"/>
  <c r="N44" i="11"/>
  <c r="M44" i="11"/>
  <c r="L44" i="11"/>
  <c r="K44" i="11"/>
  <c r="J44" i="11"/>
  <c r="I44" i="11"/>
  <c r="H44" i="11"/>
  <c r="G44" i="11"/>
  <c r="F44" i="11"/>
  <c r="C44" i="11"/>
  <c r="B44" i="11"/>
  <c r="X43" i="11"/>
  <c r="W43" i="11"/>
  <c r="V43" i="11"/>
  <c r="U43" i="11"/>
  <c r="T43" i="11"/>
  <c r="S43" i="11"/>
  <c r="R43" i="11"/>
  <c r="Q43" i="11"/>
  <c r="P43" i="11"/>
  <c r="N43" i="11"/>
  <c r="M43" i="11"/>
  <c r="L43" i="11"/>
  <c r="K43" i="11"/>
  <c r="J43" i="11"/>
  <c r="I43" i="11"/>
  <c r="H43" i="11"/>
  <c r="G43" i="11"/>
  <c r="F43" i="11"/>
  <c r="C43" i="11"/>
  <c r="B43" i="11"/>
  <c r="X42" i="11"/>
  <c r="W42" i="11"/>
  <c r="V42" i="11"/>
  <c r="U42" i="11"/>
  <c r="T42" i="11"/>
  <c r="S42" i="11"/>
  <c r="R42" i="11"/>
  <c r="Q42" i="11"/>
  <c r="P42" i="11"/>
  <c r="N42" i="11"/>
  <c r="M42" i="11"/>
  <c r="L42" i="11"/>
  <c r="K42" i="11"/>
  <c r="J42" i="11"/>
  <c r="I42" i="11"/>
  <c r="H42" i="11"/>
  <c r="G42" i="11"/>
  <c r="F42" i="11"/>
  <c r="C42" i="11"/>
  <c r="B42" i="11"/>
  <c r="X41" i="11"/>
  <c r="W41" i="11"/>
  <c r="V41" i="11"/>
  <c r="U41" i="11"/>
  <c r="T41" i="11"/>
  <c r="S41" i="11"/>
  <c r="R41" i="11"/>
  <c r="Q41" i="11"/>
  <c r="P41" i="11"/>
  <c r="N41" i="11"/>
  <c r="M41" i="11"/>
  <c r="L41" i="11"/>
  <c r="K41" i="11"/>
  <c r="J41" i="11"/>
  <c r="I41" i="11"/>
  <c r="H41" i="11"/>
  <c r="G41" i="11"/>
  <c r="F41" i="11"/>
  <c r="C41" i="11"/>
  <c r="B41" i="11"/>
  <c r="X40" i="11"/>
  <c r="W40" i="11"/>
  <c r="V40" i="11"/>
  <c r="U40" i="11"/>
  <c r="T40" i="11"/>
  <c r="S40" i="11"/>
  <c r="R40" i="11"/>
  <c r="Q40" i="11"/>
  <c r="P40" i="11"/>
  <c r="N40" i="11"/>
  <c r="M40" i="11"/>
  <c r="L40" i="11"/>
  <c r="K40" i="11"/>
  <c r="J40" i="11"/>
  <c r="I40" i="11"/>
  <c r="H40" i="11"/>
  <c r="G40" i="11"/>
  <c r="F40" i="11"/>
  <c r="C40" i="11"/>
  <c r="B40" i="11"/>
  <c r="X39" i="11"/>
  <c r="W39" i="11"/>
  <c r="V39" i="11"/>
  <c r="U39" i="11"/>
  <c r="T39" i="11"/>
  <c r="S39" i="11"/>
  <c r="R39" i="11"/>
  <c r="Q39" i="11"/>
  <c r="P39" i="11"/>
  <c r="N39" i="11"/>
  <c r="M39" i="11"/>
  <c r="L39" i="11"/>
  <c r="K39" i="11"/>
  <c r="J39" i="11"/>
  <c r="I39" i="11"/>
  <c r="H39" i="11"/>
  <c r="G39" i="11"/>
  <c r="F39" i="11"/>
  <c r="C39" i="11"/>
  <c r="B39" i="11"/>
  <c r="X38" i="11"/>
  <c r="W38" i="11"/>
  <c r="V38" i="11"/>
  <c r="U38" i="11"/>
  <c r="T38" i="11"/>
  <c r="S38" i="11"/>
  <c r="R38" i="11"/>
  <c r="Q38" i="11"/>
  <c r="P38" i="11"/>
  <c r="N38" i="11"/>
  <c r="M38" i="11"/>
  <c r="L38" i="11"/>
  <c r="K38" i="11"/>
  <c r="J38" i="11"/>
  <c r="I38" i="11"/>
  <c r="H38" i="11"/>
  <c r="G38" i="11"/>
  <c r="F38" i="11"/>
  <c r="C38" i="11"/>
  <c r="B38" i="11"/>
  <c r="X37" i="11"/>
  <c r="W37" i="11"/>
  <c r="V37" i="11"/>
  <c r="U37" i="11"/>
  <c r="T37" i="11"/>
  <c r="S37" i="11"/>
  <c r="R37" i="11"/>
  <c r="Q37" i="11"/>
  <c r="P37" i="11"/>
  <c r="N37" i="11"/>
  <c r="M37" i="11"/>
  <c r="L37" i="11"/>
  <c r="K37" i="11"/>
  <c r="J37" i="11"/>
  <c r="I37" i="11"/>
  <c r="H37" i="11"/>
  <c r="G37" i="11"/>
  <c r="F37" i="11"/>
  <c r="C37" i="11"/>
  <c r="B37" i="11"/>
  <c r="X36" i="11"/>
  <c r="W36" i="11"/>
  <c r="V36" i="11"/>
  <c r="U36" i="11"/>
  <c r="T36" i="11"/>
  <c r="S36" i="11"/>
  <c r="R36" i="11"/>
  <c r="Q36" i="11"/>
  <c r="P36" i="11"/>
  <c r="N36" i="11"/>
  <c r="M36" i="11"/>
  <c r="L36" i="11"/>
  <c r="K36" i="11"/>
  <c r="J36" i="11"/>
  <c r="I36" i="11"/>
  <c r="H36" i="11"/>
  <c r="G36" i="11"/>
  <c r="F36" i="11"/>
  <c r="C36" i="11"/>
  <c r="B36" i="11"/>
  <c r="X35" i="11"/>
  <c r="W35" i="11"/>
  <c r="V35" i="11"/>
  <c r="U35" i="11"/>
  <c r="T35" i="11"/>
  <c r="S35" i="11"/>
  <c r="R35" i="11"/>
  <c r="Q35" i="11"/>
  <c r="P35" i="11"/>
  <c r="N35" i="11"/>
  <c r="M35" i="11"/>
  <c r="L35" i="11"/>
  <c r="K35" i="11"/>
  <c r="J35" i="11"/>
  <c r="I35" i="11"/>
  <c r="H35" i="11"/>
  <c r="G35" i="11"/>
  <c r="F35" i="11"/>
  <c r="C35" i="11"/>
  <c r="B35" i="11"/>
  <c r="X34" i="11"/>
  <c r="W34" i="11"/>
  <c r="V34" i="11"/>
  <c r="U34" i="11"/>
  <c r="T34" i="11"/>
  <c r="S34" i="11"/>
  <c r="R34" i="11"/>
  <c r="Q34" i="11"/>
  <c r="P34" i="11"/>
  <c r="N34" i="11"/>
  <c r="M34" i="11"/>
  <c r="L34" i="11"/>
  <c r="K34" i="11"/>
  <c r="J34" i="11"/>
  <c r="I34" i="11"/>
  <c r="H34" i="11"/>
  <c r="G34" i="11"/>
  <c r="F34" i="11"/>
  <c r="C34" i="11"/>
  <c r="B34" i="11"/>
  <c r="X33" i="11"/>
  <c r="W33" i="11"/>
  <c r="V33" i="11"/>
  <c r="U33" i="11"/>
  <c r="T33" i="11"/>
  <c r="S33" i="11"/>
  <c r="R33" i="11"/>
  <c r="Q33" i="11"/>
  <c r="P33" i="11"/>
  <c r="N33" i="11"/>
  <c r="M33" i="11"/>
  <c r="L33" i="11"/>
  <c r="K33" i="11"/>
  <c r="J33" i="11"/>
  <c r="I33" i="11"/>
  <c r="H33" i="11"/>
  <c r="G33" i="11"/>
  <c r="F33" i="11"/>
  <c r="C33" i="11"/>
  <c r="B33" i="11"/>
  <c r="X32" i="11"/>
  <c r="W32" i="11"/>
  <c r="V32" i="11"/>
  <c r="U32" i="11"/>
  <c r="T32" i="11"/>
  <c r="S32" i="11"/>
  <c r="R32" i="11"/>
  <c r="Q32" i="11"/>
  <c r="P32" i="11"/>
  <c r="N32" i="11"/>
  <c r="M32" i="11"/>
  <c r="L32" i="11"/>
  <c r="K32" i="11"/>
  <c r="J32" i="11"/>
  <c r="I32" i="11"/>
  <c r="H32" i="11"/>
  <c r="G32" i="11"/>
  <c r="F32" i="11"/>
  <c r="C32" i="11"/>
  <c r="B32" i="11"/>
  <c r="X31" i="11"/>
  <c r="W31" i="11"/>
  <c r="V31" i="11"/>
  <c r="U31" i="11"/>
  <c r="R31" i="11"/>
  <c r="N31" i="11"/>
  <c r="M31" i="11"/>
  <c r="L31" i="11"/>
  <c r="K31" i="11"/>
  <c r="J31" i="11"/>
  <c r="I31" i="11"/>
  <c r="H31" i="11"/>
  <c r="G31" i="11"/>
  <c r="F31" i="11"/>
  <c r="C31" i="11"/>
  <c r="B31" i="11"/>
  <c r="X30" i="11"/>
  <c r="V30" i="11"/>
  <c r="U30" i="11"/>
  <c r="R30" i="11"/>
  <c r="N30" i="11"/>
  <c r="M30" i="11"/>
  <c r="L30" i="11"/>
  <c r="K30" i="11"/>
  <c r="J30" i="11"/>
  <c r="I30" i="11"/>
  <c r="H30" i="11"/>
  <c r="G30" i="11"/>
  <c r="F30" i="11"/>
  <c r="O30" i="11" s="1"/>
  <c r="C30" i="11"/>
  <c r="B30" i="11"/>
  <c r="X29" i="11"/>
  <c r="V29" i="11"/>
  <c r="U29" i="11"/>
  <c r="R29" i="11"/>
  <c r="N29" i="11"/>
  <c r="M29" i="11"/>
  <c r="L29" i="11"/>
  <c r="K29" i="11"/>
  <c r="J29" i="11"/>
  <c r="I29" i="11"/>
  <c r="H29" i="11"/>
  <c r="G29" i="11"/>
  <c r="F29" i="11"/>
  <c r="C29" i="11"/>
  <c r="B29" i="11"/>
  <c r="X28" i="11"/>
  <c r="U28" i="11"/>
  <c r="R28" i="11"/>
  <c r="N28" i="11"/>
  <c r="M28" i="11"/>
  <c r="L28" i="11"/>
  <c r="K28" i="11"/>
  <c r="J28" i="11"/>
  <c r="I28" i="11"/>
  <c r="H28" i="11"/>
  <c r="G28" i="11"/>
  <c r="F28" i="11"/>
  <c r="C28" i="11"/>
  <c r="B28" i="11"/>
  <c r="X27" i="11"/>
  <c r="W27" i="11"/>
  <c r="V27" i="11"/>
  <c r="U27" i="11"/>
  <c r="N27" i="11"/>
  <c r="M27" i="11"/>
  <c r="L27" i="11"/>
  <c r="K27" i="11"/>
  <c r="J27" i="11"/>
  <c r="I27" i="11"/>
  <c r="H27" i="11"/>
  <c r="G27" i="11"/>
  <c r="O27" i="11" s="1"/>
  <c r="F27" i="11"/>
  <c r="C27" i="11"/>
  <c r="B27" i="11"/>
  <c r="V26" i="11"/>
  <c r="U26" i="11"/>
  <c r="R26" i="11"/>
  <c r="N26" i="11"/>
  <c r="M26" i="11"/>
  <c r="L26" i="11"/>
  <c r="K26" i="11"/>
  <c r="J26" i="11"/>
  <c r="I26" i="11"/>
  <c r="H26" i="11"/>
  <c r="G26" i="11"/>
  <c r="F26" i="11"/>
  <c r="C26" i="11"/>
  <c r="B26" i="11"/>
  <c r="X25" i="11"/>
  <c r="V25" i="11"/>
  <c r="U25" i="11"/>
  <c r="R25" i="11"/>
  <c r="N25" i="11"/>
  <c r="M25" i="11"/>
  <c r="L25" i="11"/>
  <c r="K25" i="11"/>
  <c r="J25" i="11"/>
  <c r="I25" i="11"/>
  <c r="H25" i="11"/>
  <c r="G25" i="11"/>
  <c r="F25" i="11"/>
  <c r="C25" i="11"/>
  <c r="B25" i="11"/>
  <c r="X24" i="11"/>
  <c r="V24" i="11"/>
  <c r="U24" i="11"/>
  <c r="T24" i="11"/>
  <c r="R24" i="11"/>
  <c r="N24" i="11"/>
  <c r="M24" i="11"/>
  <c r="L24" i="11"/>
  <c r="K24" i="11"/>
  <c r="J24" i="11"/>
  <c r="I24" i="11"/>
  <c r="H24" i="11"/>
  <c r="G24" i="11"/>
  <c r="F24" i="11"/>
  <c r="C24" i="11"/>
  <c r="B24" i="11"/>
  <c r="W23" i="11"/>
  <c r="N23" i="11"/>
  <c r="M23" i="11"/>
  <c r="L23" i="11"/>
  <c r="K23" i="11"/>
  <c r="J23" i="11"/>
  <c r="I23" i="11"/>
  <c r="H23" i="11"/>
  <c r="G23" i="11"/>
  <c r="F23" i="11"/>
  <c r="C23" i="11"/>
  <c r="B23" i="11"/>
  <c r="X22" i="11"/>
  <c r="N22" i="11"/>
  <c r="M22" i="11"/>
  <c r="L22" i="11"/>
  <c r="K22" i="11"/>
  <c r="J22" i="11"/>
  <c r="I22" i="11"/>
  <c r="H22" i="11"/>
  <c r="G22" i="11"/>
  <c r="F22" i="11"/>
  <c r="C22" i="11"/>
  <c r="B22" i="11"/>
  <c r="X21" i="11"/>
  <c r="N21" i="11"/>
  <c r="M21" i="11"/>
  <c r="L21" i="11"/>
  <c r="K21" i="11"/>
  <c r="J21" i="11"/>
  <c r="I21" i="11"/>
  <c r="H21" i="11"/>
  <c r="G21" i="11"/>
  <c r="F21" i="11"/>
  <c r="C21" i="11"/>
  <c r="B21" i="11"/>
  <c r="N20" i="11"/>
  <c r="M20" i="11"/>
  <c r="L20" i="11"/>
  <c r="K20" i="11"/>
  <c r="J20" i="11"/>
  <c r="I20" i="11"/>
  <c r="H20" i="11"/>
  <c r="G20" i="11"/>
  <c r="F20" i="11"/>
  <c r="C20" i="11"/>
  <c r="B20" i="11"/>
  <c r="R19" i="11"/>
  <c r="N19" i="11"/>
  <c r="M19" i="11"/>
  <c r="L19" i="11"/>
  <c r="K19" i="11"/>
  <c r="J19" i="11"/>
  <c r="I19" i="11"/>
  <c r="H19" i="11"/>
  <c r="G19" i="11"/>
  <c r="F19" i="11"/>
  <c r="C19" i="11"/>
  <c r="B19" i="11"/>
  <c r="R18" i="11"/>
  <c r="N18" i="11"/>
  <c r="M18" i="11"/>
  <c r="L18" i="11"/>
  <c r="K18" i="11"/>
  <c r="J18" i="11"/>
  <c r="I18" i="11"/>
  <c r="H18" i="11"/>
  <c r="G18" i="11"/>
  <c r="F18" i="11"/>
  <c r="C18" i="11"/>
  <c r="B18" i="11"/>
  <c r="W17" i="11"/>
  <c r="R17" i="11"/>
  <c r="N17" i="11"/>
  <c r="M17" i="11"/>
  <c r="L17" i="11"/>
  <c r="K17" i="11"/>
  <c r="J17" i="11"/>
  <c r="I17" i="11"/>
  <c r="H17" i="11"/>
  <c r="G17" i="11"/>
  <c r="F17" i="11"/>
  <c r="C17" i="11"/>
  <c r="B17" i="11"/>
  <c r="R16" i="11"/>
  <c r="N16" i="11"/>
  <c r="M16" i="11"/>
  <c r="L16" i="11"/>
  <c r="K16" i="11"/>
  <c r="J16" i="11"/>
  <c r="I16" i="11"/>
  <c r="H16" i="11"/>
  <c r="G16" i="11"/>
  <c r="F16" i="11"/>
  <c r="C16" i="11"/>
  <c r="B16" i="11"/>
  <c r="R15" i="11"/>
  <c r="N15" i="11"/>
  <c r="M15" i="11"/>
  <c r="L15" i="11"/>
  <c r="K15" i="11"/>
  <c r="J15" i="11"/>
  <c r="I15" i="11"/>
  <c r="H15" i="11"/>
  <c r="G15" i="11"/>
  <c r="F15" i="11"/>
  <c r="C15" i="11"/>
  <c r="B15" i="11"/>
  <c r="X14" i="11"/>
  <c r="R14" i="11"/>
  <c r="N14" i="11"/>
  <c r="M14" i="11"/>
  <c r="L14" i="11"/>
  <c r="K14" i="11"/>
  <c r="J14" i="11"/>
  <c r="I14" i="11"/>
  <c r="H14" i="11"/>
  <c r="G14" i="11"/>
  <c r="F14" i="11"/>
  <c r="C14" i="11"/>
  <c r="B14" i="11"/>
  <c r="R13" i="11"/>
  <c r="N13" i="11"/>
  <c r="M13" i="11"/>
  <c r="L13" i="11"/>
  <c r="K13" i="11"/>
  <c r="J13" i="11"/>
  <c r="I13" i="11"/>
  <c r="H13" i="11"/>
  <c r="G13" i="11"/>
  <c r="F13" i="11"/>
  <c r="C13" i="11"/>
  <c r="B13" i="11"/>
  <c r="N12" i="11"/>
  <c r="M12" i="11"/>
  <c r="L12" i="11"/>
  <c r="K12" i="11"/>
  <c r="J12" i="11"/>
  <c r="I12" i="11"/>
  <c r="H12" i="11"/>
  <c r="G12" i="11"/>
  <c r="F12" i="11"/>
  <c r="C12" i="11"/>
  <c r="B12" i="11"/>
  <c r="R11" i="11"/>
  <c r="N11" i="11"/>
  <c r="M11" i="11"/>
  <c r="L11" i="11"/>
  <c r="K11" i="11"/>
  <c r="J11" i="11"/>
  <c r="I11" i="11"/>
  <c r="H11" i="11"/>
  <c r="G11" i="11"/>
  <c r="F11" i="11"/>
  <c r="C11" i="11"/>
  <c r="B11" i="11"/>
  <c r="X10" i="11"/>
  <c r="R10" i="11"/>
  <c r="N10" i="11"/>
  <c r="M10" i="11"/>
  <c r="L10" i="11"/>
  <c r="K10" i="11"/>
  <c r="J10" i="11"/>
  <c r="I10" i="11"/>
  <c r="H10" i="11"/>
  <c r="G10" i="11"/>
  <c r="F10" i="11"/>
  <c r="C10" i="11"/>
  <c r="B10" i="11"/>
  <c r="R9" i="11"/>
  <c r="N9" i="11"/>
  <c r="M9" i="11"/>
  <c r="L9" i="11"/>
  <c r="K9" i="11"/>
  <c r="J9" i="11"/>
  <c r="I9" i="11"/>
  <c r="H9" i="11"/>
  <c r="G9" i="11"/>
  <c r="F9" i="11"/>
  <c r="C9" i="11"/>
  <c r="B9" i="11"/>
  <c r="X8" i="11"/>
  <c r="R8" i="11"/>
  <c r="N8" i="11"/>
  <c r="M8" i="11"/>
  <c r="L8" i="11"/>
  <c r="K8" i="11"/>
  <c r="J8" i="11"/>
  <c r="I8" i="11"/>
  <c r="H8" i="11"/>
  <c r="G8" i="11"/>
  <c r="F8" i="11"/>
  <c r="C8" i="11"/>
  <c r="B8" i="11"/>
  <c r="R7" i="11"/>
  <c r="N7" i="11"/>
  <c r="M7" i="11"/>
  <c r="L7" i="11"/>
  <c r="K7" i="11"/>
  <c r="J7" i="11"/>
  <c r="I7" i="11"/>
  <c r="H7" i="11"/>
  <c r="G7" i="11"/>
  <c r="F7" i="11"/>
  <c r="C7" i="11"/>
  <c r="B7" i="11"/>
  <c r="R6" i="11"/>
  <c r="N6" i="11"/>
  <c r="M6" i="11"/>
  <c r="L6" i="11"/>
  <c r="K6" i="11"/>
  <c r="J6" i="11"/>
  <c r="I6" i="11"/>
  <c r="H6" i="11"/>
  <c r="G6" i="11"/>
  <c r="F6" i="11"/>
  <c r="C6" i="11"/>
  <c r="B6" i="11"/>
  <c r="X5" i="11"/>
  <c r="R5" i="11"/>
  <c r="N5" i="11"/>
  <c r="M5" i="11"/>
  <c r="L5" i="11"/>
  <c r="K5" i="11"/>
  <c r="J5" i="11"/>
  <c r="I5" i="11"/>
  <c r="H5" i="11"/>
  <c r="G5" i="11"/>
  <c r="F5" i="11"/>
  <c r="C5" i="11"/>
  <c r="B5" i="11"/>
  <c r="N4" i="11"/>
  <c r="M4" i="11"/>
  <c r="L4" i="11"/>
  <c r="K4" i="11"/>
  <c r="J4" i="11"/>
  <c r="I4" i="11"/>
  <c r="H4" i="11"/>
  <c r="G4" i="11"/>
  <c r="F4" i="11"/>
  <c r="B4" i="11"/>
  <c r="N3" i="11"/>
  <c r="X3" i="11" s="1"/>
  <c r="M3" i="11"/>
  <c r="W3" i="11" s="1"/>
  <c r="L3" i="11"/>
  <c r="V3" i="11" s="1"/>
  <c r="K3" i="11"/>
  <c r="U3" i="11" s="1"/>
  <c r="J3" i="11"/>
  <c r="T3" i="11" s="1"/>
  <c r="I3" i="11"/>
  <c r="S3" i="11" s="1"/>
  <c r="H3" i="11"/>
  <c r="R3" i="11" s="1"/>
  <c r="G3" i="11"/>
  <c r="Q3" i="11" s="1"/>
  <c r="F3" i="11"/>
  <c r="P3" i="11" s="1"/>
  <c r="E48" i="10"/>
  <c r="E47" i="10"/>
  <c r="E46" i="10"/>
  <c r="E45" i="10"/>
  <c r="E44" i="10"/>
  <c r="E43" i="10"/>
  <c r="E42" i="10"/>
  <c r="E41" i="10"/>
  <c r="E40" i="10"/>
  <c r="E39" i="10"/>
  <c r="E38" i="10"/>
  <c r="E37" i="10"/>
  <c r="E36" i="10"/>
  <c r="E35" i="10"/>
  <c r="E34" i="10"/>
  <c r="E33" i="10"/>
  <c r="E32" i="10"/>
  <c r="E31" i="10"/>
  <c r="E30" i="10"/>
  <c r="E29" i="10"/>
  <c r="E28" i="10"/>
  <c r="E27" i="10"/>
  <c r="E26" i="10"/>
  <c r="X26" i="11" s="1"/>
  <c r="E25" i="10"/>
  <c r="E24" i="10"/>
  <c r="E23" i="10"/>
  <c r="X23" i="11" s="1"/>
  <c r="E22" i="10"/>
  <c r="E21" i="10"/>
  <c r="E20" i="10"/>
  <c r="X20" i="11" s="1"/>
  <c r="E19" i="10"/>
  <c r="X19" i="11" s="1"/>
  <c r="E18" i="10"/>
  <c r="X18" i="11" s="1"/>
  <c r="E17" i="10"/>
  <c r="X17" i="11" s="1"/>
  <c r="E16" i="10"/>
  <c r="X16" i="11" s="1"/>
  <c r="E15" i="10"/>
  <c r="X15" i="11" s="1"/>
  <c r="E14" i="10"/>
  <c r="E13" i="10"/>
  <c r="X13" i="11" s="1"/>
  <c r="E12" i="10"/>
  <c r="X12" i="11" s="1"/>
  <c r="E11" i="10"/>
  <c r="X11" i="11" s="1"/>
  <c r="E10" i="10"/>
  <c r="E9" i="10"/>
  <c r="X9" i="11" s="1"/>
  <c r="E8" i="10"/>
  <c r="E7" i="10"/>
  <c r="X7" i="11" s="1"/>
  <c r="E6" i="10"/>
  <c r="X6" i="11" s="1"/>
  <c r="E5" i="10"/>
  <c r="E4" i="10"/>
  <c r="X4" i="11" s="1"/>
  <c r="E48" i="9"/>
  <c r="E47" i="9"/>
  <c r="E46" i="9"/>
  <c r="E45" i="9"/>
  <c r="E44" i="9"/>
  <c r="E43" i="9"/>
  <c r="E42" i="9"/>
  <c r="E41" i="9"/>
  <c r="E40" i="9"/>
  <c r="E39" i="9"/>
  <c r="E38" i="9"/>
  <c r="E37" i="9"/>
  <c r="E36" i="9"/>
  <c r="E35" i="9"/>
  <c r="E34" i="9"/>
  <c r="E33" i="9"/>
  <c r="E32" i="9"/>
  <c r="E31" i="9"/>
  <c r="E30" i="9"/>
  <c r="W30" i="11" s="1"/>
  <c r="E29" i="9"/>
  <c r="W29" i="11" s="1"/>
  <c r="E28" i="9"/>
  <c r="W28" i="11" s="1"/>
  <c r="E27" i="9"/>
  <c r="E26" i="9"/>
  <c r="W26" i="11" s="1"/>
  <c r="E25" i="9"/>
  <c r="W25" i="11" s="1"/>
  <c r="E24" i="9"/>
  <c r="W24" i="11" s="1"/>
  <c r="E23" i="9"/>
  <c r="E22" i="9"/>
  <c r="W22" i="11" s="1"/>
  <c r="E21" i="9"/>
  <c r="W21" i="11" s="1"/>
  <c r="E20" i="9"/>
  <c r="W20" i="11" s="1"/>
  <c r="E19" i="9"/>
  <c r="W19" i="11" s="1"/>
  <c r="E18" i="9"/>
  <c r="W18" i="11" s="1"/>
  <c r="E17" i="9"/>
  <c r="E16" i="9"/>
  <c r="W16" i="11" s="1"/>
  <c r="E15" i="9"/>
  <c r="W15" i="11" s="1"/>
  <c r="E14" i="9"/>
  <c r="W14" i="11" s="1"/>
  <c r="E13" i="9"/>
  <c r="W13" i="11" s="1"/>
  <c r="E12" i="9"/>
  <c r="W12" i="11" s="1"/>
  <c r="E11" i="9"/>
  <c r="W11" i="11" s="1"/>
  <c r="E10" i="9"/>
  <c r="W10" i="11" s="1"/>
  <c r="E9" i="9"/>
  <c r="W9" i="11" s="1"/>
  <c r="E8" i="9"/>
  <c r="W8" i="11" s="1"/>
  <c r="E7" i="9"/>
  <c r="W7" i="11" s="1"/>
  <c r="E6" i="9"/>
  <c r="W6" i="11" s="1"/>
  <c r="E5" i="9"/>
  <c r="W5" i="11" s="1"/>
  <c r="E4" i="9"/>
  <c r="W4" i="11" s="1"/>
  <c r="E48" i="8"/>
  <c r="E47" i="8"/>
  <c r="E46" i="8"/>
  <c r="E45" i="8"/>
  <c r="E44" i="8"/>
  <c r="B44" i="8"/>
  <c r="E43" i="8"/>
  <c r="E42" i="8"/>
  <c r="E41" i="8"/>
  <c r="E40" i="8"/>
  <c r="E39" i="8"/>
  <c r="E38" i="8"/>
  <c r="E37" i="8"/>
  <c r="E36" i="8"/>
  <c r="C36" i="8"/>
  <c r="E35" i="8"/>
  <c r="E34" i="8"/>
  <c r="E33" i="8"/>
  <c r="E32" i="8"/>
  <c r="E31" i="8"/>
  <c r="E30" i="8"/>
  <c r="E29" i="8"/>
  <c r="E28" i="8"/>
  <c r="V28" i="11" s="1"/>
  <c r="E27" i="8"/>
  <c r="E26" i="8"/>
  <c r="E25" i="8"/>
  <c r="E24" i="8"/>
  <c r="E23" i="8"/>
  <c r="V23" i="11" s="1"/>
  <c r="E22" i="8"/>
  <c r="V22" i="11" s="1"/>
  <c r="E21" i="8"/>
  <c r="V21" i="11" s="1"/>
  <c r="E20" i="8"/>
  <c r="V20" i="11" s="1"/>
  <c r="E19" i="8"/>
  <c r="V19" i="11" s="1"/>
  <c r="E18" i="8"/>
  <c r="V18" i="11" s="1"/>
  <c r="E17" i="8"/>
  <c r="V17" i="11" s="1"/>
  <c r="E16" i="8"/>
  <c r="V16" i="11" s="1"/>
  <c r="E15" i="8"/>
  <c r="V15" i="11" s="1"/>
  <c r="E14" i="8"/>
  <c r="V14" i="11" s="1"/>
  <c r="E13" i="8"/>
  <c r="V13" i="11" s="1"/>
  <c r="E12" i="8"/>
  <c r="V12" i="11" s="1"/>
  <c r="E11" i="8"/>
  <c r="V11" i="11" s="1"/>
  <c r="E10" i="8"/>
  <c r="V10" i="11" s="1"/>
  <c r="E9" i="8"/>
  <c r="V9" i="11" s="1"/>
  <c r="E8" i="8"/>
  <c r="V8" i="11" s="1"/>
  <c r="E7" i="8"/>
  <c r="V7" i="11" s="1"/>
  <c r="E6" i="8"/>
  <c r="V6" i="11" s="1"/>
  <c r="E5" i="8"/>
  <c r="V5" i="11" s="1"/>
  <c r="E4" i="8"/>
  <c r="V4" i="11" s="1"/>
  <c r="E48" i="7"/>
  <c r="C48" i="7"/>
  <c r="E47" i="7"/>
  <c r="E46" i="7"/>
  <c r="E45" i="7"/>
  <c r="E44" i="7"/>
  <c r="E43" i="7"/>
  <c r="E42" i="7"/>
  <c r="E41" i="7"/>
  <c r="E40" i="7"/>
  <c r="E39" i="7"/>
  <c r="E38" i="7"/>
  <c r="E37" i="7"/>
  <c r="E36" i="7"/>
  <c r="E35" i="7"/>
  <c r="E34" i="7"/>
  <c r="E33" i="7"/>
  <c r="E32" i="7"/>
  <c r="E31" i="7"/>
  <c r="E30" i="7"/>
  <c r="E29" i="7"/>
  <c r="E28" i="7"/>
  <c r="E27" i="7"/>
  <c r="E26" i="7"/>
  <c r="E25" i="7"/>
  <c r="E24" i="7"/>
  <c r="E23" i="7"/>
  <c r="U23" i="11" s="1"/>
  <c r="E22" i="7"/>
  <c r="U22" i="11" s="1"/>
  <c r="E21" i="7"/>
  <c r="U21" i="11" s="1"/>
  <c r="E20" i="7"/>
  <c r="U20" i="11" s="1"/>
  <c r="E19" i="7"/>
  <c r="U19" i="11" s="1"/>
  <c r="E18" i="7"/>
  <c r="U18" i="11" s="1"/>
  <c r="E17" i="7"/>
  <c r="U17" i="11" s="1"/>
  <c r="E16" i="7"/>
  <c r="U16" i="11" s="1"/>
  <c r="E15" i="7"/>
  <c r="U15" i="11" s="1"/>
  <c r="E14" i="7"/>
  <c r="U14" i="11" s="1"/>
  <c r="E13" i="7"/>
  <c r="U13" i="11" s="1"/>
  <c r="E12" i="7"/>
  <c r="U12" i="11" s="1"/>
  <c r="E11" i="7"/>
  <c r="U11" i="11" s="1"/>
  <c r="E10" i="7"/>
  <c r="U10" i="11" s="1"/>
  <c r="E9" i="7"/>
  <c r="U9" i="11" s="1"/>
  <c r="E8" i="7"/>
  <c r="U8" i="11" s="1"/>
  <c r="E7" i="7"/>
  <c r="U7" i="11" s="1"/>
  <c r="E6" i="7"/>
  <c r="U6" i="11" s="1"/>
  <c r="E5" i="7"/>
  <c r="U5" i="11" s="1"/>
  <c r="E4" i="7"/>
  <c r="U4" i="11" s="1"/>
  <c r="E48" i="6"/>
  <c r="E47" i="6"/>
  <c r="E46" i="6"/>
  <c r="E45" i="6"/>
  <c r="E44" i="6"/>
  <c r="E43" i="6"/>
  <c r="E42" i="6"/>
  <c r="B42" i="6"/>
  <c r="E41" i="6"/>
  <c r="E40" i="6"/>
  <c r="E39" i="6"/>
  <c r="B39" i="6"/>
  <c r="E38" i="6"/>
  <c r="E37" i="6"/>
  <c r="E36" i="6"/>
  <c r="E35" i="6"/>
  <c r="E34" i="6"/>
  <c r="E33" i="6"/>
  <c r="E32" i="6"/>
  <c r="E31" i="6"/>
  <c r="T31" i="11" s="1"/>
  <c r="E30" i="6"/>
  <c r="T30" i="11" s="1"/>
  <c r="E29" i="6"/>
  <c r="T29" i="11" s="1"/>
  <c r="E28" i="6"/>
  <c r="T28" i="11" s="1"/>
  <c r="E27" i="6"/>
  <c r="T27" i="11" s="1"/>
  <c r="E26" i="6"/>
  <c r="T26" i="11" s="1"/>
  <c r="E25" i="6"/>
  <c r="T25" i="11" s="1"/>
  <c r="E24" i="6"/>
  <c r="E23" i="6"/>
  <c r="T23" i="11" s="1"/>
  <c r="E22" i="6"/>
  <c r="T22" i="11" s="1"/>
  <c r="E21" i="6"/>
  <c r="T21" i="11" s="1"/>
  <c r="E20" i="6"/>
  <c r="T20" i="11" s="1"/>
  <c r="E19" i="6"/>
  <c r="T19" i="11" s="1"/>
  <c r="E18" i="6"/>
  <c r="T18" i="11" s="1"/>
  <c r="E17" i="6"/>
  <c r="T17" i="11" s="1"/>
  <c r="E16" i="6"/>
  <c r="T16" i="11" s="1"/>
  <c r="E15" i="6"/>
  <c r="T15" i="11" s="1"/>
  <c r="E14" i="6"/>
  <c r="T14" i="11" s="1"/>
  <c r="E13" i="6"/>
  <c r="T13" i="11" s="1"/>
  <c r="E12" i="6"/>
  <c r="T12" i="11" s="1"/>
  <c r="E11" i="6"/>
  <c r="T11" i="11" s="1"/>
  <c r="E10" i="6"/>
  <c r="T10" i="11" s="1"/>
  <c r="E9" i="6"/>
  <c r="T9" i="11" s="1"/>
  <c r="E8" i="6"/>
  <c r="T8" i="11" s="1"/>
  <c r="E7" i="6"/>
  <c r="T7" i="11" s="1"/>
  <c r="E6" i="6"/>
  <c r="T6" i="11" s="1"/>
  <c r="E5" i="6"/>
  <c r="T5" i="11" s="1"/>
  <c r="E4" i="6"/>
  <c r="T4" i="11" s="1"/>
  <c r="E48" i="5"/>
  <c r="E47" i="5"/>
  <c r="E46" i="5"/>
  <c r="E45" i="5"/>
  <c r="C45" i="5"/>
  <c r="K45" i="5" s="1"/>
  <c r="E44" i="5"/>
  <c r="E43" i="5"/>
  <c r="E42" i="5"/>
  <c r="B42" i="5"/>
  <c r="J42" i="5" s="1"/>
  <c r="E41" i="5"/>
  <c r="E40" i="5"/>
  <c r="E39" i="5"/>
  <c r="E38" i="5"/>
  <c r="E37" i="5"/>
  <c r="C37" i="5"/>
  <c r="K37" i="5" s="1"/>
  <c r="E36" i="5"/>
  <c r="E35" i="5"/>
  <c r="E34" i="5"/>
  <c r="B34" i="5"/>
  <c r="J34" i="5" s="1"/>
  <c r="E33" i="5"/>
  <c r="E32" i="5"/>
  <c r="E31" i="5"/>
  <c r="S31" i="11" s="1"/>
  <c r="E30" i="5"/>
  <c r="S30" i="11" s="1"/>
  <c r="E29" i="5"/>
  <c r="S29" i="11" s="1"/>
  <c r="E28" i="5"/>
  <c r="S28" i="11" s="1"/>
  <c r="E27" i="5"/>
  <c r="S27" i="11" s="1"/>
  <c r="E26" i="5"/>
  <c r="S26" i="11" s="1"/>
  <c r="E25" i="5"/>
  <c r="S25" i="11" s="1"/>
  <c r="E24" i="5"/>
  <c r="S24" i="11" s="1"/>
  <c r="S23" i="11"/>
  <c r="E22" i="5"/>
  <c r="S22" i="11" s="1"/>
  <c r="E21" i="5"/>
  <c r="S21" i="11" s="1"/>
  <c r="E20" i="5"/>
  <c r="S20" i="11" s="1"/>
  <c r="E19" i="5"/>
  <c r="S19" i="11" s="1"/>
  <c r="E18" i="5"/>
  <c r="S18" i="11" s="1"/>
  <c r="E17" i="5"/>
  <c r="S17" i="11" s="1"/>
  <c r="E16" i="5"/>
  <c r="S16" i="11" s="1"/>
  <c r="E15" i="5"/>
  <c r="S15" i="11" s="1"/>
  <c r="E14" i="5"/>
  <c r="S14" i="11" s="1"/>
  <c r="E13" i="5"/>
  <c r="S13" i="11" s="1"/>
  <c r="E12" i="5"/>
  <c r="S12" i="11" s="1"/>
  <c r="E11" i="5"/>
  <c r="S11" i="11" s="1"/>
  <c r="E10" i="5"/>
  <c r="S10" i="11" s="1"/>
  <c r="E9" i="5"/>
  <c r="S9" i="11" s="1"/>
  <c r="E8" i="5"/>
  <c r="S8" i="11" s="1"/>
  <c r="E7" i="5"/>
  <c r="S7" i="11" s="1"/>
  <c r="E6" i="5"/>
  <c r="S6" i="11" s="1"/>
  <c r="E5" i="5"/>
  <c r="S5" i="11" s="1"/>
  <c r="S4" i="11"/>
  <c r="E48" i="4"/>
  <c r="E47" i="4"/>
  <c r="E46" i="4"/>
  <c r="E45" i="4"/>
  <c r="E44" i="4"/>
  <c r="B44" i="4"/>
  <c r="E43" i="4"/>
  <c r="E42" i="4"/>
  <c r="E41" i="4"/>
  <c r="C41" i="4"/>
  <c r="E40" i="4"/>
  <c r="E39" i="4"/>
  <c r="E38" i="4"/>
  <c r="E37" i="4"/>
  <c r="E36" i="4"/>
  <c r="E35" i="4"/>
  <c r="E34" i="4"/>
  <c r="E33" i="4"/>
  <c r="E32" i="4"/>
  <c r="E31" i="4"/>
  <c r="E30" i="4"/>
  <c r="E29" i="4"/>
  <c r="E28" i="4"/>
  <c r="E27" i="4"/>
  <c r="R27" i="11" s="1"/>
  <c r="E26" i="4"/>
  <c r="E25" i="4"/>
  <c r="E24" i="4"/>
  <c r="E23" i="4"/>
  <c r="R23" i="11" s="1"/>
  <c r="E22" i="4"/>
  <c r="R22" i="11" s="1"/>
  <c r="E21" i="4"/>
  <c r="R21" i="11" s="1"/>
  <c r="E20" i="4"/>
  <c r="R20" i="11" s="1"/>
  <c r="E19" i="4"/>
  <c r="E18" i="4"/>
  <c r="E17" i="4"/>
  <c r="E16" i="4"/>
  <c r="E15" i="4"/>
  <c r="E14" i="4"/>
  <c r="E13" i="4"/>
  <c r="E12" i="4"/>
  <c r="R12" i="11" s="1"/>
  <c r="E11" i="4"/>
  <c r="E10" i="4"/>
  <c r="E9" i="4"/>
  <c r="E8" i="4"/>
  <c r="E7" i="4"/>
  <c r="E6" i="4"/>
  <c r="E5" i="4"/>
  <c r="E4" i="4"/>
  <c r="R4" i="11" s="1"/>
  <c r="E48" i="3"/>
  <c r="B48" i="3"/>
  <c r="J48" i="3" s="1"/>
  <c r="E47" i="3"/>
  <c r="E46" i="3"/>
  <c r="E45" i="3"/>
  <c r="C45" i="3"/>
  <c r="K45" i="3" s="1"/>
  <c r="E44" i="3"/>
  <c r="E43" i="3"/>
  <c r="E42" i="3"/>
  <c r="E41" i="3"/>
  <c r="E40" i="3"/>
  <c r="E39" i="3"/>
  <c r="E38" i="3"/>
  <c r="E37" i="3"/>
  <c r="E36" i="3"/>
  <c r="E35" i="3"/>
  <c r="E34" i="3"/>
  <c r="E33" i="3"/>
  <c r="E32" i="3"/>
  <c r="E31" i="3"/>
  <c r="Q31" i="11" s="1"/>
  <c r="E30" i="3"/>
  <c r="Q30" i="11" s="1"/>
  <c r="E29" i="3"/>
  <c r="Q29" i="11" s="1"/>
  <c r="E28" i="3"/>
  <c r="Q28" i="11" s="1"/>
  <c r="E27" i="3"/>
  <c r="Q27" i="11" s="1"/>
  <c r="E26" i="3"/>
  <c r="Q26" i="11" s="1"/>
  <c r="E25" i="3"/>
  <c r="Q25" i="11" s="1"/>
  <c r="E24" i="3"/>
  <c r="Q24" i="11" s="1"/>
  <c r="E23" i="3"/>
  <c r="E22" i="3"/>
  <c r="Q22" i="11" s="1"/>
  <c r="E21" i="3"/>
  <c r="Q21" i="11" s="1"/>
  <c r="E20" i="3"/>
  <c r="Q20" i="11" s="1"/>
  <c r="E19" i="3"/>
  <c r="Q19" i="11" s="1"/>
  <c r="E18" i="3"/>
  <c r="Q18" i="11" s="1"/>
  <c r="E17" i="3"/>
  <c r="Q17" i="11" s="1"/>
  <c r="E16" i="3"/>
  <c r="Q16" i="11" s="1"/>
  <c r="E15" i="3"/>
  <c r="Q15" i="11" s="1"/>
  <c r="E14" i="3"/>
  <c r="Q14" i="11" s="1"/>
  <c r="E13" i="3"/>
  <c r="Q13" i="11" s="1"/>
  <c r="E12" i="3"/>
  <c r="Q12" i="11" s="1"/>
  <c r="E11" i="3"/>
  <c r="Q11" i="11" s="1"/>
  <c r="E10" i="3"/>
  <c r="Q10" i="11" s="1"/>
  <c r="E9" i="3"/>
  <c r="Q9" i="11" s="1"/>
  <c r="E8" i="3"/>
  <c r="Q8" i="11" s="1"/>
  <c r="E7" i="3"/>
  <c r="Q7" i="11" s="1"/>
  <c r="E6" i="3"/>
  <c r="Q6" i="11" s="1"/>
  <c r="E5" i="3"/>
  <c r="Q5" i="11" s="1"/>
  <c r="E4" i="3"/>
  <c r="Q4" i="11" s="1"/>
  <c r="E48" i="2"/>
  <c r="C48" i="2"/>
  <c r="C48" i="4" s="1"/>
  <c r="B48" i="2"/>
  <c r="B48" i="10" s="1"/>
  <c r="E47" i="2"/>
  <c r="C47" i="2"/>
  <c r="C47" i="6" s="1"/>
  <c r="B47" i="2"/>
  <c r="B47" i="6" s="1"/>
  <c r="E46" i="2"/>
  <c r="C46" i="2"/>
  <c r="C46" i="3" s="1"/>
  <c r="K46" i="3" s="1"/>
  <c r="B46" i="2"/>
  <c r="B46" i="3" s="1"/>
  <c r="J46" i="3" s="1"/>
  <c r="E45" i="2"/>
  <c r="C45" i="2"/>
  <c r="C45" i="10" s="1"/>
  <c r="B45" i="2"/>
  <c r="B45" i="10" s="1"/>
  <c r="E44" i="2"/>
  <c r="C44" i="2"/>
  <c r="C44" i="8" s="1"/>
  <c r="B44" i="2"/>
  <c r="B44" i="6" s="1"/>
  <c r="E43" i="2"/>
  <c r="C43" i="2"/>
  <c r="B43" i="2"/>
  <c r="B43" i="6" s="1"/>
  <c r="E42" i="2"/>
  <c r="C42" i="2"/>
  <c r="C42" i="7" s="1"/>
  <c r="B42" i="2"/>
  <c r="B42" i="7" s="1"/>
  <c r="E41" i="2"/>
  <c r="C41" i="2"/>
  <c r="C41" i="3" s="1"/>
  <c r="K41" i="3" s="1"/>
  <c r="B41" i="2"/>
  <c r="B41" i="7" s="1"/>
  <c r="E40" i="2"/>
  <c r="C40" i="2"/>
  <c r="B40" i="2"/>
  <c r="B40" i="10" s="1"/>
  <c r="E39" i="2"/>
  <c r="C39" i="2"/>
  <c r="C39" i="7" s="1"/>
  <c r="B39" i="2"/>
  <c r="B39" i="3" s="1"/>
  <c r="J39" i="3" s="1"/>
  <c r="E38" i="2"/>
  <c r="C38" i="2"/>
  <c r="C38" i="5" s="1"/>
  <c r="K38" i="5" s="1"/>
  <c r="B38" i="2"/>
  <c r="B38" i="5" s="1"/>
  <c r="J38" i="5" s="1"/>
  <c r="E37" i="2"/>
  <c r="C37" i="2"/>
  <c r="C37" i="10" s="1"/>
  <c r="B37" i="2"/>
  <c r="B37" i="8" s="1"/>
  <c r="E36" i="2"/>
  <c r="C36" i="2"/>
  <c r="C36" i="3" s="1"/>
  <c r="K36" i="3" s="1"/>
  <c r="B36" i="2"/>
  <c r="E35" i="2"/>
  <c r="C35" i="2"/>
  <c r="B35" i="2"/>
  <c r="B35" i="6" s="1"/>
  <c r="E34" i="2"/>
  <c r="C34" i="2"/>
  <c r="C34" i="7" s="1"/>
  <c r="B34" i="2"/>
  <c r="B34" i="6" s="1"/>
  <c r="E33" i="2"/>
  <c r="C33" i="2"/>
  <c r="C33" i="3" s="1"/>
  <c r="K33" i="3" s="1"/>
  <c r="B33" i="2"/>
  <c r="B33" i="5" s="1"/>
  <c r="J33" i="5" s="1"/>
  <c r="E32" i="2"/>
  <c r="C32" i="2"/>
  <c r="B32" i="2"/>
  <c r="B32" i="10" s="1"/>
  <c r="E31" i="2"/>
  <c r="P31" i="11" s="1"/>
  <c r="C31" i="2"/>
  <c r="C31" i="6" s="1"/>
  <c r="B31" i="2"/>
  <c r="B31" i="6" s="1"/>
  <c r="E30" i="2"/>
  <c r="P30" i="11" s="1"/>
  <c r="C30" i="2"/>
  <c r="C30" i="3" s="1"/>
  <c r="K30" i="3" s="1"/>
  <c r="B30" i="2"/>
  <c r="B30" i="7" s="1"/>
  <c r="E29" i="2"/>
  <c r="P29" i="11" s="1"/>
  <c r="C29" i="2"/>
  <c r="C29" i="10" s="1"/>
  <c r="B29" i="2"/>
  <c r="B29" i="8" s="1"/>
  <c r="E28" i="2"/>
  <c r="P28" i="11" s="1"/>
  <c r="C28" i="2"/>
  <c r="C28" i="3" s="1"/>
  <c r="K28" i="3" s="1"/>
  <c r="B28" i="2"/>
  <c r="B28" i="6" s="1"/>
  <c r="E27" i="2"/>
  <c r="P27" i="11" s="1"/>
  <c r="C27" i="2"/>
  <c r="C27" i="7" s="1"/>
  <c r="B27" i="2"/>
  <c r="B27" i="5" s="1"/>
  <c r="J27" i="5" s="1"/>
  <c r="E26" i="2"/>
  <c r="P26" i="11" s="1"/>
  <c r="C26" i="2"/>
  <c r="C26" i="7" s="1"/>
  <c r="B26" i="2"/>
  <c r="B26" i="6" s="1"/>
  <c r="E25" i="2"/>
  <c r="P25" i="11" s="1"/>
  <c r="C25" i="2"/>
  <c r="C25" i="4" s="1"/>
  <c r="B25" i="2"/>
  <c r="E24" i="2"/>
  <c r="P24" i="11" s="1"/>
  <c r="C24" i="2"/>
  <c r="C24" i="9" s="1"/>
  <c r="K24" i="9" s="1"/>
  <c r="B24" i="2"/>
  <c r="B24" i="9" s="1"/>
  <c r="J24" i="9" s="1"/>
  <c r="E23" i="2"/>
  <c r="P23" i="11" s="1"/>
  <c r="C23" i="2"/>
  <c r="C23" i="6" s="1"/>
  <c r="B23" i="2"/>
  <c r="B23" i="3" s="1"/>
  <c r="J23" i="3" s="1"/>
  <c r="E22" i="2"/>
  <c r="P22" i="11" s="1"/>
  <c r="C22" i="2"/>
  <c r="B22" i="2"/>
  <c r="B22" i="5" s="1"/>
  <c r="J22" i="5" s="1"/>
  <c r="E21" i="2"/>
  <c r="P21" i="11" s="1"/>
  <c r="C21" i="2"/>
  <c r="C21" i="8" s="1"/>
  <c r="B21" i="2"/>
  <c r="B21" i="9" s="1"/>
  <c r="J21" i="9" s="1"/>
  <c r="E20" i="2"/>
  <c r="P20" i="11" s="1"/>
  <c r="C20" i="2"/>
  <c r="C20" i="4" s="1"/>
  <c r="B20" i="2"/>
  <c r="B20" i="4" s="1"/>
  <c r="E19" i="2"/>
  <c r="P19" i="11" s="1"/>
  <c r="C19" i="2"/>
  <c r="C19" i="7" s="1"/>
  <c r="B19" i="2"/>
  <c r="B19" i="8" s="1"/>
  <c r="E18" i="2"/>
  <c r="P18" i="11" s="1"/>
  <c r="C18" i="2"/>
  <c r="C18" i="7" s="1"/>
  <c r="B18" i="2"/>
  <c r="B18" i="4" s="1"/>
  <c r="E17" i="2"/>
  <c r="P17" i="11" s="1"/>
  <c r="C17" i="2"/>
  <c r="C17" i="4" s="1"/>
  <c r="B17" i="2"/>
  <c r="B17" i="5" s="1"/>
  <c r="J17" i="5" s="1"/>
  <c r="E16" i="2"/>
  <c r="P16" i="11" s="1"/>
  <c r="C16" i="2"/>
  <c r="C16" i="9" s="1"/>
  <c r="K16" i="9" s="1"/>
  <c r="B16" i="2"/>
  <c r="B16" i="10" s="1"/>
  <c r="E15" i="2"/>
  <c r="P15" i="11" s="1"/>
  <c r="C15" i="2"/>
  <c r="C15" i="6" s="1"/>
  <c r="B15" i="2"/>
  <c r="B15" i="3" s="1"/>
  <c r="J15" i="3" s="1"/>
  <c r="E14" i="2"/>
  <c r="P14" i="11" s="1"/>
  <c r="C14" i="2"/>
  <c r="C14" i="3" s="1"/>
  <c r="K14" i="3" s="1"/>
  <c r="B14" i="2"/>
  <c r="B14" i="5" s="1"/>
  <c r="J14" i="5" s="1"/>
  <c r="E13" i="2"/>
  <c r="P13" i="11" s="1"/>
  <c r="C13" i="2"/>
  <c r="C13" i="6" s="1"/>
  <c r="B13" i="2"/>
  <c r="B13" i="7" s="1"/>
  <c r="E12" i="2"/>
  <c r="P12" i="11" s="1"/>
  <c r="C12" i="2"/>
  <c r="C12" i="10" s="1"/>
  <c r="B12" i="2"/>
  <c r="B12" i="6" s="1"/>
  <c r="E11" i="2"/>
  <c r="P11" i="11" s="1"/>
  <c r="C11" i="2"/>
  <c r="C11" i="7" s="1"/>
  <c r="B11" i="2"/>
  <c r="B11" i="8" s="1"/>
  <c r="E10" i="2"/>
  <c r="P10" i="11" s="1"/>
  <c r="C10" i="2"/>
  <c r="C10" i="7" s="1"/>
  <c r="B10" i="2"/>
  <c r="B10" i="8" s="1"/>
  <c r="E9" i="2"/>
  <c r="P9" i="11" s="1"/>
  <c r="C9" i="2"/>
  <c r="C9" i="5" s="1"/>
  <c r="K9" i="5" s="1"/>
  <c r="B9" i="2"/>
  <c r="B9" i="5" s="1"/>
  <c r="J9" i="5" s="1"/>
  <c r="E8" i="2"/>
  <c r="P8" i="11" s="1"/>
  <c r="C8" i="2"/>
  <c r="C8" i="10" s="1"/>
  <c r="B8" i="2"/>
  <c r="B8" i="6" s="1"/>
  <c r="E7" i="2"/>
  <c r="P7" i="11" s="1"/>
  <c r="C7" i="2"/>
  <c r="C7" i="4" s="1"/>
  <c r="B7" i="2"/>
  <c r="B7" i="8" s="1"/>
  <c r="E6" i="2"/>
  <c r="P6" i="11" s="1"/>
  <c r="C6" i="2"/>
  <c r="C6" i="5" s="1"/>
  <c r="K6" i="5" s="1"/>
  <c r="B6" i="2"/>
  <c r="B6" i="4" s="1"/>
  <c r="E5" i="2"/>
  <c r="P5" i="11" s="1"/>
  <c r="C5" i="2"/>
  <c r="C5" i="8" s="1"/>
  <c r="B5" i="2"/>
  <c r="B5" i="9" s="1"/>
  <c r="J5" i="9" s="1"/>
  <c r="E4" i="2"/>
  <c r="P4" i="11" s="1"/>
  <c r="C4" i="2"/>
  <c r="C4" i="9" s="1"/>
  <c r="K4" i="9" s="1"/>
  <c r="B4" i="2"/>
  <c r="B4" i="3" s="1"/>
  <c r="J4" i="3" s="1"/>
  <c r="Q23" i="11" l="1"/>
  <c r="D23" i="11"/>
  <c r="D22" i="11"/>
  <c r="O18" i="11"/>
  <c r="C4" i="3"/>
  <c r="K4" i="3" s="1"/>
  <c r="B39" i="4"/>
  <c r="C44" i="4"/>
  <c r="C26" i="8"/>
  <c r="C34" i="3"/>
  <c r="K34" i="3" s="1"/>
  <c r="C38" i="3"/>
  <c r="K38" i="3" s="1"/>
  <c r="B41" i="3"/>
  <c r="J41" i="3" s="1"/>
  <c r="C30" i="5"/>
  <c r="K30" i="5" s="1"/>
  <c r="B41" i="5"/>
  <c r="J41" i="5" s="1"/>
  <c r="C46" i="5"/>
  <c r="K46" i="5" s="1"/>
  <c r="B23" i="6"/>
  <c r="B5" i="7"/>
  <c r="B34" i="7"/>
  <c r="B40" i="7"/>
  <c r="B45" i="7"/>
  <c r="B40" i="8"/>
  <c r="B29" i="9"/>
  <c r="J29" i="9" s="1"/>
  <c r="B42" i="9"/>
  <c r="J42" i="9" s="1"/>
  <c r="B33" i="3"/>
  <c r="J33" i="3" s="1"/>
  <c r="B34" i="4"/>
  <c r="B21" i="7"/>
  <c r="C45" i="7"/>
  <c r="C45" i="8"/>
  <c r="B48" i="9"/>
  <c r="J48" i="9" s="1"/>
  <c r="C10" i="10"/>
  <c r="B29" i="7"/>
  <c r="B32" i="3"/>
  <c r="J32" i="3" s="1"/>
  <c r="B42" i="3"/>
  <c r="J42" i="3" s="1"/>
  <c r="B26" i="5"/>
  <c r="J26" i="5" s="1"/>
  <c r="C42" i="8"/>
  <c r="B37" i="9"/>
  <c r="J37" i="9" s="1"/>
  <c r="C42" i="3"/>
  <c r="K42" i="3" s="1"/>
  <c r="B23" i="4"/>
  <c r="B37" i="7"/>
  <c r="B32" i="9"/>
  <c r="J32" i="9" s="1"/>
  <c r="B45" i="9"/>
  <c r="J45" i="9" s="1"/>
  <c r="O16" i="11"/>
  <c r="C37" i="3"/>
  <c r="K37" i="3" s="1"/>
  <c r="B40" i="3"/>
  <c r="J40" i="3" s="1"/>
  <c r="C23" i="4"/>
  <c r="B48" i="7"/>
  <c r="B48" i="8"/>
  <c r="C45" i="9"/>
  <c r="K45" i="9" s="1"/>
  <c r="Z49" i="11"/>
  <c r="Y49" i="11" s="1"/>
  <c r="Z43" i="11"/>
  <c r="Y43" i="11" s="1"/>
  <c r="Z35" i="11"/>
  <c r="Y35" i="11" s="1"/>
  <c r="Z47" i="11"/>
  <c r="Y47" i="11" s="1"/>
  <c r="Z45" i="11"/>
  <c r="Y45" i="11" s="1"/>
  <c r="D6" i="11"/>
  <c r="D16" i="11"/>
  <c r="D17" i="11"/>
  <c r="O32" i="11"/>
  <c r="O34" i="11"/>
  <c r="O36" i="11"/>
  <c r="O38" i="11"/>
  <c r="O40" i="11"/>
  <c r="O42" i="11"/>
  <c r="O44" i="11"/>
  <c r="O46" i="11"/>
  <c r="O48" i="11"/>
  <c r="O33" i="11"/>
  <c r="O35" i="11"/>
  <c r="O37" i="11"/>
  <c r="O39" i="11"/>
  <c r="O41" i="11"/>
  <c r="O43" i="11"/>
  <c r="O45" i="11"/>
  <c r="O47" i="11"/>
  <c r="O49" i="11"/>
  <c r="D21" i="11"/>
  <c r="Z34" i="11"/>
  <c r="Y34" i="11" s="1"/>
  <c r="Z36" i="11"/>
  <c r="Y36" i="11" s="1"/>
  <c r="Z38" i="11"/>
  <c r="Y38" i="11" s="1"/>
  <c r="Z42" i="11"/>
  <c r="Y42" i="11" s="1"/>
  <c r="Z46" i="11"/>
  <c r="Y46" i="11" s="1"/>
  <c r="D19" i="11"/>
  <c r="D18" i="11"/>
  <c r="O12" i="11"/>
  <c r="D12" i="11"/>
  <c r="D9" i="11"/>
  <c r="D8" i="11"/>
  <c r="D7" i="11"/>
  <c r="O14" i="11"/>
  <c r="D14" i="11"/>
  <c r="D15" i="11"/>
  <c r="D11" i="11"/>
  <c r="D13" i="11"/>
  <c r="O10" i="11"/>
  <c r="D10" i="11"/>
  <c r="D20" i="11"/>
  <c r="D5" i="11"/>
  <c r="Z17" i="11"/>
  <c r="Y17" i="11" s="1"/>
  <c r="D4" i="11"/>
  <c r="O17" i="11"/>
  <c r="O26" i="11"/>
  <c r="O22" i="11"/>
  <c r="O24" i="11"/>
  <c r="O4" i="11"/>
  <c r="Z33" i="11"/>
  <c r="Y33" i="11" s="1"/>
  <c r="Z37" i="11"/>
  <c r="Y37" i="11" s="1"/>
  <c r="Z39" i="11"/>
  <c r="Y39" i="11" s="1"/>
  <c r="Z41" i="11"/>
  <c r="Y41" i="11" s="1"/>
  <c r="O8" i="11"/>
  <c r="O9" i="11"/>
  <c r="O6" i="11"/>
  <c r="O15" i="11"/>
  <c r="Z24" i="11"/>
  <c r="Y24" i="11" s="1"/>
  <c r="O28" i="11"/>
  <c r="O20" i="11"/>
  <c r="Z11" i="11"/>
  <c r="Y11" i="11" s="1"/>
  <c r="Z19" i="11"/>
  <c r="Y19" i="11" s="1"/>
  <c r="O13" i="11"/>
  <c r="Z27" i="11"/>
  <c r="Y27" i="11" s="1"/>
  <c r="Z16" i="11"/>
  <c r="Y16" i="11" s="1"/>
  <c r="Z21" i="11"/>
  <c r="Y21" i="11" s="1"/>
  <c r="O5" i="11"/>
  <c r="O19" i="11"/>
  <c r="O7" i="11"/>
  <c r="Z32" i="11"/>
  <c r="Y32" i="11" s="1"/>
  <c r="Z40" i="11"/>
  <c r="Y40" i="11" s="1"/>
  <c r="Z44" i="11"/>
  <c r="Y44" i="11" s="1"/>
  <c r="Z48" i="11"/>
  <c r="Y48" i="11" s="1"/>
  <c r="O25" i="11"/>
  <c r="O31" i="11"/>
  <c r="O23" i="11"/>
  <c r="O29" i="11"/>
  <c r="O21" i="11"/>
  <c r="O11" i="11"/>
  <c r="B24" i="3"/>
  <c r="J24" i="3" s="1"/>
  <c r="C29" i="8"/>
  <c r="B30" i="4"/>
  <c r="C25" i="3"/>
  <c r="K25" i="3" s="1"/>
  <c r="B26" i="7"/>
  <c r="B26" i="9"/>
  <c r="J26" i="9" s="1"/>
  <c r="B30" i="3"/>
  <c r="J30" i="3" s="1"/>
  <c r="B31" i="4"/>
  <c r="C29" i="9"/>
  <c r="K29" i="9" s="1"/>
  <c r="B24" i="10"/>
  <c r="C29" i="3"/>
  <c r="K29" i="3" s="1"/>
  <c r="B26" i="3"/>
  <c r="J26" i="3" s="1"/>
  <c r="C29" i="5"/>
  <c r="K29" i="5" s="1"/>
  <c r="B16" i="3"/>
  <c r="J16" i="3" s="1"/>
  <c r="B12" i="4"/>
  <c r="B15" i="6"/>
  <c r="B13" i="9"/>
  <c r="J13" i="9" s="1"/>
  <c r="B8" i="3"/>
  <c r="J8" i="3" s="1"/>
  <c r="C18" i="3"/>
  <c r="K18" i="3" s="1"/>
  <c r="C12" i="4"/>
  <c r="C21" i="5"/>
  <c r="K21" i="5" s="1"/>
  <c r="B10" i="7"/>
  <c r="B16" i="8"/>
  <c r="C13" i="9"/>
  <c r="K13" i="9" s="1"/>
  <c r="C13" i="3"/>
  <c r="K13" i="3" s="1"/>
  <c r="B7" i="4"/>
  <c r="B10" i="6"/>
  <c r="B8" i="9"/>
  <c r="J8" i="9" s="1"/>
  <c r="B11" i="3"/>
  <c r="J11" i="3" s="1"/>
  <c r="C9" i="3"/>
  <c r="K9" i="3" s="1"/>
  <c r="B17" i="3"/>
  <c r="J17" i="3" s="1"/>
  <c r="B13" i="8"/>
  <c r="B13" i="10"/>
  <c r="B9" i="3"/>
  <c r="J9" i="3" s="1"/>
  <c r="C17" i="3"/>
  <c r="K17" i="3" s="1"/>
  <c r="C21" i="3"/>
  <c r="K21" i="3" s="1"/>
  <c r="B18" i="5"/>
  <c r="J18" i="5" s="1"/>
  <c r="B18" i="6"/>
  <c r="B18" i="7"/>
  <c r="B8" i="8"/>
  <c r="B16" i="9"/>
  <c r="J16" i="9" s="1"/>
  <c r="B8" i="10"/>
  <c r="C21" i="10"/>
  <c r="C19" i="4"/>
  <c r="C7" i="3"/>
  <c r="K7" i="3" s="1"/>
  <c r="C10" i="3"/>
  <c r="K10" i="3" s="1"/>
  <c r="C9" i="4"/>
  <c r="B6" i="5"/>
  <c r="J6" i="5" s="1"/>
  <c r="C12" i="9"/>
  <c r="K12" i="9" s="1"/>
  <c r="C15" i="3"/>
  <c r="K15" i="3" s="1"/>
  <c r="B18" i="3"/>
  <c r="J18" i="3" s="1"/>
  <c r="C13" i="5"/>
  <c r="K13" i="5" s="1"/>
  <c r="B7" i="6"/>
  <c r="C9" i="8"/>
  <c r="C5" i="5"/>
  <c r="K5" i="5" s="1"/>
  <c r="C5" i="3"/>
  <c r="K5" i="3" s="1"/>
  <c r="C5" i="10"/>
  <c r="C5" i="9"/>
  <c r="K5" i="9" s="1"/>
  <c r="Z29" i="11"/>
  <c r="Y29" i="11" s="1"/>
  <c r="C40" i="10"/>
  <c r="C40" i="5"/>
  <c r="K40" i="5" s="1"/>
  <c r="C40" i="3"/>
  <c r="K40" i="3" s="1"/>
  <c r="C40" i="7"/>
  <c r="B43" i="3"/>
  <c r="J43" i="3" s="1"/>
  <c r="B27" i="4"/>
  <c r="C24" i="8"/>
  <c r="C30" i="9"/>
  <c r="K30" i="9" s="1"/>
  <c r="C30" i="10"/>
  <c r="C30" i="8"/>
  <c r="C30" i="6"/>
  <c r="C30" i="4"/>
  <c r="C30" i="7"/>
  <c r="B33" i="9"/>
  <c r="J33" i="9" s="1"/>
  <c r="B33" i="10"/>
  <c r="B33" i="8"/>
  <c r="B33" i="6"/>
  <c r="B33" i="4"/>
  <c r="B33" i="7"/>
  <c r="C38" i="9"/>
  <c r="K38" i="9" s="1"/>
  <c r="C38" i="10"/>
  <c r="C38" i="8"/>
  <c r="C38" i="6"/>
  <c r="C38" i="4"/>
  <c r="B41" i="9"/>
  <c r="J41" i="9" s="1"/>
  <c r="B41" i="10"/>
  <c r="B41" i="8"/>
  <c r="B41" i="6"/>
  <c r="B41" i="4"/>
  <c r="C46" i="9"/>
  <c r="K46" i="9" s="1"/>
  <c r="C46" i="10"/>
  <c r="C46" i="8"/>
  <c r="C46" i="6"/>
  <c r="C46" i="4"/>
  <c r="C46" i="7"/>
  <c r="B6" i="3"/>
  <c r="J6" i="3" s="1"/>
  <c r="B10" i="3"/>
  <c r="J10" i="3" s="1"/>
  <c r="C26" i="3"/>
  <c r="K26" i="3" s="1"/>
  <c r="B10" i="4"/>
  <c r="C24" i="4"/>
  <c r="C31" i="4"/>
  <c r="B35" i="4"/>
  <c r="B42" i="4"/>
  <c r="C4" i="5"/>
  <c r="K4" i="5" s="1"/>
  <c r="B11" i="5"/>
  <c r="J11" i="5" s="1"/>
  <c r="C7" i="6"/>
  <c r="B11" i="6"/>
  <c r="B19" i="6"/>
  <c r="B27" i="6"/>
  <c r="C39" i="6"/>
  <c r="B6" i="7"/>
  <c r="B14" i="7"/>
  <c r="B22" i="7"/>
  <c r="C38" i="7"/>
  <c r="C40" i="8"/>
  <c r="C32" i="10"/>
  <c r="C32" i="8"/>
  <c r="C32" i="7"/>
  <c r="C32" i="5"/>
  <c r="K32" i="5" s="1"/>
  <c r="C32" i="3"/>
  <c r="K32" i="3" s="1"/>
  <c r="B43" i="9"/>
  <c r="J43" i="9" s="1"/>
  <c r="B43" i="10"/>
  <c r="B43" i="8"/>
  <c r="B43" i="7"/>
  <c r="C48" i="10"/>
  <c r="C48" i="5"/>
  <c r="K48" i="5" s="1"/>
  <c r="C48" i="3"/>
  <c r="K48" i="3" s="1"/>
  <c r="C48" i="8"/>
  <c r="B30" i="9"/>
  <c r="J30" i="9" s="1"/>
  <c r="B30" i="10"/>
  <c r="B30" i="8"/>
  <c r="B30" i="6"/>
  <c r="C35" i="10"/>
  <c r="C35" i="8"/>
  <c r="C35" i="6"/>
  <c r="C35" i="5"/>
  <c r="K35" i="5" s="1"/>
  <c r="C35" i="3"/>
  <c r="K35" i="3" s="1"/>
  <c r="C43" i="7"/>
  <c r="C43" i="10"/>
  <c r="C43" i="8"/>
  <c r="C43" i="6"/>
  <c r="C43" i="9"/>
  <c r="K43" i="9" s="1"/>
  <c r="C43" i="5"/>
  <c r="K43" i="5" s="1"/>
  <c r="C43" i="3"/>
  <c r="K43" i="3" s="1"/>
  <c r="B46" i="9"/>
  <c r="J46" i="9" s="1"/>
  <c r="B46" i="7"/>
  <c r="B46" i="10"/>
  <c r="B46" i="8"/>
  <c r="B46" i="6"/>
  <c r="B38" i="4"/>
  <c r="C19" i="9"/>
  <c r="K19" i="9" s="1"/>
  <c r="C35" i="9"/>
  <c r="K35" i="9" s="1"/>
  <c r="C22" i="9"/>
  <c r="K22" i="9" s="1"/>
  <c r="C22" i="10"/>
  <c r="C22" i="8"/>
  <c r="C22" i="6"/>
  <c r="C22" i="4"/>
  <c r="C22" i="7"/>
  <c r="B25" i="9"/>
  <c r="J25" i="9" s="1"/>
  <c r="B25" i="10"/>
  <c r="B25" i="8"/>
  <c r="B25" i="6"/>
  <c r="B25" i="4"/>
  <c r="B25" i="7"/>
  <c r="B4" i="10"/>
  <c r="B4" i="9"/>
  <c r="J4" i="9" s="1"/>
  <c r="B4" i="7"/>
  <c r="B4" i="5"/>
  <c r="J4" i="5" s="1"/>
  <c r="B4" i="8"/>
  <c r="Z14" i="11"/>
  <c r="Y14" i="11" s="1"/>
  <c r="B20" i="10"/>
  <c r="B20" i="9"/>
  <c r="J20" i="9" s="1"/>
  <c r="B20" i="7"/>
  <c r="B20" i="5"/>
  <c r="J20" i="5" s="1"/>
  <c r="B20" i="8"/>
  <c r="Z30" i="11"/>
  <c r="Y30" i="11" s="1"/>
  <c r="B36" i="10"/>
  <c r="B36" i="9"/>
  <c r="J36" i="9" s="1"/>
  <c r="B36" i="8"/>
  <c r="B36" i="7"/>
  <c r="B36" i="5"/>
  <c r="J36" i="5" s="1"/>
  <c r="B36" i="3"/>
  <c r="J36" i="3" s="1"/>
  <c r="B14" i="4"/>
  <c r="B28" i="4"/>
  <c r="C35" i="4"/>
  <c r="B15" i="10"/>
  <c r="B15" i="9"/>
  <c r="J15" i="9" s="1"/>
  <c r="B15" i="8"/>
  <c r="B15" i="5"/>
  <c r="J15" i="5" s="1"/>
  <c r="C20" i="10"/>
  <c r="C20" i="9"/>
  <c r="K20" i="9" s="1"/>
  <c r="C20" i="8"/>
  <c r="B23" i="10"/>
  <c r="B23" i="9"/>
  <c r="J23" i="9" s="1"/>
  <c r="B23" i="5"/>
  <c r="J23" i="5" s="1"/>
  <c r="Z25" i="11"/>
  <c r="Y25" i="11" s="1"/>
  <c r="C28" i="10"/>
  <c r="C28" i="9"/>
  <c r="K28" i="9" s="1"/>
  <c r="C28" i="8"/>
  <c r="B31" i="10"/>
  <c r="B31" i="9"/>
  <c r="J31" i="9" s="1"/>
  <c r="B31" i="5"/>
  <c r="J31" i="5" s="1"/>
  <c r="B31" i="8"/>
  <c r="C36" i="10"/>
  <c r="C36" i="9"/>
  <c r="K36" i="9" s="1"/>
  <c r="B39" i="10"/>
  <c r="B39" i="9"/>
  <c r="J39" i="9" s="1"/>
  <c r="B39" i="7"/>
  <c r="B39" i="8"/>
  <c r="B39" i="5"/>
  <c r="J39" i="5" s="1"/>
  <c r="C44" i="10"/>
  <c r="C44" i="9"/>
  <c r="K44" i="9" s="1"/>
  <c r="C44" i="7"/>
  <c r="B47" i="10"/>
  <c r="B47" i="9"/>
  <c r="J47" i="9" s="1"/>
  <c r="B47" i="5"/>
  <c r="J47" i="5" s="1"/>
  <c r="C12" i="3"/>
  <c r="K12" i="3" s="1"/>
  <c r="B20" i="3"/>
  <c r="J20" i="3" s="1"/>
  <c r="C22" i="3"/>
  <c r="K22" i="3" s="1"/>
  <c r="B31" i="3"/>
  <c r="J31" i="3" s="1"/>
  <c r="C44" i="3"/>
  <c r="K44" i="3" s="1"/>
  <c r="B11" i="4"/>
  <c r="C28" i="4"/>
  <c r="C32" i="4"/>
  <c r="C39" i="4"/>
  <c r="B43" i="4"/>
  <c r="B7" i="5"/>
  <c r="J7" i="5" s="1"/>
  <c r="B25" i="5"/>
  <c r="J25" i="5" s="1"/>
  <c r="B30" i="5"/>
  <c r="J30" i="5" s="1"/>
  <c r="B46" i="5"/>
  <c r="J46" i="5" s="1"/>
  <c r="B4" i="6"/>
  <c r="C8" i="6"/>
  <c r="C16" i="6"/>
  <c r="B20" i="6"/>
  <c r="C24" i="6"/>
  <c r="C32" i="6"/>
  <c r="B36" i="6"/>
  <c r="C40" i="6"/>
  <c r="C48" i="6"/>
  <c r="B7" i="7"/>
  <c r="B15" i="7"/>
  <c r="B23" i="7"/>
  <c r="B31" i="7"/>
  <c r="C35" i="7"/>
  <c r="B47" i="7"/>
  <c r="C32" i="9"/>
  <c r="K32" i="9" s="1"/>
  <c r="C48" i="9"/>
  <c r="K48" i="9" s="1"/>
  <c r="Z5" i="11"/>
  <c r="Y5" i="11" s="1"/>
  <c r="C8" i="8"/>
  <c r="C8" i="7"/>
  <c r="C8" i="5"/>
  <c r="K8" i="5" s="1"/>
  <c r="C8" i="3"/>
  <c r="K8" i="3" s="1"/>
  <c r="B11" i="9"/>
  <c r="J11" i="9" s="1"/>
  <c r="B11" i="10"/>
  <c r="B11" i="7"/>
  <c r="C16" i="10"/>
  <c r="C16" i="7"/>
  <c r="C16" i="5"/>
  <c r="K16" i="5" s="1"/>
  <c r="C16" i="3"/>
  <c r="K16" i="3" s="1"/>
  <c r="B19" i="9"/>
  <c r="J19" i="9" s="1"/>
  <c r="B19" i="10"/>
  <c r="B19" i="7"/>
  <c r="B27" i="9"/>
  <c r="J27" i="9" s="1"/>
  <c r="B27" i="10"/>
  <c r="B27" i="7"/>
  <c r="B27" i="8"/>
  <c r="B35" i="9"/>
  <c r="J35" i="9" s="1"/>
  <c r="B35" i="10"/>
  <c r="B35" i="7"/>
  <c r="C16" i="4"/>
  <c r="B6" i="9"/>
  <c r="J6" i="9" s="1"/>
  <c r="B6" i="10"/>
  <c r="B6" i="8"/>
  <c r="B6" i="6"/>
  <c r="Z8" i="11"/>
  <c r="Y8" i="11" s="1"/>
  <c r="C11" i="10"/>
  <c r="C11" i="8"/>
  <c r="C11" i="6"/>
  <c r="C11" i="3"/>
  <c r="K11" i="3" s="1"/>
  <c r="C11" i="5"/>
  <c r="K11" i="5" s="1"/>
  <c r="B14" i="9"/>
  <c r="J14" i="9" s="1"/>
  <c r="B14" i="10"/>
  <c r="B14" i="8"/>
  <c r="B14" i="6"/>
  <c r="C19" i="10"/>
  <c r="C19" i="8"/>
  <c r="C19" i="6"/>
  <c r="C19" i="3"/>
  <c r="K19" i="3" s="1"/>
  <c r="C19" i="5"/>
  <c r="K19" i="5" s="1"/>
  <c r="C27" i="10"/>
  <c r="C27" i="8"/>
  <c r="C27" i="6"/>
  <c r="C27" i="9"/>
  <c r="K27" i="9" s="1"/>
  <c r="C27" i="5"/>
  <c r="K27" i="5" s="1"/>
  <c r="C27" i="3"/>
  <c r="K27" i="3" s="1"/>
  <c r="B38" i="9"/>
  <c r="J38" i="9" s="1"/>
  <c r="B38" i="7"/>
  <c r="B38" i="10"/>
  <c r="B38" i="8"/>
  <c r="B38" i="6"/>
  <c r="C11" i="9"/>
  <c r="K11" i="9" s="1"/>
  <c r="C6" i="9"/>
  <c r="K6" i="9" s="1"/>
  <c r="C6" i="10"/>
  <c r="C6" i="8"/>
  <c r="C6" i="6"/>
  <c r="C6" i="4"/>
  <c r="C6" i="7"/>
  <c r="B9" i="10"/>
  <c r="B9" i="8"/>
  <c r="B9" i="6"/>
  <c r="B9" i="4"/>
  <c r="B9" i="7"/>
  <c r="B9" i="9"/>
  <c r="J9" i="9" s="1"/>
  <c r="B44" i="10"/>
  <c r="B44" i="9"/>
  <c r="J44" i="9" s="1"/>
  <c r="B44" i="5"/>
  <c r="J44" i="5" s="1"/>
  <c r="B44" i="3"/>
  <c r="J44" i="3" s="1"/>
  <c r="B14" i="3"/>
  <c r="J14" i="3" s="1"/>
  <c r="C8" i="9"/>
  <c r="K8" i="9" s="1"/>
  <c r="Z4" i="11"/>
  <c r="Y4" i="11" s="1"/>
  <c r="C7" i="10"/>
  <c r="C7" i="9"/>
  <c r="K7" i="9" s="1"/>
  <c r="C7" i="5"/>
  <c r="K7" i="5" s="1"/>
  <c r="C7" i="8"/>
  <c r="B10" i="10"/>
  <c r="B10" i="9"/>
  <c r="J10" i="9" s="1"/>
  <c r="Z20" i="11"/>
  <c r="Y20" i="11" s="1"/>
  <c r="C23" i="10"/>
  <c r="C23" i="8"/>
  <c r="C23" i="9"/>
  <c r="K23" i="9" s="1"/>
  <c r="C23" i="5"/>
  <c r="K23" i="5" s="1"/>
  <c r="C23" i="3"/>
  <c r="K23" i="3" s="1"/>
  <c r="Z13" i="11"/>
  <c r="Y13" i="11" s="1"/>
  <c r="C24" i="10"/>
  <c r="C24" i="7"/>
  <c r="C24" i="5"/>
  <c r="K24" i="5" s="1"/>
  <c r="C24" i="3"/>
  <c r="K24" i="3" s="1"/>
  <c r="B19" i="3"/>
  <c r="J19" i="3" s="1"/>
  <c r="B22" i="9"/>
  <c r="J22" i="9" s="1"/>
  <c r="B22" i="10"/>
  <c r="B22" i="8"/>
  <c r="B22" i="6"/>
  <c r="C27" i="4"/>
  <c r="B35" i="8"/>
  <c r="C14" i="9"/>
  <c r="K14" i="9" s="1"/>
  <c r="C14" i="10"/>
  <c r="C14" i="8"/>
  <c r="C14" i="6"/>
  <c r="C14" i="4"/>
  <c r="C14" i="7"/>
  <c r="B17" i="9"/>
  <c r="J17" i="9" s="1"/>
  <c r="B17" i="10"/>
  <c r="B17" i="8"/>
  <c r="B17" i="6"/>
  <c r="B17" i="4"/>
  <c r="B17" i="7"/>
  <c r="Z6" i="11"/>
  <c r="Y6" i="11" s="1"/>
  <c r="C9" i="9"/>
  <c r="K9" i="9" s="1"/>
  <c r="C9" i="10"/>
  <c r="C9" i="7"/>
  <c r="B12" i="10"/>
  <c r="B12" i="9"/>
  <c r="J12" i="9" s="1"/>
  <c r="B12" i="8"/>
  <c r="B12" i="7"/>
  <c r="B12" i="5"/>
  <c r="J12" i="5" s="1"/>
  <c r="C17" i="9"/>
  <c r="K17" i="9" s="1"/>
  <c r="C17" i="10"/>
  <c r="C17" i="7"/>
  <c r="C17" i="8"/>
  <c r="Z22" i="11"/>
  <c r="Y22" i="11" s="1"/>
  <c r="C25" i="9"/>
  <c r="K25" i="9" s="1"/>
  <c r="C25" i="10"/>
  <c r="C25" i="8"/>
  <c r="C25" i="7"/>
  <c r="B28" i="10"/>
  <c r="B28" i="9"/>
  <c r="J28" i="9" s="1"/>
  <c r="B28" i="7"/>
  <c r="B28" i="5"/>
  <c r="J28" i="5" s="1"/>
  <c r="B28" i="3"/>
  <c r="J28" i="3" s="1"/>
  <c r="C33" i="9"/>
  <c r="K33" i="9" s="1"/>
  <c r="C33" i="10"/>
  <c r="C33" i="7"/>
  <c r="C41" i="9"/>
  <c r="K41" i="9" s="1"/>
  <c r="C41" i="10"/>
  <c r="C41" i="7"/>
  <c r="C41" i="8"/>
  <c r="C6" i="3"/>
  <c r="K6" i="3" s="1"/>
  <c r="B12" i="3"/>
  <c r="J12" i="3" s="1"/>
  <c r="B22" i="3"/>
  <c r="J22" i="3" s="1"/>
  <c r="B35" i="3"/>
  <c r="J35" i="3" s="1"/>
  <c r="B46" i="4"/>
  <c r="B19" i="5"/>
  <c r="J19" i="5" s="1"/>
  <c r="B35" i="5"/>
  <c r="J35" i="5" s="1"/>
  <c r="B43" i="5"/>
  <c r="J43" i="5" s="1"/>
  <c r="C40" i="9"/>
  <c r="K40" i="9" s="1"/>
  <c r="C4" i="10"/>
  <c r="C4" i="8"/>
  <c r="B7" i="10"/>
  <c r="B7" i="9"/>
  <c r="J7" i="9" s="1"/>
  <c r="Z9" i="11"/>
  <c r="Y9" i="11" s="1"/>
  <c r="Z12" i="11"/>
  <c r="Y12" i="11" s="1"/>
  <c r="C15" i="10"/>
  <c r="C15" i="9"/>
  <c r="K15" i="9" s="1"/>
  <c r="C15" i="8"/>
  <c r="C15" i="5"/>
  <c r="K15" i="5" s="1"/>
  <c r="B18" i="10"/>
  <c r="B18" i="9"/>
  <c r="J18" i="9" s="1"/>
  <c r="B18" i="8"/>
  <c r="B26" i="10"/>
  <c r="B26" i="8"/>
  <c r="Z28" i="11"/>
  <c r="Y28" i="11" s="1"/>
  <c r="C31" i="10"/>
  <c r="C31" i="8"/>
  <c r="C31" i="9"/>
  <c r="K31" i="9" s="1"/>
  <c r="C31" i="5"/>
  <c r="K31" i="5" s="1"/>
  <c r="C31" i="3"/>
  <c r="K31" i="3" s="1"/>
  <c r="B34" i="10"/>
  <c r="B34" i="8"/>
  <c r="B34" i="9"/>
  <c r="J34" i="9" s="1"/>
  <c r="C39" i="10"/>
  <c r="C39" i="8"/>
  <c r="C39" i="9"/>
  <c r="K39" i="9" s="1"/>
  <c r="C39" i="5"/>
  <c r="K39" i="5" s="1"/>
  <c r="C39" i="3"/>
  <c r="K39" i="3" s="1"/>
  <c r="B42" i="10"/>
  <c r="B42" i="8"/>
  <c r="C47" i="10"/>
  <c r="C47" i="8"/>
  <c r="C47" i="9"/>
  <c r="K47" i="9" s="1"/>
  <c r="C47" i="5"/>
  <c r="K47" i="5" s="1"/>
  <c r="C47" i="3"/>
  <c r="K47" i="3" s="1"/>
  <c r="C47" i="7"/>
  <c r="C20" i="3"/>
  <c r="K20" i="3" s="1"/>
  <c r="B38" i="3"/>
  <c r="J38" i="3" s="1"/>
  <c r="B4" i="4"/>
  <c r="C11" i="4"/>
  <c r="B15" i="4"/>
  <c r="B22" i="4"/>
  <c r="B36" i="4"/>
  <c r="C43" i="4"/>
  <c r="B47" i="4"/>
  <c r="B10" i="5"/>
  <c r="J10" i="5" s="1"/>
  <c r="C14" i="5"/>
  <c r="K14" i="5" s="1"/>
  <c r="C17" i="5"/>
  <c r="K17" i="5" s="1"/>
  <c r="C22" i="5"/>
  <c r="K22" i="5" s="1"/>
  <c r="C25" i="5"/>
  <c r="K25" i="5" s="1"/>
  <c r="C33" i="5"/>
  <c r="K33" i="5" s="1"/>
  <c r="C41" i="5"/>
  <c r="K41" i="5" s="1"/>
  <c r="C4" i="6"/>
  <c r="C12" i="6"/>
  <c r="C20" i="6"/>
  <c r="C28" i="6"/>
  <c r="C36" i="6"/>
  <c r="C44" i="6"/>
  <c r="C7" i="7"/>
  <c r="C15" i="7"/>
  <c r="C23" i="7"/>
  <c r="C31" i="7"/>
  <c r="C16" i="8"/>
  <c r="B5" i="8"/>
  <c r="B5" i="10"/>
  <c r="B5" i="5"/>
  <c r="J5" i="5" s="1"/>
  <c r="B5" i="3"/>
  <c r="J5" i="3" s="1"/>
  <c r="B5" i="6"/>
  <c r="B5" i="4"/>
  <c r="Z7" i="11"/>
  <c r="Y7" i="11" s="1"/>
  <c r="C10" i="9"/>
  <c r="K10" i="9" s="1"/>
  <c r="C10" i="8"/>
  <c r="C10" i="6"/>
  <c r="C10" i="4"/>
  <c r="B13" i="5"/>
  <c r="J13" i="5" s="1"/>
  <c r="B13" i="3"/>
  <c r="J13" i="3" s="1"/>
  <c r="B13" i="6"/>
  <c r="B13" i="4"/>
  <c r="Z15" i="11"/>
  <c r="Y15" i="11" s="1"/>
  <c r="C18" i="9"/>
  <c r="K18" i="9" s="1"/>
  <c r="C18" i="10"/>
  <c r="C18" i="8"/>
  <c r="C18" i="5"/>
  <c r="K18" i="5" s="1"/>
  <c r="C18" i="6"/>
  <c r="C18" i="4"/>
  <c r="B21" i="10"/>
  <c r="B21" i="8"/>
  <c r="B21" i="5"/>
  <c r="J21" i="5" s="1"/>
  <c r="B21" i="3"/>
  <c r="J21" i="3" s="1"/>
  <c r="B21" i="6"/>
  <c r="B21" i="4"/>
  <c r="Z23" i="11"/>
  <c r="Y23" i="11" s="1"/>
  <c r="C26" i="9"/>
  <c r="K26" i="9" s="1"/>
  <c r="C26" i="10"/>
  <c r="C26" i="5"/>
  <c r="K26" i="5" s="1"/>
  <c r="C26" i="6"/>
  <c r="C26" i="4"/>
  <c r="B29" i="10"/>
  <c r="B29" i="5"/>
  <c r="J29" i="5" s="1"/>
  <c r="B29" i="3"/>
  <c r="J29" i="3" s="1"/>
  <c r="B29" i="6"/>
  <c r="B29" i="4"/>
  <c r="Z31" i="11"/>
  <c r="Y31" i="11" s="1"/>
  <c r="C34" i="9"/>
  <c r="K34" i="9" s="1"/>
  <c r="C34" i="10"/>
  <c r="C34" i="5"/>
  <c r="K34" i="5" s="1"/>
  <c r="C34" i="8"/>
  <c r="C34" i="6"/>
  <c r="C34" i="4"/>
  <c r="B37" i="10"/>
  <c r="B37" i="5"/>
  <c r="J37" i="5" s="1"/>
  <c r="B37" i="3"/>
  <c r="J37" i="3" s="1"/>
  <c r="B37" i="6"/>
  <c r="B37" i="4"/>
  <c r="C42" i="9"/>
  <c r="K42" i="9" s="1"/>
  <c r="C42" i="10"/>
  <c r="C42" i="5"/>
  <c r="K42" i="5" s="1"/>
  <c r="C42" i="6"/>
  <c r="C42" i="4"/>
  <c r="B7" i="3"/>
  <c r="J7" i="3" s="1"/>
  <c r="B25" i="3"/>
  <c r="J25" i="3" s="1"/>
  <c r="B27" i="3"/>
  <c r="J27" i="3" s="1"/>
  <c r="B34" i="3"/>
  <c r="J34" i="3" s="1"/>
  <c r="B47" i="3"/>
  <c r="J47" i="3" s="1"/>
  <c r="C4" i="4"/>
  <c r="C8" i="4"/>
  <c r="C15" i="4"/>
  <c r="B19" i="4"/>
  <c r="B26" i="4"/>
  <c r="C33" i="4"/>
  <c r="C36" i="4"/>
  <c r="C40" i="4"/>
  <c r="C47" i="4"/>
  <c r="C10" i="5"/>
  <c r="K10" i="5" s="1"/>
  <c r="C12" i="5"/>
  <c r="K12" i="5" s="1"/>
  <c r="C20" i="5"/>
  <c r="K20" i="5" s="1"/>
  <c r="C28" i="5"/>
  <c r="K28" i="5" s="1"/>
  <c r="C36" i="5"/>
  <c r="K36" i="5" s="1"/>
  <c r="C44" i="5"/>
  <c r="K44" i="5" s="1"/>
  <c r="C9" i="6"/>
  <c r="C17" i="6"/>
  <c r="C25" i="6"/>
  <c r="C33" i="6"/>
  <c r="C41" i="6"/>
  <c r="C4" i="7"/>
  <c r="C12" i="7"/>
  <c r="C20" i="7"/>
  <c r="C28" i="7"/>
  <c r="C36" i="7"/>
  <c r="B44" i="7"/>
  <c r="C12" i="8"/>
  <c r="B23" i="8"/>
  <c r="B28" i="8"/>
  <c r="C33" i="8"/>
  <c r="B47" i="8"/>
  <c r="B45" i="4"/>
  <c r="B8" i="5"/>
  <c r="J8" i="5" s="1"/>
  <c r="B16" i="5"/>
  <c r="J16" i="5" s="1"/>
  <c r="B24" i="5"/>
  <c r="J24" i="5" s="1"/>
  <c r="B32" i="5"/>
  <c r="J32" i="5" s="1"/>
  <c r="B40" i="5"/>
  <c r="J40" i="5" s="1"/>
  <c r="B48" i="5"/>
  <c r="J48" i="5" s="1"/>
  <c r="B45" i="6"/>
  <c r="C5" i="7"/>
  <c r="B8" i="7"/>
  <c r="C13" i="7"/>
  <c r="B16" i="7"/>
  <c r="C21" i="7"/>
  <c r="B24" i="7"/>
  <c r="C29" i="7"/>
  <c r="B32" i="7"/>
  <c r="C37" i="7"/>
  <c r="C13" i="8"/>
  <c r="C37" i="8"/>
  <c r="C13" i="10"/>
  <c r="Z10" i="11"/>
  <c r="Y10" i="11" s="1"/>
  <c r="Z18" i="11"/>
  <c r="Y18" i="11" s="1"/>
  <c r="Z26" i="11"/>
  <c r="Y26" i="11" s="1"/>
  <c r="B45" i="3"/>
  <c r="J45" i="3" s="1"/>
  <c r="C5" i="4"/>
  <c r="B8" i="4"/>
  <c r="C13" i="4"/>
  <c r="B16" i="4"/>
  <c r="C21" i="4"/>
  <c r="B24" i="4"/>
  <c r="C29" i="4"/>
  <c r="B32" i="4"/>
  <c r="C37" i="4"/>
  <c r="B40" i="4"/>
  <c r="C45" i="4"/>
  <c r="B48" i="4"/>
  <c r="B45" i="5"/>
  <c r="J45" i="5" s="1"/>
  <c r="C5" i="6"/>
  <c r="B16" i="6"/>
  <c r="C21" i="6"/>
  <c r="B24" i="6"/>
  <c r="C29" i="6"/>
  <c r="B32" i="6"/>
  <c r="C37" i="6"/>
  <c r="B40" i="6"/>
  <c r="C45" i="6"/>
  <c r="B48" i="6"/>
  <c r="B24" i="8"/>
  <c r="B45" i="8"/>
  <c r="B40" i="9"/>
  <c r="J40" i="9" s="1"/>
  <c r="B32" i="8"/>
  <c r="C21" i="9"/>
  <c r="K21" i="9" s="1"/>
  <c r="C37" i="9"/>
  <c r="K37" i="9" s="1"/>
</calcChain>
</file>

<file path=xl/sharedStrings.xml><?xml version="1.0" encoding="utf-8"?>
<sst xmlns="http://schemas.openxmlformats.org/spreadsheetml/2006/main" count="911" uniqueCount="748">
  <si>
    <t>학급명렬표</t>
  </si>
  <si>
    <t xml:space="preserve"> ※ 오른쪽에 제시된 예시문을 골라 코드번호를 코드입력란에 입력하면 [종합의견] 시트에 자동 반영됨.  제시된 예시문은 수정, 편집이 가능하며, 150개 까지 입력하여 사용할 수 있습니다. </t>
  </si>
  <si>
    <t>인성</t>
  </si>
  <si>
    <t>번호</t>
  </si>
  <si>
    <t>성명</t>
  </si>
  <si>
    <t>코드입력</t>
  </si>
  <si>
    <t>내용</t>
  </si>
  <si>
    <t>코드번호</t>
  </si>
  <si>
    <t>예시문</t>
  </si>
  <si>
    <t xml:space="preserve">성격이 소탈하고 다정하여 교우관계가 원만하며 친구들과 어려운 일을 함께 해결하고자 노력하는 긍정적인 사고를 가짐. </t>
  </si>
  <si>
    <t>표정이 밝고 감수성이 풍부한 학생으로 사고가 긍정적이고 활발한 편이며 다소 실리적인 면이 있음.</t>
  </si>
  <si>
    <t>밝고 쾌활한 성격으로 비교적 다정하고 사교적이라 교우관계가 원만하며 자기확신이 강함.</t>
  </si>
  <si>
    <t>정서적으로 매우 안정되어 있고 매사 적극적이며 활발한 학생으로 급우들과 절친하며 항상 밝고 긍정적인 모습을 보임.</t>
  </si>
  <si>
    <t>조용하고 차분한 성격으로 책임감이 강하고 성실한 학생으로 비교적 신중하고 변화를 싫어하며 대인관계에서 다소 순응적이고 수용적인 편임.</t>
  </si>
  <si>
    <t>자기 통제력이 강하여 어려운 일에도 마음이 쉽게 흔들리지 않는 장점을 가진 학생으로 매우 성실하고 책임감이 강함.</t>
  </si>
  <si>
    <t xml:space="preserve">웃음이 많고 명랑한 성격으로 친구들을 즐겁게 하는 등 사교성이 매우 좋으나 감정의 영향을 많이 받으며 다소 현실적인 면이 있음. </t>
  </si>
  <si>
    <t>다소 진보적이고 변화를 추구하는 성격으로 어려운 일이 닥쳐도 마음이 쉽게 흔들리지 않으며 대인관계에서 다소 자기주장이 강하나 적절하게 자기를 잘 통제함.</t>
  </si>
  <si>
    <t>항상 표정이 밝고 에너지가 많아 활동적이며 어려운 일이 닥쳐도 마음의 흔들림이 적고 함께 일하는 것을 좋아하나 자기표현이 다소 부족함.</t>
  </si>
  <si>
    <t>정서가 안정되어 있어 자신의 감정과 행동을 잘 통제하는 학생으로 활동적인 것을 좋아하고 매사 성실하고 책임감이 강함.</t>
  </si>
  <si>
    <t>항상 표정이 밝고 긍정적인 사고를 가진 학생으로 타인의 비판을 잘 수용할 줄 알며 자기확신이 높고 현실적임.</t>
  </si>
  <si>
    <t>정서가 안정되어 있고 침착하며 자기확신이 높은 학생으로 자기 방식으로 일하는 것을 좋아하며 자신의 감정을 잘 통제함.</t>
  </si>
  <si>
    <t>성격이 온화하고 다정하여 급우들과 친밀감이 매우 높고, 대담한 면이 있어 어려운 일이 닥쳐도 마음이 쉽게 흔들리지 않음.</t>
  </si>
  <si>
    <t>성격이 다정하고 소탈하여 사교성이 좋으며 어려운 일이 닥쳐도 마음의 흔들림이 없이 자기통제를 잘 하고 현실적인 관심사에 집중력이 강함.</t>
  </si>
  <si>
    <t>표정이 밝고 긍정적이며 비교적 대담한 성격을 소유한 학생으로 교우관계가 원만함.</t>
  </si>
  <si>
    <t>세심하고 다정하여 교우관계가 원만하고 정서적으로 안정되고 침착하여 자기확신이 높으며 매사 성실하고 책임감이 강함.</t>
  </si>
  <si>
    <t>정서적으로 안정되어 있고 매우 다정하여 사교성이 좋으며 다른 사람들과 함께 생각하고 일하기를 좋아하나 다소 보수적이고 변화를 싫어함.</t>
  </si>
  <si>
    <t>적극적이고 활발한 성격으로 급우들과 장난이 다소 심한 편이며 자신의 주장을 적절하게 잘 표현하고 감정조절을 잘 함.</t>
  </si>
  <si>
    <t>다정하고 부드러운 면이 있어 사교성이 좋으며 자기 방식대로 일하는 것을 좋아하나 비교적 의지력이 약하여 추진력이 떨어짐.</t>
  </si>
  <si>
    <t>성격이 쾌활하고 혼자 또는 함께 일하는 것을 모두 좋아하며 자기확신이 높으나 다소 말이 많고 소란한 경향이 있음.</t>
  </si>
  <si>
    <t>성격이 쾌활하고 혼자 또는 함께 일하는 것을 모두 좋아하며 자기확신이 높으나 타인의 비판에 다소 민감하고 정서적으로 약간 긴장하는 경향이 있음.</t>
  </si>
  <si>
    <t>매우 적극적이고 활발한 성격으로 급우들과 어울려 체육활동 하는 것을 특히 좋아하며 매사 성실하고 책임감이 강함.</t>
  </si>
  <si>
    <t>다소 진보적이고 변화를 추구하는 성격으로 다정하여 사교적이며 혼자 생각하고 판단하기를 좋아하는 경향이 다소 있음.</t>
  </si>
  <si>
    <t xml:space="preserve">진보적이고 자유분방하며 자기 방식에 따라 행동하거나 혼자 있기를 좋아하며 비교적 소심하여 위축되어 있음. </t>
  </si>
  <si>
    <t>자신의 행동에 신중하고 조심스러운 성격으로 상대방을 배려하여 자신의 감정을 잘 통제하며 친구들과 잘 어울림.</t>
  </si>
  <si>
    <t>웃음이 많고 명랑한 성격으로 친구들을 즐겁게 하는 등 사교성이 좋으나 가끔 장난의 표현이 지나칠 때가 있어 다소 신중하게 행동할 필요가 있음.</t>
  </si>
  <si>
    <t>침착하고 안정감이 있으며 자기확신이 높은 학생으로 매우 다정하여 교우관계가 원만하고 자신이 맡은 일을 책임감 있게 잘 수행함.</t>
  </si>
  <si>
    <t>자신의 감정을 잘 표현하지는 않지만 정서가 안정되고 성품이 온순한 학생으로 학습태도가 바르고 근면성실 함.</t>
  </si>
  <si>
    <t>성격이 온화하고 다정하며 이해심이 많아 교우관계가 매우 좋고 신뢰감이 높으며, 자신의 관심분야에 집중적으로 몰입하는 자기통제력이 강함.</t>
  </si>
  <si>
    <t>학급반장으로서 표정이 밝고 긍정적이며 매우 진취적인 성격을 소유한 학생으로 교우관계가 매우 좋고 자신의 주장을 잘 피력하는 등 자기확신이 높음.</t>
  </si>
  <si>
    <t>성격이 소탈하고 다소 주의가 산만하지만 사고가 긍정적이고 또래중에서 화기애애한 분위기를 잘 조성하여 교우관계가 원만함.</t>
  </si>
  <si>
    <t>표정이 항상 밝고 다정다감하여 주위 친구들과 잘 어울리나 자기확신이 다소 부족하고 대인관계에서 비교적 수용적인 편임.</t>
  </si>
  <si>
    <t>항상 표정이 밝고 외향적인 성격으로 다정하고 사교성이 좋아 교우관계가 좋으며 다른 사람들과 함께 생각하고 일하기를 좋아함.</t>
  </si>
  <si>
    <t>정서적으로 안정되고 침착하여 어려운 일이 닥쳐도 마음이 쉽게 흔들리지 않으며 매사 긍정적이고 인내심이 강함.</t>
  </si>
  <si>
    <t>웃음이 많고 얼굴이 항상 밝은 명랑한 성격으로 유머 있는 말로 친구들을 즐겁게 하는 사교성이 있음.</t>
  </si>
  <si>
    <t>성격이 차분하고 꼼꼼하며 계획성 있게 자기주도적인 학습 환경을 조성함.</t>
  </si>
  <si>
    <t>감정을 잘 절제하고 이해심이 많으며 성격이 밝고 명랑함.</t>
  </si>
  <si>
    <t>정서적으로 안정되어 있고 매우 활기차고 대담하며 사고가 논리적이고 자기확신이 높은 학생임.</t>
  </si>
  <si>
    <t>성격이 쾌활하고 얼굴이 항상 밝으며 비교적 대담하지만 자기에 대한 확신이 좀 더 요구되는 학생임.</t>
  </si>
  <si>
    <t>정서가 비교적 안정되어 있고 어려운 일이 닥쳐도 마음이 쉽게 흔들리지 않으나 자기표현이 다소 부족한 편임.</t>
  </si>
  <si>
    <t>성격이 차분하고 논리적인 학생으로 매사 최선을 다해 남에게 설명하는 것을 좋아함.</t>
  </si>
  <si>
    <t>성격이 차분하고 온유하며 매우 합리적이고 현실적임.</t>
  </si>
  <si>
    <t>비교적 자기중심적으로 생각하여 판단하는 경향이 다소 있음.</t>
  </si>
  <si>
    <t>성격이 쾌활하고 비교적 대담하며 친구들과 함께하는 것을 좋아함.</t>
  </si>
  <si>
    <t>비교적 다정하고 사교적이며 활발한 성격으로 자신의 주장을 쉽게 잘 표현함.</t>
  </si>
  <si>
    <t>성격이 단순하고 진솔하며 비교적 다정하고 사교적인 학생으로 자신의 의견을 적절하게 잘 표현함.</t>
  </si>
  <si>
    <t>친구들과 장난을 즐겨하고 명랑한 성격으로 자기주장이 다소 강하며 남에게 지기 싫어함.</t>
  </si>
  <si>
    <t>성격이 밝고 쾌활한 성격으로 비교적 다정하고 사교적이라 교우관계가 원만하며 자기주장이 명확함.</t>
  </si>
  <si>
    <t>매사에 긍정적이고 침착하며 마음의 변화가 적은 장점을 가진 학생으로 친구들에게 매우 순응적이고 수용적인 편이라 자기주장과 표현이 다소 부족함.</t>
  </si>
  <si>
    <t>정서적으로 매우 안정되어 있고 꼼꼼하며 활발한 학생으로 다소 진보적이고 변화를 추구하며 창의성이 풍부함.</t>
  </si>
  <si>
    <t>상대방에 대한 이해심이 깊어 교우들과 잘 어울리며 매우 활동적이고 자신의 관심사에 집중력이 강하고 도전적임.</t>
  </si>
  <si>
    <t xml:space="preserve">정서가 비교적 안정적이며 자신의 주장을 잘 표현하는 편으로 친구관계에서 다소 불필요하게 간섭하는 경향이 있음. </t>
  </si>
  <si>
    <t xml:space="preserve">성격이 온순하고 다정하며 긍정적이고 표정이 밝아 사교성이 좋음. </t>
  </si>
  <si>
    <t>항상 생각이 긍정적이고 책임감이 강한 학생으로 남이 싫어하는 일을 스스로 자원하여 실천하는 봉사정신이 강함.</t>
  </si>
  <si>
    <t>다소 과묵해 보이고 정서가 안정되어 있으나 자기확신이 부족하고 긴장감과 불안감이 다소 존재함.</t>
  </si>
  <si>
    <t>보다 적극적이고 긍정적인 사고의 전환이 다소 요구됨.</t>
  </si>
  <si>
    <t>성격이 다소 급하고 자기주장이 강한 학생으로 차분하고 신중한 언행이 다소 필요함.</t>
  </si>
  <si>
    <t>항상 용모가 단정하고 다정하며 친구들로부터 신망이 두터운 학생임.</t>
  </si>
  <si>
    <t>타인의 시선에 상관하지 않고 자신의 일에 몰입하는 성격임.</t>
  </si>
  <si>
    <t>심성이 여리고 다정하며 사교성이 좋아 교우들과 원만하나 자기 확신이 다소 부족함.</t>
  </si>
  <si>
    <t xml:space="preserve">정서적으로 매우 안정되어 있고 주관이 뚜렷한 학생으로 집중력이 강하고 섬세함. </t>
  </si>
  <si>
    <t>다소 순응적이고 수용적이어서 원만한 대인관계를 잘 유지하는 편임.</t>
  </si>
  <si>
    <t>성격이 밝고 활동적이며 이해심이 많아 교우간에 신망이 높으며 행동이 신중하고 조심스러운 편임.</t>
  </si>
  <si>
    <t>체격이 작아 다소 위축되어 있으나 심성이 부드럽고 수용적이며 다정함.</t>
  </si>
  <si>
    <t>성격이 밝고 솔직하여 급우들과 친화력이 좋고 자신의 의견을 논리적으로 적절하게 잘 표현함.</t>
  </si>
  <si>
    <t>밝고 긍정적인 사고방식을 가지고 있어 사교적이며 교우관계가 원만함.</t>
  </si>
  <si>
    <t>차분한 성격으로 조용하지만 주어진 일을 책임감을 갖고 수행하는 모범적인 모습을 보임.</t>
  </si>
  <si>
    <t>명랑하고 밝은 성격을 지니고 매사 긍정적이고 성실한 자세로 학교생활에 임함.</t>
  </si>
  <si>
    <t>표정이 밝고 긍정적이며 비교적 대담한 성격을 소유한 학생으로 교우관계가 매우 좋고 자신의 주장을 잘 피력하는 등 자기확신이 높고 리더십이 강함.</t>
  </si>
  <si>
    <t>매사에 긍정적이고 침착하며 마음의 변화가 적은 장점을 가진 학생으로 사교성이 좋아 친구들과 원만하게 잘 지내며 자신의 관심사에 대한 집중력이 높은 편임.</t>
  </si>
  <si>
    <t>성격이 온화하고 이해심이 많으며 어려운 일이 닥쳐도 혼자 해결하고자 하는 의지력이 강함.</t>
  </si>
  <si>
    <t>표정이 밝고 사교성이 좋아 교우관계가 좋으며 다른 사람들과 함께 생각하고 일하기를 좋아하나 실리적인 면이 다소 있음.</t>
  </si>
  <si>
    <t>표정이 밝고 명랑하여 친구들과의 관계는 원만하나 자신의 사소한 욕심 때문에 마음이 쉽게 흔들리는 편임.</t>
  </si>
  <si>
    <t>성격이 온화하고 사교성이 있으며 급우들과 친밀한 관계를 잘 유지하고 자신이 맡은 일에 책임감이 강하고 근면성실 함.</t>
  </si>
  <si>
    <t>쾌활 명랑하고 활동적인 것을 좋아하며 친구들과 어울려 장난치기를 좋아함.</t>
  </si>
  <si>
    <t>과묵한 성격으로 매우 활발하고 도전적이며, 책임감이 강하고 신뢰감이 높아 친구관계가 좋음.</t>
  </si>
  <si>
    <t>운동을 좋아하고 적극적인 성격으로 친화력이 강하고 대담한 면이 있어 어려운 일이 닥쳐도 쉽게 흔들리지 않음.</t>
  </si>
  <si>
    <t>다소 활동적인 것을 좋아하며 친구들과 어울려 장난치기를 좋아하는 학생으로 규칙준수에 대한 실천 의지력과 신뢰도가 낮아 이를 개선하기 위한 자발적인 노력이 매우 필요함.</t>
  </si>
  <si>
    <t>활동적이고 친구들과 어울려 장난치기를 좋아하나 규칙준수에 대한 의지력과 책임감이 다소 부족하고 신뢰도가 낮아 이를 개선하고자 하는 자발적인 노력이 요구됨.</t>
  </si>
  <si>
    <t xml:space="preserve">      ※ 오른쪽에 제시된 예시문을 골라 코드번호를 코드입력란에 입력하면 [종합의견] 시트에 자동 반영됨.  제시된 예시문은 수정, 편집이 가능하며, 150개 까지
          입력하여 사용할 수 있습니다. </t>
  </si>
  <si>
    <t>성적 석차 참고 자료</t>
  </si>
  <si>
    <t>인지적특성&amp;학습능력</t>
  </si>
  <si>
    <t>1회 고사</t>
  </si>
  <si>
    <t>2회고사</t>
  </si>
  <si>
    <t>1학기 합산</t>
  </si>
  <si>
    <t>3회 고사</t>
  </si>
  <si>
    <t>4회고사</t>
  </si>
  <si>
    <t>2학기합산</t>
  </si>
  <si>
    <t>학급석차</t>
  </si>
  <si>
    <t>학년석차</t>
  </si>
  <si>
    <t>학업성취도는 비교적 저조하나 열심히 공부하고자 하는 의욕이 있어 자신만의 학습방법을 잘 터득하여 실천하면 좋은 결과가 있을 것으로 기대됨.</t>
  </si>
  <si>
    <t>자기 절제력과 집중력이 좋아 관심분야에 대해 몰입하여 깊이 탐구하는 것을 좋아하고 자기주도적인 학습계획과 실천능력이 매우 우수함.</t>
  </si>
  <si>
    <t>31</t>
  </si>
  <si>
    <t>20</t>
  </si>
  <si>
    <t>19</t>
  </si>
  <si>
    <t>11</t>
  </si>
  <si>
    <t>자신이 세운 학습목표와 계획에 따라 주도면밀하게 잘 실천함으로써 지속적으로 높은 학업성취도를 유지함.</t>
  </si>
  <si>
    <t>자기관리 능력이 뛰어나 학습계획에 따라 공부하는 등 자기주도적 학습능력이 뛰어남.</t>
  </si>
  <si>
    <t>32</t>
  </si>
  <si>
    <t>26</t>
  </si>
  <si>
    <t>12</t>
  </si>
  <si>
    <t>36</t>
  </si>
  <si>
    <t>24</t>
  </si>
  <si>
    <t>자기주도적 학습능력이 뛰어나 자신이 수립한 학습계획에 따라 계획성 있게 성실히 실천하고 노력함.</t>
  </si>
  <si>
    <t>쉬는 시간이나 점심시간을 이용해 문제집을 풀거나 요점정리를 하는 등 자기주도적인 학습을 하려고 노력함.</t>
  </si>
  <si>
    <t xml:space="preserve">자신이 세운 학습목표에 따라 자신을 잘 통제하며 생활하는 자기주도적 학습능력이 있음. </t>
  </si>
  <si>
    <t>28</t>
  </si>
  <si>
    <t>22</t>
  </si>
  <si>
    <t>38</t>
  </si>
  <si>
    <t>인내력이 강하고 자기관리 능력이 뛰어나 자기주도적 학습계획은 물론 목표에 따른 일관된 실천을 통해 학업성취도가 지속적으로 높게 유지됨.</t>
  </si>
  <si>
    <t>사고가 논리적이고 이해력이 높으며 사물에 대한 호기심이 많고 작동 원리에 대해 탐구하기를 좋아함.</t>
  </si>
  <si>
    <t>78</t>
  </si>
  <si>
    <t>자신감과 성취욕이 강하고 자기관리 능력이 뛰어나 자기주도적 학습계획은 물론 목표에 따른 일관된 실천을 통해 학업성취도가 지속적으로 높게 유지됨.</t>
  </si>
  <si>
    <t xml:space="preserve">성취의욕이 높아 교과성적이 매우 우수하고 어려운 문제를 자신의 힘으로 풀고자 하는 의욕이 강하며 자신감을 갖고 도전하는 적극적인 자세를 지님. </t>
  </si>
  <si>
    <t>자신의 생각을 논리적으로 잘 나타내며 목표를 정하고 도전하는 진취적인 자세와 바른 학습태도를 보여 모든 교과성적이 우수함.</t>
  </si>
  <si>
    <t>학습태도가 매우 바르고 부족한 과목을 보충하기 위한 노력을 꾸준히 해 성적이 많이 향상되었으며 어려운 문제를 자신의 힘으로 풀고자 하는 의욕이 강하고 자신감을 갖고 도전하는 적극적인 자세를 지님.</t>
  </si>
  <si>
    <t>63</t>
  </si>
  <si>
    <t>교과수업시간에 충실함은 물론 쉬는 시간을 활용해 공부하거나 도서관이나 독서실을 다니며 자신이 수립한 학습계획을 열심히 실천해 나감.</t>
  </si>
  <si>
    <t>스스로 공부하는 방법을 터득하고 자신이 세운 학습계획에 따라 자기주도적으로 열심히 공부하고 있어 발전가능성이 엿보임.</t>
  </si>
  <si>
    <t>수리, 과학 영역에 대한 사고능력이 우수하고 과목별로 학습계획을 체계적으로 세워 실천함으로써 비교적 우수한 학업성취도를 유지함.</t>
  </si>
  <si>
    <t>수업에 대한 집중력이 뛰어나고 적극적으로 자신의 학습 환경을 잘 통제하며 자신이 수립한 학습 계획을 지속적으로 잘 실천하여 학업성적이 전반적으로 우수함.</t>
  </si>
  <si>
    <t>39</t>
  </si>
  <si>
    <t>학습계획과 목표를 설정하여 수업시간에 자기주도적 학습태도를 잘 견지함은 물론 쉬는 시간이나 자습시간을 활용함으로써 전반적으로 학업성적이 우수함.</t>
  </si>
  <si>
    <t xml:space="preserve">관심 있는 분야에 대한 집중력은 있으나 학업에 대한 열의가 다소 부족하여 학업성취도가 낮기 때문에 학습의 필요성을 스스로 깨닫고 학습에 매진한다면 보다 나은 발전이 있을 것으로 보임.  </t>
  </si>
  <si>
    <t xml:space="preserve">수업태도가 좋고 학업성적이 비교적 양호한 편이지만 보다 구체적인 목표설정을 통한 보다 강한 학업성취욕과 실천이 뒷받침 된다면 더욱 진전된 학습성과가 있을 것으로 보임.    </t>
  </si>
  <si>
    <t>학습태도가 좋고 자신이 세운 학습목표에 따라 자신을 잘 통제하며 생활하는 자기주도적 학습능력이 좋아 꾸준히 학업성적이 향상됨.</t>
  </si>
  <si>
    <t>나름대로 의욕적으로 학업에 매진하고 있으나 학기초에 비해 점차적으로 학업성적이 하락하고 있어 자신의 학습방법에 대한 원인을 찾아 개선한다면 보다 향상된 결과가 있을 것으로 기대됨.</t>
  </si>
  <si>
    <t>자기주도적인 학습능력이 다소 부족하나 효과적인 학습방법의 탐색과 구체적인 학습목표 설정에 따른 지속적인 예습 복습을 한다면 좀 더 발전할 수 있을 것으로 봄.</t>
  </si>
  <si>
    <t>교과학습 시간에 올바른 학습태도를 잘 유지하고 나름대로 계획을 세워 자기주도적 학습을 실천하고자 노력하고 있어 발전가능성이 있음.</t>
  </si>
  <si>
    <t>계획을 세워 나름대로 열심히 공부하고자 노력하고 있으나 노력에 비해 학업성취도가 낮아 학습방법의 개선과 보다 강한 집중력이 요구됨.</t>
  </si>
  <si>
    <t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t>
  </si>
  <si>
    <t>교과수업시간에 충실함은 물론 아침독서시간을 활용하여 꾸준히 독서를 잘 하는 등 자기주도적 학습을 실천하여 학업성취도가 조금씩 향상되고 있어 더욱 성장할 가능성이 기대됨.</t>
  </si>
  <si>
    <t>학업성취도가 양호하고 틈새를 이용해 영어단어를 외우거나 문제지 풀이를 자기주도적으로 열심히 하는 등 하고자 하는 의욕이 강하여 발전가능성이 엿보임.</t>
  </si>
  <si>
    <t>인내력과 의욕이 강하여 열심히 노력은 하나 비교적 학업성취도가 낮아 학습방법을 개선하고 지속적으로 예습 복습을 잘 실천한다면 좀 더 높은 학업성취도를 달성할 것으로 보임.</t>
  </si>
  <si>
    <t>학습태도가 올바르고 성실하나 노력에 비해 학업성취도가 낮아 자신의 수준에 알맞은 학습목표 설정과 학습방법의 개선이 크게 요구됨.</t>
  </si>
  <si>
    <t>자기주도적인 학습계획에 따라 실천할 수 있는 능력이 있어 학업성취도가 비교적 양호하고 틈틈이 독서를 통한 자기발전을 꾀하고 있으나 좀 더 의욕적인 학습의지가 요구됨.</t>
  </si>
  <si>
    <t>기초학습 능력이 부족하고 자신만의 학습방법을 터득하지 못해 자기주도적 학습이 다소 어려우나 지속적인 독서를 통해 학습내용에 대한 이해력을 높인다면 학습능력이 다소 향상될 수 있을 것으로 보임.</t>
  </si>
  <si>
    <t xml:space="preserve">사물에 대한 이해력과 판단력은 좋으나 학습에 대한 관심부재로 학업성취도가 낮으나 공부의 필요성을 스스로 깨닫고 학업에 매진한다면 점차적으로 좋은 결과가 나타날 것으로 보임. </t>
  </si>
  <si>
    <t>스스로 계획을 세워 실천하는 자기관리 능력이 뛰어나고 높은 지적 탐구심과 성취욕구가 강해 우수한 학업성적을 꾸준히 잘 유지함. 수학 과학에 대한 수리적 논리력이 또래 학생들에 비해 뛰어나고 자신의 목표를 달성하기 위해 수학 과학 관련 교내 외 각종 대회에 적극적으로 참여하여 우수한 성적을 거둠.</t>
  </si>
  <si>
    <t>34</t>
  </si>
  <si>
    <t>친구들의 영향을 많이 받고 친구들과 모여서 공부하기를 좋아하는 학습 성향을 가지고 있어 이를 긍정적으로 승화시킬 필요가 있음.</t>
  </si>
  <si>
    <t>학업성취도는 비교적 낮으나 부족함을 만회하기 위해 나름대로 열심히 수업에 참여하고자 노력함.</t>
  </si>
  <si>
    <t xml:space="preserve">노력에 비해 학업성취도는 비교적 미흡하나 수업태도가 매우 좋고 열심히 노력하는 의지가 돋보여 발전가능성이 있음. </t>
  </si>
  <si>
    <t>계획성 있게 자기주도적인 학습 환경을 조성하고 수립한 학습계획을 지속적으로 잘 실천하고 있어 더 큰 발전이 기대되는 학생으로 특히 국어에 흥미가 많고 글쓰기를 좋아함.</t>
  </si>
  <si>
    <t>기초학습 능력과 학업에 대한 관심이 부족하여 학업성취도가 부진한 편이며 공부의 필요성을 깨닫고 독서를 통해 학습내용에 대한 이해력을 높인다면 학습능력이 다소 향상될 수 있을 것으로 판단함.</t>
  </si>
  <si>
    <t>공부의 필요성은 느끼고 있으나 기초학력이 부족하고 집중력과 의지력이 약하여 학업성취도가 다소 낮음.</t>
  </si>
  <si>
    <t>학기초에 비해 학업에 대한 관심이 떨어져 학업성적이 점차 하락하고 있어 공부의 필요성을 느끼고 학습방법을 개선할 필요성이 있음.</t>
  </si>
  <si>
    <t>노력에 비해 학업성취도가 점차 하락하고 있어 보다 적극적인 자기주도적인 학습태도가 필요함.</t>
  </si>
  <si>
    <t xml:space="preserve">자신의 학습의욕과 노력에 따라 학업성취도의 격차가 확연해짐에 따라 자신의 목표설정을 분명히 하고 끈기있게 노력한다면 더 좋은 결과가 있을 것으로 기대됨. </t>
  </si>
  <si>
    <t>구체적인 학습계획을 수립하여 자기주도적 학습태도를 지속적으로 잘 유지하며 수업시간 집중력이 뛰어나고 과제를 성실히 수행하는 등 전반적으로 학업성적이 우수함.</t>
  </si>
  <si>
    <t xml:space="preserve">나름대로로 학습계획을 세워 꾸준히 실천하고자 노력하고 있지만 학습결과가 미진하여 보다 효율적인 학습방법을 찾아 시도할 필요성이 있음. </t>
  </si>
  <si>
    <t>자신이 좋아하는 교과에만 치중하여 공부함에 따라 전반적인 교과성적이 저조함에 따라 자신감이 떨어지는 과목에도 관심을 갖고 기본적인 학습능력은 유지할 필요성이 있음.</t>
  </si>
  <si>
    <t>학업에 대한 관심과 열정은 뛰어나 끈질기게 손에서 책을 떼지 않고 노력하며, 자신만의 효율적인 학습방법을 통해 지속적으로 비교적 우수한 학업성취도를 잘 유지함.</t>
  </si>
  <si>
    <t>비교적 학업성취도가 우수하지만 관심있는 영역의 수업에만 집중력하는 경향이 있어 다소의 학업성취도 하락이 동반됨에 따라 다른 영역에도 새로운 관심을 가지고 일관성 있게 노력한다면 학업성취도의 회복과 진전이 있을 것으로 예상됨.</t>
  </si>
  <si>
    <t>자신이 정한 생활목표에 따라 계획성 있고 효율적으로 생활하는 등 자기주도적 학습능력이 뛰어남.</t>
  </si>
  <si>
    <t>창의성</t>
  </si>
  <si>
    <t>수학, 과학에 대한 깊이 있는 학습을 꾸준히 잘 수행하고 교내 수학, 과학 경시대회 등에 적극 참여함.</t>
  </si>
  <si>
    <t>※ 참고용이므로 작성하지 않아도 됩니다.</t>
  </si>
  <si>
    <t>잠재력&amp;진로</t>
  </si>
  <si>
    <t>진로 희망 사항(참고용)</t>
  </si>
  <si>
    <t>진로에 대한 진지한 자기성찰과 탐색을 통해 구체적인 방향을 정하고 단계적으로 꾸준히 노력한다면 발전가능성이 충분히 있을 것으로 기대됨.</t>
  </si>
  <si>
    <t>환경과 재생에너지 분야에 관심이 높아 관련도서를 꾸준히 읽고 탐구하여 관심분야에 대한 지적호기심을 충족시키고자 노력하고, 인류애가 있는 따뜻한 과학자의 자질을 키우기 위해 뉴스, 시사저널의 탐독을 통해 기아, 전쟁 등의 사회문제에도 관심을 가짐으로써 자신의 진로 계발을 위해 적극적으로 노력함.</t>
  </si>
  <si>
    <t>진로에 대한 진지한 자기성찰과 탐색을 통해 구체적인 방향 설정과 지속적인 학업성취도 향상을 위한 노력이 요구됨.</t>
  </si>
  <si>
    <t>사회적인 문제에 대한 관심이 많아 자신이 정한 시사프로듀서와 관련하여 다양한 매체를 통해 사회적 문제에 대한 정보와 지식을 축적할 뿐만 아니라 영어, 중국어 능력향상을 위한 노력과 자신의 의견을 효과적으로 전달하는 방법을 탐구하는 등 진로를 위해 적극적으로 노력하고 있어 장래가 매우 기대됨.</t>
  </si>
  <si>
    <t>디자인 관련 정보를 꾸준히 탐색하고 동일물건에 대한 디자인의 차이점 등을 비교하여 관찰하는 등 진로개척을 위한 안목을 잘 키워나감.</t>
  </si>
  <si>
    <t>진로에 대한 보다 구체적인 탐색을 통해 관련된 정보와 지식을 획득하고 구체적인 실천 계획과 지속적인 노력이 필요함.</t>
  </si>
  <si>
    <t>자신의 꿈인 법의학자와 관련된 서적이나 드라마를 관심 있게 시청하는 등 자신의 진로 개척을 위해 진지한 성찰과 노력을 기울이고 있어 장래가 기대되는 학생임.</t>
  </si>
  <si>
    <t>심리에 대한 관심이 많아 심리학 관련 책을 많이 읽고 이를 학습활동에 활용하고자 노력함.</t>
  </si>
  <si>
    <t>자신의 장점을 찾아내어 보다 현실적이고 구체적인 진로를 탐색하고 노력할 필요성이 있음.</t>
  </si>
  <si>
    <t>광고 공모전 수상작을 관심있게 보고 분석하거나 홍보지를 제작해 보는 등 자신의 장래 희망인 광고디자이너의 기본적인 소양을 함양하기 위해 노력하고 있어 발전가능성이 엿보임.</t>
  </si>
  <si>
    <t>진로와 관련된 컴퓨터 자격증을 보유하는 등 자신이 의도하는 목표가 뚜렷함.</t>
  </si>
  <si>
    <t>사회적 문제에 대한 관심이 많아 시사적인 잡지 탐독 및 신문구독을 통해 자신의 진로와 관련된 지식과 정보를 축적하고자 노력하고 있어 발전가능성이 돋보임.</t>
  </si>
  <si>
    <t>일찍 등교하여 독서를 즐겨 하며 해금에 대한 자신의 재능을 성장 발전시키기 위해 꾸준히 노력하고 있음.</t>
  </si>
  <si>
    <t>외교나 통역에 관심이 많아 영어 및 중국어 습득을 위해 학원을 다니면서 관련 자격증을 취득하는 등 진로에 대해 적극적인 의식을 가지고 꾸준히 노력함.</t>
  </si>
  <si>
    <t>무용에 대한 관심이 많아 춤에 관련된 동영상을 탐색하여 눈 여겨 살펴보고 비교 분석하는 등 자신이 원하는 진로와 관련하여 기초지식과 정보를 축적하기 위해 노력함.</t>
  </si>
  <si>
    <t>의상디자인에 관심이 많아 쇼핑몰이나 잡지 등을 통해 관련 정보와 지식을 쌓음과 더불어 외국어 습득을 위해 적극적으로 노력하고 있어 장래가 기대됨.</t>
  </si>
  <si>
    <t>미술에 관심이 많고 상상력이 풍부하며 미술관을 자주 관람하는 등 자신이 희망하는 진로와 연계하여 관련 정보와 지식을 축적하고 있어 발전가능성이 보임.</t>
  </si>
  <si>
    <t>자신의 꿈인 외교관과 관련된 서적을 많이 읽고 영어공부에 중점을 두고 적극적인 자세로 꾸준히 노력하고 있어 발전 가능성이 보임.</t>
  </si>
  <si>
    <t>역사나 사회 분야에 관심이 많아 학교학습 외에 더 심화된 내용의 다큐 프로그램과 관련서적을 찾아서 읽는 등 자신의 진로와 관련하여 적극적으로 노력하고 있어 발전가능성이 돋보임.</t>
  </si>
  <si>
    <t>수학과 과학에 관심이 많아 과학동아리와 영재학급 활동 등을 통해 문제해결력을 향상시킴과 동시에 관련 도서의 탐독을 통해 지식의 폭을 넓히는 등 자신의 발전을 위해 꾸준히 노력하고 있어 크게 기대됨.</t>
  </si>
  <si>
    <t xml:space="preserve">새로운 일에 도전하는 것을 좋아하며 제빵과 요리에 관심이 많아 관련 동영상이나 방송을 즐겨 보면서 관련 지식과 정보를 쌓는 등 진로개척을 위해 꾸준히 노력함. </t>
  </si>
  <si>
    <t>자동차 디자인에 관심이 많아 자동차 모형 조립을 좋아하고 지나가는 자동차의 디자인을 관심 있게 관찰하고 기록하는 등 자신의 진로와 관련된 정보와 자료를 꾸준히 탐색함.</t>
  </si>
  <si>
    <t>진로에 대한 자신의 신념이 확고하며 진로와 관련된 구체적인 정보와 지식을 축적한다면 좋은 결과가 있을 것으로 기대됨.</t>
  </si>
  <si>
    <t>의욕이 넘치며 자기 일을 성실히 하고 자기진로에 대한 진지한 성찰과 노력이 있어 긍정적인 성장이 기대됨.</t>
  </si>
  <si>
    <t>그림 그리는 것을 좋아하고 컴퓨터 작업으로 작품을 만들거나 관련 정보와 지식을 쌓아가며 노력하고 있어 발전가능성이 보임.</t>
  </si>
  <si>
    <t>요리에 대한 관심을 가지고 부모님과 함께 여러 가지 체험활동과 구체적인 자료 탐색을 모색하고 있어 자신의 노력이 더해진다면 발전가능성이 있을 것으로 보임.</t>
  </si>
  <si>
    <t xml:space="preserve">자신의 진로에 대한 뚜렷한 목표의식이 있어 학업에 좀 더 치중함과 동시에 진로와 관련된 정보를 탐색하고 노력한다면 발전가능성이 있을 것으로 기대됨. </t>
  </si>
  <si>
    <t>호기심이 많아 의문점이 생기면 관련서적이나 인터넷을 검색하여 의문점을 해결하는 등 탐구하고자 하는 의욕이 강함.</t>
  </si>
  <si>
    <t xml:space="preserve">그림에 대한 흥미와 관심이 많고 자신이 생각하는 의상에 대해 그림을 그려보는 등 의상디자이너의 꿈을 키워가고 있음. </t>
  </si>
  <si>
    <t>아이들을 돌보는 것을 좋아하고 애정이 많아 초등교사에 대한 진로 의지를 가지고 꾸준히 노력함.</t>
  </si>
  <si>
    <t xml:space="preserve">꼼꼼하게 계산하는 것을 좋아하여 진로에 대한 목표를 정하고 열심히 노력한 결과 세무고등학교에 합격함으로써 자신의 원하는 꿈을 이뤄가고 있어 장래가 기대됨. </t>
  </si>
  <si>
    <t>풍부한 상상력과 아이디어를 바탕으로 과학관련 정보를 꾸준히 탐구하고 관련 지식을 축적하는 등 진로개척을 위해 꾸준히 노력하고 있어 장래가 기대되는 학생임.</t>
  </si>
  <si>
    <t>글쓰기를 좋아하고 소설가, 작곡가, 번역가, 영화대본 작가 등 하고 싶은 것이 많으며 자신의 꿈을 이루기 위해 진로의 바탕이 되는 학업에 매진하여 열심히 공부하고 있어 장래가 기대됨.</t>
  </si>
  <si>
    <t>외교와 관련된 서적을 많이 탐독하며 진로에 대해 적극적인 의식을 가지고 꾸준히 노력함.</t>
  </si>
  <si>
    <t xml:space="preserve">춤과 노래에 흥미를 갖고 학교스포츠클럽 댄스반에서 열심히 참여하거나 피아노 연주를 통해 음악적 감각을 꾸준히 살리고 있음. </t>
  </si>
  <si>
    <t>자신의 꿈인 의사와 관련된 서적이나 드라마를 관심 있게 시청하는 등 자신의 진로 개척을 위해 진지한 성찰과 노력을 기울임.</t>
  </si>
  <si>
    <t>비교적 학업성취도는 낮으나 긍정적이고 적극적인 생활태도가 좋아 진로에 대한 진지한 자기성찰과 탐색을 통해 분명하고 구체적인 방향을 정하여 꾸준하게 노력한다면 무엇이든지 발전가능성이 있을 것으로 기대됨.</t>
  </si>
  <si>
    <t>다방면의 체육활동에 대한 우수한 기초체력과 운동 학습능력을 보이고 평소 태권도로 체력을 단련하는 등 적극적으로 체육교사에 대한 꿈을 키워하고 있음.</t>
  </si>
  <si>
    <t xml:space="preserve">국·내외 소식을 알려주는 아나운서에 매력을 느껴 아나운서의 꿈을 가지고 있으며, 뉴스를 항상 눈여겨 보고 분석하거나 관련 서적을 통해 정보를 축적하고자 노력함. </t>
  </si>
  <si>
    <t>어린아이들을 좋아하고 아이들의 눈높이에 맞게 잘 놀아주고 가르치기를 즐거워 하며 유아교육과 관련된 일에 남달이 관심과 흥미가 많음.</t>
  </si>
  <si>
    <t>동물에 대한 관심과 흥미가 높고 동물들의 특성을 잘 알고 있으며 자신의 진로개척을 위해 동물과 사육사에 관한 정보를 꾸준히 탐색하여 관련 지식을 축적해 나감.</t>
  </si>
  <si>
    <t>항공승무원과 관련된 진로를 희망하고 있으며 나름대로 진로와 관련된 정보를 수집하고 탐색함.</t>
  </si>
  <si>
    <t>상상력이 풍부하여 그림을 잘 그리며 의상 디자인에 관심이 많음.</t>
  </si>
  <si>
    <t>요리에 관심과 흥미가 많아 TV, 서적 등을 통해 요리에 관한 정보를 많이 수집하고 요리 연습하는 것을 좋아하며 요리사가 되기 위해 노력함.</t>
  </si>
  <si>
    <t>연기에 대한 관심이 매우 많고 어떤 대사에 대한 표정 연습을 열심히 하며 배우에 대한 정보 탐색 노력을 통해 자신의 꿈을 키워가고 있음.</t>
  </si>
  <si>
    <t>아이들을 돌보는 것과 가르치는 것을 좋아하고 초등교사에 대한 진로 의지를 가지고 꾸준히 노력함.</t>
  </si>
  <si>
    <t>플룻 연주에 재능이 있고 자신이 원하는 플룻 교습강사가 되기 위해 개인적으로 학원에서 교습을 받으며 진로개척을 위해 열심히 노력함.</t>
  </si>
  <si>
    <t>외교나 정치에 관심이 많고 영어와 관련된 체험과 서적을 많이 읽으며 진로를 개척하기 위해 노력함.</t>
  </si>
  <si>
    <t>음악을 좋아하고 춤에 대한 열정이 넘치며 댄서들의 안무에 대한 동영상을 반복하여 관찰하고 꾸준히 연습을 하는 등 안무가에 대한 꿈을 키워가고 있음.</t>
  </si>
  <si>
    <t>영어 학습에 흥미가 높아 영어교사에 대한 꿈을 가지게 되었으며 영어학습과 교사의 소양을 키우기 위해 노력함.</t>
  </si>
  <si>
    <t>그림 그리기를 좋아하고 웹툰 작가의 꿈을 가지고 미래에 자신이 기획할 웹툰의 기초 설계를 해 보는 등 자신의 진로개척을 위해 꿈을 키워가고 있음.</t>
  </si>
  <si>
    <t>수학교사의 꿈을 실현하기 위해 일상적으로 자기주도적 학습은 물론 수학동아리 활동과 코어교실 수업에도 열정적으로 참여하고 교사로서의 인성을 겸비하기 위해 항상 솔선수범하는 자세를 보이고 있어 장래가 밝음.</t>
  </si>
  <si>
    <t>용접장인과 관련된 다큐 프로그램을 통해 용접에 대한 매력을 느끼고 특성화고로 진로를 결정하여 합격함으로써 자신의 원하는 꿈을 향해 도전하고 있어 미래가 기대됨.</t>
  </si>
  <si>
    <t>배려&amp;타인존중</t>
  </si>
  <si>
    <t>청소시간에 자신의 활동을 마친 후 다른 학생들을 도와주는 등 학급의 학생들을 위해 배려하는 모습을 보임.</t>
  </si>
  <si>
    <t>항상 밝은 얼굴과 고운 언행으로 급우들에게 친절하게 대하며 정서적 공감을 통해 친구들의 어려움과 갈등을 함께 나누고 해결하려고 노력함.</t>
  </si>
  <si>
    <t>친구들이 겪는 어려움이나 고민에 적극 관심을 가지고 나서서 도와주는 등 남을 배려하는 모습이 인상적임.</t>
  </si>
  <si>
    <t>자신의 의견을 피력하기 전에 항상 주변 여건과 상황을 고려하여 합리적이고 공손한 자세로 의견을 제시하는 등 긍정적이고 고운 심성을 가짐.</t>
  </si>
  <si>
    <t>담임교사를 도와 급우들이 쾌적한 환경에서 생활할 수 있도록 환경도우미 역할을 충실히 수행함.</t>
  </si>
  <si>
    <t>언행이 고우며 명랑한 얼굴로 급우들에게 친절하게 대하는 등 타인을 위한 이해와 배려심을 가지고 있음.</t>
  </si>
  <si>
    <t>다정한 성격으로 약한 급우들에 대한 관심과 이해심이 많아 몸이 아픈 친구를 앞장서서 도와줌.</t>
  </si>
  <si>
    <t>고민을 가지고 있는 친구들의 이야기를 성심껏 들어주며 교과에 대한 질문에도 친절하게 응답함.</t>
  </si>
  <si>
    <t>전입생이나 학교생활에 적응하지 못한 친구들을 위해 솔선수범하여 잘 도와 주어 주변에 항상 친구가 많고 대인 관계가 원만함.</t>
  </si>
  <si>
    <t>고민을 가지고 있는 다른 친구들의 얘기를 귀 기울여 들어주며 학급 내에서 또래상담자의 역할을 하였음.</t>
  </si>
  <si>
    <t xml:space="preserve">친구의 어려운 사정을 자신의 일처럼 회피하지 않고 최대한 도와주고 해결하려고 노력함. </t>
  </si>
  <si>
    <t xml:space="preserve">대화 시 상대방의 기분을 고려하여 한번 더 생각하고 말을 함. </t>
  </si>
  <si>
    <t>교과학습 내용에 대한 급우들의 물음에 친절하게 응대하여 잘 도와줌.</t>
  </si>
  <si>
    <t xml:space="preserve">급우가 학습 준비물을 준비하지 못했을 때 친구의 사정을 잘 헤아리고 빌려주거나 나눠줌. </t>
  </si>
  <si>
    <t>상대방의 말을 잘 경청하고 상대방의 입장에서 먼저 이해하려고 노력함.</t>
  </si>
  <si>
    <t>친구들을 마음을 잘 이해하고 어울리는 것을 좋아하여 친구들과 다투는 일이 없음.</t>
  </si>
  <si>
    <t>청소시간에 다른 친구가 하지 못하는 상황이 생기면 대신 청소를 해 줌.</t>
  </si>
  <si>
    <t>급식시간에 대기할 때 다른 급우에게 양보를 잘 함.</t>
  </si>
  <si>
    <t>친구의 고민사항을 잘 들어주고 공감하면서 격려하고 챙겨줌.</t>
  </si>
  <si>
    <t>매사 친구관계에 있어 상대방의 기분을 배려하여 언행에 신중을 기함.</t>
  </si>
  <si>
    <t xml:space="preserve">학습에 관한 도움이 필요한 급우들에게 의문점을 잘 해결해 주고 오답노트와 숙제 잘하는 방법을 친절하게 잘 알려 줌. </t>
  </si>
  <si>
    <t>급우들이 학습 준비물을 가져오지 못했을 때 준비물을 빌려 주거나 필기구를 나눠 사용함.</t>
  </si>
  <si>
    <t>친구가 다치거나 아플 때 보건실 까지 같이 동행하며 위로 해줌.</t>
  </si>
  <si>
    <t xml:space="preserve">친구가 청소당번 일 때 기다려 주거나 같이 청소를 도와주며 급우가 빌려달라는 준비물을 잘 빌려 줌. </t>
  </si>
  <si>
    <t>친구의 마음을 잘 헤아리며 자신의 간식을 주변 급우들과 잘 나눠 먹음.</t>
  </si>
  <si>
    <t>학급에서 자신이 맡은 청소구역 외에도 솔선하여 청소하는 희생정신이 강함.</t>
  </si>
  <si>
    <t xml:space="preserve">급식 후 잔반 처리 시 친구들에게 양보하거나 물을 마실 때 컵을 나눠 줌. </t>
  </si>
  <si>
    <t>친구의 몸이 아플 경우 보건실에 같이 동행하며 위로하고 격려 해 줌.</t>
  </si>
  <si>
    <t>따뜻한 마음을 지닌 학생으로 학급에서 소외된 친구가 없는지 살피고 상대방의 입장에서 말하고 행동하는 등 배려심이 많아 학급 친구들에게 긍정적인 영향을 줌.</t>
  </si>
  <si>
    <t>자신이 먼저 하고 싶은 일이 있어도 상대방을 배려하여 흔쾌히 양보하는 미덕을 가졌음.</t>
  </si>
  <si>
    <t>친구들이 겪는 어려움이나 고민을 자신의 일처럼 관심 있게 잘 들어주고 고민하는 등 친구의 기분을 헤아릴 줄 아는 도량을 가졌음.</t>
  </si>
  <si>
    <t>상대방에 대한 편견으로 차별하지 않고 항상 모두에게 친절하게 대하는 배려심을 가졌음.</t>
  </si>
  <si>
    <t>다정 다감하여 친구의 고민이나 어려움을 잘 헤아리고 격려하거나 자신의 일처럼 나서 힘써 도와 줌.</t>
  </si>
  <si>
    <t>친구의 몸이 불편하여 행동하기 어려울 때 함께 동행하며 부축하거나 가방을 들어주는 등 친구의 사정을 잘 헤아려 배려하는 마음을 행동으로 잘 실천함.</t>
  </si>
  <si>
    <t xml:space="preserve">모둠활동을 할 때 짝이 맞지 않을 경우 자진하여 혼자 활동하기를 원하는 등 상대방을 먼저 생각하고 배려하는 희생정신이 강함.  </t>
  </si>
  <si>
    <t>친구가 다쳤을 때 보건실 까지 같이 동행해 주거나 점심시간에 먼저 급식이 필요한 친구에게 순서를 양보하는 등 친구의 사정을 잘 헤아림.</t>
  </si>
  <si>
    <t>친구가 도움을 요청하면 주저하지 않고 도와주며 교과학습에 대한 도움이 필요한 친구에게도 친절하게 학습내용을 잘 설명하여 도와줌.</t>
  </si>
  <si>
    <t xml:space="preserve">교과학습 활동 시 자신에게 주어진 학습과제를 먼저 해결한 후 다른 친구의 학습활동을 친절하게 잘 도와주는 등 배려하는 마음을 행동으로 잘 실천함. </t>
  </si>
  <si>
    <t>주변에 몸이 불편한 장애인 학생과도 편견을 가지지 않고 함께 어울려 활동하거나 아픈 친구를 위해 힘써 도와주려고 노력함.</t>
  </si>
  <si>
    <t>스스로 남을 배려하는 자세가 부족한 점을 깨닫고 실천하고자 노력함.</t>
  </si>
  <si>
    <t>대중교통 이용 시 몸이 불편한 노인이나 임산부에게 자신의 자리를 친절하게 양보하여 상대방에게 도움을 줌과 동시에 자신의 인성을 함양하는데 대한 보람과 만족감을 가지게 됨.</t>
  </si>
  <si>
    <t>웃어른에 대한 공경심이 남달라 자리양보를 잘 하는 등 예의 바른 행동을 생활 속에서 잘 실천함.</t>
  </si>
  <si>
    <t>기본적인 성향이 친절하여 늘 밝게 웃으면서 급우들을 대함.</t>
  </si>
  <si>
    <t>친구의 부탁이나 고민을 잘 들어주고 격려하며 도와주려고 노력함.</t>
  </si>
  <si>
    <t>이해관계를 떠나 상대방에게 양보를 잘 하고 엘리베이터를 탈 때 뒷사람을 생각해 문을 잡아주는 등 타인에 대한 배려정신이 강함.</t>
  </si>
  <si>
    <t>다정 다감한 성격으로 급우들에 대한 관심과 이해심이 많아 타인의 어려움을
앞장서서 도와주고, 고민을 가지고 있는 친구들의 이야기를 성심껏 들어주며 교과에
대한 질문에도 친절하게 응답하는 등 선행이 많아 모두가 잘 따름.</t>
  </si>
  <si>
    <t xml:space="preserve">어려운 상황에 처한 친구에게 선뜻 나서 이야기를 잘 들어주고 위로하며 함께 감정을 공유하고 도와주려는 이타심이 강함. </t>
  </si>
  <si>
    <t>대중교통 이용 시 어르신에게 자리를 양보하거나 엘리베이트 탑승 시 뒷사람을 배려하여 기다려 주기도 학고 건널목을 건널 때 몸이 불편한 어르신과 같이 건너주는 등 남을 배려하는 마음을 실천함.</t>
  </si>
  <si>
    <t>체육시간이나 학교스포츠클럽 활동시간이 끝난 후 자신보다 더 힘들어하는 친구에게 음수대에서 양보하는 등 상대방을 먼저 배려하는 마음을 실천함.</t>
  </si>
  <si>
    <t>재치 있는 말과 행동으로 주변을 즐겁게 하여 친구들의 호감을 받는 등 긍정적인 생활태도를 보임.</t>
  </si>
  <si>
    <t>학급의 문제점과 개선방향에 대해 토의하는 자율활동 시간에 ‘나와 다르다고 하여 멀리하는 것이 아니라 함께 살아가는 방법’에 대해 친구들에게 강조함으로써 호감을 받음.</t>
  </si>
  <si>
    <t>수업시간 도중 모르는 문제 때문에 어려워하는 친구들에게 친절하게 설명해 주고 항상 웃는 모습으로 친구들을 대함.</t>
  </si>
  <si>
    <t>자신과 모습이나 생각이 달라도 상대방을 존중해 줌으로써 자신도 상대방으로 부터 존중 받을 수 있음을 이해하고 실천함.</t>
  </si>
  <si>
    <t xml:space="preserve">상대방의 생각과 의견이 달라도 상대방을 무시하거나 차별하지 않고 존중하는 마음을 행동으로 실천함. </t>
  </si>
  <si>
    <t>친구의 의견을 먼저 끝까지 잘 경청한 후 자신의 의견을 나중에 논리적이고 친절하게 잘 설명함.</t>
  </si>
  <si>
    <t>교우간에는 항상 고운말 사용과 친절하고 다정하게 대함으로써 상대방을 배려하고 존중하는 마음을 잘 실천함.</t>
  </si>
  <si>
    <t>친구들을 대할 때 항상 친절하고 다정하게 대함으로써 상대방을 배려하고 존중하는 마음을 실천함.</t>
  </si>
  <si>
    <t>긍정적이고 개방적인 사고로 자신의 생각과 다른 사람의 의견을 인정하고 존중함.</t>
  </si>
  <si>
    <t>학급 친구들의 고민을 귀 기울여 들어주며 생활 면에서 도움이 필요한 친구를 따뜻하게 감싸는 모습을 보여 친구들에게 신뢰를 줌.</t>
  </si>
  <si>
    <t>친구의 고민을 들어주고 장점을 찾아 칭찬해주는 등 타인을 존중하는 마음을 적극적으로 실천함.</t>
  </si>
  <si>
    <t>친구들의 고민을 잘 들어주고 이해하는 따뜻한 마음을 지녀 친구들 사이에 신망이 두터움.</t>
  </si>
  <si>
    <t>친절하고 이해심이 많으며 항상 밝은 얼굴로 바르게 인사를 잘하여 11월 인사 잘하기 모범학생으로 선정됨.</t>
  </si>
  <si>
    <t>상대방의 입장에서 먼저 생각하고 자신이 양보하는 마음을 생활 속에서 늘 실천함으로써 급우들로 부터 호감과 신뢰를 얻음.</t>
  </si>
  <si>
    <t>자신의 의견만 고집하지 않고 상대방의 의견을 존중하여 인정함으로써 화기애애한 학급분위기 조성을 위해 노력함.</t>
  </si>
  <si>
    <t>자신으로 인해 주변 사람들에게 피해를 주지 않도록 항상 자신을 되돌아보고 부족함이 없는지 찾아 개선하고자 노력함.</t>
  </si>
  <si>
    <t>친구의 이야기를 끝까지 잘 경청하며 상대방의 장점을 찾아 칭찬해주는 등 타인을 존중하는 마음을 적극적으로 실천함.</t>
  </si>
  <si>
    <t>친구의 고민이나 어려움을 잘 이해하고 격려하거나 자신의 일처럼 나서 힘써 도와 줌.</t>
  </si>
  <si>
    <t>친구의 이야기를 잘 경청하고 자신의 생각과 달라도 상대방을 존중하고 이해함.</t>
  </si>
  <si>
    <t>상대방의 나쁜 기분도 잘 이해하고 존중하며 조화롭게 공존할 수 있는 방법을 모색하는 등 자신의 입장보다는 상대방의 입장을 긍정적으로 헤아리는 마음을 실천하려고 노력함.</t>
  </si>
  <si>
    <t>재치 있고 재미있는 말을 통해 친구들을 즐겁게 하고 상대방과의 약속을 잘 지켜 급우들로 부터 신뢰가 높음.</t>
  </si>
  <si>
    <t xml:space="preserve">재치 있는 말과 행동으로 친구들을 즐겁게 하거나 친구의 말을 경청하여 잘 들어줌. </t>
  </si>
  <si>
    <t>친구를 가리지 않고 두루 잘 어울리며 항상 긍정적인 마음으로 상대방을 이해하고 친구의 부탁을 거절할 때 상대방의 기분이 상하지 않도록 잘 이해하도록 함.</t>
  </si>
  <si>
    <t>남에게 불쾌하거나 불편해하는 행동을 하지 않으며 상대방을 존중하고 공존하고자 하는 마음자세를 실천함.</t>
  </si>
  <si>
    <t>친구들과의 갈등이 생겼을 때 그 원인을 파악하여 문제를 원만하게 해결하기 위해 대화로 설득함.</t>
  </si>
  <si>
    <t>몸이 불편한 장애인들의 입장을 잘 이해하고 그들의 생각과 의견을 존중하는 태도를 가지려고 노력함.</t>
  </si>
  <si>
    <t>나눔&amp;협력</t>
  </si>
  <si>
    <t>자신의 학습능력을 활용하여 도움이 필요한 친구들에게 학습에 대한 의문점을 자세하게 잘 설명하여 알려 줌.</t>
  </si>
  <si>
    <t>또래학습멘토링에 멘토로 참여하여 멘티 학생의 학습계획 수립 및 꾸준한 학습활동을 도움으로써 협력을 통한 공동체 학습 분위기를 조성하는데 기여하였고 2015학년도 학생자치법정 변호사로 활동하며 과벌점으로 법정에 참여한 학생들의 개인적인 상황을 잘 이해하고 변론을 담당함으로써 적절한 부과과제를 부여하게 하고 이를 이행하도록 하는데 기여함.</t>
  </si>
  <si>
    <t>학교에서 간식을 사 먹을 때는 친구들과 나눠먹고 학용품이 부족한 친구에게는 학용품을 나눠 줌.</t>
  </si>
  <si>
    <t>급우들과의 협동학습이나 요양원 봉사활동 등을 통해 나눔의 소중함을 즐겁게 실천함.</t>
  </si>
  <si>
    <t>노인 복지회관을 정기적으로 방문하여 시설 내 청소, 어르신 말벗 해 드리기, 이동 보조 등의 활동을 함.</t>
  </si>
  <si>
    <t>자신이 소중하게 아껴 입던 옷을 모아 고아원에 기부하는 아름다운 나눔을 실천하는 등 평소에 학급에서도 자신의 것을 친구들에게 즐거이 나눠주기를 좋아함.</t>
  </si>
  <si>
    <t>RCY 동아리에 가입하여 여러 가지 봉사활동을 통해 나눔을 즐겁게 실천함.</t>
  </si>
  <si>
    <t>자신이 가져온 따뜻한 물을 목마른 친구에게 나눠주거나 상처 난 친구에게 평소 가지고 있던 밴드를 붙여주는 등 자신의 것을 솔선하여 나누어 줌.</t>
  </si>
  <si>
    <t>과학동아리에 가입하여 인천과학대제전과 인천어린이과학관에서 실시하는 주말과학체험 프로그램에서 실험부스 운영 및 체험보조활동을 통해 관람객의 실험참여를 보조하고 원리를 설명하는 봉사활동을 함.</t>
  </si>
  <si>
    <t>만일에 대비해 평소 가지고 다니던 예비용 실내화를 실내화를 가져오지 못한 급우들에게 선뜻 빌려주는 등 평소 자신의 것을 남에게 잘 빌려주거나 나누어 사용함.</t>
  </si>
  <si>
    <t>향토사랑봉사단에 가입하여 평소 학교주변에서 교통질서 지도를 하거나 교내 외 각종 봉사활동을 통해 나눔을 실천함.</t>
  </si>
  <si>
    <t>자원봉사활동을 통해 거동이 불편한 어르신들을 부축하거나 일손을 도와드리면서 즐거운 마음으로 나눔을 실천함.</t>
  </si>
  <si>
    <t>자신이 알고 있는 지식을 친구들에게 자세히 설명해 주는 등 교우들의 학습능력을 높이고 학급의 학습 분위기 조성에 힘쓰는 모습을 보임.</t>
  </si>
  <si>
    <t>자신의 학습능력을 활용하여 도움이 필요한 친구들에게 학습에 대한 의문점을 자세하게 잘 설명해 주는 등 학급에서의 학습도우미 역할을 솔선하여 수행함.</t>
  </si>
  <si>
    <t xml:space="preserve">자신이 가진 것을 남에게 나눠주기를 좋아하고 남을 돕는 일에 즐거운 마음으로 참여함. </t>
  </si>
  <si>
    <t>1학기 동안 기초부진 학생의 멘토로 쉬는 시간과 점심시간을 할애하여 멘티의 국어, 수학, 영어 공부에 도움을 주는 등 자신이 가지고 있는 학습능력을 친절하게 나누어 줌.</t>
  </si>
  <si>
    <t>축구 경기 시 자신이 갖고 있는 여분의 축구화를 친구에게 주거나 '사랑의 열매' 구매를 통한 작은 기부에 동참하는 등 자신의 것을 나누고자 하는 마음을 실천함.</t>
  </si>
  <si>
    <t>자신과 비슷한 처지에 있는 친구를 위한 또래상담 활동을 통해 학교생활 적응에 도움을 주는 등 학급 생활에 적극적이고 모범적임.</t>
  </si>
  <si>
    <t>교내 동아리 발표대회 준비 기간 동안 각자의 역할을 합리적인 방법으로 나누고 부진한 부분에 대해 솔선하여 개선하는 등 급우들의 관계를 잘 조율하는 모습이 돋보임.</t>
  </si>
  <si>
    <t>모둠학습 시 자신의 역할을 잘 수행하고 조원들의 의견을 존중하며 조화로운 협력분위기를 잘 조성할 뿐만 아니라 모둠학습의 좋은 결과를 이끌어내기 위한 주도적인 역할을 함.</t>
  </si>
  <si>
    <t xml:space="preserve">모둠학습 시 조원들을 주도하여 이끌어 나가거나 매우 협조적이고 활발하게 활동함. </t>
  </si>
  <si>
    <t>수업시간 모둠활동 시 급우들의 의견을 잘 수용하고 적극적으로 협력함.</t>
  </si>
  <si>
    <t>모둠학습 활동 시 조장을 자청하여 조원들의 어려움을 적극 도와줌은 물론 조원들의 협력을 이끌어 내는 주도적인 역할을 수행하는 등 모둠학습의 좋은 결과 창출을 위해 최선을 다해 노력함.</t>
  </si>
  <si>
    <t>교내 합창대회 준비 시 급우들과 협력하여 끝까지 열심히 노력함으로써 우수한 성적을 거두는데 기여함.</t>
  </si>
  <si>
    <t>교내 합창대회 연습 시 모범적으로 인내력을 가지고 열창함으로써 급우들의 마음을 끌어 모으는데 크게 기여함.</t>
  </si>
  <si>
    <t>모둠활동 및 UCC 제작과 발표 시 조장으로서 팀원을 잘 이끌고 협력하여 과제를 성공적으로 수행하는데 기여함.</t>
  </si>
  <si>
    <t>모둠활동이나 동아리활동에서 도움이 필요한 친구를 격려해 주고 적극적인 자세로 모둠 구성원들과 조화를 이루기 위해 노력함.</t>
  </si>
  <si>
    <t>줄넘기에 뛰어난 재능을 보여 학교대표로 대회에 참가하였으며 대회를 준비할 때 적극적으로 구성원들을 독려하거나 자신감을 북돋우는 등 적극적인 활동을 함.</t>
  </si>
  <si>
    <t>학교나 학급 행사를 준비할 때 자신의 의견을 내세우기보다 친구들과의 조화에 힘쓰며 묵묵히 자신의 자리에서 최선의 노력을 기울이는 모습을 보임.</t>
  </si>
  <si>
    <t xml:space="preserve">모둠학습이나 학교행사 준비 시 구성원들과의 조화에 힘쓰고 자신의 부족한 점을 개선하여 좋은 결과를 도출하고자 협력함. </t>
  </si>
  <si>
    <t>학급 및 학교 행사에서 적극적으로 자신의 의견을 제시하며, 타인의 의견도 존중함으로써 자율적인 학급풍토 조성에 기여함.</t>
  </si>
  <si>
    <t>모둠학습이나 학교행사 준비 시 매우 적극적으로 협력하여 구성원들과의 조화로운 활동에 힘쓰고자 노력함.</t>
  </si>
  <si>
    <t>모둠학습이나 학교행사 시 도움이 필요한 학생을 잘 챙기고 도와줌으로써 모든 급우들이 힘을 합칠 수 있는 촉진제 역할을 함.</t>
  </si>
  <si>
    <t>모둠별 과제수행 시 자신이 맡은 역할분담을 충실히 잘 수행하고 다른 조원들과 조화롭게 의견을 조율하고 협력함으로써 성공적인 과제 수행에 도움을 줌.</t>
  </si>
  <si>
    <t>모둠별 과제수행 시 자신이 맡은 역할을 충실히 수행함으로써 다른 조원들에게 피해가 가지 않도록 노력함.</t>
  </si>
  <si>
    <t>모둠학습 시 자신의 역할을 잘 수행하고 조원들의 의견을 존중하며 협력함으로써 좋은 결과를 이끌어낼 수 있도록 함.</t>
  </si>
  <si>
    <t>모둠활동 시 조원들의 실수나 잘못을 위로하거나 격려하는 등 조원들이 힘을 합쳐 모둠활동을 조화롭게 잘 수행할 수 있도록 솔선하여 노력함.</t>
  </si>
  <si>
    <t>학급 일이나 모둠학습 시 자신이 맡은 일을 묵묵히 수행함으로써 급우들과 조화롭고 협조적인 분위기에 동참하는 모습을 보임.</t>
  </si>
  <si>
    <t>학급 구성원들과 활동 시 적극적으로 나서지는 못하지만 다른 구성원들과 어울리고 참여한 것에 대해 기쁘게 생각함.</t>
  </si>
  <si>
    <t xml:space="preserve">또래학습멘토링에 멘티로 참여하여 학력향상 의지를 가지고 협력학습에 꾸준히 참여한 결과 학습계획 수립 및 자기주도적 학습능력이 향상됨. </t>
  </si>
  <si>
    <t>수업활동 중 어려운 과제를 접한 급우에게 늘 친절하게 설명해 주고 모둠활동 시 자기의 의견만 고집하지 않고 모둠원의 의견을 존중하고 이해하며 조화로운 모둠활동이 잘 이루어지도록 구성원의 협력을 잘 이끌어 내는 모습이 돋보임.</t>
  </si>
  <si>
    <t>모둠학습 활동 시 적극적으로 참여하며 조원들의 준비물을 챙기는 등 모둠전체를 위해 노력함.</t>
  </si>
  <si>
    <t>학급 및 학교생활에 적극적이고 긍정적인 자세로 협력하는 모습을 보여 급우 간에 신망이 두터움.</t>
  </si>
  <si>
    <t>학교나 학급 행사가 있을 때 질서유지에 힘쓰고 매사 협조적인 자세로 임함.</t>
  </si>
  <si>
    <t>대인관계 지향성</t>
  </si>
  <si>
    <t>재치 있는 말과 행동으로 주변 분위기를 즐겁게 하며 체육부장으로서 교내 체육대회 때 학급 대표 선수들을 선발, 적재적소에 배치하는 등 리더의 역할을 잘 수행함.</t>
  </si>
  <si>
    <t>교우관계가 어려운 친구에게 먼저 다가가 말을 걸어주는 등 대인관계를 중시하는 학생임.</t>
  </si>
  <si>
    <t>매사 진지한 자세와 공손함으로 상대방을 대하며 가끔 친구의 잘못도 지적할 줄 아는 정의감이 있는 학생임.</t>
  </si>
  <si>
    <t>학급의 모든 친구들과 잘 어울리고 교사의 지도와 조언을 경청하고 수용하려는 자세가 돋보임.</t>
  </si>
  <si>
    <t>학교생활이 어렵거나 적응하지 못한 친구들을 위해 솔선수범하여 잘 도와줌으로써 주변에 항상 친구가 많고 대인 관계가 원만함.</t>
  </si>
  <si>
    <t>긍정적인 마인드로 항상 밝고 친절하게 상대방을 대함으로써 원만한 친구관계가 잘 형성되고 유지됨.</t>
  </si>
  <si>
    <t>급우들과 함께 스포츠클럽활동에 참여하면서 원만한 교우관계를 잘 형성함.</t>
  </si>
  <si>
    <t>친하지 않은 친구들과도 친해지기 위해 계속 말을 걸거나 관심을 가짐으로써 대인관계를 확대해 나가려고 적극적으로 노력함.</t>
  </si>
  <si>
    <t xml:space="preserve">참을성이 많고 타인의 입장을 잘 이해함으로써 쉽게 공감대를 형성하여 친화력이 좋음. </t>
  </si>
  <si>
    <t>자신과 친구의 다름을 인정하고 긍정적인 마인드로 상대방의 감정을 잘 배려하고 원만한 교우관계를 형성하기 위해 노력함.</t>
  </si>
  <si>
    <t>소심하여 주변의 친구들과 잘 어울리지 못하는 급우들에게 먼저 다가가 말을 걸거나 같이 어울릴 수 있는 분위기를 조성함.</t>
  </si>
  <si>
    <t>친구들의 장점을 잘 발견하고 수시로 칭찬함으로써 교우관계를 잘 유지하는 등 친화력이 좋음.</t>
  </si>
  <si>
    <t>낯을 가려 친구들과 쉽게 잘 사귀지 못하지만 먼저 말을 거는 등 노력한 끝에 다수의 급우들과 많이 친해짐.</t>
  </si>
  <si>
    <t>처음 보는 주변 친구들에게 먼저 다가가 말을 건네는 등 적극적으로 친구관계를 잘 형성하고 유지함.</t>
  </si>
  <si>
    <t>나보다는 공동체를 중요하게 여기며 타인의 입장을 잘 이해하고 존중하는 태도를 보임으로써 대인관계 형성이 잘 이루어짐.</t>
  </si>
  <si>
    <t xml:space="preserve">친구를 사귐에 있어 어떤 차별을 두지 않음으로 두루 많은 교우들과 쉽게 친구관계를 잘 확장해 나감.  </t>
  </si>
  <si>
    <t>낯선 사람에게 선뜻 잘 다가서지 못하지만 한번 사귀면 지속적으로 좋은 친구관계를 잘 유지함.</t>
  </si>
  <si>
    <t>친구로 부터 무언가를 받으면 자신 또한 친구를 위해 무엇을 주겠다는 마음가짐으로 서로 좋은 관계를 형성하기 위해 항상 노력함.</t>
  </si>
  <si>
    <t>재치있는 말과 행동으로 주변 친구들에게 호감을 주며 학급내의 즐거운 학습분위기 조성에 일조함.</t>
  </si>
  <si>
    <t>상대방을 배려하고 존중하는 마음이 깊고 따뜻하고 밝은 성품을 지녀 친구들로 부터 항상 신뢰와 호감을 받음.</t>
  </si>
  <si>
    <t>친구들과의 관계를 주도하지는 못하지만 같이 어울리기를 좋아하며 즐겁게 잘 지내는 편임.</t>
  </si>
  <si>
    <t>재치있는 말로 주변 사람들을 즐겁게 하며 친구들과 어울려 함께하는 것를 좋아함.</t>
  </si>
  <si>
    <t>매사 진지한 자세와 공손함으로 상대방을 대하며 긍정적인 태도로 학급의 모든 친구들과 잘 어울리고 교사의 지도와 조언을 경청하고 수용하려는 자세가 돋보임.</t>
  </si>
  <si>
    <t>친구 사귀기를 좋아하여 적극적으로 말을 건네는 등 친화력이 좋으며 친구들 중에서 주도적인 관계를 이끌어 나감.</t>
  </si>
  <si>
    <t>학급회의 시간에 친구들이 자신의 의견이 옳다고 서로 언성을 높이거나 체육수업 시간에 친구가 경기규칙을 어겨 갈등이 발생했을 때 합리적인 의사소통과 대화를 통해 그 갈등을 원만하게 해결하였음.</t>
  </si>
  <si>
    <t>친구들 끼리 갈등이 생겼을 때 자진하여 친구들의 사정을 잘 들어주고 서로 갈등을 잘 해결할 수 있도록 중재함.</t>
  </si>
  <si>
    <t>친구와의 갈등 시 먼저 다가가 사과를 함으로써 싸우는 일이 없음.</t>
  </si>
  <si>
    <t>친구들과의 갈등 시 충분한 대화를 통해 합리적으로 해결하려고 노력함.</t>
  </si>
  <si>
    <t xml:space="preserve">친구와 갈등이 생기면 먼저 대화를 시도하여 해결하려고 노력함. </t>
  </si>
  <si>
    <t xml:space="preserve">다른 친구들 간 말다툼 시 둘 사이의 갈등 요소를 찾아내어 논리적이고 객관적으로 설명하여 문제를 해결할 수 있도록 도와 줌. </t>
  </si>
  <si>
    <t>친구들과의 다툼을 잘 중재하고 합리적인 의사소통을 통해 어려움을 도와 주고 문제를 원만하게 해결하려고 힘써 노력함.</t>
  </si>
  <si>
    <t>급우들 사이에 오해가 있어 학급 분위기가 좋지 않을 때 서로의 입장을 잘 듣고 설득하여 공동의 노력을 이끌어냄.</t>
  </si>
  <si>
    <t>친구들과 갈등이 발생했을 때 합리적인 의사소통과 대화를 통해 그 갈등을 원만하게 해결하고자 노력함.</t>
  </si>
  <si>
    <t>또래 중재자로서 일상생활 속의 사소한 다툼의 원인을 잘 해결하고 서로 이해하고 존중하는 교실분위기를 이끌어 나감.</t>
  </si>
  <si>
    <t>학급회의 진행 시 다른 의견을 가진 급우들의 의사를 존중하고 공동의 목표를 위해 서로 토론하고 타협하도록 회의를 이끌어 감.</t>
  </si>
  <si>
    <t>친구들 간에 갈등관계가 생겼을 때 약자 편에 서서 대화로써 친구 사이를 잘 중재하여 사이 좋은 친구 관계가 되도록 노력함.</t>
  </si>
  <si>
    <t>평소 급우들 사이에서 발생한 갈등으로 힘들어 하는 친구에게 먼저 다가가 아픔을 나누고자 하였고, 드러나지 않게 조력활동을 펼쳐 문제를 해결함.</t>
  </si>
  <si>
    <t>문제를 해결할 때 자신의 의견만 내세우기보다 주위 사람들의 의견에 귀를 기울이고 긍정적인 방향으로 생각하려 애쓰는 모습을 보이며 객관적인 시각으로 문제를 바라보려고 노력함.</t>
  </si>
  <si>
    <t>친구와의 갈등문제가 발생하면 급하게 서두르기 보다 침착하게 마음의 여유를 두고 차근 차근 충분히 생각한 후 문제해결을 위해 이성적으로 접근하려고 노력함.</t>
  </si>
  <si>
    <t>친구와의 갈등이 생겼을 때 가능하면 빨리 자신이 먼저 접근하여 해결하고자 여러 가지 방법을 모색하며 노력함.</t>
  </si>
  <si>
    <t>친구와의 갈등문제 발생 시 자신의 잘못에 대해서는 주저하지 않고 먼저 잘못을 인정하고 사과함으로써 조기에 문제를 잘 해결함.</t>
  </si>
  <si>
    <t>친구의 입장에서 문제를 생각하고 갈등을 조기에 해결할 수 있도록 상대방의 요구를 잘 수용하는 양보심이 강함.</t>
  </si>
  <si>
    <t>친구들간에 갈등 발생 시 합리적인 의사소통과 대화를 잘 유도하고 이를 통해 갈등을 잘 조정하고 원만하게 해결하는 중재자 역할을 잘 수행하기도 함.</t>
  </si>
  <si>
    <t>친구와의 갈등이 생겨 다툰 후에는 먼저 다가가 사과함으로써 화해를 이끌어내는 등 이해심과 양보심이 강함.</t>
  </si>
  <si>
    <t>친구들과 다투는 것 자체를 싫어하여 먼저 상대방을 이해하고 양보함으로써 갈등상황을 해소함.</t>
  </si>
  <si>
    <t>언쟁 시 자신의 주장만 옳다고 언성을 높이지 않고 차분하게 이성적이고 논리적으로 대화를 통해 해결하려고 노력함.</t>
  </si>
  <si>
    <t xml:space="preserve">친구와 의견충돌이 생겼을 때 다른 친구들의 의견을 구하는 등 적극적으로 문제해결에 대한 강한 의지를 보임. </t>
  </si>
  <si>
    <t xml:space="preserve">친구와의 갈등문제가 발생하면 신속하게 보호자나 담임을 통해 도움을 요청함으로써 문제가 확대되기 전에 조기에 문제를 잘 해결할 수 있도록 함. </t>
  </si>
  <si>
    <t>친구와의 갈등문제가 생겼을 때 약자의 편에 서서 위로하고 갈등해결을 위해 도우려고 노력함.</t>
  </si>
  <si>
    <t xml:space="preserve">친구와의 문제 발생 시 자신이 먼저 양보하여 조기에 문제를 잘 해결함. </t>
  </si>
  <si>
    <t>사소한 일로 화를 잘 내지 않고 긍정적인 마음으로 상대방을 대함으로써 싸우는 일이 없음.</t>
  </si>
  <si>
    <t>또래 중재자로서 일상생활 사소한 다툼의 원인을 해결하고 서로 이해하고 존중하는 교실분위기를 이끌었으며, 반장으로서 학급회의 진행 시 다른 의견을 가진 급우들의 의사를 존중하고 공동의 목표를 위해 서로 토론하고 타협하도록 회의를 이끌어 감.</t>
  </si>
  <si>
    <t>친구와의 갈등이 생기면 논리적인 대화를 통해 해결하려고 노력하며 다른 친구들의 갈등관계를 잘 중재하거나 문제점을 잘 파악하여 해결함.</t>
  </si>
  <si>
    <t>친구의 심한 장난으로 다치는 일이 있어도 친구의 사과를 받아들여 용서함으로써 지속적인 절친한 관계를 잘 유지함.</t>
  </si>
  <si>
    <t>친구들끼리 장난이나 축구게임 중 시비가 발생하면 적극 나서 말리거나 중재하여 대화로 해결할 수 있도록 유도함.</t>
  </si>
  <si>
    <t xml:space="preserve">   ※ 상벌점 프로그램에서 자료를 복사하여 붙여넣기한 다음 참고용
      으로 활용하기 바랍니다.</t>
  </si>
  <si>
    <t>규칙준수</t>
  </si>
  <si>
    <t>상벌점 학생별 자료(작성하지 않아도 됨)</t>
  </si>
  <si>
    <t>현재</t>
  </si>
  <si>
    <t>상점</t>
  </si>
  <si>
    <t>상점횟수</t>
  </si>
  <si>
    <t>벌점</t>
  </si>
  <si>
    <t>벌점횟수</t>
  </si>
  <si>
    <t>누계</t>
  </si>
  <si>
    <t>등교시간위반</t>
  </si>
  <si>
    <t>학교규칙을 꺼리낌 없이 위반하는 행동에 대한 솔직한 인정과 진정성 있는 반성을 통해 긍정적인 행동의 개선이 이루어진다면 향후 보다 바람직한 학생으로의 변화가 기대됨.</t>
  </si>
  <si>
    <t>23</t>
  </si>
  <si>
    <t>-19</t>
  </si>
  <si>
    <t>17.0</t>
  </si>
  <si>
    <t>사소한 학교 규칙을 준수하는 태도를 함양한다면 향후에는 모범적인 생활태도를 가진 학생으로의 변화가 기대되는 학생임.</t>
  </si>
  <si>
    <t>47</t>
  </si>
  <si>
    <t>29</t>
  </si>
  <si>
    <t>-3</t>
  </si>
  <si>
    <t>2</t>
  </si>
  <si>
    <t>44.0</t>
  </si>
  <si>
    <t>도로에 차가 없어서 많은 사람들이 무단횡단을 하고 있음에도 불구하고, 이 학생은 신호등이 바뀐 뒤에 도로를 횡단하는 등 아주 사소한 규칙도 잘 지키면서 타인과 정정당당히 경쟁하는 건전한 정신을 지니고 있음.</t>
  </si>
  <si>
    <t>-66</t>
  </si>
  <si>
    <t>45</t>
  </si>
  <si>
    <t>-37.0</t>
  </si>
  <si>
    <t>생활 안전지킴이 활동을 통해 등교학생들의 선도 활동에 매우 충실함은 물론 스스로 학교규칙을 잘 준수하고 학급내의 사소한 규칙도 양심껏 잘 지킴.</t>
  </si>
  <si>
    <t>51</t>
  </si>
  <si>
    <t>1</t>
  </si>
  <si>
    <t>48.0</t>
  </si>
  <si>
    <t>집단의 규칙을 준수하려는 규범적인 면이 부족하고 충동적으로 행동한 후 후회할 때가 많으므로 감정을 조절하고 인내심을 기를 수 있도록 지속적으로 지도함.</t>
  </si>
  <si>
    <t>14</t>
  </si>
  <si>
    <t>0</t>
  </si>
  <si>
    <t>20.0</t>
  </si>
  <si>
    <t>등교시간을 비롯하여 약속시간과 교칙을 잘 지키며 용모가 단정하여 다른 급우들에게 모범이 됨.</t>
  </si>
  <si>
    <t>-9</t>
  </si>
  <si>
    <t>8</t>
  </si>
  <si>
    <t>23.0</t>
  </si>
  <si>
    <t>학급 규칙을 정하고 지키는 일에 앞장서 학급 전체가 그린마일리지 학급상을 수여하는데 큰 공을 세움.</t>
  </si>
  <si>
    <t>-1</t>
  </si>
  <si>
    <t>35.0</t>
  </si>
  <si>
    <t>학생으로서 지켜야 할 복장, 시간 엄수, 언행 등 학교규칙을 잘 지켜 이를 인정받아 모범상을 수상함.</t>
  </si>
  <si>
    <t>15</t>
  </si>
  <si>
    <t>0.0</t>
  </si>
  <si>
    <t>등교시간 위반횟수(27회)가 점차 늘어나고 있어 시간을 준수하고자 하는 적극적인 행동의 변화가 필요함.</t>
  </si>
  <si>
    <t>30</t>
  </si>
  <si>
    <t>18</t>
  </si>
  <si>
    <t>-36</t>
  </si>
  <si>
    <t>25</t>
  </si>
  <si>
    <t>-6.0</t>
  </si>
  <si>
    <t>등교시간을 가끔 지키지 않아 꾸준히 지도하고 있으나 적극적인 행동의 변화가 요구됨.</t>
  </si>
  <si>
    <t>-24</t>
  </si>
  <si>
    <t>6.0</t>
  </si>
  <si>
    <t>교내 외 공중도덕과 규칙을 잘 지키고 남에게 피해를 주는 일이 없도록 항상 노력함.</t>
  </si>
  <si>
    <t>27</t>
  </si>
  <si>
    <t>17</t>
  </si>
  <si>
    <t>-7</t>
  </si>
  <si>
    <t>4</t>
  </si>
  <si>
    <t>다른 학생들이 잘 지키지 않는 학교규칙이라도 양심껏 잘 지키려고 노력함.</t>
  </si>
  <si>
    <t>42</t>
  </si>
  <si>
    <t>-12</t>
  </si>
  <si>
    <t>9</t>
  </si>
  <si>
    <t>30.0</t>
  </si>
  <si>
    <t xml:space="preserve">학교 내외에서 타인의 행동에 동요되지 않고 양심적으로 학교규칙과 공중도덕을 잘 지킴. </t>
  </si>
  <si>
    <t>18.0</t>
  </si>
  <si>
    <t>학교규칙이나 공중도덕을 잘 준수함은 물론 주변 친구나 가족이 규칙을 지키지 않을 경우 상대방의 마음이 상하지 않게 잘 설득하여 지적함.</t>
  </si>
  <si>
    <t>13</t>
  </si>
  <si>
    <t>-13</t>
  </si>
  <si>
    <t>10</t>
  </si>
  <si>
    <t>9.0</t>
  </si>
  <si>
    <t>교칙을 잘 지킴은 물론 다른 사람이 보지 않는 곳에서도 양심적으로 자신과 타인의 안전을 위한 교통규칙과 공중도덕을 잘 지킴.</t>
  </si>
  <si>
    <t>40</t>
  </si>
  <si>
    <t>7</t>
  </si>
  <si>
    <t>27.0</t>
  </si>
  <si>
    <t xml:space="preserve">주변 사람들이 무단횡단을 하고 있음에도 불구하고 횡단보도가 있는 곳에서 교통신호에 따라 건너는 등 양심적으로 행동함. </t>
  </si>
  <si>
    <t>-5</t>
  </si>
  <si>
    <t>3.0</t>
  </si>
  <si>
    <t>등교시간 위반횟수(51회)가 많아 지속적으로 지도하고 있으나 습관적인 행동의 변화가 잘 이루지지 않음.</t>
  </si>
  <si>
    <t>21</t>
  </si>
  <si>
    <t>-46</t>
  </si>
  <si>
    <t>-15.0</t>
  </si>
  <si>
    <t>학교규칙을 잘 준수하고 학급내의 사소한 규칙도 양심껏 잘 지킴.</t>
  </si>
  <si>
    <t>타인의 행동에 동요되어 감정이 쉽게 흔들리지 않으며 학교규칙과 공중도덕을 양심적이고 소신 있게 잘 지킴.</t>
  </si>
  <si>
    <t>-43</t>
  </si>
  <si>
    <t>-14.0</t>
  </si>
  <si>
    <t>학교규칙이나 학급의 사소한 규칙을 잘 지킴은 물론 학교 밖에서도 공공질서와 공중도덕을 잘 준수함.</t>
  </si>
  <si>
    <t>16</t>
  </si>
  <si>
    <t>4.0</t>
  </si>
  <si>
    <t>비교적 학교규칙은 잘 지키려고 노력하지만 휴대폰 관리규칙을 잘 지키지 않아 지도를 받을 때가 있음.</t>
  </si>
  <si>
    <t>22.0</t>
  </si>
  <si>
    <t>등교시간을 가끔 지키지 않아 꾸준히 지도하고 있으나 행동의 변화가 잘 이루지지 않음.</t>
  </si>
  <si>
    <t>-38</t>
  </si>
  <si>
    <t>-7.0</t>
  </si>
  <si>
    <t>등교시간에 지각하거나 실내에서 운동화를 착용하여 지도를 받는 경우가 간혹 있음.</t>
  </si>
  <si>
    <t>12.0</t>
  </si>
  <si>
    <t>타인의 행동에 동요되어 학교규칙을 위반하는 경우가 가끔 있으나 개선하고자 하는 의지를 보이기도 함.</t>
  </si>
  <si>
    <t>-50</t>
  </si>
  <si>
    <t>-20.0</t>
  </si>
  <si>
    <t>정해진 등교시간을 잘 지키지 않아 지속적으로 지도하고 있으나 행동의 개선이 잘 이루지지 않음.</t>
  </si>
  <si>
    <t>등교시간 위반횟수(40회)가 많아 지속적으로 지도하고 있으나 습관적인 행동의 변화가 잘 이루지지 않음.</t>
  </si>
  <si>
    <t>실내에서 수시로 운동화를 착용하거나 교실바닥에 방치하는 행위로 인해 교실 위생을 저해하기 때문에 지속적인 지도를 하고 있으나 자발적인 행동의 개선이 잘 이루어지지 않음.</t>
  </si>
  <si>
    <t>44</t>
  </si>
  <si>
    <t>33</t>
  </si>
  <si>
    <t>-4</t>
  </si>
  <si>
    <t>40.0</t>
  </si>
  <si>
    <t>사소한 학교규칙을 잘 지키고 통학 시 횡단보도에서 보는 사람이 없을 때에도 신호등을 양심적으로 준수하는 등 공중도덕과 질서를 잘 지킴.</t>
  </si>
  <si>
    <t>-11</t>
  </si>
  <si>
    <t>52.0</t>
  </si>
  <si>
    <t>학생으로서 근면 성실하고 품행이 바르고 다른 학생의 모범이 되며 학교규칙을 잘 지켜 이를 인정받아 청소년의 달 시 교육감 표창을 수상함.</t>
  </si>
  <si>
    <t>16.0</t>
  </si>
  <si>
    <t>타인을 이해하고 규칙을 준수하는 생활태도를 갖추었으며 급우간의 학교폭력 문제를 앞장서 해결하기 위해 노력함.</t>
  </si>
  <si>
    <t>-2</t>
  </si>
  <si>
    <t xml:space="preserve">학교 내외에서 타인의 행동에 동요되지 않고 양심적으로 학교규칙이나 교통법규 및 공중도덕을 잘 지킴. </t>
  </si>
  <si>
    <t>-29.0</t>
  </si>
  <si>
    <t>등교시간 위반횟수(41회)가 많고 실내에서 운동화 관리규칙을 수시로 잘 지키지 않아 지속적으로 지도하고 있으나 습관적인 행동의 개선이 잘 이루지지 않음.</t>
  </si>
  <si>
    <t>-69</t>
  </si>
  <si>
    <t>-52.0</t>
  </si>
  <si>
    <t>등교시간 위반횟수(44회)가 많고 교실에서 운동화를 수시로 착용하며 핸드폰 관리위반과 주번활동이나 청소를 가끔하지 않는 등 긍정적인 행동의 변화가 적음.</t>
  </si>
  <si>
    <t>-102</t>
  </si>
  <si>
    <t>68</t>
  </si>
  <si>
    <t>-72.0</t>
  </si>
  <si>
    <t>등교시간 위반횟수(56회)가 많고 교실에서 운동화를 착용하는 경우와 급식질서 위반 등이 수시로 있으며, 흡연으로 여러 차례 적발되었으나 지속적인 지도를 통해 교내흡연은 점차 개선됨.</t>
  </si>
  <si>
    <t>86</t>
  </si>
  <si>
    <t>-133</t>
  </si>
  <si>
    <t>89</t>
  </si>
  <si>
    <t>-47.0</t>
  </si>
  <si>
    <t>35</t>
  </si>
  <si>
    <t>-116</t>
  </si>
  <si>
    <t>-81.0</t>
  </si>
  <si>
    <t xml:space="preserve"> ※ 오른쪽에 제시된 예시문을 골라 코드번호를 코드입력란에 입력하면 [종합의견] 시트에 자동 반영됨.   제시된 예시문은 수정, 편집이 가능하며, 150개 까지 입력하여 사용할 수 있습니다. </t>
  </si>
  <si>
    <t>예체능</t>
  </si>
  <si>
    <t>축구를 좋아하며 경기의 승패를 떠나 서로를 격려하고 발전하는 것에 의미를 부여하는 학생임.</t>
  </si>
  <si>
    <t>경기 중에는 공격수 역할을 하면서도 수시로 팀원을 찾아 격려해주고 경기 후에는 교우들을 다독거리며 단합시키는 모습이 인상적임.</t>
  </si>
  <si>
    <t>사물과 인체의 동작 묘사 능력이 우수할 뿐 아니라 애니메이션의 스토리전개 능력이 남다르고 카툰의 기본 흐름을 잘 이해하여 만화가로서의 기본 소양을 충분히 지님.</t>
  </si>
  <si>
    <t>체육 및 학교스포츠클럽 시간에 매우 적극적으로 참여하여 친구들과의 소통과 유대를 강화하며 과학포스터 그리기에서도 뛰어난 재능을 보임.</t>
  </si>
  <si>
    <t>학생건강체력평가(PAPS)를 활용한 체력 요소별 측정 방법을 정확히 이해하고, 그에 따른 자신의 부족한 체력 요소(심폐지구력)를 향상시키기 위해 다양한 운동에 적극적으로 참여하고 꾸준히 운동해 나감.</t>
  </si>
  <si>
    <t>체육교과의 기본 운동능력이 골고루 뛰어나고 그 중에서 순발력이 매우 뛰어나 모든 체육교과 활동에서 탁월한 기능을 발휘함.</t>
  </si>
  <si>
    <t>취미를 통해 배워 익힌 서예에 조예가 깊고, 체육에 대한 관심이 높아 학급대항 피구 리그전에 참여하여 급우들과 적극 협력하여 우수한 성적을 거둠.</t>
  </si>
  <si>
    <t>음악에 대한 관심과 조예가 깊고 특히 플루트를 잘 다루어 학교축제와 졸업식 축하공연에서 노래와 기타연주를 통해 실력을 맘껏 발휘하여 학생들에게 좋은 반응을 얻음.</t>
  </si>
  <si>
    <t>음악에 대한 관심이 많고 다룰 줄 아는 악기가 많아 교내합창대회에서 피아노 반주를 통해 실력을 발휘함.</t>
  </si>
  <si>
    <t>음악에 대한 관심과 조예가 깊고 특히 플루트를 잘 다루어 교내 작은 음악회를 통해 실력을 맘껏 발휘하여 학생들에게 좋은 반응을 얻음.</t>
  </si>
  <si>
    <t>달리기를 잘하고 축구 기본기능이 우수하여 반 대항 리그전에서 주도적인 역할을 함으로써 급우들과의 소통과 유대를 강화하는데 기여함.</t>
  </si>
  <si>
    <t>체육에 대한 흥미가 많아 체육시간 외에도 점심시간과 쉬는 시간을 활용하여 급우들과 어울려 스포츠 활동을 즐겨함.</t>
  </si>
  <si>
    <t>창의성과 미술적 표현력이 우수하여 교내 과학의 달 행사 저탄소 녹색성장그림그리기 대회에서 우수한 재능을 보였으며 교내스포츠클럽 대회 피구대표로 적극적으로 참여하여 학급이 우승하는데 일조함.</t>
  </si>
  <si>
    <t>배드민턴 동아리활동을 적극적으로 하는 학생으로 점심시간 배드민턴 경기를 주도하여 급우들의 체력 증진에 기여하였으며 교내 동아리 대항전에 출전하여 우수한 성적을 받음.</t>
  </si>
  <si>
    <t>교내학교스포츠클럽 피구리그전에 학급대표로 참가하여 공격을 주도적으로 이끌어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</si>
  <si>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드높임. </t>
  </si>
  <si>
    <t xml:space="preserve">체육부장으로서 모든 체육활동에 대한 관심이 대단히 높고 열성적으로 참여하며 서부교육지원청 및 시교육청 주최 학교스포츠클럽 플로어볼 대회에 참가하여 자신의 역할에 최선을 다해 재능을 발휘함으로써 우수한 성적을 거두어 학교의 명예를 높임. </t>
  </si>
  <si>
    <t>그림 그리기에 흥미와 관심이 많고 자세하게 보고 그리는 재능이 있으며, 특히 만화 그리기를 좋아하고 이야기를 재미있게 잘 구성함.</t>
  </si>
  <si>
    <t>교내학교스포츠클럽 축구 리그전에 학급대표로 참가하여 공격수를 맡아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</si>
  <si>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높였으며 교내학교스포츠클럽 축구 리그전에 학급대표로 참가하여 공격수를 맡아 학급이 우승을 하는데 크게 기여함. </t>
  </si>
  <si>
    <t>농구를 좋아하며 서부교육지원청 주최 동아리농구대회에 학교대표로 출전하였으며 마술에도 조예가 깊어 교내 축제에서 공연을 펼쳐 자신의 재능을 발휘하고 돋보이게 함.</t>
  </si>
  <si>
    <t>(내용이 없는 코드번호를 입력했습니다.)</t>
  </si>
  <si>
    <r>
      <t xml:space="preserve">    ※ [인성]시트 부터 [예체능]시트 중 항목별로 해당 학생에게 적합한 코드번호를 골라 입력하면 본 시트에
       자동반영 됩니다.  </t>
    </r>
    <r>
      <rPr>
        <b/>
        <sz val="11"/>
        <color rgb="FFFF0000"/>
        <rFont val="맑은 고딕"/>
        <family val="3"/>
        <charset val="129"/>
      </rPr>
      <t>내용이 없는 코드번호를 입력하면 해당항목과 경고문이 출력됩니다.</t>
    </r>
  </si>
  <si>
    <t>제작자 : 계수중학교 이쌍철(입력형식변경 적용본)</t>
  </si>
  <si>
    <t xml:space="preserve">  ※ 해당학생의 문구 셀을 선택 ▶ 복사[ Ctrl+C ] ▶ 나이스 [특기사항] 입력란에 붙여넣기[ Ctrl+V ]  ▶ 
     저장( 필요 시 추가 수정 편집 후 저장)하면 됩니다.</t>
  </si>
  <si>
    <t>항목별 코드입력 여부 확인표</t>
  </si>
  <si>
    <t>종합의견 [ 나이스 복사용 ]</t>
  </si>
  <si>
    <t>선택한
 항목수</t>
  </si>
  <si>
    <t>붙임내용
공백제거</t>
  </si>
  <si>
    <t>붙인내용</t>
  </si>
  <si>
    <t xml:space="preserve">심성이 바르고 온순하여 대인관계에서 다소 순응적이고 수용적인 편이며 매우 신중하고 조심스러운 성격임. </t>
    <phoneticPr fontId="24" type="noConversion"/>
  </si>
  <si>
    <t>성격이 내성적이고 혼자 생각하여 결정하거나 다소 고집스러우며 순간적인 화를 잘 참지 못하여 강한 척 하지만 근본적으로 마음이 여리고 따뜻한 면이 있어 자신의 감정을 잘 조절 한다면 원만한 대인관계와 더불어 학교생활에 잘 적응할 것으로 판단됨.</t>
    <phoneticPr fontId="24" type="noConversion"/>
  </si>
  <si>
    <t>학교 행사에서 무거운 짐을 솔선하여 나르고 모두가 싫어하는 일을 스스로 맡아 구성원들이 제 역할을 즐겁고 열심히 수행하도록 동기부여를 함.</t>
    <phoneticPr fontId="24" type="noConversion"/>
  </si>
  <si>
    <t>체육에 대한 관심과 기본적인 운동기능이 좋아 교과시간 외에도 친구들과 어울려 스포츠 활동하기를 매우 좋아함.</t>
    <phoneticPr fontId="24" type="noConversion"/>
  </si>
  <si>
    <t>농구를 좋아하며 교내 체육대회에 학급대표로 출전하였으며 체육에 대한 관심과 기본적인 운동기능이 좋아 교과시간 외에도 친구들과 어울려 스포츠 활동하기를 매우 좋아함.</t>
    <phoneticPr fontId="24" type="noConversion"/>
  </si>
  <si>
    <t>자신의 진로희망과 관련된 목표를 설정하고 긍정적인 사고의 전환과 실천이 이루어진다면 자신의 꿈을 실현할 수 있는 가능성이 점차 높아질 것으로 기대함.</t>
    <phoneticPr fontId="24" type="noConversion"/>
  </si>
  <si>
    <t>수학부장으로서 수업활동 도우미로 성실하게 활동하며 수학에 대한 관심과 수학적 사고력을 키워나가기 위해 노력함.</t>
  </si>
  <si>
    <t>프로그래밍을 좋아하고 교과성적이 매우 우수할 뿐 아니라 전공관련 여러 대회와 행사에 적극적으로 참여하여 우수한 성적을 거둠.</t>
    <phoneticPr fontId="24" type="noConversion"/>
  </si>
  <si>
    <t>수학, 과학을 좋아하고 교과성적이 매우 우수할 뿐 아니라 과학동아리 활동과 여러 과학대회에 적극적으로 참여하며 과학에 대한 폭넓은 이해와 창의력을 키우기 위해 노력하여 교내 과학탐구토론대회에서 우수한 성적을 거둠. 수학부장으로서 수업활동 도우미로 성실하게 활동하며 수학에 대한 관심과 수학적 사고력을 키워나가기 위해 노력함.</t>
    <phoneticPr fontId="26" type="noConversion"/>
  </si>
  <si>
    <t>진로 희망</t>
    <phoneticPr fontId="24" type="noConversion"/>
  </si>
  <si>
    <t>희망 사유</t>
    <phoneticPr fontId="24" type="noConversion"/>
  </si>
  <si>
    <t>게임 개발자</t>
  </si>
  <si>
    <t>자신의 꿈인 프로그래머와 관련된 서적이나 영상를 관심 있게 시청하는 등 자신의 진로 개척을 위해 진지한 성찰과 노력을 기울임.</t>
    <phoneticPr fontId="24" type="noConversion"/>
  </si>
  <si>
    <t>진로에 대한 보다 구체적인 탐색을 통해 관련된 정보와 지식을 획득하고 진로와 관련된 컴퓨터 자격증을 취득하는 등 자신이 의도하는 목표가 뚜렷함.</t>
    <phoneticPr fontId="24" type="noConversion"/>
  </si>
  <si>
    <t>3D 디자인에 관심이 많고 상상력이 풍부하며 3D 동아리 활동과 3D 프로그램을 학습하는 등 자신이 희망하는 진로와 연계하여 관련 정보와 지식을 축적하고 있어 발전가능성이 보임.</t>
    <phoneticPr fontId="26" type="noConversion"/>
  </si>
  <si>
    <t>풍부한 상상력과 아이디어를 바탕으로 프로그래밍 정보를 꾸준히 탐구하고 관련 지식을 축적하는 등 진로개척을 위해 꾸준히 노력하고 있어 장래가 기대되는 학생임.</t>
    <phoneticPr fontId="26" type="noConversion"/>
  </si>
  <si>
    <t>양보심이 많고 상대방의 마음을 잘 이해하여 친구들이 서로 어울리기를 좋아하며 다투는 일이 없음.</t>
    <phoneticPr fontId="26" type="noConversion"/>
  </si>
  <si>
    <t>2016학년도 2학기 또래 학습 멘토링(2016.09.19.~2016.12.12.)에 멘토로 참여하여 멘티 학생의 학습계획 수립 및 꾸준한 학습활동을 도움으로써 협력을 통한 공동체 학습 분위기를 조성하는데 기여함.</t>
    <phoneticPr fontId="26" type="noConversion"/>
  </si>
  <si>
    <t>교내 체육대회 준비과정에서 급우들의 의견을 잘 조율하고 협력관계를 잘 유지하도록 노력하였으며 수업 중 학습에 어려움을 겪는 동료들에게 친절하게 설명하여 도움을 줌.</t>
    <phoneticPr fontId="26" type="noConversion"/>
  </si>
  <si>
    <t>학교행사 및 과제 수행 시 구성원들이 할 일을 분담하여 할 수 있도록 조언을 하고 서로 격려하며 잘 할 수 있도록 분위기를 조성함.</t>
    <phoneticPr fontId="26" type="noConversion"/>
  </si>
  <si>
    <t>학급의 체육부장으로서 선생님을 도와 수업이 원활하게 진행될 수 있도록 솔선수범하였으며 체육대회 응원준비를 하는 과정에서도 리더십을 발휘하며 적극적으로 활동함.</t>
    <phoneticPr fontId="26" type="noConversion"/>
  </si>
  <si>
    <t>모둠활동 수업 시 급우들과 어울려 함께 공부하는 것을 매우 좋아하고 과제를 해결함에 있어 적극 협력하여 모둠활동에 도움이 되고자 노력함.</t>
    <phoneticPr fontId="26" type="noConversion"/>
  </si>
  <si>
    <t>교외 체험학습 활동 시 돗자리를 펴고 접고 옮기는 일에 솔선하여 도와주고 다른 친구들이 버린 쓰레기를 주워 처리하는 등 남이 하기 싫은 일에 적극적으로 임함.</t>
    <phoneticPr fontId="26" type="noConversion"/>
  </si>
  <si>
    <t>등교시간에 지각하는 횟수가 비교적 많아 꾸준히 지도하였으나 크게 개선되지 않기에 추후에도 지속적인 지도가 필요함.</t>
    <phoneticPr fontId="26" type="noConversion"/>
  </si>
  <si>
    <t>등교시간 위반(49회)과 무단지각 회수가 잦고 교실에서 운동화를 착용하거나 급식질서 위반 등이 수시로 있으며, 흡연으로 여러 차례 적발되었으나 지속적인 지도를 통해 교내흡연은 점차 개선됨.</t>
    <phoneticPr fontId="26" type="noConversion"/>
  </si>
  <si>
    <t>등교시간에 간혹 지각하는 경우가 있으나 전반적으로 학교규칙이나 공중도덕을 잘 지킴.</t>
    <phoneticPr fontId="26" type="noConversion"/>
  </si>
  <si>
    <t>등교시간에 수시로 지각하여 꾸준히 지도한 결과 학년말에는 횟수가 급격히 감소하여 습관적인 행동이 많이 개선되었으며 전반적으로 학교규칙을 잘 지킴.</t>
    <phoneticPr fontId="26" type="noConversion"/>
  </si>
  <si>
    <t>생활 안전지킴이 활동을 통해 등교학생들의 안전활동에 매우 충실함은 물론 스스로 학교규칙을 엄격하게 잘 준수함.</t>
    <phoneticPr fontId="26" type="noConversion"/>
  </si>
  <si>
    <t>학년말에 등교시간 지각이 잦아 행동의 개선을 위해 집중적으로 지도함.</t>
    <phoneticPr fontId="26" type="noConversion"/>
  </si>
  <si>
    <t>등교시간에 수시로 지각을 하는 편이지만 전반적인 학교규칙이나 공중도덕은 양심껏 잘 지킴.</t>
    <phoneticPr fontId="26" type="noConversion"/>
  </si>
  <si>
    <t xml:space="preserve">교내외에서 타인의 행동에 동요되지 않고 양심적으로 학교규칙이나 교통법규 및 공중도덕을 잘 지킴. </t>
    <phoneticPr fontId="26" type="noConversion"/>
  </si>
  <si>
    <t>항상 용의가 단정하고 학교규칙을 잘 지키는 편이며 등교시간에 간혹 지각한 경우가 있었지만 스스로 자신을 잘 통제하고 개선함.</t>
    <phoneticPr fontId="26" type="noConversion"/>
  </si>
  <si>
    <t>리듬감각이 뛰어나 우쿠렐레 악기연주에 재능을 가지고 있으며 학교축제 때 자신의 우쿠렐레 연주 능력을 발휘하여 축제분위기를 한층 드높임.</t>
    <phoneticPr fontId="26" type="noConversion"/>
  </si>
  <si>
    <t xml:space="preserve">교우관계가 원만하고 자신이 계획한 바를 주도면밀하게 잘 실천하며 자신의 생각과 주장을 잘 표현하여 다수의 공감대를 이끌어내는 결단력과 리더십이 뛰어남.        </t>
    <phoneticPr fontId="24" type="noConversion"/>
  </si>
  <si>
    <t xml:space="preserve">학급부반장으로서 정서가 안정되고 침착하여 어려운 일이 닥쳐도 마음이 쉽게 흔들리지 않으며 자신의 생각과 주장을 잘 표현하여 다수의 공감대를 이끌어내는 결단력과 리더십이 뛰어남.   </t>
    <phoneticPr fontId="24" type="noConversion"/>
  </si>
  <si>
    <t>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t>
    <phoneticPr fontId="24" type="noConversion"/>
  </si>
  <si>
    <t>교과수업시간에 충실함은 물론 쉬는 시간을 활용해 독서를 지속적으로 하는 등 자신이 세운 학습목표에 따라 열심히 노력함으로써 우수한 학업성취도를 유지함.</t>
    <phoneticPr fontId="24" type="noConversion"/>
  </si>
  <si>
    <t xml:space="preserve">문제 상황에 부딪쳤을 때 기지를 발휘해서 이를 해결하는 재치가 돋보임. </t>
  </si>
  <si>
    <t xml:space="preserve">새로운 것을 상상하고 고안하는 힘이 뛰어나 문제를 새로운 시각에서 해석하고 풀어내는 능력이 돋보임. </t>
  </si>
  <si>
    <t>제시된 방법이 아닌 자신만의 독창적인 방법으로 문제를 해결하는 능력이 탁월함.</t>
  </si>
  <si>
    <t xml:space="preserve">진실을 말하되 상대방의 심정을 고려하여 친절하고 부드럽게 표현하는 능력이 뛰어남. </t>
  </si>
  <si>
    <t>1년 동안 학급에 비치된 서적 관리, 공지사항 안내 등 사소하지만 남들이 꺼리는 일을 성실하게 수행함.</t>
    <phoneticPr fontId="26" type="noConversion"/>
  </si>
  <si>
    <t>임베디드분야 전자회로설계사</t>
  </si>
  <si>
    <t>학교 전공 수정 시간에 배운 전자회로 설계 및  제작과정에 흥미와 재미를 느껴 임베디드소프트웨어분야의 전자회로설계사가 되고싶다는 진로희망을 가지게 됨.</t>
  </si>
  <si>
    <t>다양한 사람들과 여러 가지 분야를 융합하여 제품을  개발해야하는 게임 개발에  매력을 느껴 게임 개발자가 되기를 희망함.</t>
  </si>
  <si>
    <t>공기업(한전KDN)</t>
  </si>
  <si>
    <t>평소 학생과 학부모 모두 공기업 취업을 꿈꾸고 있었는데, 한전KDN을 견학한 후 한전KDN 입사를 희망하게 됨.</t>
  </si>
  <si>
    <t>임베디드분야 개발자</t>
  </si>
  <si>
    <t>다양한 임베디드 제품들을 만들어보면서 전자장치는 세상을  움직이는 원동력 중 하나 라는 생각을 가지게 되었고, 스스로 세상을 움직이게 하는 제품을 만들어보고싶어 임베디드분야 개발자가 되기를  희망함.</t>
  </si>
  <si>
    <t>스마트팩토리 분야 개발자</t>
  </si>
  <si>
    <t>파이썬을 공부하게 되면서 빅데이터에 대해 관심을 갖게  되었는데, 이런 빅데이터를 제대로 활용할 수 있는 분야인 스마트팩토리 분야에서 일하고 싶다는 희망을 갖게 됨.</t>
  </si>
  <si>
    <t>임베디드 개발자</t>
  </si>
  <si>
    <t>기술력이 우수하고 많은 것을 배울 수 있어 남다른 실력을  기르고 싶기 때문에 벤처기업의 임베디드 개발자가 되기를 희망함.</t>
  </si>
  <si>
    <t>데이터베이스 관리자</t>
  </si>
  <si>
    <t>전공 수업시간에 배운 데이터베이스 구축 및 관리에 흥미를  느껴 데이터베이스 관리자가 되기를 희망함.</t>
  </si>
  <si>
    <t>전산관리자</t>
  </si>
  <si>
    <t>서버와 네트워크에 전문 지식을 가지고 한 회사의 전산망을 관리하는  전산관리자가 되기를 희망함.</t>
  </si>
  <si>
    <t>공학 분야  개발자</t>
  </si>
  <si>
    <t>공학 관련 직종이 앞으로 점점 더 전망이 좋아질 것이라고  생각하고, 부모님의 권유로 공학계열 개발자가 되기를 꿈꾸게 됨.</t>
  </si>
  <si>
    <t>교사</t>
  </si>
  <si>
    <t>교사는 공무원이라는 안정적인 직장이고, 아이들을 가르치는 모습에 매력을 느껴 학교 선생님이 되기를 희망함.</t>
  </si>
  <si>
    <t>서버관리자/정보통신 개발자</t>
  </si>
  <si>
    <t>JAVA 프로그래밍 언어를 통하여 소켓통신을 접하게 되었는데 지금까지 배웠던 전공분야 중 가장 즐거워 이 분야가 가장 흥미롭다는 생각이 들어 정보통신 개발자나 서버관리자가 되기를 희망함.</t>
  </si>
  <si>
    <t>백신프로그램 개발자</t>
  </si>
  <si>
    <t>컴퓨터 바이러스를 치료하는 백신 중 애드웨어와 같이 결제를 유도하는 상업적인 목적의 프로그램을 접하고 자신이 직접 저렴한 가격의 백신을 개발하고 싶다는 희망을 품게 됨.</t>
  </si>
  <si>
    <t>기계공학 기술자/기계공학 연구원</t>
  </si>
  <si>
    <t>여러 기계들을 만들고 개발하는 일을 하면서 여러 센서와 부품들의 사용방법을 익히고, 그 경험들을 이용하여 미래에 평소에  불편하다고 느끼는 점들을 보완할 수 있는 기계를 만들어 보고 싶어 함.</t>
  </si>
  <si>
    <t>자동차공학기술자</t>
  </si>
  <si>
    <t>어릴적부터 자동차를 보는 것과 타는 것을 좋아했고, 자율주행 자동차의 소프트웨어와 부품 등을 개발하고 싶어서 자동차공학기술자가 되기를 희망함.</t>
  </si>
  <si>
    <t>정보보안분야 개발자</t>
  </si>
  <si>
    <t>대학교에서 시행한 정보보호 영재교육원 수업과 학교의 정보보안 동아리 수업을 들으면서 보안 분야에 흥미와 재미를 느껴 정보보안분야 개발자가 되기를 희망함.</t>
  </si>
  <si>
    <t>로봇 개발자</t>
  </si>
  <si>
    <t>평소 로봇에 대한 관심이 많았고, 서울 코엑스 대한민국 산업기술 R&amp;D대전에서 스스로 행동하는 인공지능 로봇을 본 후 자신의 뜻대로 이용할 수 있는 로봇 개발을 꿈꾸게 됨.</t>
  </si>
  <si>
    <t>수업시간에 임베디드 분야의 프로그래밍을 배우면서 흥미를 느꼈고, 자신의 실력을 더 발전시켜 많은 사람들이 활용할 수 있는 임베디드 소프트웨어를 개발해 보고 싶다는 생각을 가지게 되어 임베디드 개발자가 되기를 희망함.</t>
    <phoneticPr fontId="24" type="noConversion"/>
  </si>
  <si>
    <t>임베디드 소프트웨어 개발자</t>
    <phoneticPr fontId="24" type="noConversion"/>
  </si>
  <si>
    <t>자신의 꿈인 공학 관련 개발자와 관련된 서적이나 동영상 강의를 공부하는 등 자신의 진로 개척을 위해 진지한 성찰과 노력을 기울이고 있어 장래가 기대되는 학생임.</t>
    <phoneticPr fontId="24" type="noConversion"/>
  </si>
  <si>
    <t>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t>
    <phoneticPr fontId="24" type="noConversion"/>
  </si>
  <si>
    <t>다양한 임베디드 프로토타입 제작 경험을 위해 적극적으로 도전하는 등 자신이 희망하는 진로와 연계하여 관련 정보와 지식을 축적하기 위해 노력함.</t>
    <phoneticPr fontId="24" type="noConversion"/>
  </si>
  <si>
    <t>자신의 꿈인 스마트 팩토리 개발자가 되기 위해 빅데이터 기술과 관련된 서적을 많이 읽고 전공공부에 중점을 두고 적극적인 자세로 꾸준히 노력하고 있어 발전 가능성이 보임.</t>
    <phoneticPr fontId="24" type="noConversion"/>
  </si>
  <si>
    <t>임베디드 소프트웨어 작품 제작에 관심이 많아 서적과 인터넷 등을 통해 관련 정보와 지식을 쌓음과 더불어 친구들과 팀으로 임베디드 작품을 제작하며 전문 지식 습득을 위해 노력하고 있어 장래가 기대됨.</t>
    <phoneticPr fontId="24" type="noConversion"/>
  </si>
  <si>
    <t>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t>
    <phoneticPr fontId="24" type="noConversion"/>
  </si>
  <si>
    <t>친구들의 학습에 도움을 주면서 어떻게 가르쳐야 하는지 방법을 알게 되면서 교직에 대한 진로의 목표를 가지고 열심히 노력하고 있음.</t>
    <phoneticPr fontId="24" type="noConversion"/>
  </si>
  <si>
    <t>서버와 네트워크에 관심이 많고 상상력이 풍부하며 전산망을 관리하는 기술에 대해 학습하는 등 자신이 희망하는 진로와 연계하여 관련 정보와 지식을 축적하고 있어 발전가능성이 보임.</t>
    <phoneticPr fontId="26" type="noConversion"/>
  </si>
  <si>
    <t>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t>
    <phoneticPr fontId="24" type="noConversion"/>
  </si>
  <si>
    <t>백신 프로그램 개발에 관심이 많아 컴퓨터 바이러스 프로그램에 관련된 정보를 관심 있게 찾아보고 기록하는 등 자신의 진로와 관련된 정보와 자료를 꾸준히 탐색함.</t>
    <phoneticPr fontId="24" type="noConversion"/>
  </si>
  <si>
    <t>다양한 기계를 만들고 움직이도록 프로그래밍 하는데 관심과 흥미가 많아 인터넷과, 서적 등을 통해 관련 정보를 많이 수집하고 기계 제작을 좋아하여 기계공학 기술자가 되기 위해 노력함.</t>
    <phoneticPr fontId="24" type="noConversion"/>
  </si>
  <si>
    <t>과학 분야에 관심이 많으며 과학 관련 TV 프로그램을 즐겨보거나 공상과학 영화에 나오는 로봇을 만들어 보고 싶은 생각을 하는 등 과학자의 꿈을 키워가고 있어 좀 더 구체적이고 현실적인 계획과 실천이 따른다면 좋은 결과가 있을 것으로 보임.</t>
    <phoneticPr fontId="24" type="noConversion"/>
  </si>
  <si>
    <t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t>
    <phoneticPr fontId="24" type="noConversion"/>
  </si>
  <si>
    <t>제출물 수집과 같이 남들이 기피하는 일을 도맡아 하는 이타 정신이 강하고 학급의 궂은 일이나 남을 돕는 일에 솔선수범함.</t>
    <phoneticPr fontId="24" type="noConversion"/>
  </si>
  <si>
    <t>학급의 스터디 그룹에 적극적으로 참여하여 그룹의 학습계획 수립과 학습활동을 도움으로써 협력을 통한 공동체 학습 분위기를 조성하는데 기여함.</t>
    <phoneticPr fontId="24" type="noConversion"/>
  </si>
  <si>
    <t>학교축제나 학교행사에 적극적으로 참여하였으며 특히 학교축제에서 여장으로 무대에 등장하여 축제분위기를 즐겁게 하는데 큰 역할을 함.</t>
    <phoneticPr fontId="24" type="noConversion"/>
  </si>
  <si>
    <t>학교 축제 시 학급의 체험부스 운영에 적극적으로 참여하여 체험 부스의 운영에 크게 기여함.</t>
    <phoneticPr fontId="24" type="noConversion"/>
  </si>
  <si>
    <t>친구들이 전공과 관련된 공부를 하다가 어려움에 처했을 때 친절하게 도움을 주고 적절한 해결 방향을 제시해줌.</t>
    <phoneticPr fontId="26" type="noConversion"/>
  </si>
  <si>
    <t>교내 체육대회 준비를 위한 선수 선발, 경기 준비 및 연습 등 서로 다른 의견을 조율하고 양보하도록 함으로써 학급 단합과 협력 관계 유지에 힘씀.</t>
    <phoneticPr fontId="24" type="noConversion"/>
  </si>
  <si>
    <t xml:space="preserve">역사 스터디 그룹에 참여하여 학력향상 의지를 가지고 협력 학습에 꾸준히 참여한 결과 학습 계획 수립 및 자기주도적 학습능력이 향상됨. </t>
    <phoneticPr fontId="24" type="noConversion"/>
  </si>
  <si>
    <t>그림에 대한 관심이 많아 그림을 잘 그리며, 춤을 좋아하여 댄서동아리에 가입하여 자신의 끼를 발산하여 열심히 참여하고 체육대회 응원전에 자신의 재능을 활용하여 안무를 구성하고 학급 구성원들에게 가르쳐 주는 등 학급구성원 모두가 단합하여 응원전에 참여할 수 있도록 하는데 기여함.</t>
    <phoneticPr fontId="24" type="noConversion"/>
  </si>
  <si>
    <t>교내체육대회 축구 리그전에 학급대표로 참가하여 골키퍼를 맡아 학급이 우승을 하는데 크게 기여함은 물론 교내 체육대회, 체육시간 활동 중 팀원들을 독려하면서 열정적인 모습으로 적극 참여함.</t>
    <phoneticPr fontId="24" type="noConversion"/>
  </si>
  <si>
    <t>리듬감각이 뛰어나 기타연주와 전자피아노연주 등 여러가지 악기연주에 재능을 가지고 있으며 학교축제 때 자신의 난타 능력을 발휘하여 축제분위기를 한층 드높임.</t>
    <phoneticPr fontId="24" type="noConversion"/>
  </si>
  <si>
    <t>배드민턴을 매우 좋아하며 교내구기대회에 참가하여 최선을 다해 자신의 재능을 발휘하고 팀의 단합을 위해 노력함.</t>
    <phoneticPr fontId="24" type="noConversion"/>
  </si>
  <si>
    <t>정서가 비교적 안정되어 있어 감정을 잘 절제하고 타인에 대한 이해심이 많으며 자기확신과 솔직한 감정표현을 잘함.</t>
    <phoneticPr fontId="24" type="noConversion"/>
  </si>
  <si>
    <t>김권위</t>
  </si>
  <si>
    <t>김상현</t>
  </si>
  <si>
    <t>김승길</t>
  </si>
  <si>
    <t>김하얀</t>
  </si>
  <si>
    <t>김호찬</t>
  </si>
  <si>
    <t>노지형</t>
  </si>
  <si>
    <t>류나경</t>
  </si>
  <si>
    <t>박건하</t>
  </si>
  <si>
    <t>서형찬</t>
  </si>
  <si>
    <t>손우진</t>
  </si>
  <si>
    <t>송정연</t>
  </si>
  <si>
    <t>양민국</t>
  </si>
  <si>
    <t>오서현</t>
  </si>
  <si>
    <t>윤재영</t>
  </si>
  <si>
    <t>이승민</t>
  </si>
  <si>
    <t>조도울</t>
  </si>
  <si>
    <t>차명준</t>
  </si>
  <si>
    <t>최가영</t>
  </si>
  <si>
    <t>최다빈</t>
  </si>
  <si>
    <t>홍준석</t>
  </si>
  <si>
    <t>평균</t>
    <phoneticPr fontId="24" type="noConversion"/>
  </si>
  <si>
    <t xml:space="preserve">학습에 관한 도움이 필요한 급우들에게 의문점을 잘 해결해 주고 오답노트와 숙제하는 방법을 친절하게 잘 알려 줌. </t>
    <phoneticPr fontId="24" type="noConversion"/>
  </si>
  <si>
    <t>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t>
    <phoneticPr fontId="24" type="noConversion"/>
  </si>
  <si>
    <t xml:space="preserve">체육에 대한 흥미가 많아 배구를 잘하며 승부욕도 강하여 배구대회에서 실력을 발휘함으로써 급우들에게 승리의욕을 불러 일으킴. </t>
    <phoneticPr fontId="24" type="noConversion"/>
  </si>
  <si>
    <t>정보보안 분야에 대한 관심이 많아 정보보안 관련 전공동아리 활동에 열심히 참여하고 관련분야에 대한 지적 호기실을 충족하고자 노력하는 등 진로를 위해 적극적으로 노력하고 있어 장래가 기대됨.</t>
    <phoneticPr fontId="24" type="noConversion"/>
  </si>
  <si>
    <t>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t>
    <phoneticPr fontId="24" type="noConversion"/>
  </si>
  <si>
    <t>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t>
    <phoneticPr fontId="24" type="noConversion"/>
  </si>
  <si>
    <t xml:space="preserve">학습에 필요한 자료를 잘 수집하여 활용하는 학습 태도가 매우 진취적임. </t>
    <phoneticPr fontId="24" type="noConversion"/>
  </si>
  <si>
    <t xml:space="preserve">과제 학습을 잘 해오며 기본 학습 태도가 바르게 형성되어 있음. </t>
    <phoneticPr fontId="24" type="noConversion"/>
  </si>
  <si>
    <t xml:space="preserve">학습에 임하는 자세가 바르게 정착되어 있으며 꾸준히 노력하는 성품을 가졌음. </t>
    <phoneticPr fontId="24" type="noConversion"/>
  </si>
  <si>
    <t xml:space="preserve">생활 주변 현상에 대해 남다른 관심을 가졌으며 매사 진취적인 태도로 학습 활동에 참여함. </t>
  </si>
  <si>
    <t xml:space="preserve">스스로 문제를 해결하려는 자세가 좋으며 학습 활동에 자신감이 있음. </t>
  </si>
  <si>
    <t xml:space="preserve">스스로 문제를 해결하려는 자세를 좋으며 매사 성실함. </t>
  </si>
  <si>
    <t xml:space="preserve">기본적인 학습 규칙을 잘 이행하며 자기의 목표 달성을 위해 성실히 노력함. </t>
  </si>
  <si>
    <t xml:space="preserve">탐구 능력이 있으며 합리적인 생활 태도를 가지려고 노력함. </t>
  </si>
  <si>
    <t xml:space="preserve">마이크로프로세서 및 전기전자에 관심이 많아 해당 교과 수업에 적극적으로 참여하고 관련분야에 대한 지적 호기심을 충족하고자 노력하는 등 진로를 위해 적극적으로 노력하고 있어 장래가 매우 기대됨. </t>
  </si>
  <si>
    <t>임베디드 작품을 개발하는 전공동아리에 참여하여 다른 학생들의 학습계획 수립 및 꾸준한 학습활동을 도움으로써 자신의 재능을 나누는 일에 즐거운 마음으로 참여함.</t>
    <phoneticPr fontId="24" type="noConversion"/>
  </si>
  <si>
    <t>남들이 하기 싫어하는 학급의 쓰레기 분리수거를 먼저 자청하여 맡았으며, 1년 동안 융통성 있게 쓰레기를 잘 분리하여 처리함으로써 학급의 쾌적한 학습환경 조성에 크게 보탬이 됨.</t>
    <phoneticPr fontId="26" type="noConversion"/>
  </si>
  <si>
    <t>남들이 하기 싫어하는 학급의 에너지지킴이를 먼저 자청하여 맡았으며, 1년 동안 성실하게 전열기구를 소등하고 문단속을 잘 처리함으로써 학급 전체에 크게 보탬이 됨.</t>
    <phoneticPr fontId="24" type="noConversion"/>
  </si>
  <si>
    <t>친구와의 갈등이 생기면 먼저 다가가 사과하고 화해를 요청함으로써 친구관계를 더욱 돈독하게 유지할 수 있도록 노력함.</t>
    <phoneticPr fontId="24" type="noConversion"/>
  </si>
  <si>
    <t>인내력이 강하고 자기관리 능력이 뛰어나 자기주도적 학습능력이 우수하고 모든 교과목의 학업성취도가 탁월함.</t>
    <phoneticPr fontId="24" type="noConversion"/>
  </si>
  <si>
    <t>새로운 것을 상상하고 고안하는 힘이 뛰어나 문제를 새로운 시각에서 해석하고 풀어내는 능력이 돋보임.</t>
    <phoneticPr fontId="24" type="noConversion"/>
  </si>
  <si>
    <t>컴퓨터분야</t>
  </si>
  <si>
    <t>웹개발자</t>
    <phoneticPr fontId="24" type="noConversion"/>
  </si>
  <si>
    <t>전기ICT분야</t>
    <phoneticPr fontId="24" type="noConversion"/>
  </si>
  <si>
    <t>전기직종에 대해서 관심이 생겼는데 그냥 일반적인 전기분야는 우리랑 연관이 아에 없기때문에 그나마 연관성이 있는 전기ICT 분야에 대해서 관심이 생기게되어 희망분야로 선택하게 되었습니다.</t>
    <phoneticPr fontId="24" type="noConversion"/>
  </si>
  <si>
    <t>데이터 관리자(DA)</t>
    <phoneticPr fontId="24" type="noConversion"/>
  </si>
  <si>
    <t>지금까지 배운 것들 중 가장 재밌었고 그나마 잘할 수 있기 때문이다.</t>
    <phoneticPr fontId="24" type="noConversion"/>
  </si>
  <si>
    <t>자바 개발자</t>
    <phoneticPr fontId="24" type="noConversion"/>
  </si>
  <si>
    <t>학교에서 일주일동안 자바를 배웠는데 하면서 자바에 흥미를 느끼게 되었다.</t>
    <phoneticPr fontId="24" type="noConversion"/>
  </si>
  <si>
    <t>정보통신분야</t>
    <phoneticPr fontId="24" type="noConversion"/>
  </si>
  <si>
    <t>정보통신분야가 미래 전망이 좋다고 들었고, 직접 관련 분야에 대해 찾아보면서 관심을 가지게 되었기 때문입니다.</t>
    <phoneticPr fontId="24" type="noConversion"/>
  </si>
  <si>
    <t>웹애플리케이션 개발자</t>
    <phoneticPr fontId="24" type="noConversion"/>
  </si>
  <si>
    <t>C언어를 사용해 'Hello World'를 처음 윈도우 창에 띄워보며 소프트웨어 개발자라는 꿈을 가지게 되었습니다. 소프트웨어고등학교로 진학 후 프로그래밍 실습과 이론을 접하면서 다목적으로 원하는 것을 제작할 수 있는 반응형 웹애플리케이션 개발에 막연한 흥미를 느꼈습니다.</t>
    <phoneticPr fontId="24" type="noConversion"/>
  </si>
  <si>
    <t>시스템엔지니어, 데이터베이스관리자</t>
    <phoneticPr fontId="24" type="noConversion"/>
  </si>
  <si>
    <t>IOT 개발자</t>
    <phoneticPr fontId="24" type="noConversion"/>
  </si>
  <si>
    <t>공기업</t>
    <phoneticPr fontId="24" type="noConversion"/>
  </si>
  <si>
    <t>안정적인 직업이고, 수입이 일정하기 때문이다. 또한 복지도 뛰어나서 워라벨을 잘 챙길 수 있을 것 같다.</t>
    <phoneticPr fontId="24" type="noConversion"/>
  </si>
  <si>
    <t>방송통신 공무원</t>
    <phoneticPr fontId="24" type="noConversion"/>
  </si>
  <si>
    <t>기계설계분야</t>
    <phoneticPr fontId="24" type="noConversion"/>
  </si>
  <si>
    <t>데이터 분석가</t>
    <phoneticPr fontId="24" type="noConversion"/>
  </si>
  <si>
    <t>1학기 때 웹을 배우고 웹에 흥미가 생겨 2학기 도중 웹 공부와 프로젝트를 진행하면서 웹 개발쪽으로 가고 싶다는 생각이 듦.</t>
    <phoneticPr fontId="24" type="noConversion"/>
  </si>
  <si>
    <t>웹과 관련된 교과를 배우면서 웹 기술을 이용한 프로그램 개발에 매력을 느끼고 웹을 이용한 프로젝트에 적극적으로 참여하는 등 웹 개발 분야의 전문성을 쌓기 위해 노력을 기울임.</t>
    <phoneticPr fontId="24" type="noConversion"/>
  </si>
  <si>
    <t>전기와 ICT가 융합된 직업을 갖는 꿈을 실현하기 위해 관련 분야의 자격증을 취득하고 계획적으로 자기주도적 학습을 실행함은 물론 각종 프로젝트 활동에도 열정적으로 참여하는 등 진로개척을 위해 노력함.</t>
    <phoneticPr fontId="24" type="noConversion"/>
  </si>
  <si>
    <t>마이크로프로세서 교과를 학습하면서 전기분야에 흥미와 관심을 갖게 되었고, 해당 분야 자격증 취득과 프로젝트 활동을 하면서 더욱 확실하게 전기분야 직업을 갖기를 희망함.</t>
  </si>
  <si>
    <t>전기분야 공기업</t>
    <phoneticPr fontId="24" type="noConversion"/>
  </si>
  <si>
    <t>임베디드 전자회로 분야에 관심이 높아 관련도서를 꾸준히 읽고 탐구하여 관심분야에 대한 지적호기심을 충족시키고자 적극적으로 노력함.</t>
    <phoneticPr fontId="24" type="noConversion"/>
  </si>
  <si>
    <t>게임 개발 프로그래밍 관련 정보를 꾸준히 탐색하고 여러 게임 프로그램에 대한 차이점 등을 비교하여 관찰하는 등 진로개척을 위한 안목을 잘 키워나감.</t>
    <phoneticPr fontId="24" type="noConversion"/>
  </si>
  <si>
    <t>마이크로프로세서를 이용한 전기분야에 흥미가 높아 해당 분야 자격증 취득과 프로젝트 활동에 적극적으로 참여하고 기업의 취업 정보를 꾸준히 탐색하고 등 진로개척을 위한 안목을 키워나감.</t>
    <phoneticPr fontId="24" type="noConversion"/>
  </si>
  <si>
    <t>소프트웨어와 하드웨어를 접목시킨 임베디드라는 분야를 학교에서 경험하면서 흥미를 갖게 되었고, 임베디드 관련된 다양한 프로젝트를 수행하면서 더욱 이 분야가 적성에 맞다고 판단하여 임베디드 개발자가 되기를 희망함.</t>
  </si>
  <si>
    <t>자신의 꿈인 임베디드 개발자가 되기 위해 임베디드 기술과 관련된 서적과 인터넷 자료를 많이 읽고 다양한 프로젝트를 수행하는 등 적극적인 자세로 꾸준히 노력하고 있어 발전 가능성이 보임.</t>
    <phoneticPr fontId="24" type="noConversion"/>
  </si>
  <si>
    <t>데이터베이스 교과를 학습하고 관련된 프로젝트를 진행하면서 흥미를 갖게 되었고, 관련 자격증도 취득하여 데이터베이스 관리자로 취업하기를 희망함.</t>
  </si>
  <si>
    <t>IoT분야는 하드웨어와 소프트웨어를 모두 이용해야하고, 직접 손으로 만질 수 있는 결과물을 만들어내는 과정이 흥미로워 IoT개발자가 되기를 희망함.</t>
  </si>
  <si>
    <t>IoT분야에 관심이 많고 상상력이 풍부하여 관련된 다양한 프로젝트를 수행하는 등 자신이 희망하는 진로와 연계하여 관련 정보와 지식을 축적하고 있어 발전가능성이 보임.</t>
    <phoneticPr fontId="24" type="noConversion"/>
  </si>
  <si>
    <t>자신의 꿈인 자율주행 자동차 프로그래머가 되기 위해 관련된 서적이나 영상를 관심 있게 시청하는 등 자신의 진로 개척을 위해 진지한 성찰과 노력하고 있어 장래가 기대됨.</t>
    <phoneticPr fontId="24" type="noConversion"/>
  </si>
  <si>
    <t>애완동물을 좋아하고 특히 동물 치료에 대한 관심이 남달라 동물들을 대할 때 세밀하게 관찰하거나 동물치료 관련 TV 프로그램을 잘 챙겨보는 등 이에 대한 정보와 지식을 축적하면서 자신의 진로개척을 위해 노력함.</t>
    <phoneticPr fontId="24" type="noConversion"/>
  </si>
  <si>
    <t>전기전자를 이용한 프로젝트에 관심과 흥미가 많아 인터넷과, 서적 등을 통해 관련 정보를 많이 수집하고 관련 자격증을 취득하는 등 자신의 진로개척을 위해 노력함.</t>
    <phoneticPr fontId="24" type="noConversion"/>
  </si>
  <si>
    <t>방송통신분야에 많은 관심과 흥미를 가지고 있고, 자신이 성향이 주어진 업무를 성실하게 수행하는 공무원에 적합하다고 판단하여 방송통신 공무원이 되기를 희망함.</t>
  </si>
  <si>
    <t>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t>
    <phoneticPr fontId="24" type="noConversion"/>
  </si>
  <si>
    <t>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t>
    <phoneticPr fontId="24" type="noConversion"/>
  </si>
  <si>
    <t xml:space="preserve">스스로 학습하여 동작하는 인공지능 프로그램 개발자로 진로 목표를 정하고 서적을 읽거나 인터넷을 통해 관련 정보와 지식을 습득하는 등 꿈을 이루기 위해 열심히 노력함. </t>
    <phoneticPr fontId="24" type="noConversion"/>
  </si>
  <si>
    <t>미술을 접목한 의류와 패션에 관심이 많아 관련정보를 찾아 지식을 조금씩 축적하는 등 진로개척을 위해 적극 노력함.</t>
    <phoneticPr fontId="24" type="noConversion"/>
  </si>
  <si>
    <t>네트워크와 보안에 흥미와 관심이 많아 관련정보를 찾아 지식을 조금씩 축적하는 등 진로개척을 위해 적극 노력함.</t>
    <phoneticPr fontId="24" type="noConversion"/>
  </si>
  <si>
    <t>캐드 프로그램에 흥미를 가지고있고, 잘 다루기 때문에 캐드를 이용하여 각종 제품을 설계하는 기계설계분야로 취업하기를 희망함.</t>
  </si>
  <si>
    <t xml:space="preserve">마술에 대한 흥미가 많아 평소 마술관련 서적을 읽거나 인터넷을 통해 관련 정보와 지식을 습득하여 열심히 연습한 후 친구들 앞에서 직접 시연하는 등 마술에 대한 꿈을 점차 키우고 있음. </t>
    <phoneticPr fontId="24" type="noConversion"/>
  </si>
  <si>
    <t>3D 모델링 분야에 관심이 많아 캐드 프로그램을 독학하는 등 3D 모델링 디자이너의 꿈을 키워가기 위해 현실적인 계획을 세우고 실천하고 있어 발전 가능성이 보임.</t>
    <phoneticPr fontId="24" type="noConversion"/>
  </si>
  <si>
    <t>수 많은 데이터를 분석하고 활용하는 일에 흥미과 관심이 많고, 관련된 분야의 공부를 계속하고 있기 때문에 데이터 분석가가 되고싶다는 희망을 갖게 됨.</t>
  </si>
  <si>
    <t>3D 디자인에 관심이 많고 상상력이 풍부하며 관련 동아리 활동과 독학으로 3D 프로그램을 학습하는 등 자신이 희망하는 진로와 연계하여 관련 정보와 지식을 축적하고 있어 발전가능성이 보임.</t>
    <phoneticPr fontId="26" type="noConversion"/>
  </si>
  <si>
    <t>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t>
    <phoneticPr fontId="24" type="noConversion"/>
  </si>
  <si>
    <t>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t>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</si>
</sst>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31">
    <font>
      <sz val="11"/>
      <color rgb="FF000000"/>
      <name val="맑은 고딕"/>
    </font>
    <font>
      <sz val="11"/>
      <name val="맑은 고딕"/>
      <family val="3"/>
      <charset val="129"/>
    </font>
    <font>
      <b/>
      <sz val="11"/>
      <color rgb="FFFFFF00"/>
      <name val="맑은 고딕"/>
      <family val="3"/>
      <charset val="129"/>
    </font>
    <font>
      <b/>
      <sz val="16"/>
      <color rgb="FF000000"/>
      <name val="맑은 고딕"/>
      <family val="3"/>
      <charset val="129"/>
    </font>
    <font>
      <b/>
      <sz val="11"/>
      <color rgb="FF000000"/>
      <name val="맑은 고딕"/>
      <family val="3"/>
      <charset val="129"/>
    </font>
    <font>
      <b/>
      <sz val="10"/>
      <color rgb="FF000000"/>
      <name val="맑은 고딕"/>
      <family val="3"/>
      <charset val="129"/>
    </font>
    <font>
      <sz val="10"/>
      <color rgb="FF000000"/>
      <name val="맑은 고딕"/>
      <family val="3"/>
      <charset val="129"/>
    </font>
    <font>
      <b/>
      <sz val="14"/>
      <color rgb="FFFFFFFF"/>
      <name val="맑은 고딕"/>
      <family val="3"/>
      <charset val="129"/>
    </font>
    <font>
      <b/>
      <sz val="9"/>
      <name val="돋움"/>
      <family val="3"/>
      <charset val="129"/>
    </font>
    <font>
      <b/>
      <sz val="10"/>
      <name val="Gulim"/>
      <family val="3"/>
      <charset val="129"/>
    </font>
    <font>
      <b/>
      <sz val="10"/>
      <name val="GulimChe"/>
      <family val="3"/>
      <charset val="129"/>
    </font>
    <font>
      <sz val="10"/>
      <color rgb="FF000000"/>
      <name val="Gulim"/>
      <family val="3"/>
      <charset val="129"/>
    </font>
    <font>
      <sz val="10"/>
      <name val="Gulim"/>
      <family val="3"/>
      <charset val="129"/>
    </font>
    <font>
      <sz val="10"/>
      <name val="맑은 고딕"/>
      <family val="3"/>
      <charset val="129"/>
    </font>
    <font>
      <b/>
      <sz val="11"/>
      <color rgb="FFFFFFFF"/>
      <name val="맑은 고딕"/>
      <family val="3"/>
      <charset val="129"/>
    </font>
    <font>
      <b/>
      <sz val="10"/>
      <color rgb="FF0000FF"/>
      <name val="맑은 고딕"/>
      <family val="3"/>
      <charset val="129"/>
    </font>
    <font>
      <sz val="11"/>
      <color rgb="FFBFBFBF"/>
      <name val="맑은 고딕"/>
      <family val="3"/>
      <charset val="129"/>
    </font>
    <font>
      <b/>
      <sz val="12"/>
      <color rgb="FF000000"/>
      <name val="맑은 고딕"/>
      <family val="3"/>
      <charset val="129"/>
    </font>
    <font>
      <b/>
      <sz val="12"/>
      <color rgb="FF002060"/>
      <name val="맑은 고딕"/>
      <family val="3"/>
      <charset val="129"/>
    </font>
    <font>
      <b/>
      <sz val="14"/>
      <color rgb="FF000000"/>
      <name val="맑은 고딕"/>
      <family val="3"/>
      <charset val="129"/>
    </font>
    <font>
      <sz val="11"/>
      <name val="맑은 고딕"/>
      <family val="3"/>
      <charset val="129"/>
    </font>
    <font>
      <b/>
      <sz val="18"/>
      <color rgb="FF000000"/>
      <name val="맑은 고딕"/>
      <family val="3"/>
      <charset val="129"/>
    </font>
    <font>
      <sz val="8"/>
      <color rgb="FF000000"/>
      <name val="맑은 고딕"/>
      <family val="3"/>
      <charset val="129"/>
    </font>
    <font>
      <b/>
      <sz val="11"/>
      <color rgb="FFFF0000"/>
      <name val="맑은 고딕"/>
      <family val="3"/>
      <charset val="129"/>
    </font>
    <font>
      <sz val="8"/>
      <name val="돋움"/>
      <family val="3"/>
      <charset val="129"/>
    </font>
    <font>
      <sz val="10"/>
      <color theme="1"/>
      <name val="맑은 고딕"/>
      <family val="2"/>
      <charset val="129"/>
      <scheme val="minor"/>
    </font>
    <font>
      <sz val="8"/>
      <name val="맑은 고딕"/>
      <family val="2"/>
      <charset val="129"/>
      <scheme val="minor"/>
    </font>
    <font>
      <sz val="10"/>
      <name val="굴림"/>
      <family val="3"/>
      <charset val="129"/>
    </font>
    <font>
      <sz val="10"/>
      <color theme="1"/>
      <name val="맑은 고딕"/>
      <family val="3"/>
      <charset val="129"/>
      <scheme val="minor"/>
    </font>
    <font>
      <sz val="11"/>
      <name val="돋움"/>
      <family val="3"/>
      <charset val="129"/>
    </font>
    <font>
      <sz val="6"/>
      <name val="맑은 고딕"/>
      <family val="3"/>
      <charset val="129"/>
    </font>
  </fonts>
  <fills count="12">
    <fill>
      <patternFill patternType="none"/>
    </fill>
    <fill>
      <patternFill patternType="gray125"/>
    </fill>
    <fill>
      <patternFill patternType="solid">
        <fgColor rgb="FF00B0F0"/>
        <bgColor rgb="FF00B0F0"/>
      </patternFill>
    </fill>
    <fill>
      <patternFill patternType="solid">
        <fgColor rgb="FFFDE9D9"/>
        <bgColor rgb="FFFDE9D9"/>
      </patternFill>
    </fill>
    <fill>
      <patternFill patternType="solid">
        <fgColor rgb="FFBFBFBF"/>
        <bgColor rgb="FFBFBFBF"/>
      </patternFill>
    </fill>
    <fill>
      <patternFill patternType="solid">
        <fgColor rgb="FF002060"/>
        <bgColor rgb="FF002060"/>
      </patternFill>
    </fill>
    <fill>
      <patternFill patternType="solid">
        <fgColor rgb="FFFFC000"/>
        <bgColor rgb="FFFFC000"/>
      </patternFill>
    </fill>
    <fill>
      <patternFill patternType="solid">
        <fgColor rgb="FFFFFFFF"/>
        <bgColor rgb="FFFFFFFF"/>
      </patternFill>
    </fill>
    <fill>
      <patternFill patternType="solid">
        <fgColor rgb="FFFBD4B4"/>
        <bgColor rgb="FFFBD4B4"/>
      </patternFill>
    </fill>
    <fill>
      <patternFill patternType="solid">
        <fgColor rgb="FFB6DDE8"/>
        <bgColor rgb="FFB6DDE8"/>
      </patternFill>
    </fill>
    <fill>
      <patternFill patternType="solid">
        <fgColor rgb="FFFFFF00"/>
        <bgColor rgb="FFFFFF00"/>
      </patternFill>
    </fill>
    <fill>
      <patternFill patternType="solid">
        <fgColor theme="0"/>
        <bgColor indexed="64"/>
      </patternFill>
    </fill>
  </fills>
  <borders count="10">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9" fillId="0" borderId="0"/>
  </cellStyleXfs>
  <cellXfs count="85">
    <xf numFmtId="0" fontId="0" fillId="0" borderId="0" xfId="0" applyFont="1" applyAlignment="1">
      <alignment vertical="center"/>
    </xf>
    <xf numFmtId="0" fontId="0" fillId="0" borderId="0" xfId="0" applyFont="1" applyAlignment="1">
      <alignment vertical="center" shrinkToFit="1"/>
    </xf>
    <xf numFmtId="0" fontId="0" fillId="3" borderId="2" xfId="0" applyFont="1" applyFill="1" applyBorder="1" applyAlignment="1">
      <alignment horizontal="center" vertical="center"/>
    </xf>
    <xf numFmtId="0" fontId="0" fillId="3" borderId="2" xfId="0" applyFont="1" applyFill="1" applyBorder="1" applyAlignment="1">
      <alignment horizontal="center" vertical="center" shrinkToFit="1"/>
    </xf>
    <xf numFmtId="0" fontId="0" fillId="4" borderId="0" xfId="0" applyFont="1" applyFill="1" applyBorder="1" applyAlignment="1">
      <alignment vertical="center"/>
    </xf>
    <xf numFmtId="0" fontId="3" fillId="6" borderId="0" xfId="0" applyFont="1" applyFill="1" applyBorder="1" applyAlignment="1">
      <alignment vertical="center" shrinkToFit="1"/>
    </xf>
    <xf numFmtId="0" fontId="0" fillId="7" borderId="2" xfId="0" applyFont="1" applyFill="1" applyBorder="1" applyAlignment="1">
      <alignment horizontal="center" vertical="center"/>
    </xf>
    <xf numFmtId="0" fontId="4" fillId="7" borderId="2" xfId="0" applyFont="1" applyFill="1" applyBorder="1" applyAlignment="1">
      <alignment horizontal="center" vertical="center" shrinkToFit="1"/>
    </xf>
    <xf numFmtId="0" fontId="0" fillId="7" borderId="2" xfId="0" applyFont="1" applyFill="1" applyBorder="1" applyAlignment="1">
      <alignment horizontal="center" vertical="center" shrinkToFit="1"/>
    </xf>
    <xf numFmtId="0" fontId="0" fillId="7" borderId="0" xfId="0" applyFont="1" applyFill="1" applyBorder="1" applyAlignment="1">
      <alignment vertical="center"/>
    </xf>
    <xf numFmtId="0" fontId="5" fillId="7" borderId="2" xfId="0" applyFont="1" applyFill="1" applyBorder="1" applyAlignment="1">
      <alignment horizontal="center" vertical="center" wrapText="1"/>
    </xf>
    <xf numFmtId="0" fontId="0" fillId="4" borderId="0" xfId="0" applyFont="1" applyFill="1" applyBorder="1" applyAlignment="1">
      <alignment horizontal="center" vertical="center"/>
    </xf>
    <xf numFmtId="0" fontId="6" fillId="7" borderId="2" xfId="0" applyFont="1" applyFill="1" applyBorder="1" applyAlignment="1">
      <alignment horizontal="left" vertical="center" wrapText="1"/>
    </xf>
    <xf numFmtId="0" fontId="6" fillId="7" borderId="2" xfId="0" applyFont="1" applyFill="1" applyBorder="1" applyAlignment="1">
      <alignment vertical="center" wrapText="1"/>
    </xf>
    <xf numFmtId="0" fontId="0" fillId="4" borderId="0" xfId="0" applyFont="1" applyFill="1" applyBorder="1" applyAlignment="1">
      <alignment horizontal="center" vertical="center" shrinkToFit="1"/>
    </xf>
    <xf numFmtId="0" fontId="4" fillId="7" borderId="0" xfId="0" applyFont="1" applyFill="1" applyBorder="1" applyAlignment="1">
      <alignment vertical="center"/>
    </xf>
    <xf numFmtId="0" fontId="8" fillId="0" borderId="2" xfId="0" applyFont="1" applyBorder="1" applyAlignment="1">
      <alignment horizontal="center" vertical="center" shrinkToFit="1"/>
    </xf>
    <xf numFmtId="0" fontId="0" fillId="0" borderId="2" xfId="0" applyFont="1" applyBorder="1" applyAlignment="1">
      <alignment horizontal="center" vertical="center"/>
    </xf>
    <xf numFmtId="0" fontId="9" fillId="8" borderId="2" xfId="0" applyFont="1" applyFill="1" applyBorder="1" applyAlignment="1">
      <alignment horizontal="center" vertical="center" shrinkToFit="1"/>
    </xf>
    <xf numFmtId="0" fontId="10" fillId="9" borderId="2" xfId="0" applyFont="1" applyFill="1" applyBorder="1" applyAlignment="1">
      <alignment horizontal="center" vertical="center" shrinkToFit="1"/>
    </xf>
    <xf numFmtId="0" fontId="10" fillId="8" borderId="7" xfId="0" applyFont="1" applyFill="1" applyBorder="1" applyAlignment="1">
      <alignment horizontal="center" vertical="center" shrinkToFit="1"/>
    </xf>
    <xf numFmtId="0" fontId="10" fillId="9" borderId="7" xfId="0" applyFont="1" applyFill="1" applyBorder="1" applyAlignment="1">
      <alignment horizontal="center" vertical="center" shrinkToFit="1"/>
    </xf>
    <xf numFmtId="0" fontId="0" fillId="4" borderId="0" xfId="0" applyFont="1" applyFill="1" applyBorder="1" applyAlignment="1">
      <alignment vertical="center" shrinkToFit="1"/>
    </xf>
    <xf numFmtId="0" fontId="0" fillId="3" borderId="2" xfId="0" applyFont="1" applyFill="1" applyBorder="1" applyAlignment="1">
      <alignment horizontal="center" vertical="center"/>
    </xf>
    <xf numFmtId="0" fontId="11" fillId="7" borderId="2" xfId="0" applyFont="1" applyFill="1" applyBorder="1" applyAlignment="1">
      <alignment horizontal="center" vertical="center"/>
    </xf>
    <xf numFmtId="176" fontId="12" fillId="0" borderId="2" xfId="0" applyNumberFormat="1" applyFont="1" applyBorder="1" applyAlignment="1">
      <alignment horizontal="center" vertical="center" wrapText="1"/>
    </xf>
    <xf numFmtId="0" fontId="12" fillId="0" borderId="2" xfId="0" applyFont="1" applyBorder="1" applyAlignment="1">
      <alignment horizontal="center" vertical="center" wrapText="1"/>
    </xf>
    <xf numFmtId="0" fontId="12" fillId="3" borderId="2" xfId="0" applyFont="1" applyFill="1" applyBorder="1" applyAlignment="1">
      <alignment horizontal="left" vertical="center" wrapText="1"/>
    </xf>
    <xf numFmtId="0" fontId="12" fillId="3" borderId="2" xfId="0" applyFont="1" applyFill="1" applyBorder="1" applyAlignment="1">
      <alignment horizontal="center" vertical="center" wrapText="1"/>
    </xf>
    <xf numFmtId="0" fontId="13" fillId="7" borderId="2" xfId="0" applyFont="1" applyFill="1" applyBorder="1" applyAlignment="1">
      <alignment horizontal="left" vertical="center" wrapText="1"/>
    </xf>
    <xf numFmtId="0" fontId="5" fillId="10" borderId="4" xfId="0" applyFont="1" applyFill="1" applyBorder="1" applyAlignment="1">
      <alignment horizontal="center" vertical="center"/>
    </xf>
    <xf numFmtId="0" fontId="5" fillId="10" borderId="5" xfId="0" applyFont="1" applyFill="1" applyBorder="1" applyAlignment="1">
      <alignment horizontal="left" vertical="center"/>
    </xf>
    <xf numFmtId="0" fontId="6" fillId="7" borderId="2" xfId="0" applyFont="1" applyFill="1" applyBorder="1" applyAlignment="1">
      <alignment horizontal="center" vertical="center"/>
    </xf>
    <xf numFmtId="0" fontId="6" fillId="7" borderId="4" xfId="0" applyFont="1" applyFill="1" applyBorder="1" applyAlignment="1">
      <alignment horizontal="center" vertical="center"/>
    </xf>
    <xf numFmtId="0" fontId="6" fillId="0" borderId="2" xfId="0" applyFont="1" applyBorder="1" applyAlignment="1">
      <alignment vertical="center"/>
    </xf>
    <xf numFmtId="0" fontId="15" fillId="0" borderId="2" xfId="0" applyFont="1" applyBorder="1" applyAlignment="1">
      <alignment horizontal="center" vertical="center"/>
    </xf>
    <xf numFmtId="0" fontId="16" fillId="4" borderId="0" xfId="0" applyFont="1" applyFill="1" applyBorder="1" applyAlignment="1">
      <alignment vertical="center"/>
    </xf>
    <xf numFmtId="0" fontId="17" fillId="4" borderId="0" xfId="0" applyFont="1" applyFill="1" applyBorder="1" applyAlignment="1">
      <alignment vertical="center"/>
    </xf>
    <xf numFmtId="0" fontId="18" fillId="5" borderId="0" xfId="0" applyFont="1" applyFill="1" applyBorder="1" applyAlignment="1">
      <alignment vertical="center"/>
    </xf>
    <xf numFmtId="0" fontId="20" fillId="4" borderId="0" xfId="0" applyFont="1" applyFill="1" applyBorder="1" applyAlignment="1">
      <alignment vertical="center"/>
    </xf>
    <xf numFmtId="0" fontId="21" fillId="6" borderId="2" xfId="0" applyFont="1" applyFill="1" applyBorder="1" applyAlignment="1">
      <alignment horizontal="center" vertical="center" wrapText="1"/>
    </xf>
    <xf numFmtId="0" fontId="22" fillId="7" borderId="2"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22" fillId="4" borderId="2" xfId="0" applyFont="1" applyFill="1" applyBorder="1" applyAlignment="1">
      <alignment horizontal="center" vertical="center" wrapText="1"/>
    </xf>
    <xf numFmtId="0" fontId="0" fillId="4" borderId="2" xfId="0" applyFont="1" applyFill="1" applyBorder="1" applyAlignment="1">
      <alignment horizontal="center" vertical="center" shrinkToFit="1"/>
    </xf>
    <xf numFmtId="0" fontId="13" fillId="7" borderId="2" xfId="0" applyFont="1" applyFill="1" applyBorder="1" applyAlignment="1">
      <alignment horizontal="left" vertical="center" shrinkToFit="1"/>
    </xf>
    <xf numFmtId="0" fontId="4" fillId="6" borderId="2"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0" xfId="0" applyFont="1" applyFill="1" applyBorder="1" applyAlignment="1">
      <alignment vertical="center"/>
    </xf>
    <xf numFmtId="0" fontId="25" fillId="11" borderId="9" xfId="0" applyFont="1" applyFill="1" applyBorder="1" applyAlignment="1" applyProtection="1">
      <alignment vertical="center" wrapText="1"/>
      <protection locked="0"/>
    </xf>
    <xf numFmtId="0" fontId="27" fillId="0" borderId="9" xfId="0" applyFont="1" applyBorder="1" applyAlignment="1" applyProtection="1">
      <alignment horizontal="center" vertical="center" wrapText="1"/>
      <protection locked="0"/>
    </xf>
    <xf numFmtId="0" fontId="27" fillId="0" borderId="9" xfId="0" applyFont="1" applyBorder="1" applyAlignment="1" applyProtection="1">
      <alignment horizontal="left" vertical="center" wrapText="1"/>
      <protection locked="0"/>
    </xf>
    <xf numFmtId="0" fontId="28" fillId="11" borderId="9" xfId="0" applyFont="1" applyFill="1" applyBorder="1" applyAlignment="1" applyProtection="1">
      <alignment vertical="center" wrapText="1"/>
      <protection locked="0"/>
    </xf>
    <xf numFmtId="0" fontId="25" fillId="11" borderId="2" xfId="0" applyFont="1" applyFill="1" applyBorder="1" applyAlignment="1" applyProtection="1">
      <alignment vertical="center" wrapText="1"/>
      <protection locked="0"/>
    </xf>
    <xf numFmtId="0" fontId="28" fillId="11" borderId="2" xfId="0" applyFont="1" applyFill="1" applyBorder="1" applyAlignment="1" applyProtection="1">
      <alignmen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30" fillId="7" borderId="2" xfId="0" applyFont="1" applyFill="1" applyBorder="1" applyAlignment="1">
      <alignment horizontal="left" vertical="center" wrapText="1" shrinkToFit="1"/>
    </xf>
    <xf numFmtId="0" fontId="0" fillId="7" borderId="4" xfId="0" applyFont="1" applyFill="1" applyBorder="1" applyAlignment="1">
      <alignment horizontal="center" vertical="center" shrinkToFit="1"/>
    </xf>
    <xf numFmtId="0" fontId="6" fillId="7" borderId="6" xfId="0" applyFont="1" applyFill="1" applyBorder="1" applyAlignment="1">
      <alignment vertical="center" wrapText="1"/>
    </xf>
    <xf numFmtId="0" fontId="0" fillId="0" borderId="9" xfId="0" applyFont="1" applyBorder="1" applyAlignment="1">
      <alignment vertical="center"/>
    </xf>
    <xf numFmtId="0" fontId="0" fillId="2" borderId="1" xfId="0" applyFont="1" applyFill="1" applyBorder="1" applyAlignment="1">
      <alignment horizontal="center" vertical="center"/>
    </xf>
    <xf numFmtId="0" fontId="1" fillId="0" borderId="1" xfId="0" applyFont="1" applyBorder="1"/>
    <xf numFmtId="0" fontId="2" fillId="5" borderId="0" xfId="0" applyFont="1" applyFill="1" applyBorder="1" applyAlignment="1">
      <alignment horizontal="center" vertical="center" wrapText="1"/>
    </xf>
    <xf numFmtId="0" fontId="1" fillId="0" borderId="0" xfId="0" applyFont="1" applyBorder="1"/>
    <xf numFmtId="0" fontId="3" fillId="6" borderId="1" xfId="0" applyFont="1" applyFill="1" applyBorder="1" applyAlignment="1">
      <alignment horizontal="center" vertical="center" shrinkToFit="1"/>
    </xf>
    <xf numFmtId="0" fontId="7" fillId="5" borderId="1" xfId="0" applyFont="1" applyFill="1" applyBorder="1" applyAlignment="1">
      <alignment horizontal="center" vertical="center"/>
    </xf>
    <xf numFmtId="0" fontId="2" fillId="5" borderId="0" xfId="0" applyFont="1" applyFill="1" applyBorder="1" applyAlignment="1">
      <alignment horizontal="left" vertical="center" wrapText="1"/>
    </xf>
    <xf numFmtId="0" fontId="8" fillId="0" borderId="4" xfId="0" applyFont="1" applyBorder="1" applyAlignment="1">
      <alignment horizontal="center" vertical="center" wrapText="1"/>
    </xf>
    <xf numFmtId="0" fontId="1" fillId="0" borderId="5" xfId="0" applyFont="1" applyBorder="1"/>
    <xf numFmtId="0" fontId="0" fillId="7" borderId="3" xfId="0" applyFont="1" applyFill="1" applyBorder="1" applyAlignment="1">
      <alignment horizontal="center" vertical="center"/>
    </xf>
    <xf numFmtId="0" fontId="1" fillId="0" borderId="6" xfId="0" applyFont="1" applyBorder="1"/>
    <xf numFmtId="0" fontId="8" fillId="6" borderId="4" xfId="0" applyFont="1" applyFill="1" applyBorder="1" applyAlignment="1">
      <alignment horizontal="center" vertical="center" wrapText="1"/>
    </xf>
    <xf numFmtId="0" fontId="3" fillId="6" borderId="1" xfId="0" applyFont="1" applyFill="1" applyBorder="1" applyAlignment="1">
      <alignment horizontal="center" vertical="center"/>
    </xf>
    <xf numFmtId="0" fontId="2" fillId="5" borderId="0" xfId="0" applyFont="1" applyFill="1" applyBorder="1" applyAlignment="1">
      <alignment horizontal="center" vertical="center"/>
    </xf>
    <xf numFmtId="0" fontId="14" fillId="5" borderId="1" xfId="0" applyFont="1" applyFill="1" applyBorder="1" applyAlignment="1">
      <alignment horizontal="left" vertical="center" wrapText="1"/>
    </xf>
    <xf numFmtId="0" fontId="3" fillId="2" borderId="4" xfId="0" applyFont="1" applyFill="1" applyBorder="1" applyAlignment="1">
      <alignment horizontal="center" vertical="center"/>
    </xf>
    <xf numFmtId="0" fontId="1" fillId="0" borderId="8" xfId="0" applyFont="1" applyBorder="1"/>
    <xf numFmtId="0" fontId="19" fillId="2" borderId="1" xfId="0" applyFont="1" applyFill="1" applyBorder="1" applyAlignment="1">
      <alignment horizontal="center" vertical="center" wrapText="1"/>
    </xf>
    <xf numFmtId="0" fontId="4" fillId="10" borderId="0" xfId="0" applyFont="1" applyFill="1" applyBorder="1" applyAlignment="1">
      <alignment horizontal="left" vertical="center" wrapText="1"/>
    </xf>
    <xf numFmtId="0" fontId="2" fillId="5" borderId="0" xfId="0" applyFont="1" applyFill="1" applyBorder="1" applyAlignment="1">
      <alignment horizontal="left" vertical="center"/>
    </xf>
  </cellXfs>
  <cellStyles count="2">
    <cellStyle name="표준" xfId="0" builtinId="0"/>
    <cellStyle name="표준 2" xfId="1"/>
  </cellStyles>
  <dxfs count="2">
    <dxf>
      <font>
        <color rgb="FFFF0000"/>
      </font>
      <fill>
        <patternFill patternType="none"/>
      </fill>
      <border>
        <left/>
        <right/>
        <top/>
        <bottom/>
      </border>
    </dxf>
    <dxf>
      <font>
        <b/>
      </font>
      <fill>
        <patternFill patternType="solid">
          <fgColor rgb="FFFF0000"/>
          <bgColor rgb="FFFF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1943100</xdr:colOff>
      <xdr:row>1</xdr:row>
      <xdr:rowOff>47625</xdr:rowOff>
    </xdr:from>
    <xdr:to>
      <xdr:col>7</xdr:col>
      <xdr:colOff>3238500</xdr:colOff>
      <xdr:row>1</xdr:row>
      <xdr:rowOff>257175</xdr:rowOff>
    </xdr:to>
    <xdr:sp macro="" textlink="">
      <xdr:nvSpPr>
        <xdr:cNvPr id="11269" name="Button 5" hidden="1">
          <a:extLst>
            <a:ext uri="{FF2B5EF4-FFF2-40B4-BE49-F238E27FC236}">
              <a16:creationId xmlns:a16="http://schemas.microsoft.com/office/drawing/2014/main" id="{00000000-0008-0000-0100-0000052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7</xdr:col>
      <xdr:colOff>1466850</xdr:colOff>
      <xdr:row>1</xdr:row>
      <xdr:rowOff>57150</xdr:rowOff>
    </xdr:from>
    <xdr:to>
      <xdr:col>7</xdr:col>
      <xdr:colOff>2762250</xdr:colOff>
      <xdr:row>1</xdr:row>
      <xdr:rowOff>266700</xdr:rowOff>
    </xdr:to>
    <xdr:sp macro="" textlink="">
      <xdr:nvSpPr>
        <xdr:cNvPr id="13318" name="Button 6" hidden="1">
          <a:extLst>
            <a:ext uri="{FF2B5EF4-FFF2-40B4-BE49-F238E27FC236}">
              <a16:creationId xmlns:a16="http://schemas.microsoft.com/office/drawing/2014/main" id="{00000000-0008-0000-0200-0000063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6389" name="Button 5" hidden="1">
          <a:extLst>
            <a:ext uri="{FF2B5EF4-FFF2-40B4-BE49-F238E27FC236}">
              <a16:creationId xmlns:a16="http://schemas.microsoft.com/office/drawing/2014/main" id="{00000000-0008-0000-0300-0000054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5367" name="Button 7" hidden="1">
          <a:extLst>
            <a:ext uri="{FF2B5EF4-FFF2-40B4-BE49-F238E27FC236}">
              <a16:creationId xmlns:a16="http://schemas.microsoft.com/office/drawing/2014/main" id="{00000000-0008-0000-0400-0000073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3078" name="Button 6" hidden="1">
          <a:extLst>
            <a:ext uri="{FF2B5EF4-FFF2-40B4-BE49-F238E27FC236}">
              <a16:creationId xmlns:a16="http://schemas.microsoft.com/office/drawing/2014/main" id="{00000000-0008-0000-0500-0000060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7</xdr:col>
      <xdr:colOff>1943100</xdr:colOff>
      <xdr:row>1</xdr:row>
      <xdr:rowOff>57150</xdr:rowOff>
    </xdr:from>
    <xdr:to>
      <xdr:col>7</xdr:col>
      <xdr:colOff>3238500</xdr:colOff>
      <xdr:row>1</xdr:row>
      <xdr:rowOff>266700</xdr:rowOff>
    </xdr:to>
    <xdr:sp macro="" textlink="">
      <xdr:nvSpPr>
        <xdr:cNvPr id="4101" name="Button 5" hidden="1">
          <a:extLst>
            <a:ext uri="{FF2B5EF4-FFF2-40B4-BE49-F238E27FC236}">
              <a16:creationId xmlns:a16="http://schemas.microsoft.com/office/drawing/2014/main" id="{00000000-0008-0000-0600-0000051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8197" name="Button 5" hidden="1">
          <a:extLst>
            <a:ext uri="{FF2B5EF4-FFF2-40B4-BE49-F238E27FC236}">
              <a16:creationId xmlns:a16="http://schemas.microsoft.com/office/drawing/2014/main" id="{00000000-0008-0000-0700-0000052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12294" name="Button 6" hidden="1">
          <a:extLst>
            <a:ext uri="{FF2B5EF4-FFF2-40B4-BE49-F238E27FC236}">
              <a16:creationId xmlns:a16="http://schemas.microsoft.com/office/drawing/2014/main" id="{00000000-0008-0000-0800-0000063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9221" name="Button 5" hidden="1">
          <a:extLst>
            <a:ext uri="{FF2B5EF4-FFF2-40B4-BE49-F238E27FC236}">
              <a16:creationId xmlns:a16="http://schemas.microsoft.com/office/drawing/2014/main" id="{00000000-0008-0000-0900-0000052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27</xdr:col>
      <xdr:colOff>0</xdr:colOff>
      <xdr:row>0</xdr:row>
      <xdr:rowOff>114300</xdr:rowOff>
    </xdr:from>
    <xdr:to>
      <xdr:col>43</xdr:col>
      <xdr:colOff>190500</xdr:colOff>
      <xdr:row>3</xdr:row>
      <xdr:rowOff>419100</xdr:rowOff>
    </xdr:to>
    <xdr:pic>
      <xdr:nvPicPr>
        <xdr:cNvPr id="2" name="image00.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0" y="0"/>
          <a:ext cx="8458200" cy="2171700"/>
        </a:xfrm>
        <a:prstGeom prst="rect">
          <a:avLst/>
        </a:prstGeom>
        <a:noFill/>
      </xdr:spPr>
    </xdr:pic>
    <xdr:clientData fLocksWithSheet="0"/>
  </xdr:twoCellAnchor>
  <xdr:twoCellAnchor>
    <xdr:from>
      <xdr:col>27</xdr:col>
      <xdr:colOff>133350</xdr:colOff>
      <xdr:row>3</xdr:row>
      <xdr:rowOff>495300</xdr:rowOff>
    </xdr:from>
    <xdr:to>
      <xdr:col>43</xdr:col>
      <xdr:colOff>57150</xdr:colOff>
      <xdr:row>4</xdr:row>
      <xdr:rowOff>819150</xdr:rowOff>
    </xdr:to>
    <xdr:pic>
      <xdr:nvPicPr>
        <xdr:cNvPr id="3" name="image01.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xfrm>
          <a:off x="0" y="0"/>
          <a:ext cx="8191500" cy="1524000"/>
        </a:xfrm>
        <a:prstGeom prst="rect">
          <a:avLst/>
        </a:prstGeom>
        <a:noFill/>
      </xdr:spPr>
    </xdr:pic>
    <xdr:clientData fLock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C500"/>
  <sheetViews>
    <sheetView workbookViewId="0">
      <selection activeCell="H30" sqref="H30"/>
    </sheetView>
  </sheetViews>
  <sheetFormatPr defaultColWidth="17.25" defaultRowHeight="15" customHeight="1"/>
  <cols>
    <col min="1" max="1" width="4.875" customWidth="1"/>
    <col min="2" max="2" width="8.75" customWidth="1"/>
    <col min="3" max="3" width="9" customWidth="1"/>
    <col min="4" max="13" width="8.75" customWidth="1"/>
  </cols>
  <sheetData>
    <row r="1" spans="2:3" ht="16.5" customHeight="1">
      <c r="C1" s="1"/>
    </row>
    <row r="2" spans="2:3" ht="16.5" customHeight="1">
      <c r="C2" s="1"/>
    </row>
    <row r="3" spans="2:3" ht="22.5" customHeight="1">
      <c r="B3" s="65" t="s">
        <v>0</v>
      </c>
      <c r="C3" s="66"/>
    </row>
    <row r="4" spans="2:3" ht="16.5" customHeight="1">
      <c r="B4" s="2">
        <v>1</v>
      </c>
      <c r="C4" s="2" t="s">
        <v>658</v>
      </c>
    </row>
    <row r="5" spans="2:3" ht="16.5" customHeight="1">
      <c r="B5" s="23">
        <v>2</v>
      </c>
      <c r="C5" s="2" t="s">
        <v>659</v>
      </c>
    </row>
    <row r="6" spans="2:3" ht="16.5" customHeight="1">
      <c r="B6" s="23">
        <v>3</v>
      </c>
      <c r="C6" s="2" t="s">
        <v>660</v>
      </c>
    </row>
    <row r="7" spans="2:3" ht="16.5" customHeight="1">
      <c r="B7" s="23">
        <v>4</v>
      </c>
      <c r="C7" s="2" t="s">
        <v>661</v>
      </c>
    </row>
    <row r="8" spans="2:3" ht="16.5" customHeight="1">
      <c r="B8" s="23">
        <v>5</v>
      </c>
      <c r="C8" s="2" t="s">
        <v>662</v>
      </c>
    </row>
    <row r="9" spans="2:3" ht="16.5" customHeight="1">
      <c r="B9" s="23">
        <v>6</v>
      </c>
      <c r="C9" s="2" t="s">
        <v>663</v>
      </c>
    </row>
    <row r="10" spans="2:3" ht="16.5" customHeight="1">
      <c r="B10" s="23">
        <v>7</v>
      </c>
      <c r="C10" s="2" t="s">
        <v>664</v>
      </c>
    </row>
    <row r="11" spans="2:3" ht="16.5" customHeight="1">
      <c r="B11" s="23">
        <v>8</v>
      </c>
      <c r="C11" s="2" t="s">
        <v>665</v>
      </c>
    </row>
    <row r="12" spans="2:3" ht="16.5" customHeight="1">
      <c r="B12" s="23">
        <v>9</v>
      </c>
      <c r="C12" s="2" t="s">
        <v>666</v>
      </c>
    </row>
    <row r="13" spans="2:3" ht="16.5" customHeight="1">
      <c r="B13" s="23">
        <v>10</v>
      </c>
      <c r="C13" s="2" t="s">
        <v>667</v>
      </c>
    </row>
    <row r="14" spans="2:3" ht="16.5" customHeight="1">
      <c r="B14" s="23">
        <v>11</v>
      </c>
      <c r="C14" s="2" t="s">
        <v>668</v>
      </c>
    </row>
    <row r="15" spans="2:3" ht="16.5" customHeight="1">
      <c r="B15" s="23">
        <v>12</v>
      </c>
      <c r="C15" s="2" t="s">
        <v>669</v>
      </c>
    </row>
    <row r="16" spans="2:3" ht="16.5" customHeight="1">
      <c r="B16" s="23">
        <v>13</v>
      </c>
      <c r="C16" s="2" t="s">
        <v>670</v>
      </c>
    </row>
    <row r="17" spans="2:3" ht="16.5" customHeight="1">
      <c r="B17" s="23">
        <v>14</v>
      </c>
      <c r="C17" s="2" t="s">
        <v>671</v>
      </c>
    </row>
    <row r="18" spans="2:3" ht="16.5" customHeight="1">
      <c r="B18" s="23">
        <v>15</v>
      </c>
      <c r="C18" s="2" t="s">
        <v>672</v>
      </c>
    </row>
    <row r="19" spans="2:3" ht="16.5" customHeight="1">
      <c r="B19" s="23">
        <v>16</v>
      </c>
      <c r="C19" s="2" t="s">
        <v>673</v>
      </c>
    </row>
    <row r="20" spans="2:3" ht="16.5" customHeight="1">
      <c r="B20" s="23">
        <v>17</v>
      </c>
      <c r="C20" s="2" t="s">
        <v>674</v>
      </c>
    </row>
    <row r="21" spans="2:3" ht="16.5" customHeight="1">
      <c r="B21" s="23">
        <v>18</v>
      </c>
      <c r="C21" s="2" t="s">
        <v>675</v>
      </c>
    </row>
    <row r="22" spans="2:3" ht="16.5" customHeight="1">
      <c r="B22" s="23">
        <v>19</v>
      </c>
      <c r="C22" s="2" t="s">
        <v>676</v>
      </c>
    </row>
    <row r="23" spans="2:3" ht="16.5" customHeight="1">
      <c r="B23" s="2">
        <v>20</v>
      </c>
      <c r="C23" s="2" t="s">
        <v>677</v>
      </c>
    </row>
    <row r="24" spans="2:3" ht="16.5" customHeight="1">
      <c r="B24" s="2"/>
      <c r="C24" s="2"/>
    </row>
    <row r="25" spans="2:3" ht="16.5" customHeight="1">
      <c r="B25" s="2"/>
      <c r="C25" s="2"/>
    </row>
    <row r="26" spans="2:3" ht="16.5" customHeight="1">
      <c r="B26" s="2"/>
      <c r="C26" s="2"/>
    </row>
    <row r="27" spans="2:3" ht="16.5" customHeight="1">
      <c r="B27" s="2"/>
      <c r="C27" s="2"/>
    </row>
    <row r="28" spans="2:3" ht="16.5" customHeight="1">
      <c r="B28" s="2"/>
      <c r="C28" s="2"/>
    </row>
    <row r="29" spans="2:3" ht="16.5" customHeight="1">
      <c r="B29" s="2"/>
      <c r="C29" s="2"/>
    </row>
    <row r="30" spans="2:3" ht="16.5" customHeight="1">
      <c r="B30" s="2"/>
      <c r="C30" s="2"/>
    </row>
    <row r="31" spans="2:3" ht="16.5" customHeight="1">
      <c r="B31" s="2"/>
      <c r="C31" s="2"/>
    </row>
    <row r="32" spans="2:3" ht="16.5" customHeight="1">
      <c r="B32" s="2"/>
      <c r="C32" s="2"/>
    </row>
    <row r="33" spans="2:3" ht="16.5" customHeight="1">
      <c r="B33" s="2"/>
      <c r="C33" s="2"/>
    </row>
    <row r="34" spans="2:3" ht="16.5" customHeight="1">
      <c r="B34" s="2"/>
      <c r="C34" s="2"/>
    </row>
    <row r="35" spans="2:3" ht="16.5" customHeight="1">
      <c r="B35" s="2"/>
      <c r="C35" s="2"/>
    </row>
    <row r="36" spans="2:3" ht="16.5" customHeight="1">
      <c r="B36" s="2"/>
      <c r="C36" s="2"/>
    </row>
    <row r="37" spans="2:3" ht="16.5" customHeight="1">
      <c r="B37" s="2"/>
      <c r="C37" s="2"/>
    </row>
    <row r="38" spans="2:3" ht="16.5" customHeight="1">
      <c r="B38" s="2"/>
      <c r="C38" s="2"/>
    </row>
    <row r="39" spans="2:3" ht="16.5" customHeight="1">
      <c r="B39" s="2"/>
      <c r="C39" s="2"/>
    </row>
    <row r="40" spans="2:3" ht="16.5" customHeight="1">
      <c r="B40" s="2"/>
      <c r="C40" s="2"/>
    </row>
    <row r="41" spans="2:3" ht="16.5" customHeight="1">
      <c r="B41" s="2"/>
      <c r="C41" s="3"/>
    </row>
    <row r="42" spans="2:3" ht="16.5" customHeight="1">
      <c r="B42" s="2"/>
      <c r="C42" s="3"/>
    </row>
    <row r="43" spans="2:3" ht="16.5" customHeight="1">
      <c r="B43" s="2"/>
      <c r="C43" s="3"/>
    </row>
    <row r="44" spans="2:3" ht="16.5" customHeight="1">
      <c r="B44" s="2"/>
      <c r="C44" s="3"/>
    </row>
    <row r="45" spans="2:3" ht="16.5" customHeight="1">
      <c r="B45" s="2"/>
      <c r="C45" s="3"/>
    </row>
    <row r="46" spans="2:3" ht="16.5" customHeight="1">
      <c r="B46" s="2"/>
      <c r="C46" s="3"/>
    </row>
    <row r="47" spans="2:3" ht="16.5" customHeight="1">
      <c r="B47" s="2"/>
      <c r="C47" s="3"/>
    </row>
    <row r="48" spans="2:3" ht="16.5" customHeight="1">
      <c r="B48" s="2"/>
      <c r="C48" s="3"/>
    </row>
    <row r="49" spans="3:3" ht="16.5" customHeight="1">
      <c r="C49" s="1"/>
    </row>
    <row r="50" spans="3:3" ht="16.5" customHeight="1">
      <c r="C50" s="1"/>
    </row>
    <row r="51" spans="3:3" ht="16.5" customHeight="1">
      <c r="C51" s="1"/>
    </row>
    <row r="52" spans="3:3" ht="16.5" customHeight="1">
      <c r="C52" s="1"/>
    </row>
    <row r="53" spans="3:3" ht="16.5" customHeight="1">
      <c r="C53" s="1"/>
    </row>
    <row r="54" spans="3:3" ht="16.5" customHeight="1">
      <c r="C54" s="1"/>
    </row>
    <row r="55" spans="3:3" ht="16.5" customHeight="1">
      <c r="C55" s="1"/>
    </row>
    <row r="56" spans="3:3" ht="16.5" customHeight="1">
      <c r="C56" s="1"/>
    </row>
    <row r="57" spans="3:3" ht="16.5" customHeight="1">
      <c r="C57" s="1"/>
    </row>
    <row r="58" spans="3:3" ht="16.5" customHeight="1">
      <c r="C58" s="1"/>
    </row>
    <row r="59" spans="3:3" ht="16.5" customHeight="1">
      <c r="C59" s="1"/>
    </row>
    <row r="60" spans="3:3" ht="16.5" customHeight="1">
      <c r="C60" s="1"/>
    </row>
    <row r="61" spans="3:3" ht="16.5" customHeight="1">
      <c r="C61" s="1"/>
    </row>
    <row r="62" spans="3:3" ht="16.5" customHeight="1">
      <c r="C62" s="1"/>
    </row>
    <row r="63" spans="3:3" ht="16.5" customHeight="1">
      <c r="C63" s="1"/>
    </row>
    <row r="64" spans="3:3" ht="16.5" customHeight="1">
      <c r="C64" s="1"/>
    </row>
    <row r="65" spans="3:3" ht="16.5" customHeight="1">
      <c r="C65" s="1"/>
    </row>
    <row r="66" spans="3:3" ht="16.5" customHeight="1">
      <c r="C66" s="1"/>
    </row>
    <row r="67" spans="3:3" ht="16.5" customHeight="1">
      <c r="C67" s="1"/>
    </row>
    <row r="68" spans="3:3" ht="16.5" customHeight="1">
      <c r="C68" s="1"/>
    </row>
    <row r="69" spans="3:3" ht="16.5" customHeight="1">
      <c r="C69" s="1"/>
    </row>
    <row r="70" spans="3:3" ht="16.5" customHeight="1">
      <c r="C70" s="1"/>
    </row>
    <row r="71" spans="3:3" ht="16.5" customHeight="1">
      <c r="C71" s="1"/>
    </row>
    <row r="72" spans="3:3" ht="16.5" customHeight="1">
      <c r="C72" s="1"/>
    </row>
    <row r="73" spans="3:3" ht="16.5" customHeight="1">
      <c r="C73" s="1"/>
    </row>
    <row r="74" spans="3:3" ht="16.5" customHeight="1">
      <c r="C74" s="1"/>
    </row>
    <row r="75" spans="3:3" ht="16.5" customHeight="1">
      <c r="C75" s="1"/>
    </row>
    <row r="76" spans="3:3" ht="16.5" customHeight="1">
      <c r="C76" s="1"/>
    </row>
    <row r="77" spans="3:3" ht="16.5" customHeight="1">
      <c r="C77" s="1"/>
    </row>
    <row r="78" spans="3:3" ht="16.5" customHeight="1">
      <c r="C78" s="1"/>
    </row>
    <row r="79" spans="3:3" ht="16.5" customHeight="1">
      <c r="C79" s="1"/>
    </row>
    <row r="80" spans="3:3" ht="16.5" customHeight="1">
      <c r="C80" s="1"/>
    </row>
    <row r="81" spans="3:3" ht="16.5" customHeight="1">
      <c r="C81" s="1"/>
    </row>
    <row r="82" spans="3:3" ht="16.5" customHeight="1">
      <c r="C82" s="1"/>
    </row>
    <row r="83" spans="3:3" ht="16.5" customHeight="1">
      <c r="C83" s="1"/>
    </row>
    <row r="84" spans="3:3" ht="16.5" customHeight="1">
      <c r="C84" s="1"/>
    </row>
    <row r="85" spans="3:3" ht="16.5" customHeight="1">
      <c r="C85" s="1"/>
    </row>
    <row r="86" spans="3:3" ht="16.5" customHeight="1">
      <c r="C86" s="1"/>
    </row>
    <row r="87" spans="3:3" ht="16.5" customHeight="1">
      <c r="C87" s="1"/>
    </row>
    <row r="88" spans="3:3" ht="16.5" customHeight="1">
      <c r="C88" s="1"/>
    </row>
    <row r="89" spans="3:3" ht="16.5" customHeight="1">
      <c r="C89" s="1"/>
    </row>
    <row r="90" spans="3:3" ht="16.5" customHeight="1">
      <c r="C90" s="1"/>
    </row>
    <row r="91" spans="3:3" ht="16.5" customHeight="1">
      <c r="C91" s="1"/>
    </row>
    <row r="92" spans="3:3" ht="16.5" customHeight="1">
      <c r="C92" s="1"/>
    </row>
    <row r="93" spans="3:3" ht="16.5" customHeight="1">
      <c r="C93" s="1"/>
    </row>
    <row r="94" spans="3:3" ht="16.5" customHeight="1">
      <c r="C94" s="1"/>
    </row>
    <row r="95" spans="3:3" ht="16.5" customHeight="1">
      <c r="C95" s="1"/>
    </row>
    <row r="96" spans="3:3" ht="16.5" customHeight="1">
      <c r="C96" s="1"/>
    </row>
    <row r="97" spans="3:3" ht="16.5" customHeight="1">
      <c r="C97" s="1"/>
    </row>
    <row r="98" spans="3:3" ht="16.5" customHeight="1">
      <c r="C98" s="1"/>
    </row>
    <row r="99" spans="3:3" ht="16.5" customHeight="1">
      <c r="C99" s="1"/>
    </row>
    <row r="100" spans="3:3" ht="16.5" customHeight="1">
      <c r="C100" s="1"/>
    </row>
    <row r="101" spans="3:3" ht="16.5" customHeight="1">
      <c r="C101" s="1"/>
    </row>
    <row r="102" spans="3:3" ht="16.5" customHeight="1">
      <c r="C102" s="1"/>
    </row>
    <row r="103" spans="3:3" ht="16.5" customHeight="1">
      <c r="C103" s="1"/>
    </row>
    <row r="104" spans="3:3" ht="16.5" customHeight="1">
      <c r="C104" s="1"/>
    </row>
    <row r="105" spans="3:3" ht="16.5" customHeight="1">
      <c r="C105" s="1"/>
    </row>
    <row r="106" spans="3:3" ht="16.5" customHeight="1">
      <c r="C106" s="1"/>
    </row>
    <row r="107" spans="3:3" ht="16.5" customHeight="1">
      <c r="C107" s="1"/>
    </row>
    <row r="108" spans="3:3" ht="16.5" customHeight="1">
      <c r="C108" s="1"/>
    </row>
    <row r="109" spans="3:3" ht="16.5" customHeight="1">
      <c r="C109" s="1"/>
    </row>
    <row r="110" spans="3:3" ht="16.5" customHeight="1">
      <c r="C110" s="1"/>
    </row>
    <row r="111" spans="3:3" ht="16.5" customHeight="1">
      <c r="C111" s="1"/>
    </row>
    <row r="112" spans="3:3" ht="16.5" customHeight="1">
      <c r="C112" s="1"/>
    </row>
    <row r="113" spans="3:3" ht="16.5" customHeight="1">
      <c r="C113" s="1"/>
    </row>
    <row r="114" spans="3:3" ht="16.5" customHeight="1">
      <c r="C114" s="1"/>
    </row>
    <row r="115" spans="3:3" ht="16.5" customHeight="1">
      <c r="C115" s="1"/>
    </row>
    <row r="116" spans="3:3" ht="16.5" customHeight="1">
      <c r="C116" s="1"/>
    </row>
    <row r="117" spans="3:3" ht="16.5" customHeight="1">
      <c r="C117" s="1"/>
    </row>
    <row r="118" spans="3:3" ht="16.5" customHeight="1">
      <c r="C118" s="1"/>
    </row>
    <row r="119" spans="3:3" ht="16.5" customHeight="1">
      <c r="C119" s="1"/>
    </row>
    <row r="120" spans="3:3" ht="16.5" customHeight="1">
      <c r="C120" s="1"/>
    </row>
    <row r="121" spans="3:3" ht="16.5" customHeight="1">
      <c r="C121" s="1"/>
    </row>
    <row r="122" spans="3:3" ht="16.5" customHeight="1">
      <c r="C122" s="1"/>
    </row>
    <row r="123" spans="3:3" ht="16.5" customHeight="1">
      <c r="C123" s="1"/>
    </row>
    <row r="124" spans="3:3" ht="16.5" customHeight="1">
      <c r="C124" s="1"/>
    </row>
    <row r="125" spans="3:3" ht="16.5" customHeight="1">
      <c r="C125" s="1"/>
    </row>
    <row r="126" spans="3:3" ht="16.5" customHeight="1">
      <c r="C126" s="1"/>
    </row>
    <row r="127" spans="3:3" ht="16.5" customHeight="1">
      <c r="C127" s="1"/>
    </row>
    <row r="128" spans="3:3" ht="16.5" customHeight="1">
      <c r="C128" s="1"/>
    </row>
    <row r="129" spans="3:3" ht="16.5" customHeight="1">
      <c r="C129" s="1"/>
    </row>
    <row r="130" spans="3:3" ht="16.5" customHeight="1">
      <c r="C130" s="1"/>
    </row>
    <row r="131" spans="3:3" ht="16.5" customHeight="1">
      <c r="C131" s="1"/>
    </row>
    <row r="132" spans="3:3" ht="16.5" customHeight="1">
      <c r="C132" s="1"/>
    </row>
    <row r="133" spans="3:3" ht="16.5" customHeight="1">
      <c r="C133" s="1"/>
    </row>
    <row r="134" spans="3:3" ht="16.5" customHeight="1">
      <c r="C134" s="1"/>
    </row>
    <row r="135" spans="3:3" ht="16.5" customHeight="1">
      <c r="C135" s="1"/>
    </row>
    <row r="136" spans="3:3" ht="16.5" customHeight="1">
      <c r="C136" s="1"/>
    </row>
    <row r="137" spans="3:3" ht="16.5" customHeight="1">
      <c r="C137" s="1"/>
    </row>
    <row r="138" spans="3:3" ht="16.5" customHeight="1">
      <c r="C138" s="1"/>
    </row>
    <row r="139" spans="3:3" ht="16.5" customHeight="1">
      <c r="C139" s="1"/>
    </row>
    <row r="140" spans="3:3" ht="16.5" customHeight="1">
      <c r="C140" s="1"/>
    </row>
    <row r="141" spans="3:3" ht="16.5" customHeight="1">
      <c r="C141" s="1"/>
    </row>
    <row r="142" spans="3:3" ht="16.5" customHeight="1">
      <c r="C142" s="1"/>
    </row>
    <row r="143" spans="3:3" ht="16.5" customHeight="1">
      <c r="C143" s="1"/>
    </row>
    <row r="144" spans="3:3" ht="16.5" customHeight="1">
      <c r="C144" s="1"/>
    </row>
    <row r="145" spans="3:3" ht="16.5" customHeight="1">
      <c r="C145" s="1"/>
    </row>
    <row r="146" spans="3:3" ht="16.5" customHeight="1">
      <c r="C146" s="1"/>
    </row>
    <row r="147" spans="3:3" ht="16.5" customHeight="1">
      <c r="C147" s="1"/>
    </row>
    <row r="148" spans="3:3" ht="16.5" customHeight="1">
      <c r="C148" s="1"/>
    </row>
    <row r="149" spans="3:3" ht="16.5" customHeight="1">
      <c r="C149" s="1"/>
    </row>
    <row r="150" spans="3:3" ht="16.5" customHeight="1">
      <c r="C150" s="1"/>
    </row>
    <row r="151" spans="3:3" ht="16.5" customHeight="1">
      <c r="C151" s="1"/>
    </row>
    <row r="152" spans="3:3" ht="16.5" customHeight="1">
      <c r="C152" s="1"/>
    </row>
    <row r="153" spans="3:3" ht="16.5" customHeight="1">
      <c r="C153" s="1"/>
    </row>
    <row r="154" spans="3:3" ht="16.5" customHeight="1">
      <c r="C154" s="1"/>
    </row>
    <row r="155" spans="3:3" ht="16.5" customHeight="1">
      <c r="C155" s="1"/>
    </row>
    <row r="156" spans="3:3" ht="16.5" customHeight="1">
      <c r="C156" s="1"/>
    </row>
    <row r="157" spans="3:3" ht="16.5" customHeight="1">
      <c r="C157" s="1"/>
    </row>
    <row r="158" spans="3:3" ht="16.5" customHeight="1">
      <c r="C158" s="1"/>
    </row>
    <row r="159" spans="3:3" ht="16.5" customHeight="1">
      <c r="C159" s="1"/>
    </row>
    <row r="160" spans="3:3" ht="16.5" customHeight="1">
      <c r="C160" s="1"/>
    </row>
    <row r="161" spans="3:3" ht="16.5" customHeight="1">
      <c r="C161" s="1"/>
    </row>
    <row r="162" spans="3:3" ht="16.5" customHeight="1">
      <c r="C162" s="1"/>
    </row>
    <row r="163" spans="3:3" ht="16.5" customHeight="1">
      <c r="C163" s="1"/>
    </row>
    <row r="164" spans="3:3" ht="16.5" customHeight="1">
      <c r="C164" s="1"/>
    </row>
    <row r="165" spans="3:3" ht="16.5" customHeight="1">
      <c r="C165" s="1"/>
    </row>
    <row r="166" spans="3:3" ht="16.5" customHeight="1">
      <c r="C166" s="1"/>
    </row>
    <row r="167" spans="3:3" ht="16.5" customHeight="1">
      <c r="C167" s="1"/>
    </row>
    <row r="168" spans="3:3" ht="16.5" customHeight="1">
      <c r="C168" s="1"/>
    </row>
    <row r="169" spans="3:3" ht="16.5" customHeight="1">
      <c r="C169" s="1"/>
    </row>
    <row r="170" spans="3:3" ht="16.5" customHeight="1">
      <c r="C170" s="1"/>
    </row>
    <row r="171" spans="3:3" ht="16.5" customHeight="1">
      <c r="C171" s="1"/>
    </row>
    <row r="172" spans="3:3" ht="16.5" customHeight="1">
      <c r="C172" s="1"/>
    </row>
    <row r="173" spans="3:3" ht="16.5" customHeight="1">
      <c r="C173" s="1"/>
    </row>
    <row r="174" spans="3:3" ht="16.5" customHeight="1">
      <c r="C174" s="1"/>
    </row>
    <row r="175" spans="3:3" ht="16.5" customHeight="1">
      <c r="C175" s="1"/>
    </row>
    <row r="176" spans="3:3" ht="16.5" customHeight="1">
      <c r="C176" s="1"/>
    </row>
    <row r="177" spans="3:3" ht="16.5" customHeight="1">
      <c r="C177" s="1"/>
    </row>
    <row r="178" spans="3:3" ht="16.5" customHeight="1">
      <c r="C178" s="1"/>
    </row>
    <row r="179" spans="3:3" ht="16.5" customHeight="1">
      <c r="C179" s="1"/>
    </row>
    <row r="180" spans="3:3" ht="16.5" customHeight="1">
      <c r="C180" s="1"/>
    </row>
    <row r="181" spans="3:3" ht="16.5" customHeight="1">
      <c r="C181" s="1"/>
    </row>
    <row r="182" spans="3:3" ht="16.5" customHeight="1">
      <c r="C182" s="1"/>
    </row>
    <row r="183" spans="3:3" ht="16.5" customHeight="1">
      <c r="C183" s="1"/>
    </row>
    <row r="184" spans="3:3" ht="16.5" customHeight="1">
      <c r="C184" s="1"/>
    </row>
    <row r="185" spans="3:3" ht="16.5" customHeight="1">
      <c r="C185" s="1"/>
    </row>
    <row r="186" spans="3:3" ht="16.5" customHeight="1">
      <c r="C186" s="1"/>
    </row>
    <row r="187" spans="3:3" ht="16.5" customHeight="1">
      <c r="C187" s="1"/>
    </row>
    <row r="188" spans="3:3" ht="16.5" customHeight="1">
      <c r="C188" s="1"/>
    </row>
    <row r="189" spans="3:3" ht="16.5" customHeight="1">
      <c r="C189" s="1"/>
    </row>
    <row r="190" spans="3:3" ht="16.5" customHeight="1">
      <c r="C190" s="1"/>
    </row>
    <row r="191" spans="3:3" ht="16.5" customHeight="1">
      <c r="C191" s="1"/>
    </row>
    <row r="192" spans="3:3" ht="16.5" customHeight="1">
      <c r="C192" s="1"/>
    </row>
    <row r="193" spans="3:3" ht="16.5" customHeight="1">
      <c r="C193" s="1"/>
    </row>
    <row r="194" spans="3:3" ht="16.5" customHeight="1">
      <c r="C194" s="1"/>
    </row>
    <row r="195" spans="3:3" ht="16.5" customHeight="1">
      <c r="C195" s="1"/>
    </row>
    <row r="196" spans="3:3" ht="16.5" customHeight="1">
      <c r="C196" s="1"/>
    </row>
    <row r="197" spans="3:3" ht="16.5" customHeight="1">
      <c r="C197" s="1"/>
    </row>
    <row r="198" spans="3:3" ht="16.5" customHeight="1">
      <c r="C198" s="1"/>
    </row>
    <row r="199" spans="3:3" ht="16.5" customHeight="1">
      <c r="C199" s="1"/>
    </row>
    <row r="200" spans="3:3" ht="16.5" customHeight="1">
      <c r="C200" s="1"/>
    </row>
    <row r="201" spans="3:3" ht="16.5" customHeight="1">
      <c r="C201" s="1"/>
    </row>
    <row r="202" spans="3:3" ht="16.5" customHeight="1">
      <c r="C202" s="1"/>
    </row>
    <row r="203" spans="3:3" ht="16.5" customHeight="1">
      <c r="C203" s="1"/>
    </row>
    <row r="204" spans="3:3" ht="16.5" customHeight="1">
      <c r="C204" s="1"/>
    </row>
    <row r="205" spans="3:3" ht="16.5" customHeight="1">
      <c r="C205" s="1"/>
    </row>
    <row r="206" spans="3:3" ht="16.5" customHeight="1">
      <c r="C206" s="1"/>
    </row>
    <row r="207" spans="3:3" ht="16.5" customHeight="1">
      <c r="C207" s="1"/>
    </row>
    <row r="208" spans="3:3" ht="16.5" customHeight="1">
      <c r="C208" s="1"/>
    </row>
    <row r="209" spans="3:3" ht="16.5" customHeight="1">
      <c r="C209" s="1"/>
    </row>
    <row r="210" spans="3:3" ht="16.5" customHeight="1">
      <c r="C210" s="1"/>
    </row>
    <row r="211" spans="3:3" ht="16.5" customHeight="1">
      <c r="C211" s="1"/>
    </row>
    <row r="212" spans="3:3" ht="16.5" customHeight="1">
      <c r="C212" s="1"/>
    </row>
    <row r="213" spans="3:3" ht="16.5" customHeight="1">
      <c r="C213" s="1"/>
    </row>
    <row r="214" spans="3:3" ht="16.5" customHeight="1">
      <c r="C214" s="1"/>
    </row>
    <row r="215" spans="3:3" ht="16.5" customHeight="1">
      <c r="C215" s="1"/>
    </row>
    <row r="216" spans="3:3" ht="16.5" customHeight="1">
      <c r="C216" s="1"/>
    </row>
    <row r="217" spans="3:3" ht="16.5" customHeight="1">
      <c r="C217" s="1"/>
    </row>
    <row r="218" spans="3:3" ht="16.5" customHeight="1">
      <c r="C218" s="1"/>
    </row>
    <row r="219" spans="3:3" ht="16.5" customHeight="1">
      <c r="C219" s="1"/>
    </row>
    <row r="220" spans="3:3" ht="16.5" customHeight="1">
      <c r="C220" s="1"/>
    </row>
    <row r="221" spans="3:3" ht="16.5" customHeight="1">
      <c r="C221" s="1"/>
    </row>
    <row r="222" spans="3:3" ht="16.5" customHeight="1">
      <c r="C222" s="1"/>
    </row>
    <row r="223" spans="3:3" ht="16.5" customHeight="1">
      <c r="C223" s="1"/>
    </row>
    <row r="224" spans="3:3" ht="16.5" customHeight="1">
      <c r="C224" s="1"/>
    </row>
    <row r="225" spans="3:3" ht="16.5" customHeight="1">
      <c r="C225" s="1"/>
    </row>
    <row r="226" spans="3:3" ht="16.5" customHeight="1">
      <c r="C226" s="1"/>
    </row>
    <row r="227" spans="3:3" ht="16.5" customHeight="1">
      <c r="C227" s="1"/>
    </row>
    <row r="228" spans="3:3" ht="16.5" customHeight="1">
      <c r="C228" s="1"/>
    </row>
    <row r="229" spans="3:3" ht="16.5" customHeight="1">
      <c r="C229" s="1"/>
    </row>
    <row r="230" spans="3:3" ht="16.5" customHeight="1">
      <c r="C230" s="1"/>
    </row>
    <row r="231" spans="3:3" ht="16.5" customHeight="1">
      <c r="C231" s="1"/>
    </row>
    <row r="232" spans="3:3" ht="16.5" customHeight="1">
      <c r="C232" s="1"/>
    </row>
    <row r="233" spans="3:3" ht="16.5" customHeight="1">
      <c r="C233" s="1"/>
    </row>
    <row r="234" spans="3:3" ht="16.5" customHeight="1">
      <c r="C234" s="1"/>
    </row>
    <row r="235" spans="3:3" ht="16.5" customHeight="1">
      <c r="C235" s="1"/>
    </row>
    <row r="236" spans="3:3" ht="16.5" customHeight="1">
      <c r="C236" s="1"/>
    </row>
    <row r="237" spans="3:3" ht="16.5" customHeight="1">
      <c r="C237" s="1"/>
    </row>
    <row r="238" spans="3:3" ht="16.5" customHeight="1">
      <c r="C238" s="1"/>
    </row>
    <row r="239" spans="3:3" ht="16.5" customHeight="1">
      <c r="C239" s="1"/>
    </row>
    <row r="240" spans="3:3" ht="16.5" customHeight="1">
      <c r="C240" s="1"/>
    </row>
    <row r="241" spans="3:3" ht="16.5" customHeight="1">
      <c r="C241" s="1"/>
    </row>
    <row r="242" spans="3:3" ht="16.5" customHeight="1">
      <c r="C242" s="1"/>
    </row>
    <row r="243" spans="3:3" ht="16.5" customHeight="1">
      <c r="C243" s="1"/>
    </row>
    <row r="244" spans="3:3" ht="16.5" customHeight="1">
      <c r="C244" s="1"/>
    </row>
    <row r="245" spans="3:3" ht="16.5" customHeight="1">
      <c r="C245" s="1"/>
    </row>
    <row r="246" spans="3:3" ht="16.5" customHeight="1">
      <c r="C246" s="1"/>
    </row>
    <row r="247" spans="3:3" ht="16.5" customHeight="1">
      <c r="C247" s="1"/>
    </row>
    <row r="248" spans="3:3" ht="16.5" customHeight="1">
      <c r="C248" s="1"/>
    </row>
    <row r="249" spans="3:3" ht="16.5" customHeight="1">
      <c r="C249" s="1"/>
    </row>
    <row r="250" spans="3:3" ht="16.5" customHeight="1">
      <c r="C250" s="1"/>
    </row>
    <row r="251" spans="3:3" ht="16.5" customHeight="1">
      <c r="C251" s="1"/>
    </row>
    <row r="252" spans="3:3" ht="16.5" customHeight="1">
      <c r="C252" s="1"/>
    </row>
    <row r="253" spans="3:3" ht="16.5" customHeight="1">
      <c r="C253" s="1"/>
    </row>
    <row r="254" spans="3:3" ht="16.5" customHeight="1">
      <c r="C254" s="1"/>
    </row>
    <row r="255" spans="3:3" ht="16.5" customHeight="1">
      <c r="C255" s="1"/>
    </row>
    <row r="256" spans="3:3" ht="16.5" customHeight="1">
      <c r="C256" s="1"/>
    </row>
    <row r="257" spans="3:3" ht="16.5" customHeight="1">
      <c r="C257" s="1"/>
    </row>
    <row r="258" spans="3:3" ht="16.5" customHeight="1">
      <c r="C258" s="1"/>
    </row>
    <row r="259" spans="3:3" ht="16.5" customHeight="1">
      <c r="C259" s="1"/>
    </row>
    <row r="260" spans="3:3" ht="16.5" customHeight="1">
      <c r="C260" s="1"/>
    </row>
    <row r="261" spans="3:3" ht="16.5" customHeight="1">
      <c r="C261" s="1"/>
    </row>
    <row r="262" spans="3:3" ht="16.5" customHeight="1">
      <c r="C262" s="1"/>
    </row>
    <row r="263" spans="3:3" ht="16.5" customHeight="1">
      <c r="C263" s="1"/>
    </row>
    <row r="264" spans="3:3" ht="16.5" customHeight="1">
      <c r="C264" s="1"/>
    </row>
    <row r="265" spans="3:3" ht="16.5" customHeight="1">
      <c r="C265" s="1"/>
    </row>
    <row r="266" spans="3:3" ht="16.5" customHeight="1">
      <c r="C266" s="1"/>
    </row>
    <row r="267" spans="3:3" ht="16.5" customHeight="1">
      <c r="C267" s="1"/>
    </row>
    <row r="268" spans="3:3" ht="16.5" customHeight="1">
      <c r="C268" s="1"/>
    </row>
    <row r="269" spans="3:3" ht="16.5" customHeight="1">
      <c r="C269" s="1"/>
    </row>
    <row r="270" spans="3:3" ht="16.5" customHeight="1">
      <c r="C270" s="1"/>
    </row>
    <row r="271" spans="3:3" ht="16.5" customHeight="1">
      <c r="C271" s="1"/>
    </row>
    <row r="272" spans="3:3" ht="16.5" customHeight="1">
      <c r="C272" s="1"/>
    </row>
    <row r="273" spans="3:3" ht="16.5" customHeight="1">
      <c r="C273" s="1"/>
    </row>
    <row r="274" spans="3:3" ht="16.5" customHeight="1">
      <c r="C274" s="1"/>
    </row>
    <row r="275" spans="3:3" ht="16.5" customHeight="1">
      <c r="C275" s="1"/>
    </row>
    <row r="276" spans="3:3" ht="16.5" customHeight="1">
      <c r="C276" s="1"/>
    </row>
    <row r="277" spans="3:3" ht="16.5" customHeight="1">
      <c r="C277" s="1"/>
    </row>
    <row r="278" spans="3:3" ht="16.5" customHeight="1">
      <c r="C278" s="1"/>
    </row>
    <row r="279" spans="3:3" ht="16.5" customHeight="1">
      <c r="C279" s="1"/>
    </row>
    <row r="280" spans="3:3" ht="16.5" customHeight="1">
      <c r="C280" s="1"/>
    </row>
    <row r="281" spans="3:3" ht="16.5" customHeight="1">
      <c r="C281" s="1"/>
    </row>
    <row r="282" spans="3:3" ht="16.5" customHeight="1">
      <c r="C282" s="1"/>
    </row>
    <row r="283" spans="3:3" ht="16.5" customHeight="1">
      <c r="C283" s="1"/>
    </row>
    <row r="284" spans="3:3" ht="16.5" customHeight="1">
      <c r="C284" s="1"/>
    </row>
    <row r="285" spans="3:3" ht="16.5" customHeight="1">
      <c r="C285" s="1"/>
    </row>
    <row r="286" spans="3:3" ht="16.5" customHeight="1">
      <c r="C286" s="1"/>
    </row>
    <row r="287" spans="3:3" ht="16.5" customHeight="1">
      <c r="C287" s="1"/>
    </row>
    <row r="288" spans="3:3" ht="16.5" customHeight="1">
      <c r="C288" s="1"/>
    </row>
    <row r="289" spans="3:3" ht="16.5" customHeight="1">
      <c r="C289" s="1"/>
    </row>
    <row r="290" spans="3:3" ht="16.5" customHeight="1">
      <c r="C290" s="1"/>
    </row>
    <row r="291" spans="3:3" ht="16.5" customHeight="1">
      <c r="C291" s="1"/>
    </row>
    <row r="292" spans="3:3" ht="16.5" customHeight="1">
      <c r="C292" s="1"/>
    </row>
    <row r="293" spans="3:3" ht="16.5" customHeight="1">
      <c r="C293" s="1"/>
    </row>
    <row r="294" spans="3:3" ht="16.5" customHeight="1">
      <c r="C294" s="1"/>
    </row>
    <row r="295" spans="3:3" ht="16.5" customHeight="1">
      <c r="C295" s="1"/>
    </row>
    <row r="296" spans="3:3" ht="16.5" customHeight="1">
      <c r="C296" s="1"/>
    </row>
    <row r="297" spans="3:3" ht="16.5" customHeight="1">
      <c r="C297" s="1"/>
    </row>
    <row r="298" spans="3:3" ht="16.5" customHeight="1">
      <c r="C298" s="1"/>
    </row>
    <row r="299" spans="3:3" ht="16.5" customHeight="1">
      <c r="C299" s="1"/>
    </row>
    <row r="300" spans="3:3" ht="16.5" customHeight="1">
      <c r="C300" s="1"/>
    </row>
    <row r="301" spans="3:3" ht="16.5" customHeight="1">
      <c r="C301" s="1"/>
    </row>
    <row r="302" spans="3:3" ht="16.5" customHeight="1">
      <c r="C302" s="1"/>
    </row>
    <row r="303" spans="3:3" ht="16.5" customHeight="1">
      <c r="C303" s="1"/>
    </row>
    <row r="304" spans="3:3" ht="16.5" customHeight="1">
      <c r="C304" s="1"/>
    </row>
    <row r="305" spans="3:3" ht="16.5" customHeight="1">
      <c r="C305" s="1"/>
    </row>
    <row r="306" spans="3:3" ht="16.5" customHeight="1">
      <c r="C306" s="1"/>
    </row>
    <row r="307" spans="3:3" ht="16.5" customHeight="1">
      <c r="C307" s="1"/>
    </row>
    <row r="308" spans="3:3" ht="16.5" customHeight="1">
      <c r="C308" s="1"/>
    </row>
    <row r="309" spans="3:3" ht="16.5" customHeight="1">
      <c r="C309" s="1"/>
    </row>
    <row r="310" spans="3:3" ht="16.5" customHeight="1">
      <c r="C310" s="1"/>
    </row>
    <row r="311" spans="3:3" ht="16.5" customHeight="1">
      <c r="C311" s="1"/>
    </row>
    <row r="312" spans="3:3" ht="16.5" customHeight="1">
      <c r="C312" s="1"/>
    </row>
    <row r="313" spans="3:3" ht="16.5" customHeight="1">
      <c r="C313" s="1"/>
    </row>
    <row r="314" spans="3:3" ht="16.5" customHeight="1">
      <c r="C314" s="1"/>
    </row>
    <row r="315" spans="3:3" ht="16.5" customHeight="1">
      <c r="C315" s="1"/>
    </row>
    <row r="316" spans="3:3" ht="16.5" customHeight="1">
      <c r="C316" s="1"/>
    </row>
    <row r="317" spans="3:3" ht="16.5" customHeight="1">
      <c r="C317" s="1"/>
    </row>
    <row r="318" spans="3:3" ht="16.5" customHeight="1">
      <c r="C318" s="1"/>
    </row>
    <row r="319" spans="3:3" ht="16.5" customHeight="1">
      <c r="C319" s="1"/>
    </row>
    <row r="320" spans="3:3" ht="16.5" customHeight="1">
      <c r="C320" s="1"/>
    </row>
    <row r="321" spans="3:3" ht="16.5" customHeight="1">
      <c r="C321" s="1"/>
    </row>
    <row r="322" spans="3:3" ht="16.5" customHeight="1">
      <c r="C322" s="1"/>
    </row>
    <row r="323" spans="3:3" ht="16.5" customHeight="1">
      <c r="C323" s="1"/>
    </row>
    <row r="324" spans="3:3" ht="16.5" customHeight="1">
      <c r="C324" s="1"/>
    </row>
    <row r="325" spans="3:3" ht="16.5" customHeight="1">
      <c r="C325" s="1"/>
    </row>
    <row r="326" spans="3:3" ht="16.5" customHeight="1">
      <c r="C326" s="1"/>
    </row>
    <row r="327" spans="3:3" ht="16.5" customHeight="1">
      <c r="C327" s="1"/>
    </row>
    <row r="328" spans="3:3" ht="16.5" customHeight="1">
      <c r="C328" s="1"/>
    </row>
    <row r="329" spans="3:3" ht="16.5" customHeight="1">
      <c r="C329" s="1"/>
    </row>
    <row r="330" spans="3:3" ht="16.5" customHeight="1">
      <c r="C330" s="1"/>
    </row>
    <row r="331" spans="3:3" ht="16.5" customHeight="1">
      <c r="C331" s="1"/>
    </row>
    <row r="332" spans="3:3" ht="16.5" customHeight="1">
      <c r="C332" s="1"/>
    </row>
    <row r="333" spans="3:3" ht="16.5" customHeight="1">
      <c r="C333" s="1"/>
    </row>
    <row r="334" spans="3:3" ht="16.5" customHeight="1">
      <c r="C334" s="1"/>
    </row>
    <row r="335" spans="3:3" ht="16.5" customHeight="1">
      <c r="C335" s="1"/>
    </row>
    <row r="336" spans="3:3" ht="16.5" customHeight="1">
      <c r="C336" s="1"/>
    </row>
    <row r="337" spans="3:3" ht="16.5" customHeight="1">
      <c r="C337" s="1"/>
    </row>
    <row r="338" spans="3:3" ht="16.5" customHeight="1">
      <c r="C338" s="1"/>
    </row>
    <row r="339" spans="3:3" ht="16.5" customHeight="1">
      <c r="C339" s="1"/>
    </row>
    <row r="340" spans="3:3" ht="16.5" customHeight="1">
      <c r="C340" s="1"/>
    </row>
    <row r="341" spans="3:3" ht="16.5" customHeight="1">
      <c r="C341" s="1"/>
    </row>
    <row r="342" spans="3:3" ht="16.5" customHeight="1">
      <c r="C342" s="1"/>
    </row>
    <row r="343" spans="3:3" ht="16.5" customHeight="1">
      <c r="C343" s="1"/>
    </row>
    <row r="344" spans="3:3" ht="16.5" customHeight="1">
      <c r="C344" s="1"/>
    </row>
    <row r="345" spans="3:3" ht="16.5" customHeight="1">
      <c r="C345" s="1"/>
    </row>
    <row r="346" spans="3:3" ht="16.5" customHeight="1">
      <c r="C346" s="1"/>
    </row>
    <row r="347" spans="3:3" ht="16.5" customHeight="1">
      <c r="C347" s="1"/>
    </row>
    <row r="348" spans="3:3" ht="16.5" customHeight="1">
      <c r="C348" s="1"/>
    </row>
    <row r="349" spans="3:3" ht="16.5" customHeight="1">
      <c r="C349" s="1"/>
    </row>
    <row r="350" spans="3:3" ht="16.5" customHeight="1">
      <c r="C350" s="1"/>
    </row>
    <row r="351" spans="3:3" ht="16.5" customHeight="1">
      <c r="C351" s="1"/>
    </row>
    <row r="352" spans="3:3" ht="16.5" customHeight="1">
      <c r="C352" s="1"/>
    </row>
    <row r="353" spans="3:3" ht="16.5" customHeight="1">
      <c r="C353" s="1"/>
    </row>
    <row r="354" spans="3:3" ht="16.5" customHeight="1">
      <c r="C354" s="1"/>
    </row>
    <row r="355" spans="3:3" ht="16.5" customHeight="1">
      <c r="C355" s="1"/>
    </row>
    <row r="356" spans="3:3" ht="16.5" customHeight="1">
      <c r="C356" s="1"/>
    </row>
    <row r="357" spans="3:3" ht="16.5" customHeight="1">
      <c r="C357" s="1"/>
    </row>
    <row r="358" spans="3:3" ht="16.5" customHeight="1">
      <c r="C358" s="1"/>
    </row>
    <row r="359" spans="3:3" ht="16.5" customHeight="1">
      <c r="C359" s="1"/>
    </row>
    <row r="360" spans="3:3" ht="16.5" customHeight="1">
      <c r="C360" s="1"/>
    </row>
    <row r="361" spans="3:3" ht="16.5" customHeight="1">
      <c r="C361" s="1"/>
    </row>
    <row r="362" spans="3:3" ht="16.5" customHeight="1">
      <c r="C362" s="1"/>
    </row>
    <row r="363" spans="3:3" ht="16.5" customHeight="1">
      <c r="C363" s="1"/>
    </row>
    <row r="364" spans="3:3" ht="16.5" customHeight="1">
      <c r="C364" s="1"/>
    </row>
    <row r="365" spans="3:3" ht="16.5" customHeight="1">
      <c r="C365" s="1"/>
    </row>
    <row r="366" spans="3:3" ht="16.5" customHeight="1">
      <c r="C366" s="1"/>
    </row>
    <row r="367" spans="3:3" ht="16.5" customHeight="1">
      <c r="C367" s="1"/>
    </row>
    <row r="368" spans="3:3" ht="16.5" customHeight="1">
      <c r="C368" s="1"/>
    </row>
    <row r="369" spans="3:3" ht="16.5" customHeight="1">
      <c r="C369" s="1"/>
    </row>
    <row r="370" spans="3:3" ht="16.5" customHeight="1">
      <c r="C370" s="1"/>
    </row>
    <row r="371" spans="3:3" ht="16.5" customHeight="1">
      <c r="C371" s="1"/>
    </row>
    <row r="372" spans="3:3" ht="16.5" customHeight="1">
      <c r="C372" s="1"/>
    </row>
    <row r="373" spans="3:3" ht="16.5" customHeight="1">
      <c r="C373" s="1"/>
    </row>
    <row r="374" spans="3:3" ht="16.5" customHeight="1">
      <c r="C374" s="1"/>
    </row>
    <row r="375" spans="3:3" ht="16.5" customHeight="1">
      <c r="C375" s="1"/>
    </row>
    <row r="376" spans="3:3" ht="16.5" customHeight="1">
      <c r="C376" s="1"/>
    </row>
    <row r="377" spans="3:3" ht="16.5" customHeight="1">
      <c r="C377" s="1"/>
    </row>
    <row r="378" spans="3:3" ht="16.5" customHeight="1">
      <c r="C378" s="1"/>
    </row>
    <row r="379" spans="3:3" ht="16.5" customHeight="1">
      <c r="C379" s="1"/>
    </row>
    <row r="380" spans="3:3" ht="16.5" customHeight="1">
      <c r="C380" s="1"/>
    </row>
    <row r="381" spans="3:3" ht="16.5" customHeight="1">
      <c r="C381" s="1"/>
    </row>
    <row r="382" spans="3:3" ht="16.5" customHeight="1">
      <c r="C382" s="1"/>
    </row>
    <row r="383" spans="3:3" ht="16.5" customHeight="1">
      <c r="C383" s="1"/>
    </row>
    <row r="384" spans="3:3" ht="16.5" customHeight="1">
      <c r="C384" s="1"/>
    </row>
    <row r="385" spans="3:3" ht="16.5" customHeight="1">
      <c r="C385" s="1"/>
    </row>
    <row r="386" spans="3:3" ht="16.5" customHeight="1">
      <c r="C386" s="1"/>
    </row>
    <row r="387" spans="3:3" ht="16.5" customHeight="1">
      <c r="C387" s="1"/>
    </row>
    <row r="388" spans="3:3" ht="16.5" customHeight="1">
      <c r="C388" s="1"/>
    </row>
    <row r="389" spans="3:3" ht="16.5" customHeight="1">
      <c r="C389" s="1"/>
    </row>
    <row r="390" spans="3:3" ht="16.5" customHeight="1">
      <c r="C390" s="1"/>
    </row>
    <row r="391" spans="3:3" ht="16.5" customHeight="1">
      <c r="C391" s="1"/>
    </row>
    <row r="392" spans="3:3" ht="16.5" customHeight="1">
      <c r="C392" s="1"/>
    </row>
    <row r="393" spans="3:3" ht="16.5" customHeight="1">
      <c r="C393" s="1"/>
    </row>
    <row r="394" spans="3:3" ht="16.5" customHeight="1">
      <c r="C394" s="1"/>
    </row>
    <row r="395" spans="3:3" ht="16.5" customHeight="1">
      <c r="C395" s="1"/>
    </row>
    <row r="396" spans="3:3" ht="16.5" customHeight="1">
      <c r="C396" s="1"/>
    </row>
    <row r="397" spans="3:3" ht="16.5" customHeight="1">
      <c r="C397" s="1"/>
    </row>
    <row r="398" spans="3:3" ht="16.5" customHeight="1">
      <c r="C398" s="1"/>
    </row>
    <row r="399" spans="3:3" ht="16.5" customHeight="1">
      <c r="C399" s="1"/>
    </row>
    <row r="400" spans="3:3" ht="16.5" customHeight="1">
      <c r="C400" s="1"/>
    </row>
    <row r="401" spans="3:3" ht="16.5" customHeight="1">
      <c r="C401" s="1"/>
    </row>
    <row r="402" spans="3:3" ht="16.5" customHeight="1">
      <c r="C402" s="1"/>
    </row>
    <row r="403" spans="3:3" ht="16.5" customHeight="1">
      <c r="C403" s="1"/>
    </row>
    <row r="404" spans="3:3" ht="16.5" customHeight="1">
      <c r="C404" s="1"/>
    </row>
    <row r="405" spans="3:3" ht="16.5" customHeight="1">
      <c r="C405" s="1"/>
    </row>
    <row r="406" spans="3:3" ht="16.5" customHeight="1">
      <c r="C406" s="1"/>
    </row>
    <row r="407" spans="3:3" ht="16.5" customHeight="1">
      <c r="C407" s="1"/>
    </row>
    <row r="408" spans="3:3" ht="16.5" customHeight="1">
      <c r="C408" s="1"/>
    </row>
    <row r="409" spans="3:3" ht="16.5" customHeight="1">
      <c r="C409" s="1"/>
    </row>
    <row r="410" spans="3:3" ht="16.5" customHeight="1">
      <c r="C410" s="1"/>
    </row>
    <row r="411" spans="3:3" ht="16.5" customHeight="1">
      <c r="C411" s="1"/>
    </row>
    <row r="412" spans="3:3" ht="16.5" customHeight="1">
      <c r="C412" s="1"/>
    </row>
    <row r="413" spans="3:3" ht="16.5" customHeight="1">
      <c r="C413" s="1"/>
    </row>
    <row r="414" spans="3:3" ht="16.5" customHeight="1">
      <c r="C414" s="1"/>
    </row>
    <row r="415" spans="3:3" ht="16.5" customHeight="1">
      <c r="C415" s="1"/>
    </row>
    <row r="416" spans="3:3" ht="16.5" customHeight="1">
      <c r="C416" s="1"/>
    </row>
    <row r="417" spans="3:3" ht="16.5" customHeight="1">
      <c r="C417" s="1"/>
    </row>
    <row r="418" spans="3:3" ht="16.5" customHeight="1">
      <c r="C418" s="1"/>
    </row>
    <row r="419" spans="3:3" ht="16.5" customHeight="1">
      <c r="C419" s="1"/>
    </row>
    <row r="420" spans="3:3" ht="16.5" customHeight="1">
      <c r="C420" s="1"/>
    </row>
    <row r="421" spans="3:3" ht="16.5" customHeight="1">
      <c r="C421" s="1"/>
    </row>
    <row r="422" spans="3:3" ht="16.5" customHeight="1">
      <c r="C422" s="1"/>
    </row>
    <row r="423" spans="3:3" ht="16.5" customHeight="1">
      <c r="C423" s="1"/>
    </row>
    <row r="424" spans="3:3" ht="16.5" customHeight="1">
      <c r="C424" s="1"/>
    </row>
    <row r="425" spans="3:3" ht="16.5" customHeight="1">
      <c r="C425" s="1"/>
    </row>
    <row r="426" spans="3:3" ht="16.5" customHeight="1">
      <c r="C426" s="1"/>
    </row>
    <row r="427" spans="3:3" ht="16.5" customHeight="1">
      <c r="C427" s="1"/>
    </row>
    <row r="428" spans="3:3" ht="16.5" customHeight="1">
      <c r="C428" s="1"/>
    </row>
    <row r="429" spans="3:3" ht="16.5" customHeight="1">
      <c r="C429" s="1"/>
    </row>
    <row r="430" spans="3:3" ht="16.5" customHeight="1">
      <c r="C430" s="1"/>
    </row>
    <row r="431" spans="3:3" ht="16.5" customHeight="1">
      <c r="C431" s="1"/>
    </row>
    <row r="432" spans="3:3" ht="16.5" customHeight="1">
      <c r="C432" s="1"/>
    </row>
    <row r="433" spans="3:3" ht="16.5" customHeight="1">
      <c r="C433" s="1"/>
    </row>
    <row r="434" spans="3:3" ht="16.5" customHeight="1">
      <c r="C434" s="1"/>
    </row>
    <row r="435" spans="3:3" ht="16.5" customHeight="1">
      <c r="C435" s="1"/>
    </row>
    <row r="436" spans="3:3" ht="16.5" customHeight="1">
      <c r="C436" s="1"/>
    </row>
    <row r="437" spans="3:3" ht="16.5" customHeight="1">
      <c r="C437" s="1"/>
    </row>
    <row r="438" spans="3:3" ht="16.5" customHeight="1">
      <c r="C438" s="1"/>
    </row>
    <row r="439" spans="3:3" ht="16.5" customHeight="1">
      <c r="C439" s="1"/>
    </row>
    <row r="440" spans="3:3" ht="16.5" customHeight="1">
      <c r="C440" s="1"/>
    </row>
    <row r="441" spans="3:3" ht="16.5" customHeight="1">
      <c r="C441" s="1"/>
    </row>
    <row r="442" spans="3:3" ht="16.5" customHeight="1">
      <c r="C442" s="1"/>
    </row>
    <row r="443" spans="3:3" ht="16.5" customHeight="1">
      <c r="C443" s="1"/>
    </row>
    <row r="444" spans="3:3" ht="16.5" customHeight="1">
      <c r="C444" s="1"/>
    </row>
    <row r="445" spans="3:3" ht="16.5" customHeight="1">
      <c r="C445" s="1"/>
    </row>
    <row r="446" spans="3:3" ht="16.5" customHeight="1">
      <c r="C446" s="1"/>
    </row>
    <row r="447" spans="3:3" ht="16.5" customHeight="1">
      <c r="C447" s="1"/>
    </row>
    <row r="448" spans="3:3" ht="16.5" customHeight="1">
      <c r="C448" s="1"/>
    </row>
    <row r="449" spans="3:3" ht="16.5" customHeight="1">
      <c r="C449" s="1"/>
    </row>
    <row r="450" spans="3:3" ht="16.5" customHeight="1">
      <c r="C450" s="1"/>
    </row>
    <row r="451" spans="3:3" ht="16.5" customHeight="1">
      <c r="C451" s="1"/>
    </row>
    <row r="452" spans="3:3" ht="16.5" customHeight="1">
      <c r="C452" s="1"/>
    </row>
    <row r="453" spans="3:3" ht="16.5" customHeight="1">
      <c r="C453" s="1"/>
    </row>
    <row r="454" spans="3:3" ht="16.5" customHeight="1">
      <c r="C454" s="1"/>
    </row>
    <row r="455" spans="3:3" ht="16.5" customHeight="1">
      <c r="C455" s="1"/>
    </row>
    <row r="456" spans="3:3" ht="16.5" customHeight="1">
      <c r="C456" s="1"/>
    </row>
    <row r="457" spans="3:3" ht="16.5" customHeight="1">
      <c r="C457" s="1"/>
    </row>
    <row r="458" spans="3:3" ht="16.5" customHeight="1">
      <c r="C458" s="1"/>
    </row>
    <row r="459" spans="3:3" ht="16.5" customHeight="1">
      <c r="C459" s="1"/>
    </row>
    <row r="460" spans="3:3" ht="16.5" customHeight="1">
      <c r="C460" s="1"/>
    </row>
    <row r="461" spans="3:3" ht="16.5" customHeight="1">
      <c r="C461" s="1"/>
    </row>
    <row r="462" spans="3:3" ht="16.5" customHeight="1">
      <c r="C462" s="1"/>
    </row>
    <row r="463" spans="3:3" ht="16.5" customHeight="1">
      <c r="C463" s="1"/>
    </row>
    <row r="464" spans="3:3" ht="16.5" customHeight="1">
      <c r="C464" s="1"/>
    </row>
    <row r="465" spans="3:3" ht="16.5" customHeight="1">
      <c r="C465" s="1"/>
    </row>
    <row r="466" spans="3:3" ht="16.5" customHeight="1">
      <c r="C466" s="1"/>
    </row>
    <row r="467" spans="3:3" ht="16.5" customHeight="1">
      <c r="C467" s="1"/>
    </row>
    <row r="468" spans="3:3" ht="16.5" customHeight="1">
      <c r="C468" s="1"/>
    </row>
    <row r="469" spans="3:3" ht="16.5" customHeight="1">
      <c r="C469" s="1"/>
    </row>
    <row r="470" spans="3:3" ht="16.5" customHeight="1">
      <c r="C470" s="1"/>
    </row>
    <row r="471" spans="3:3" ht="16.5" customHeight="1">
      <c r="C471" s="1"/>
    </row>
    <row r="472" spans="3:3" ht="16.5" customHeight="1">
      <c r="C472" s="1"/>
    </row>
    <row r="473" spans="3:3" ht="16.5" customHeight="1">
      <c r="C473" s="1"/>
    </row>
    <row r="474" spans="3:3" ht="16.5" customHeight="1">
      <c r="C474" s="1"/>
    </row>
    <row r="475" spans="3:3" ht="16.5" customHeight="1">
      <c r="C475" s="1"/>
    </row>
    <row r="476" spans="3:3" ht="16.5" customHeight="1">
      <c r="C476" s="1"/>
    </row>
    <row r="477" spans="3:3" ht="16.5" customHeight="1">
      <c r="C477" s="1"/>
    </row>
    <row r="478" spans="3:3" ht="16.5" customHeight="1">
      <c r="C478" s="1"/>
    </row>
    <row r="479" spans="3:3" ht="16.5" customHeight="1">
      <c r="C479" s="1"/>
    </row>
    <row r="480" spans="3:3" ht="16.5" customHeight="1">
      <c r="C480" s="1"/>
    </row>
    <row r="481" spans="3:3" ht="16.5" customHeight="1">
      <c r="C481" s="1"/>
    </row>
    <row r="482" spans="3:3" ht="16.5" customHeight="1">
      <c r="C482" s="1"/>
    </row>
    <row r="483" spans="3:3" ht="16.5" customHeight="1">
      <c r="C483" s="1"/>
    </row>
    <row r="484" spans="3:3" ht="16.5" customHeight="1">
      <c r="C484" s="1"/>
    </row>
    <row r="485" spans="3:3" ht="16.5" customHeight="1">
      <c r="C485" s="1"/>
    </row>
    <row r="486" spans="3:3" ht="16.5" customHeight="1">
      <c r="C486" s="1"/>
    </row>
    <row r="487" spans="3:3" ht="16.5" customHeight="1">
      <c r="C487" s="1"/>
    </row>
    <row r="488" spans="3:3" ht="16.5" customHeight="1">
      <c r="C488" s="1"/>
    </row>
    <row r="489" spans="3:3" ht="16.5" customHeight="1">
      <c r="C489" s="1"/>
    </row>
    <row r="490" spans="3:3" ht="16.5" customHeight="1">
      <c r="C490" s="1"/>
    </row>
    <row r="491" spans="3:3" ht="16.5" customHeight="1">
      <c r="C491" s="1"/>
    </row>
    <row r="492" spans="3:3" ht="16.5" customHeight="1">
      <c r="C492" s="1"/>
    </row>
    <row r="493" spans="3:3" ht="16.5" customHeight="1">
      <c r="C493" s="1"/>
    </row>
    <row r="494" spans="3:3" ht="16.5" customHeight="1">
      <c r="C494" s="1"/>
    </row>
    <row r="495" spans="3:3" ht="16.5" customHeight="1">
      <c r="C495" s="1"/>
    </row>
    <row r="496" spans="3:3" ht="16.5" customHeight="1">
      <c r="C496" s="1"/>
    </row>
    <row r="497" spans="3:3" ht="16.5" customHeight="1">
      <c r="C497" s="1"/>
    </row>
    <row r="498" spans="3:3" ht="16.5" customHeight="1">
      <c r="C498" s="1"/>
    </row>
    <row r="499" spans="3:3" ht="16.5" customHeight="1">
      <c r="C499" s="1"/>
    </row>
    <row r="500" spans="3:3" ht="16.5" customHeight="1">
      <c r="C500" s="1"/>
    </row>
  </sheetData>
  <mergeCells count="1">
    <mergeCell ref="B3:C3"/>
  </mergeCells>
  <phoneticPr fontId="2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workbookViewId="0">
      <pane xSplit="1" ySplit="3" topLeftCell="B4" activePane="bottomRight" state="frozen"/>
      <selection pane="topRight" activeCell="B1" sqref="B1"/>
      <selection pane="bottomLeft" activeCell="A4" sqref="A4"/>
      <selection pane="bottomRight" activeCell="E9" sqref="E9"/>
    </sheetView>
  </sheetViews>
  <sheetFormatPr defaultColWidth="17.25" defaultRowHeight="15" customHeight="1"/>
  <cols>
    <col min="1" max="1" width="1.875" customWidth="1"/>
    <col min="2" max="2" width="4.875" customWidth="1"/>
    <col min="3" max="3" width="9.375" customWidth="1"/>
    <col min="4" max="4" width="6.75" customWidth="1"/>
    <col min="5" max="5" width="68.625" customWidth="1"/>
    <col min="6" max="6" width="2" customWidth="1"/>
    <col min="7" max="7" width="7.125" customWidth="1"/>
    <col min="8" max="8" width="68.625" customWidth="1"/>
    <col min="9" max="9" width="2" customWidth="1"/>
    <col min="10" max="10" width="9" customWidth="1"/>
    <col min="11" max="13" width="8.75" customWidth="1"/>
  </cols>
  <sheetData>
    <row r="1" spans="1:13" ht="30" customHeight="1">
      <c r="A1" s="4"/>
      <c r="B1" s="67" t="s">
        <v>1</v>
      </c>
      <c r="C1" s="68"/>
      <c r="D1" s="68"/>
      <c r="E1" s="68"/>
      <c r="F1" s="68"/>
      <c r="G1" s="68"/>
      <c r="H1" s="68"/>
      <c r="I1" s="4"/>
      <c r="J1" s="4"/>
      <c r="K1" s="4"/>
      <c r="L1" s="4"/>
      <c r="M1" s="4"/>
    </row>
    <row r="2" spans="1:13" ht="26.25" customHeight="1">
      <c r="A2" s="4"/>
      <c r="B2" s="69" t="s">
        <v>2</v>
      </c>
      <c r="C2" s="66"/>
      <c r="D2" s="66"/>
      <c r="E2" s="66"/>
      <c r="F2" s="5"/>
      <c r="G2" s="5"/>
      <c r="H2" s="5"/>
      <c r="I2" s="4"/>
      <c r="J2" s="4"/>
      <c r="K2" s="4"/>
      <c r="L2" s="4"/>
      <c r="M2" s="4"/>
    </row>
    <row r="3" spans="1:13" ht="16.5" customHeight="1">
      <c r="A3" s="4"/>
      <c r="B3" s="6" t="s">
        <v>3</v>
      </c>
      <c r="C3" s="6" t="s">
        <v>4</v>
      </c>
      <c r="D3" s="7" t="s">
        <v>5</v>
      </c>
      <c r="E3" s="8" t="s">
        <v>6</v>
      </c>
      <c r="F3" s="9"/>
      <c r="G3" s="7" t="s">
        <v>7</v>
      </c>
      <c r="H3" s="10" t="s">
        <v>8</v>
      </c>
      <c r="I3" s="4"/>
      <c r="J3" s="11"/>
      <c r="K3" s="4"/>
      <c r="L3" s="4"/>
      <c r="M3" s="4"/>
    </row>
    <row r="4" spans="1:13" ht="27" customHeight="1">
      <c r="A4" s="4"/>
      <c r="B4" s="6">
        <f>IF(학급명렬표!B4&gt;0,학급명렬표!B4,"")</f>
        <v>1</v>
      </c>
      <c r="C4" s="6" t="str">
        <f>IF(학급명렬표!C4&gt;0,학급명렬표!C4,"")</f>
        <v>김권위</v>
      </c>
      <c r="D4" s="2">
        <v>68</v>
      </c>
      <c r="E4" s="12" t="str">
        <f>IF(IF(D4=0,"",VLOOKUP(D4,$G$4:$H$153,2,FALSE))=0,"(인성)"&amp;종합의견!$F$1,(IF(D4=0,"",VLOOKUP(D4,$G$4:$H$153,2,FALSE))))</f>
        <v>다소 순응적이고 수용적이어서 원만한 대인관계를 잘 유지하는 편임.</v>
      </c>
      <c r="F4" s="9"/>
      <c r="G4" s="8">
        <v>1</v>
      </c>
      <c r="H4" s="13" t="s">
        <v>9</v>
      </c>
      <c r="I4" s="4"/>
      <c r="J4" s="4"/>
      <c r="K4" s="4"/>
      <c r="L4" s="4"/>
      <c r="M4" s="4"/>
    </row>
    <row r="5" spans="1:13" ht="27" customHeight="1">
      <c r="A5" s="4"/>
      <c r="B5" s="6">
        <f>IF(학급명렬표!B5&gt;0,학급명렬표!B5,"")</f>
        <v>2</v>
      </c>
      <c r="C5" s="6" t="str">
        <f>IF(학급명렬표!C5&gt;0,학급명렬표!C5,"")</f>
        <v>김상현</v>
      </c>
      <c r="D5" s="2">
        <v>25</v>
      </c>
      <c r="E5" s="12" t="str">
        <f>IF(IF(D5=0,"",VLOOKUP(D5,$G$4:$H$153,2,FALSE))=0,"(인성)"&amp;종합의견!$F$1,(IF(D5=0,"",VLOOKUP(D5,$G$4:$H$153,2,FALSE))))</f>
        <v xml:space="preserve">심성이 바르고 온순하여 대인관계에서 다소 순응적이고 수용적인 편이며 매우 신중하고 조심스러운 성격임. </v>
      </c>
      <c r="F5" s="9"/>
      <c r="G5" s="8">
        <v>2</v>
      </c>
      <c r="H5" s="13" t="s">
        <v>592</v>
      </c>
      <c r="I5" s="4"/>
      <c r="J5" s="4"/>
      <c r="K5" s="4"/>
      <c r="L5" s="4"/>
      <c r="M5" s="4"/>
    </row>
    <row r="6" spans="1:13" ht="27" customHeight="1">
      <c r="A6" s="4"/>
      <c r="B6" s="6">
        <f>IF(학급명렬표!B6&gt;0,학급명렬표!B6,"")</f>
        <v>3</v>
      </c>
      <c r="C6" s="6" t="str">
        <f>IF(학급명렬표!C6&gt;0,학급명렬표!C6,"")</f>
        <v>김승길</v>
      </c>
      <c r="D6" s="2">
        <v>19</v>
      </c>
      <c r="E6" s="12" t="str">
        <f>IF(IF(D6=0,"",VLOOKUP(D6,$G$4:$H$153,2,FALSE))=0,"(인성)"&amp;종합의견!$F$1,(IF(D6=0,"",VLOOKUP(D6,$G$4:$H$153,2,FALSE))))</f>
        <v>세심하고 다정하여 교우관계가 원만하고 정서적으로 안정되고 침착하여 자기확신이 높으며 매사 성실하고 책임감이 강함.</v>
      </c>
      <c r="F6" s="9"/>
      <c r="G6" s="8">
        <v>3</v>
      </c>
      <c r="H6" s="13" t="s">
        <v>10</v>
      </c>
      <c r="I6" s="4"/>
      <c r="J6" s="4"/>
      <c r="K6" s="4"/>
      <c r="L6" s="4"/>
      <c r="M6" s="4"/>
    </row>
    <row r="7" spans="1:13" ht="27" customHeight="1">
      <c r="A7" s="4"/>
      <c r="B7" s="6">
        <f>IF(학급명렬표!B7&gt;0,학급명렬표!B7,"")</f>
        <v>4</v>
      </c>
      <c r="C7" s="6" t="str">
        <f>IF(학급명렬표!C7&gt;0,학급명렬표!C7,"")</f>
        <v>김하얀</v>
      </c>
      <c r="D7" s="2">
        <v>17</v>
      </c>
      <c r="E7" s="12" t="str">
        <f>IF(IF(D7=0,"",VLOOKUP(D7,$G$4:$H$153,2,FALSE))=0,"(인성)"&amp;종합의견!$F$1,(IF(D7=0,"",VLOOKUP(D7,$G$4:$H$153,2,FALSE))))</f>
        <v>성격이 다정하고 소탈하여 사교성이 좋으며 어려운 일이 닥쳐도 마음의 흔들림이 없이 자기통제를 잘 하고 현실적인 관심사에 집중력이 강함.</v>
      </c>
      <c r="F7" s="9"/>
      <c r="G7" s="8">
        <v>4</v>
      </c>
      <c r="H7" s="13" t="s">
        <v>591</v>
      </c>
      <c r="I7" s="4"/>
      <c r="J7" s="4"/>
      <c r="K7" s="4"/>
      <c r="L7" s="4"/>
      <c r="M7" s="4"/>
    </row>
    <row r="8" spans="1:13" ht="27" customHeight="1">
      <c r="A8" s="4"/>
      <c r="B8" s="6">
        <f>IF(학급명렬표!B8&gt;0,학급명렬표!B8,"")</f>
        <v>5</v>
      </c>
      <c r="C8" s="6" t="str">
        <f>IF(학급명렬표!C8&gt;0,학급명렬표!C8,"")</f>
        <v>김호찬</v>
      </c>
      <c r="D8" s="2">
        <v>18</v>
      </c>
      <c r="E8" s="12" t="str">
        <f>IF(IF(D8=0,"",VLOOKUP(D8,$G$4:$H$153,2,FALSE))=0,"(인성)"&amp;종합의견!$F$1,(IF(D8=0,"",VLOOKUP(D8,$G$4:$H$153,2,FALSE))))</f>
        <v>표정이 밝고 긍정적이며 비교적 대담한 성격을 소유한 학생으로 교우관계가 원만함.</v>
      </c>
      <c r="F8" s="9"/>
      <c r="G8" s="8">
        <v>5</v>
      </c>
      <c r="H8" s="13" t="s">
        <v>11</v>
      </c>
      <c r="I8" s="4"/>
      <c r="J8" s="4"/>
      <c r="K8" s="4"/>
      <c r="L8" s="4"/>
      <c r="M8" s="4"/>
    </row>
    <row r="9" spans="1:13" ht="27" customHeight="1">
      <c r="A9" s="4"/>
      <c r="B9" s="6">
        <f>IF(학급명렬표!B9&gt;0,학급명렬표!B9,"")</f>
        <v>6</v>
      </c>
      <c r="C9" s="6" t="str">
        <f>IF(학급명렬표!C9&gt;0,학급명렬표!C9,"")</f>
        <v>노지형</v>
      </c>
      <c r="D9" s="2">
        <v>69</v>
      </c>
      <c r="E9" s="12" t="str">
        <f>IF(IF(D9=0,"",VLOOKUP(D9,$G$4:$H$153,2,FALSE))=0,"(인성)"&amp;종합의견!$F$1,(IF(D9=0,"",VLOOKUP(D9,$G$4:$H$153,2,FALSE))))</f>
        <v>성격이 밝고 활동적이며 이해심이 많아 교우간에 신망이 높으며 행동이 신중하고 조심스러운 편임.</v>
      </c>
      <c r="F9" s="9"/>
      <c r="G9" s="8">
        <v>6</v>
      </c>
      <c r="H9" s="13" t="s">
        <v>12</v>
      </c>
      <c r="I9" s="4"/>
      <c r="J9" s="4"/>
      <c r="K9" s="4"/>
      <c r="L9" s="4"/>
      <c r="M9" s="4"/>
    </row>
    <row r="10" spans="1:13" ht="27" customHeight="1">
      <c r="A10" s="4"/>
      <c r="B10" s="6">
        <f>IF(학급명렬표!B10&gt;0,학급명렬표!B10,"")</f>
        <v>7</v>
      </c>
      <c r="C10" s="6" t="str">
        <f>IF(학급명렬표!C10&gt;0,학급명렬표!C10,"")</f>
        <v>류나경</v>
      </c>
      <c r="D10" s="2">
        <v>6</v>
      </c>
      <c r="E10" s="12" t="str">
        <f>IF(IF(D10=0,"",VLOOKUP(D10,$G$4:$H$153,2,FALSE))=0,"(인성)"&amp;종합의견!$F$1,(IF(D10=0,"",VLOOKUP(D10,$G$4:$H$153,2,FALSE))))</f>
        <v>정서적으로 매우 안정되어 있고 매사 적극적이며 활발한 학생으로 급우들과 절친하며 항상 밝고 긍정적인 모습을 보임.</v>
      </c>
      <c r="F10" s="9"/>
      <c r="G10" s="8">
        <v>7</v>
      </c>
      <c r="H10" s="13" t="s">
        <v>13</v>
      </c>
      <c r="I10" s="4"/>
      <c r="J10" s="4"/>
      <c r="K10" s="4"/>
      <c r="L10" s="4"/>
      <c r="M10" s="4"/>
    </row>
    <row r="11" spans="1:13" ht="27" customHeight="1">
      <c r="A11" s="4"/>
      <c r="B11" s="6">
        <f>IF(학급명렬표!B11&gt;0,학급명렬표!B11,"")</f>
        <v>8</v>
      </c>
      <c r="C11" s="6" t="str">
        <f>IF(학급명렬표!C11&gt;0,학급명렬표!C11,"")</f>
        <v>박건하</v>
      </c>
      <c r="D11" s="2">
        <v>4</v>
      </c>
      <c r="E11" s="12" t="str">
        <f>IF(IF(D11=0,"",VLOOKUP(D11,$G$4:$H$153,2,FALSE))=0,"(인성)"&amp;종합의견!$F$1,(IF(D11=0,"",VLOOKUP(D11,$G$4:$H$153,2,FALSE))))</f>
        <v xml:space="preserve">교우관계가 원만하고 자신이 계획한 바를 주도면밀하게 잘 실천하며 자신의 생각과 주장을 잘 표현하여 다수의 공감대를 이끌어내는 결단력과 리더십이 뛰어남.        </v>
      </c>
      <c r="F11" s="9"/>
      <c r="G11" s="8">
        <v>8</v>
      </c>
      <c r="H11" s="13" t="s">
        <v>14</v>
      </c>
      <c r="I11" s="4"/>
      <c r="J11" s="4"/>
      <c r="K11" s="4"/>
      <c r="L11" s="4"/>
      <c r="M11" s="4"/>
    </row>
    <row r="12" spans="1:13" ht="27" customHeight="1">
      <c r="A12" s="4"/>
      <c r="B12" s="6">
        <f>IF(학급명렬표!B12&gt;0,학급명렬표!B12,"")</f>
        <v>9</v>
      </c>
      <c r="C12" s="6" t="str">
        <f>IF(학급명렬표!C12&gt;0,학급명렬표!C12,"")</f>
        <v>서형찬</v>
      </c>
      <c r="D12" s="2">
        <v>10</v>
      </c>
      <c r="E12" s="12" t="str">
        <f>IF(IF(D12=0,"",VLOOKUP(D12,$G$4:$H$153,2,FALSE))=0,"(인성)"&amp;종합의견!$F$1,(IF(D12=0,"",VLOOKUP(D12,$G$4:$H$153,2,FALSE))))</f>
        <v>다소 진보적이고 변화를 추구하는 성격으로 어려운 일이 닥쳐도 마음이 쉽게 흔들리지 않으며 대인관계에서 다소 자기주장이 강하나 적절하게 자기를 잘 통제함.</v>
      </c>
      <c r="F12" s="9"/>
      <c r="G12" s="8">
        <v>9</v>
      </c>
      <c r="H12" s="13" t="s">
        <v>15</v>
      </c>
      <c r="I12" s="4"/>
      <c r="J12" s="4"/>
      <c r="K12" s="4"/>
      <c r="L12" s="4"/>
      <c r="M12" s="4"/>
    </row>
    <row r="13" spans="1:13" ht="31.15" customHeight="1">
      <c r="A13" s="4"/>
      <c r="B13" s="6">
        <f>IF(학급명렬표!B13&gt;0,학급명렬표!B13,"")</f>
        <v>10</v>
      </c>
      <c r="C13" s="6" t="str">
        <f>IF(학급명렬표!C13&gt;0,학급명렬표!C13,"")</f>
        <v>손우진</v>
      </c>
      <c r="D13" s="2">
        <v>9</v>
      </c>
      <c r="E13" s="12" t="str">
        <f>IF(IF(D13=0,"",VLOOKUP(D13,$G$4:$H$153,2,FALSE))=0,"(인성)"&amp;종합의견!$F$1,(IF(D13=0,"",VLOOKUP(D13,$G$4:$H$153,2,FALSE))))</f>
        <v xml:space="preserve">웃음이 많고 명랑한 성격으로 친구들을 즐겁게 하는 등 사교성이 매우 좋으나 감정의 영향을 많이 받으며 다소 현실적인 면이 있음. </v>
      </c>
      <c r="F13" s="9"/>
      <c r="G13" s="8">
        <v>10</v>
      </c>
      <c r="H13" s="13" t="s">
        <v>16</v>
      </c>
      <c r="I13" s="4"/>
      <c r="J13" s="4"/>
      <c r="K13" s="4"/>
      <c r="L13" s="4"/>
      <c r="M13" s="4"/>
    </row>
    <row r="14" spans="1:13" ht="27" customHeight="1">
      <c r="A14" s="4"/>
      <c r="B14" s="6">
        <f>IF(학급명렬표!B14&gt;0,학급명렬표!B14,"")</f>
        <v>11</v>
      </c>
      <c r="C14" s="6" t="str">
        <f>IF(학급명렬표!C14&gt;0,학급명렬표!C14,"")</f>
        <v>송정연</v>
      </c>
      <c r="D14" s="2">
        <v>14</v>
      </c>
      <c r="E14" s="12" t="str">
        <f>IF(IF(D14=0,"",VLOOKUP(D14,$G$4:$H$153,2,FALSE))=0,"(인성)"&amp;종합의견!$F$1,(IF(D14=0,"",VLOOKUP(D14,$G$4:$H$153,2,FALSE))))</f>
        <v>정서가 안정되어 있고 침착하며 자기확신이 높은 학생으로 자기 방식으로 일하는 것을 좋아하며 자신의 감정을 잘 통제함.</v>
      </c>
      <c r="F14" s="9"/>
      <c r="G14" s="8">
        <v>11</v>
      </c>
      <c r="H14" s="13" t="s">
        <v>17</v>
      </c>
      <c r="I14" s="4"/>
      <c r="J14" s="4"/>
      <c r="K14" s="4"/>
      <c r="L14" s="4"/>
      <c r="M14" s="4"/>
    </row>
    <row r="15" spans="1:13" ht="27" customHeight="1">
      <c r="A15" s="4"/>
      <c r="B15" s="6">
        <f>IF(학급명렬표!B15&gt;0,학급명렬표!B15,"")</f>
        <v>12</v>
      </c>
      <c r="C15" s="6" t="str">
        <f>IF(학급명렬표!C15&gt;0,학급명렬표!C15,"")</f>
        <v>양민국</v>
      </c>
      <c r="D15" s="2">
        <v>15</v>
      </c>
      <c r="E15" s="12" t="str">
        <f>IF(IF(D15=0,"",VLOOKUP(D15,$G$4:$H$153,2,FALSE))=0,"(인성)"&amp;종합의견!$F$1,(IF(D15=0,"",VLOOKUP(D15,$G$4:$H$153,2,FALSE))))</f>
        <v>성격이 온화하고 다정하여 급우들과 친밀감이 매우 높고, 대담한 면이 있어 어려운 일이 닥쳐도 마음이 쉽게 흔들리지 않음.</v>
      </c>
      <c r="F15" s="9"/>
      <c r="G15" s="8">
        <v>12</v>
      </c>
      <c r="H15" s="13" t="s">
        <v>18</v>
      </c>
      <c r="I15" s="4"/>
      <c r="J15" s="4"/>
      <c r="K15" s="4"/>
      <c r="L15" s="4"/>
      <c r="M15" s="4"/>
    </row>
    <row r="16" spans="1:13" ht="27" customHeight="1">
      <c r="A16" s="4"/>
      <c r="B16" s="6">
        <f>IF(학급명렬표!B16&gt;0,학급명렬표!B16,"")</f>
        <v>13</v>
      </c>
      <c r="C16" s="6" t="str">
        <f>IF(학급명렬표!C16&gt;0,학급명렬표!C16,"")</f>
        <v>오서현</v>
      </c>
      <c r="D16" s="2">
        <v>1</v>
      </c>
      <c r="E16" s="12" t="str">
        <f>IF(IF(D16=0,"",VLOOKUP(D16,$G$4:$H$153,2,FALSE))=0,"(인성)"&amp;종합의견!$F$1,(IF(D16=0,"",VLOOKUP(D16,$G$4:$H$153,2,FALSE))))</f>
        <v xml:space="preserve">성격이 소탈하고 다정하여 교우관계가 원만하며 친구들과 어려운 일을 함께 해결하고자 노력하는 긍정적인 사고를 가짐. </v>
      </c>
      <c r="F16" s="9"/>
      <c r="G16" s="8">
        <v>13</v>
      </c>
      <c r="H16" s="13" t="s">
        <v>19</v>
      </c>
      <c r="I16" s="4"/>
      <c r="J16" s="4"/>
      <c r="K16" s="4"/>
      <c r="L16" s="4"/>
      <c r="M16" s="4"/>
    </row>
    <row r="17" spans="1:13" ht="27" customHeight="1">
      <c r="A17" s="4"/>
      <c r="B17" s="6">
        <f>IF(학급명렬표!B17&gt;0,학급명렬표!B17,"")</f>
        <v>14</v>
      </c>
      <c r="C17" s="6" t="str">
        <f>IF(학급명렬표!C17&gt;0,학급명렬표!C17,"")</f>
        <v>윤재영</v>
      </c>
      <c r="D17" s="2">
        <v>16</v>
      </c>
      <c r="E17" s="12" t="str">
        <f>IF(IF(D17=0,"",VLOOKUP(D17,$G$4:$H$153,2,FALSE))=0,"(인성)"&amp;종합의견!$F$1,(IF(D17=0,"",VLOOKUP(D17,$G$4:$H$153,2,FALSE))))</f>
        <v>정서가 비교적 안정되어 있어 감정을 잘 절제하고 타인에 대한 이해심이 많으며 자기확신과 솔직한 감정표현을 잘함.</v>
      </c>
      <c r="F17" s="9"/>
      <c r="G17" s="8">
        <v>14</v>
      </c>
      <c r="H17" s="13" t="s">
        <v>20</v>
      </c>
      <c r="I17" s="4"/>
      <c r="J17" s="4"/>
      <c r="K17" s="4"/>
      <c r="L17" s="4"/>
      <c r="M17" s="4"/>
    </row>
    <row r="18" spans="1:13" ht="27" customHeight="1">
      <c r="A18" s="4"/>
      <c r="B18" s="6">
        <f>IF(학급명렬표!B18&gt;0,학급명렬표!B18,"")</f>
        <v>15</v>
      </c>
      <c r="C18" s="6" t="str">
        <f>IF(학급명렬표!C18&gt;0,학급명렬표!C18,"")</f>
        <v>이승민</v>
      </c>
      <c r="D18" s="2">
        <v>8</v>
      </c>
      <c r="E18" s="12" t="str">
        <f>IF(IF(D18=0,"",VLOOKUP(D18,$G$4:$H$153,2,FALSE))=0,"(인성)"&amp;종합의견!$F$1,(IF(D18=0,"",VLOOKUP(D18,$G$4:$H$153,2,FALSE))))</f>
        <v>자기 통제력이 강하여 어려운 일에도 마음이 쉽게 흔들리지 않는 장점을 가진 학생으로 매우 성실하고 책임감이 강함.</v>
      </c>
      <c r="F18" s="9"/>
      <c r="G18" s="8">
        <v>15</v>
      </c>
      <c r="H18" s="13" t="s">
        <v>21</v>
      </c>
      <c r="I18" s="4"/>
      <c r="J18" s="4"/>
      <c r="K18" s="4"/>
      <c r="L18" s="4"/>
      <c r="M18" s="4"/>
    </row>
    <row r="19" spans="1:13" ht="27" customHeight="1">
      <c r="A19" s="4"/>
      <c r="B19" s="6">
        <f>IF(학급명렬표!B19&gt;0,학급명렬표!B19,"")</f>
        <v>16</v>
      </c>
      <c r="C19" s="6" t="str">
        <f>IF(학급명렬표!C19&gt;0,학급명렬표!C19,"")</f>
        <v>조도울</v>
      </c>
      <c r="D19" s="2">
        <v>33</v>
      </c>
      <c r="E19" s="12" t="str">
        <f>IF(IF(D19=0,"",VLOOKUP(D19,$G$4:$H$153,2,FALSE))=0,"(인성)"&amp;종합의견!$F$1,(IF(D19=0,"",VLOOKUP(D19,$G$4:$H$153,2,FALSE))))</f>
        <v>자신의 감정을 잘 표현하지는 않지만 정서가 안정되고 성품이 온순한 학생으로 학습태도가 바르고 근면성실 함.</v>
      </c>
      <c r="F19" s="9"/>
      <c r="G19" s="8">
        <v>16</v>
      </c>
      <c r="H19" s="13" t="s">
        <v>657</v>
      </c>
      <c r="I19" s="4"/>
      <c r="J19" s="4"/>
      <c r="K19" s="4"/>
      <c r="L19" s="4"/>
      <c r="M19" s="4"/>
    </row>
    <row r="20" spans="1:13" ht="27" customHeight="1">
      <c r="A20" s="4"/>
      <c r="B20" s="6">
        <f>IF(학급명렬표!B20&gt;0,학급명렬표!B20,"")</f>
        <v>17</v>
      </c>
      <c r="C20" s="6" t="str">
        <f>IF(학급명렬표!C20&gt;0,학급명렬표!C20,"")</f>
        <v>차명준</v>
      </c>
      <c r="D20" s="2">
        <v>36</v>
      </c>
      <c r="E20" s="12" t="str">
        <f>IF(IF(D20=0,"",VLOOKUP(D20,$G$4:$H$153,2,FALSE))=0,"(인성)"&amp;종합의견!$F$1,(IF(D20=0,"",VLOOKUP(D20,$G$4:$H$153,2,FALSE))))</f>
        <v>성격이 소탈하고 다소 주의가 산만하지만 사고가 긍정적이고 또래중에서 화기애애한 분위기를 잘 조성하여 교우관계가 원만함.</v>
      </c>
      <c r="F20" s="9"/>
      <c r="G20" s="8">
        <v>17</v>
      </c>
      <c r="H20" s="13" t="s">
        <v>22</v>
      </c>
      <c r="I20" s="4"/>
      <c r="J20" s="4"/>
      <c r="K20" s="4"/>
      <c r="L20" s="4"/>
      <c r="M20" s="4"/>
    </row>
    <row r="21" spans="1:13" ht="27" customHeight="1">
      <c r="A21" s="4"/>
      <c r="B21" s="6">
        <f>IF(학급명렬표!B21&gt;0,학급명렬표!B21,"")</f>
        <v>18</v>
      </c>
      <c r="C21" s="6" t="str">
        <f>IF(학급명렬표!C21&gt;0,학급명렬표!C21,"")</f>
        <v>최가영</v>
      </c>
      <c r="D21" s="2">
        <v>12</v>
      </c>
      <c r="E21" s="12" t="str">
        <f>IF(IF(D21=0,"",VLOOKUP(D21,$G$4:$H$153,2,FALSE))=0,"(인성)"&amp;종합의견!$F$1,(IF(D21=0,"",VLOOKUP(D21,$G$4:$H$153,2,FALSE))))</f>
        <v>정서가 안정되어 있어 자신의 감정과 행동을 잘 통제하는 학생으로 활동적인 것을 좋아하고 매사 성실하고 책임감이 강함.</v>
      </c>
      <c r="F21" s="9"/>
      <c r="G21" s="8">
        <v>18</v>
      </c>
      <c r="H21" s="13" t="s">
        <v>23</v>
      </c>
      <c r="I21" s="4"/>
      <c r="J21" s="4"/>
      <c r="K21" s="4"/>
      <c r="L21" s="4"/>
      <c r="M21" s="4"/>
    </row>
    <row r="22" spans="1:13" ht="27" customHeight="1">
      <c r="A22" s="4"/>
      <c r="B22" s="6">
        <f>IF(학급명렬표!B22&gt;0,학급명렬표!B22,"")</f>
        <v>19</v>
      </c>
      <c r="C22" s="6" t="str">
        <f>IF(학급명렬표!C22&gt;0,학급명렬표!C22,"")</f>
        <v>최다빈</v>
      </c>
      <c r="D22" s="2">
        <v>5</v>
      </c>
      <c r="E22" s="12" t="str">
        <f>IF(IF(D22=0,"",VLOOKUP(D22,$G$4:$H$153,2,FALSE))=0,"(인성)"&amp;종합의견!$F$1,(IF(D22=0,"",VLOOKUP(D22,$G$4:$H$153,2,FALSE))))</f>
        <v>밝고 쾌활한 성격으로 비교적 다정하고 사교적이라 교우관계가 원만하며 자기확신이 강함.</v>
      </c>
      <c r="F22" s="9"/>
      <c r="G22" s="8">
        <v>19</v>
      </c>
      <c r="H22" s="13" t="s">
        <v>24</v>
      </c>
      <c r="I22" s="4"/>
      <c r="J22" s="4"/>
      <c r="K22" s="4"/>
      <c r="L22" s="4"/>
      <c r="M22" s="4"/>
    </row>
    <row r="23" spans="1:13" ht="27" customHeight="1">
      <c r="A23" s="4"/>
      <c r="B23" s="6">
        <f>IF(학급명렬표!B23&gt;0,학급명렬표!B23,"")</f>
        <v>20</v>
      </c>
      <c r="C23" s="6" t="str">
        <f>IF(학급명렬표!C23&gt;0,학급명렬표!C23,"")</f>
        <v>홍준석</v>
      </c>
      <c r="D23" s="2">
        <v>35</v>
      </c>
      <c r="E23" s="12" t="str">
        <f>IF(IF(D23=0,"",VLOOKUP(D23,$G$4:$H$153,2,FALSE))=0,"(인성)"&amp;종합의견!$F$1,(IF(D23=0,"",VLOOKUP(D23,$G$4:$H$153,2,FALSE))))</f>
        <v>학급반장으로서 표정이 밝고 긍정적이며 매우 진취적인 성격을 소유한 학생으로 교우관계가 매우 좋고 자신의 주장을 잘 피력하는 등 자기확신이 높음.</v>
      </c>
      <c r="F23" s="9"/>
      <c r="G23" s="8">
        <v>20</v>
      </c>
      <c r="H23" s="13" t="s">
        <v>25</v>
      </c>
      <c r="I23" s="4"/>
      <c r="J23" s="4"/>
      <c r="K23" s="4"/>
      <c r="L23" s="4"/>
      <c r="M23" s="4"/>
    </row>
    <row r="24" spans="1:13" ht="27" customHeight="1">
      <c r="A24" s="4"/>
      <c r="B24" s="6" t="str">
        <f>IF(학급명렬표!B24&gt;0,학급명렬표!B24,"")</f>
        <v/>
      </c>
      <c r="C24" s="6" t="str">
        <f>IF(학급명렬표!C24&gt;0,학급명렬표!C24,"")</f>
        <v/>
      </c>
      <c r="D24" s="2"/>
      <c r="E24" s="12" t="str">
        <f>IF(IF(D24=0,"",VLOOKUP(D24,$G$4:$H$153,2,FALSE))=0,"(인성)"&amp;종합의견!$F$1,(IF(D24=0,"",VLOOKUP(D24,$G$4:$H$153,2,FALSE))))</f>
        <v/>
      </c>
      <c r="F24" s="9"/>
      <c r="G24" s="8">
        <v>21</v>
      </c>
      <c r="H24" s="13" t="s">
        <v>26</v>
      </c>
      <c r="I24" s="4"/>
      <c r="J24" s="4"/>
      <c r="K24" s="4"/>
      <c r="L24" s="4"/>
      <c r="M24" s="4"/>
    </row>
    <row r="25" spans="1:13" ht="27" customHeight="1">
      <c r="A25" s="4"/>
      <c r="B25" s="6" t="str">
        <f>IF(학급명렬표!B25&gt;0,학급명렬표!B25,"")</f>
        <v/>
      </c>
      <c r="C25" s="6" t="str">
        <f>IF(학급명렬표!C25&gt;0,학급명렬표!C25,"")</f>
        <v/>
      </c>
      <c r="D25" s="2"/>
      <c r="E25" s="12" t="str">
        <f>IF(IF(D25=0,"",VLOOKUP(D25,$G$4:$H$153,2,FALSE))=0,"(인성)"&amp;종합의견!$F$1,(IF(D25=0,"",VLOOKUP(D25,$G$4:$H$153,2,FALSE))))</f>
        <v/>
      </c>
      <c r="F25" s="9"/>
      <c r="G25" s="8">
        <v>22</v>
      </c>
      <c r="H25" s="13" t="s">
        <v>27</v>
      </c>
      <c r="I25" s="4"/>
      <c r="J25" s="4"/>
      <c r="K25" s="4"/>
      <c r="L25" s="4"/>
      <c r="M25" s="4"/>
    </row>
    <row r="26" spans="1:13" ht="27" customHeight="1">
      <c r="A26" s="4"/>
      <c r="B26" s="6" t="str">
        <f>IF(학급명렬표!B26&gt;0,학급명렬표!B26,"")</f>
        <v/>
      </c>
      <c r="C26" s="6" t="str">
        <f>IF(학급명렬표!C26&gt;0,학급명렬표!C26,"")</f>
        <v/>
      </c>
      <c r="D26" s="2"/>
      <c r="E26" s="12" t="str">
        <f>IF(IF(D26=0,"",VLOOKUP(D26,$G$4:$H$153,2,FALSE))=0,"(인성)"&amp;종합의견!$F$1,(IF(D26=0,"",VLOOKUP(D26,$G$4:$H$153,2,FALSE))))</f>
        <v/>
      </c>
      <c r="F26" s="9"/>
      <c r="G26" s="8">
        <v>23</v>
      </c>
      <c r="H26" s="13" t="s">
        <v>28</v>
      </c>
      <c r="I26" s="4"/>
      <c r="J26" s="4"/>
      <c r="K26" s="4"/>
      <c r="L26" s="4"/>
      <c r="M26" s="4"/>
    </row>
    <row r="27" spans="1:13" ht="27" customHeight="1">
      <c r="A27" s="4"/>
      <c r="B27" s="6" t="str">
        <f>IF(학급명렬표!B27&gt;0,학급명렬표!B27,"")</f>
        <v/>
      </c>
      <c r="C27" s="6" t="str">
        <f>IF(학급명렬표!C27&gt;0,학급명렬표!C27,"")</f>
        <v/>
      </c>
      <c r="D27" s="2"/>
      <c r="E27" s="12" t="str">
        <f>IF(IF(D27=0,"",VLOOKUP(D27,$G$4:$H$153,2,FALSE))=0,"(인성)"&amp;종합의견!$F$1,(IF(D27=0,"",VLOOKUP(D27,$G$4:$H$153,2,FALSE))))</f>
        <v/>
      </c>
      <c r="F27" s="9"/>
      <c r="G27" s="8">
        <v>24</v>
      </c>
      <c r="H27" s="13" t="s">
        <v>29</v>
      </c>
      <c r="I27" s="4"/>
      <c r="J27" s="4"/>
      <c r="K27" s="4"/>
      <c r="L27" s="4"/>
      <c r="M27" s="4"/>
    </row>
    <row r="28" spans="1:13" ht="27" customHeight="1">
      <c r="A28" s="4"/>
      <c r="B28" s="6" t="str">
        <f>IF(학급명렬표!B28&gt;0,학급명렬표!B28,"")</f>
        <v/>
      </c>
      <c r="C28" s="6" t="str">
        <f>IF(학급명렬표!C28&gt;0,학급명렬표!C28,"")</f>
        <v/>
      </c>
      <c r="D28" s="2"/>
      <c r="E28" s="12" t="str">
        <f>IF(IF(D28=0,"",VLOOKUP(D28,$G$4:$H$153,2,FALSE))=0,"(인성)"&amp;종합의견!$F$1,(IF(D28=0,"",VLOOKUP(D28,$G$4:$H$153,2,FALSE))))</f>
        <v/>
      </c>
      <c r="F28" s="9"/>
      <c r="G28" s="8">
        <v>25</v>
      </c>
      <c r="H28" s="13" t="s">
        <v>558</v>
      </c>
      <c r="I28" s="4"/>
      <c r="J28" s="4"/>
      <c r="K28" s="4"/>
      <c r="L28" s="4"/>
      <c r="M28" s="4"/>
    </row>
    <row r="29" spans="1:13" ht="27" customHeight="1">
      <c r="A29" s="4"/>
      <c r="B29" s="6" t="str">
        <f>IF(학급명렬표!B29&gt;0,학급명렬표!B29,"")</f>
        <v/>
      </c>
      <c r="C29" s="6" t="str">
        <f>IF(학급명렬표!C29&gt;0,학급명렬표!C29,"")</f>
        <v/>
      </c>
      <c r="D29" s="2"/>
      <c r="E29" s="12" t="str">
        <f>IF(IF(D29=0,"",VLOOKUP(D29,$G$4:$H$153,2,FALSE))=0,"(인성)"&amp;종합의견!$F$1,(IF(D29=0,"",VLOOKUP(D29,$G$4:$H$153,2,FALSE))))</f>
        <v/>
      </c>
      <c r="F29" s="9"/>
      <c r="G29" s="8">
        <v>26</v>
      </c>
      <c r="H29" s="13" t="s">
        <v>30</v>
      </c>
      <c r="I29" s="4"/>
      <c r="J29" s="4"/>
      <c r="K29" s="4"/>
      <c r="L29" s="4"/>
      <c r="M29" s="4"/>
    </row>
    <row r="30" spans="1:13" ht="27" customHeight="1">
      <c r="A30" s="4"/>
      <c r="B30" s="6" t="str">
        <f>IF(학급명렬표!B30&gt;0,학급명렬표!B30,"")</f>
        <v/>
      </c>
      <c r="C30" s="6" t="str">
        <f>IF(학급명렬표!C30&gt;0,학급명렬표!C30,"")</f>
        <v/>
      </c>
      <c r="D30" s="2"/>
      <c r="E30" s="12" t="str">
        <f>IF(IF(D30=0,"",VLOOKUP(D30,$G$4:$H$153,2,FALSE))=0,"(인성)"&amp;종합의견!$F$1,(IF(D30=0,"",VLOOKUP(D30,$G$4:$H$153,2,FALSE))))</f>
        <v/>
      </c>
      <c r="F30" s="9"/>
      <c r="G30" s="8">
        <v>27</v>
      </c>
      <c r="H30" s="13" t="s">
        <v>31</v>
      </c>
      <c r="I30" s="4"/>
      <c r="J30" s="4"/>
      <c r="K30" s="4"/>
      <c r="L30" s="4"/>
      <c r="M30" s="4"/>
    </row>
    <row r="31" spans="1:13" ht="27" customHeight="1">
      <c r="A31" s="4"/>
      <c r="B31" s="6" t="str">
        <f>IF(학급명렬표!B31&gt;0,학급명렬표!B31,"")</f>
        <v/>
      </c>
      <c r="C31" s="6" t="str">
        <f>IF(학급명렬표!C31&gt;0,학급명렬표!C31,"")</f>
        <v/>
      </c>
      <c r="D31" s="2"/>
      <c r="E31" s="12" t="str">
        <f>IF(IF(D31=0,"",VLOOKUP(D31,$G$4:$H$153,2,FALSE))=0,"(인성)"&amp;종합의견!$F$1,(IF(D31=0,"",VLOOKUP(D31,$G$4:$H$153,2,FALSE))))</f>
        <v/>
      </c>
      <c r="F31" s="9"/>
      <c r="G31" s="8">
        <v>28</v>
      </c>
      <c r="H31" s="13" t="s">
        <v>32</v>
      </c>
      <c r="I31" s="4"/>
      <c r="J31" s="4"/>
      <c r="K31" s="4"/>
      <c r="L31" s="4"/>
      <c r="M31" s="4"/>
    </row>
    <row r="32" spans="1:13" ht="27" customHeight="1">
      <c r="A32" s="4"/>
      <c r="B32" s="6" t="str">
        <f>IF(학급명렬표!B32&gt;0,학급명렬표!B32,"")</f>
        <v/>
      </c>
      <c r="C32" s="6" t="str">
        <f>IF(학급명렬표!C32&gt;0,학급명렬표!C32,"")</f>
        <v/>
      </c>
      <c r="D32" s="2"/>
      <c r="E32" s="12" t="str">
        <f>IF(IF(D32=0,"",VLOOKUP(D32,$G$4:$H$153,2,FALSE))=0,"(인성)"&amp;종합의견!$F$1,(IF(D32=0,"",VLOOKUP(D32,$G$4:$H$153,2,FALSE))))</f>
        <v/>
      </c>
      <c r="F32" s="9"/>
      <c r="G32" s="8">
        <v>29</v>
      </c>
      <c r="H32" s="13" t="s">
        <v>33</v>
      </c>
      <c r="I32" s="4"/>
      <c r="J32" s="4"/>
      <c r="K32" s="4"/>
      <c r="L32" s="4"/>
      <c r="M32" s="4"/>
    </row>
    <row r="33" spans="1:13" ht="27" customHeight="1">
      <c r="A33" s="4"/>
      <c r="B33" s="6" t="str">
        <f>IF(학급명렬표!B33&gt;0,학급명렬표!B33,"")</f>
        <v/>
      </c>
      <c r="C33" s="6" t="str">
        <f>IF(학급명렬표!C33&gt;0,학급명렬표!C33,"")</f>
        <v/>
      </c>
      <c r="D33" s="2"/>
      <c r="E33" s="12" t="str">
        <f>IF(IF(D33=0,"",VLOOKUP(D33,$G$4:$H$153,2,FALSE))=0,"(인성)"&amp;종합의견!$F$1,(IF(D33=0,"",VLOOKUP(D33,$G$4:$H$153,2,FALSE))))</f>
        <v/>
      </c>
      <c r="F33" s="9"/>
      <c r="G33" s="8">
        <v>30</v>
      </c>
      <c r="H33" s="13" t="s">
        <v>34</v>
      </c>
      <c r="I33" s="4"/>
      <c r="J33" s="4"/>
      <c r="K33" s="4"/>
      <c r="L33" s="4"/>
      <c r="M33" s="4"/>
    </row>
    <row r="34" spans="1:13" ht="27" customHeight="1">
      <c r="A34" s="4"/>
      <c r="B34" s="6" t="str">
        <f>IF(학급명렬표!B34&gt;0,학급명렬표!B34,"")</f>
        <v/>
      </c>
      <c r="C34" s="6" t="str">
        <f>IF(학급명렬표!C34&gt;0,학급명렬표!C34,"")</f>
        <v/>
      </c>
      <c r="D34" s="2"/>
      <c r="E34" s="12" t="str">
        <f>IF(IF(D34=0,"",VLOOKUP(D34,$G$4:$H$153,2,FALSE))=0,"(인성)"&amp;종합의견!$F$1,(IF(D34=0,"",VLOOKUP(D34,$G$4:$H$153,2,FALSE))))</f>
        <v/>
      </c>
      <c r="F34" s="9"/>
      <c r="G34" s="8">
        <v>31</v>
      </c>
      <c r="H34" s="13" t="s">
        <v>35</v>
      </c>
      <c r="I34" s="4"/>
      <c r="J34" s="4"/>
      <c r="K34" s="4"/>
      <c r="L34" s="4"/>
      <c r="M34" s="4"/>
    </row>
    <row r="35" spans="1:13" ht="27" customHeight="1">
      <c r="A35" s="4"/>
      <c r="B35" s="6" t="str">
        <f>IF(학급명렬표!B35&gt;0,학급명렬표!B35,"")</f>
        <v/>
      </c>
      <c r="C35" s="6" t="str">
        <f>IF(학급명렬표!C35&gt;0,학급명렬표!C35,"")</f>
        <v/>
      </c>
      <c r="D35" s="2"/>
      <c r="E35" s="12" t="str">
        <f>IF(IF(D35=0,"",VLOOKUP(D35,$G$4:$H$153,2,FALSE))=0,"(인성)"&amp;종합의견!$F$1,(IF(D35=0,"",VLOOKUP(D35,$G$4:$H$153,2,FALSE))))</f>
        <v/>
      </c>
      <c r="F35" s="9"/>
      <c r="G35" s="8">
        <v>32</v>
      </c>
      <c r="H35" s="13" t="s">
        <v>593</v>
      </c>
      <c r="I35" s="4"/>
      <c r="J35" s="4"/>
      <c r="K35" s="4"/>
      <c r="L35" s="4"/>
      <c r="M35" s="4"/>
    </row>
    <row r="36" spans="1:13" ht="27">
      <c r="A36" s="4"/>
      <c r="B36" s="6" t="str">
        <f>IF(학급명렬표!B36&gt;0,학급명렬표!B36,"")</f>
        <v/>
      </c>
      <c r="C36" s="6" t="str">
        <f>IF(학급명렬표!C36&gt;0,학급명렬표!C36,"")</f>
        <v/>
      </c>
      <c r="D36" s="2"/>
      <c r="E36" s="12" t="str">
        <f>IF(IF(D36=0,"",VLOOKUP(D36,$G$4:$H$153,2,FALSE))=0,"(인성)"&amp;종합의견!$F$1,(IF(D36=0,"",VLOOKUP(D36,$G$4:$H$153,2,FALSE))))</f>
        <v/>
      </c>
      <c r="F36" s="9"/>
      <c r="G36" s="8">
        <v>33</v>
      </c>
      <c r="H36" s="13" t="s">
        <v>36</v>
      </c>
      <c r="I36" s="4"/>
      <c r="J36" s="4"/>
      <c r="K36" s="4"/>
      <c r="L36" s="4"/>
      <c r="M36" s="4"/>
    </row>
    <row r="37" spans="1:13" ht="27" customHeight="1">
      <c r="A37" s="4"/>
      <c r="B37" s="6" t="str">
        <f>IF(학급명렬표!B37&gt;0,학급명렬표!B37,"")</f>
        <v/>
      </c>
      <c r="C37" s="6" t="str">
        <f>IF(학급명렬표!C37&gt;0,학급명렬표!C37,"")</f>
        <v/>
      </c>
      <c r="D37" s="2"/>
      <c r="E37" s="12" t="str">
        <f>IF(IF(D37=0,"",VLOOKUP(D37,$G$4:$H$153,2,FALSE))=0,"(인성)"&amp;종합의견!$F$1,(IF(D37=0,"",VLOOKUP(D37,$G$4:$H$153,2,FALSE))))</f>
        <v/>
      </c>
      <c r="F37" s="9"/>
      <c r="G37" s="8">
        <v>34</v>
      </c>
      <c r="H37" s="13" t="s">
        <v>37</v>
      </c>
      <c r="I37" s="4"/>
      <c r="J37" s="4"/>
      <c r="K37" s="4"/>
      <c r="L37" s="4"/>
      <c r="M37" s="4"/>
    </row>
    <row r="38" spans="1:13" ht="27" customHeight="1">
      <c r="A38" s="4"/>
      <c r="B38" s="6" t="str">
        <f>IF(학급명렬표!B38&gt;0,학급명렬표!B38,"")</f>
        <v/>
      </c>
      <c r="C38" s="6" t="str">
        <f>IF(학급명렬표!C38&gt;0,학급명렬표!C38,"")</f>
        <v/>
      </c>
      <c r="D38" s="2"/>
      <c r="E38" s="12" t="str">
        <f>IF(IF(D38=0,"",VLOOKUP(D38,$G$4:$H$153,2,FALSE))=0,"(인성)"&amp;종합의견!$F$1,(IF(D38=0,"",VLOOKUP(D38,$G$4:$H$153,2,FALSE))))</f>
        <v/>
      </c>
      <c r="F38" s="9"/>
      <c r="G38" s="8">
        <v>35</v>
      </c>
      <c r="H38" s="13" t="s">
        <v>38</v>
      </c>
      <c r="I38" s="4"/>
      <c r="J38" s="4"/>
      <c r="K38" s="4"/>
      <c r="L38" s="4"/>
      <c r="M38" s="4"/>
    </row>
    <row r="39" spans="1:13" ht="27" customHeight="1">
      <c r="A39" s="4"/>
      <c r="B39" s="6" t="str">
        <f>IF(학급명렬표!B39&gt;0,학급명렬표!B39,"")</f>
        <v/>
      </c>
      <c r="C39" s="6" t="str">
        <f>IF(학급명렬표!C39&gt;0,학급명렬표!C39,"")</f>
        <v/>
      </c>
      <c r="D39" s="2"/>
      <c r="E39" s="12" t="str">
        <f>IF(IF(D39=0,"",VLOOKUP(D39,$G$4:$H$153,2,FALSE))=0,"(인성)"&amp;종합의견!$F$1,(IF(D39=0,"",VLOOKUP(D39,$G$4:$H$153,2,FALSE))))</f>
        <v/>
      </c>
      <c r="F39" s="9"/>
      <c r="G39" s="8">
        <v>36</v>
      </c>
      <c r="H39" s="13" t="s">
        <v>39</v>
      </c>
      <c r="I39" s="4"/>
      <c r="J39" s="4"/>
      <c r="K39" s="4"/>
      <c r="L39" s="4"/>
      <c r="M39" s="4"/>
    </row>
    <row r="40" spans="1:13" ht="27" customHeight="1">
      <c r="A40" s="4"/>
      <c r="B40" s="6" t="str">
        <f>IF(학급명렬표!B40&gt;0,학급명렬표!B40,"")</f>
        <v/>
      </c>
      <c r="C40" s="6" t="str">
        <f>IF(학급명렬표!C40&gt;0,학급명렬표!C40,"")</f>
        <v/>
      </c>
      <c r="D40" s="2"/>
      <c r="E40" s="12" t="str">
        <f>IF(IF(D40=0,"",VLOOKUP(D40,$G$4:$H$153,2,FALSE))=0,"(인성)"&amp;종합의견!$F$1,(IF(D40=0,"",VLOOKUP(D40,$G$4:$H$153,2,FALSE))))</f>
        <v/>
      </c>
      <c r="F40" s="9"/>
      <c r="G40" s="8">
        <v>37</v>
      </c>
      <c r="H40" s="13" t="s">
        <v>40</v>
      </c>
      <c r="I40" s="4"/>
      <c r="J40" s="4"/>
      <c r="K40" s="4"/>
      <c r="L40" s="4"/>
      <c r="M40" s="4"/>
    </row>
    <row r="41" spans="1:13" ht="27" customHeight="1">
      <c r="A41" s="4"/>
      <c r="B41" s="6" t="str">
        <f>IF(학급명렬표!B41&gt;0,학급명렬표!B41,"")</f>
        <v/>
      </c>
      <c r="C41" s="6" t="str">
        <f>IF(학급명렬표!C41&gt;0,학급명렬표!C41,"")</f>
        <v/>
      </c>
      <c r="D41" s="2"/>
      <c r="E41" s="12" t="str">
        <f>IF(IF(D41=0,"",VLOOKUP(D41,$G$4:$H$153,2,FALSE))=0,"(인성)"&amp;종합의견!$F$1,(IF(D41=0,"",VLOOKUP(D41,$G$4:$H$153,2,FALSE))))</f>
        <v/>
      </c>
      <c r="F41" s="9"/>
      <c r="G41" s="8">
        <v>38</v>
      </c>
      <c r="H41" s="13" t="s">
        <v>41</v>
      </c>
      <c r="I41" s="4"/>
      <c r="J41" s="4"/>
      <c r="K41" s="4"/>
      <c r="L41" s="4"/>
      <c r="M41" s="4"/>
    </row>
    <row r="42" spans="1:13" ht="27" customHeight="1">
      <c r="A42" s="4"/>
      <c r="B42" s="6" t="str">
        <f>IF(학급명렬표!B42&gt;0,학급명렬표!B42,"")</f>
        <v/>
      </c>
      <c r="C42" s="6" t="str">
        <f>IF(학급명렬표!C42&gt;0,학급명렬표!C42,"")</f>
        <v/>
      </c>
      <c r="D42" s="2"/>
      <c r="E42" s="12" t="str">
        <f>IF(IF(D42=0,"",VLOOKUP(D42,$G$4:$H$153,2,FALSE))=0,"(인성)"&amp;종합의견!$F$1,(IF(D42=0,"",VLOOKUP(D42,$G$4:$H$153,2,FALSE))))</f>
        <v/>
      </c>
      <c r="F42" s="9"/>
      <c r="G42" s="8">
        <v>39</v>
      </c>
      <c r="H42" s="13" t="s">
        <v>42</v>
      </c>
      <c r="I42" s="4"/>
      <c r="J42" s="4"/>
      <c r="K42" s="4"/>
      <c r="L42" s="4"/>
      <c r="M42" s="4"/>
    </row>
    <row r="43" spans="1:13" ht="27" customHeight="1">
      <c r="A43" s="4"/>
      <c r="B43" s="6" t="str">
        <f>IF(학급명렬표!B43&gt;0,학급명렬표!B43,"")</f>
        <v/>
      </c>
      <c r="C43" s="6" t="str">
        <f>IF(학급명렬표!C43&gt;0,학급명렬표!C43,"")</f>
        <v/>
      </c>
      <c r="D43" s="2"/>
      <c r="E43" s="12" t="str">
        <f>IF(IF(D43=0,"",VLOOKUP(D43,$G$4:$H$153,2,FALSE))=0,"(인성)"&amp;종합의견!$F$1,(IF(D43=0,"",VLOOKUP(D43,$G$4:$H$153,2,FALSE))))</f>
        <v/>
      </c>
      <c r="F43" s="9"/>
      <c r="G43" s="8">
        <v>40</v>
      </c>
      <c r="H43" s="13" t="s">
        <v>43</v>
      </c>
      <c r="I43" s="4"/>
      <c r="J43" s="4"/>
      <c r="K43" s="4"/>
      <c r="L43" s="4"/>
      <c r="M43" s="4"/>
    </row>
    <row r="44" spans="1:13" ht="27" customHeight="1">
      <c r="A44" s="4"/>
      <c r="B44" s="6" t="str">
        <f>IF(학급명렬표!B44&gt;0,학급명렬표!B44,"")</f>
        <v/>
      </c>
      <c r="C44" s="6" t="str">
        <f>IF(학급명렬표!C44&gt;0,학급명렬표!C44,"")</f>
        <v/>
      </c>
      <c r="D44" s="2"/>
      <c r="E44" s="12" t="str">
        <f>IF(IF(D44=0,"",VLOOKUP(D44,$G$4:$H$153,2,FALSE))=0,"(인성)"&amp;종합의견!$F$1,(IF(D44=0,"",VLOOKUP(D44,$G$4:$H$153,2,FALSE))))</f>
        <v/>
      </c>
      <c r="F44" s="9"/>
      <c r="G44" s="8">
        <v>41</v>
      </c>
      <c r="H44" s="13" t="s">
        <v>44</v>
      </c>
      <c r="I44" s="4"/>
      <c r="J44" s="4"/>
      <c r="K44" s="4"/>
      <c r="L44" s="4"/>
      <c r="M44" s="4"/>
    </row>
    <row r="45" spans="1:13" ht="16.5" customHeight="1">
      <c r="A45" s="4"/>
      <c r="B45" s="6" t="str">
        <f>IF(학급명렬표!B45&gt;0,학급명렬표!B45,"")</f>
        <v/>
      </c>
      <c r="C45" s="6" t="str">
        <f>IF(학급명렬표!C45&gt;0,학급명렬표!C45,"")</f>
        <v/>
      </c>
      <c r="D45" s="2"/>
      <c r="E45" s="12" t="str">
        <f>IF(IF(D45=0,"",VLOOKUP(D45,$G$4:$H$153,2,FALSE))=0,"(인성)"&amp;종합의견!$F$1,(IF(D45=0,"",VLOOKUP(D45,$G$4:$H$153,2,FALSE))))</f>
        <v/>
      </c>
      <c r="F45" s="9"/>
      <c r="G45" s="8">
        <v>42</v>
      </c>
      <c r="H45" s="13" t="s">
        <v>45</v>
      </c>
      <c r="I45" s="4"/>
      <c r="J45" s="4"/>
      <c r="K45" s="4"/>
      <c r="L45" s="4"/>
      <c r="M45" s="4"/>
    </row>
    <row r="46" spans="1:13" ht="27">
      <c r="A46" s="4"/>
      <c r="B46" s="6" t="str">
        <f>IF(학급명렬표!B46&gt;0,학급명렬표!B46,"")</f>
        <v/>
      </c>
      <c r="C46" s="6" t="str">
        <f>IF(학급명렬표!C46&gt;0,학급명렬표!C46,"")</f>
        <v/>
      </c>
      <c r="D46" s="2"/>
      <c r="E46" s="12" t="str">
        <f>IF(IF(D46=0,"",VLOOKUP(D46,$G$4:$H$153,2,FALSE))=0,"(인성)"&amp;종합의견!$F$1,(IF(D46=0,"",VLOOKUP(D46,$G$4:$H$153,2,FALSE))))</f>
        <v/>
      </c>
      <c r="F46" s="9"/>
      <c r="G46" s="8">
        <v>43</v>
      </c>
      <c r="H46" s="13" t="s">
        <v>46</v>
      </c>
      <c r="I46" s="4"/>
      <c r="J46" s="4"/>
      <c r="K46" s="4"/>
      <c r="L46" s="4"/>
      <c r="M46" s="4"/>
    </row>
    <row r="47" spans="1:13" ht="27" customHeight="1">
      <c r="A47" s="4"/>
      <c r="B47" s="6" t="str">
        <f>IF(학급명렬표!B47&gt;0,학급명렬표!B47,"")</f>
        <v/>
      </c>
      <c r="C47" s="6" t="str">
        <f>IF(학급명렬표!C47&gt;0,학급명렬표!C47,"")</f>
        <v/>
      </c>
      <c r="D47" s="2"/>
      <c r="E47" s="12" t="str">
        <f>IF(IF(D47=0,"",VLOOKUP(D47,$G$4:$H$153,2,FALSE))=0,"(인성)"&amp;종합의견!$F$1,(IF(D47=0,"",VLOOKUP(D47,$G$4:$H$153,2,FALSE))))</f>
        <v/>
      </c>
      <c r="F47" s="9"/>
      <c r="G47" s="8">
        <v>44</v>
      </c>
      <c r="H47" s="13" t="s">
        <v>47</v>
      </c>
      <c r="I47" s="4"/>
      <c r="J47" s="4"/>
      <c r="K47" s="4"/>
      <c r="L47" s="4"/>
      <c r="M47" s="4"/>
    </row>
    <row r="48" spans="1:13" ht="27" customHeight="1">
      <c r="A48" s="4"/>
      <c r="B48" s="6" t="str">
        <f>IF(학급명렬표!B48&gt;0,학급명렬표!B48,"")</f>
        <v/>
      </c>
      <c r="C48" s="6" t="str">
        <f>IF(학급명렬표!C48&gt;0,학급명렬표!C48,"")</f>
        <v/>
      </c>
      <c r="D48" s="2"/>
      <c r="E48" s="12" t="str">
        <f>IF(IF(D48=0,"",VLOOKUP(D48,$G$4:$H$153,2,FALSE))=0,"(인성)"&amp;종합의견!$F$1,(IF(D48=0,"",VLOOKUP(D48,$G$4:$H$153,2,FALSE))))</f>
        <v/>
      </c>
      <c r="F48" s="9"/>
      <c r="G48" s="8">
        <v>45</v>
      </c>
      <c r="H48" s="13" t="s">
        <v>48</v>
      </c>
      <c r="I48" s="4"/>
      <c r="J48" s="4"/>
      <c r="K48" s="4"/>
      <c r="L48" s="4"/>
      <c r="M48" s="4"/>
    </row>
    <row r="49" spans="1:13" ht="27" customHeight="1">
      <c r="A49" s="4"/>
      <c r="B49" s="11"/>
      <c r="C49" s="11"/>
      <c r="D49" s="11"/>
      <c r="E49" s="14"/>
      <c r="F49" s="4"/>
      <c r="G49" s="8">
        <v>46</v>
      </c>
      <c r="H49" s="13" t="s">
        <v>49</v>
      </c>
      <c r="I49" s="4"/>
      <c r="J49" s="4"/>
      <c r="K49" s="4"/>
      <c r="L49" s="4"/>
      <c r="M49" s="4"/>
    </row>
    <row r="50" spans="1:13" ht="16.5">
      <c r="A50" s="4"/>
      <c r="B50" s="11"/>
      <c r="C50" s="11"/>
      <c r="D50" s="11"/>
      <c r="E50" s="14"/>
      <c r="F50" s="4"/>
      <c r="G50" s="8">
        <v>47</v>
      </c>
      <c r="H50" s="13" t="s">
        <v>50</v>
      </c>
      <c r="I50" s="4"/>
      <c r="J50" s="4"/>
      <c r="K50" s="4"/>
      <c r="L50" s="4"/>
      <c r="M50" s="4"/>
    </row>
    <row r="51" spans="1:13" ht="16.5">
      <c r="A51" s="4"/>
      <c r="B51" s="11"/>
      <c r="C51" s="11"/>
      <c r="D51" s="11"/>
      <c r="E51" s="14"/>
      <c r="F51" s="4"/>
      <c r="G51" s="8">
        <v>48</v>
      </c>
      <c r="H51" s="13" t="s">
        <v>51</v>
      </c>
      <c r="I51" s="4"/>
      <c r="J51" s="4"/>
      <c r="K51" s="4"/>
      <c r="L51" s="4"/>
      <c r="M51" s="4"/>
    </row>
    <row r="52" spans="1:13" ht="16.5">
      <c r="A52" s="4"/>
      <c r="B52" s="11"/>
      <c r="C52" s="11"/>
      <c r="D52" s="11"/>
      <c r="E52" s="14"/>
      <c r="F52" s="4"/>
      <c r="G52" s="8">
        <v>49</v>
      </c>
      <c r="H52" s="13" t="s">
        <v>52</v>
      </c>
      <c r="I52" s="4"/>
      <c r="J52" s="4"/>
      <c r="K52" s="4"/>
      <c r="L52" s="4"/>
      <c r="M52" s="4"/>
    </row>
    <row r="53" spans="1:13" ht="16.5">
      <c r="A53" s="4"/>
      <c r="B53" s="11"/>
      <c r="C53" s="11"/>
      <c r="D53" s="11"/>
      <c r="E53" s="14"/>
      <c r="F53" s="4"/>
      <c r="G53" s="8">
        <v>50</v>
      </c>
      <c r="H53" s="13" t="s">
        <v>53</v>
      </c>
      <c r="I53" s="4"/>
      <c r="J53" s="4"/>
      <c r="K53" s="4"/>
      <c r="L53" s="4"/>
      <c r="M53" s="4"/>
    </row>
    <row r="54" spans="1:13" ht="40.5">
      <c r="A54" s="4"/>
      <c r="B54" s="11"/>
      <c r="C54" s="11"/>
      <c r="D54" s="11"/>
      <c r="E54" s="14"/>
      <c r="F54" s="4"/>
      <c r="G54" s="8">
        <v>51</v>
      </c>
      <c r="H54" s="13" t="s">
        <v>559</v>
      </c>
      <c r="I54" s="4"/>
      <c r="J54" s="4"/>
      <c r="K54" s="4"/>
      <c r="L54" s="4"/>
      <c r="M54" s="4"/>
    </row>
    <row r="55" spans="1:13" ht="27">
      <c r="A55" s="4"/>
      <c r="B55" s="11"/>
      <c r="C55" s="11"/>
      <c r="D55" s="11"/>
      <c r="E55" s="14"/>
      <c r="F55" s="4"/>
      <c r="G55" s="8">
        <v>52</v>
      </c>
      <c r="H55" s="13" t="s">
        <v>54</v>
      </c>
      <c r="I55" s="4"/>
      <c r="J55" s="4"/>
      <c r="K55" s="4"/>
      <c r="L55" s="4"/>
      <c r="M55" s="4"/>
    </row>
    <row r="56" spans="1:13" ht="16.5">
      <c r="A56" s="4"/>
      <c r="B56" s="11"/>
      <c r="C56" s="11"/>
      <c r="D56" s="11"/>
      <c r="E56" s="14"/>
      <c r="F56" s="4"/>
      <c r="G56" s="8">
        <v>53</v>
      </c>
      <c r="H56" s="13" t="s">
        <v>55</v>
      </c>
      <c r="I56" s="4"/>
      <c r="J56" s="4"/>
      <c r="K56" s="4"/>
      <c r="L56" s="4"/>
      <c r="M56" s="4"/>
    </row>
    <row r="57" spans="1:13" ht="27">
      <c r="A57" s="4"/>
      <c r="B57" s="11"/>
      <c r="C57" s="11"/>
      <c r="D57" s="11"/>
      <c r="E57" s="14"/>
      <c r="F57" s="4"/>
      <c r="G57" s="8">
        <v>54</v>
      </c>
      <c r="H57" s="13" t="s">
        <v>56</v>
      </c>
      <c r="I57" s="4"/>
      <c r="J57" s="4"/>
      <c r="K57" s="4"/>
      <c r="L57" s="4"/>
      <c r="M57" s="4"/>
    </row>
    <row r="58" spans="1:13" ht="27">
      <c r="A58" s="4"/>
      <c r="B58" s="11"/>
      <c r="C58" s="11"/>
      <c r="D58" s="11"/>
      <c r="E58" s="14"/>
      <c r="F58" s="4"/>
      <c r="G58" s="8">
        <v>55</v>
      </c>
      <c r="H58" s="13" t="s">
        <v>57</v>
      </c>
      <c r="I58" s="4"/>
      <c r="J58" s="4"/>
      <c r="K58" s="4"/>
      <c r="L58" s="4"/>
      <c r="M58" s="4"/>
    </row>
    <row r="59" spans="1:13" ht="27">
      <c r="A59" s="4"/>
      <c r="B59" s="11"/>
      <c r="C59" s="11"/>
      <c r="D59" s="11"/>
      <c r="E59" s="14"/>
      <c r="F59" s="4"/>
      <c r="G59" s="8">
        <v>56</v>
      </c>
      <c r="H59" s="13" t="s">
        <v>58</v>
      </c>
      <c r="I59" s="4"/>
      <c r="J59" s="4"/>
      <c r="K59" s="4"/>
      <c r="L59" s="4"/>
      <c r="M59" s="4"/>
    </row>
    <row r="60" spans="1:13" ht="27">
      <c r="A60" s="4"/>
      <c r="B60" s="11"/>
      <c r="C60" s="11"/>
      <c r="D60" s="11"/>
      <c r="E60" s="14"/>
      <c r="F60" s="4"/>
      <c r="G60" s="8">
        <v>57</v>
      </c>
      <c r="H60" s="13" t="s">
        <v>59</v>
      </c>
      <c r="I60" s="4"/>
      <c r="J60" s="4"/>
      <c r="K60" s="4"/>
      <c r="L60" s="4"/>
      <c r="M60" s="4"/>
    </row>
    <row r="61" spans="1:13" ht="27">
      <c r="A61" s="4"/>
      <c r="B61" s="11"/>
      <c r="C61" s="11"/>
      <c r="D61" s="11"/>
      <c r="E61" s="14"/>
      <c r="F61" s="4"/>
      <c r="G61" s="8">
        <v>58</v>
      </c>
      <c r="H61" s="13" t="s">
        <v>60</v>
      </c>
      <c r="I61" s="4"/>
      <c r="J61" s="4"/>
      <c r="K61" s="4"/>
      <c r="L61" s="4"/>
      <c r="M61" s="4"/>
    </row>
    <row r="62" spans="1:13" ht="27" customHeight="1">
      <c r="A62" s="4"/>
      <c r="B62" s="11"/>
      <c r="C62" s="11"/>
      <c r="D62" s="11"/>
      <c r="E62" s="14"/>
      <c r="F62" s="4"/>
      <c r="G62" s="8">
        <v>59</v>
      </c>
      <c r="H62" s="13" t="s">
        <v>61</v>
      </c>
      <c r="I62" s="4"/>
      <c r="J62" s="4"/>
      <c r="K62" s="4"/>
      <c r="L62" s="4"/>
      <c r="M62" s="4"/>
    </row>
    <row r="63" spans="1:13" ht="27">
      <c r="A63" s="4"/>
      <c r="B63" s="11"/>
      <c r="C63" s="11"/>
      <c r="D63" s="11"/>
      <c r="E63" s="14"/>
      <c r="F63" s="4"/>
      <c r="G63" s="8">
        <v>60</v>
      </c>
      <c r="H63" s="13" t="s">
        <v>62</v>
      </c>
      <c r="I63" s="4"/>
      <c r="J63" s="4"/>
      <c r="K63" s="4"/>
      <c r="L63" s="4"/>
      <c r="M63" s="4"/>
    </row>
    <row r="64" spans="1:13" ht="27" customHeight="1">
      <c r="A64" s="4"/>
      <c r="B64" s="11"/>
      <c r="C64" s="11"/>
      <c r="D64" s="11"/>
      <c r="E64" s="14"/>
      <c r="F64" s="4"/>
      <c r="G64" s="8">
        <v>61</v>
      </c>
      <c r="H64" s="13" t="s">
        <v>63</v>
      </c>
      <c r="I64" s="4"/>
      <c r="J64" s="4"/>
      <c r="K64" s="4"/>
      <c r="L64" s="4"/>
      <c r="M64" s="4"/>
    </row>
    <row r="65" spans="1:13" ht="27" customHeight="1">
      <c r="A65" s="4"/>
      <c r="B65" s="11"/>
      <c r="C65" s="11"/>
      <c r="D65" s="11"/>
      <c r="E65" s="14"/>
      <c r="F65" s="4"/>
      <c r="G65" s="8">
        <v>62</v>
      </c>
      <c r="H65" s="13" t="s">
        <v>64</v>
      </c>
      <c r="I65" s="4"/>
      <c r="J65" s="4"/>
      <c r="K65" s="4"/>
      <c r="L65" s="4"/>
      <c r="M65" s="4"/>
    </row>
    <row r="66" spans="1:13" ht="16.5" customHeight="1">
      <c r="A66" s="4"/>
      <c r="B66" s="11"/>
      <c r="C66" s="11"/>
      <c r="D66" s="11"/>
      <c r="E66" s="14"/>
      <c r="F66" s="4"/>
      <c r="G66" s="8">
        <v>63</v>
      </c>
      <c r="H66" s="13" t="s">
        <v>65</v>
      </c>
      <c r="I66" s="4"/>
      <c r="J66" s="4"/>
      <c r="K66" s="4"/>
      <c r="L66" s="4"/>
      <c r="M66" s="4"/>
    </row>
    <row r="67" spans="1:13" ht="16.5" customHeight="1">
      <c r="A67" s="4"/>
      <c r="B67" s="11"/>
      <c r="C67" s="11"/>
      <c r="D67" s="11"/>
      <c r="E67" s="14"/>
      <c r="F67" s="4"/>
      <c r="G67" s="8">
        <v>64</v>
      </c>
      <c r="H67" s="13" t="s">
        <v>66</v>
      </c>
      <c r="I67" s="4"/>
      <c r="J67" s="4"/>
      <c r="K67" s="4"/>
      <c r="L67" s="4"/>
      <c r="M67" s="4"/>
    </row>
    <row r="68" spans="1:13" ht="16.5" customHeight="1">
      <c r="A68" s="4"/>
      <c r="B68" s="11"/>
      <c r="C68" s="11"/>
      <c r="D68" s="11"/>
      <c r="E68" s="14"/>
      <c r="F68" s="4"/>
      <c r="G68" s="8">
        <v>65</v>
      </c>
      <c r="H68" s="13" t="s">
        <v>67</v>
      </c>
      <c r="I68" s="4"/>
      <c r="J68" s="4"/>
      <c r="K68" s="4"/>
      <c r="L68" s="4"/>
      <c r="M68" s="4"/>
    </row>
    <row r="69" spans="1:13" ht="16.5" customHeight="1">
      <c r="A69" s="4"/>
      <c r="B69" s="11"/>
      <c r="C69" s="11"/>
      <c r="D69" s="11"/>
      <c r="E69" s="14"/>
      <c r="F69" s="4"/>
      <c r="G69" s="8">
        <v>66</v>
      </c>
      <c r="H69" s="13" t="s">
        <v>68</v>
      </c>
      <c r="I69" s="4"/>
      <c r="J69" s="4"/>
      <c r="K69" s="4"/>
      <c r="L69" s="4"/>
      <c r="M69" s="4"/>
    </row>
    <row r="70" spans="1:13" ht="16.5" customHeight="1">
      <c r="A70" s="4"/>
      <c r="B70" s="11"/>
      <c r="C70" s="11"/>
      <c r="D70" s="11"/>
      <c r="E70" s="14"/>
      <c r="F70" s="4"/>
      <c r="G70" s="8">
        <v>67</v>
      </c>
      <c r="H70" s="13" t="s">
        <v>69</v>
      </c>
      <c r="I70" s="4"/>
      <c r="J70" s="4"/>
      <c r="K70" s="4"/>
      <c r="L70" s="4"/>
      <c r="M70" s="4"/>
    </row>
    <row r="71" spans="1:13" ht="16.5" customHeight="1">
      <c r="A71" s="4"/>
      <c r="B71" s="11"/>
      <c r="C71" s="11"/>
      <c r="D71" s="11"/>
      <c r="E71" s="14"/>
      <c r="F71" s="4"/>
      <c r="G71" s="8">
        <v>68</v>
      </c>
      <c r="H71" s="13" t="s">
        <v>70</v>
      </c>
      <c r="I71" s="4"/>
      <c r="J71" s="4"/>
      <c r="K71" s="4"/>
      <c r="L71" s="4"/>
      <c r="M71" s="4"/>
    </row>
    <row r="72" spans="1:13" ht="27">
      <c r="A72" s="4"/>
      <c r="B72" s="11"/>
      <c r="C72" s="11"/>
      <c r="D72" s="11"/>
      <c r="E72" s="14"/>
      <c r="F72" s="4"/>
      <c r="G72" s="8">
        <v>69</v>
      </c>
      <c r="H72" s="13" t="s">
        <v>71</v>
      </c>
      <c r="I72" s="4"/>
      <c r="J72" s="4"/>
      <c r="K72" s="4"/>
      <c r="L72" s="4"/>
      <c r="M72" s="4"/>
    </row>
    <row r="73" spans="1:13" ht="27" customHeight="1">
      <c r="A73" s="4"/>
      <c r="B73" s="11"/>
      <c r="C73" s="11"/>
      <c r="D73" s="11"/>
      <c r="E73" s="14"/>
      <c r="F73" s="4"/>
      <c r="G73" s="8">
        <v>70</v>
      </c>
      <c r="H73" s="13" t="s">
        <v>72</v>
      </c>
      <c r="I73" s="4"/>
      <c r="J73" s="4"/>
      <c r="K73" s="4"/>
      <c r="L73" s="4"/>
      <c r="M73" s="4"/>
    </row>
    <row r="74" spans="1:13" ht="27">
      <c r="A74" s="4"/>
      <c r="B74" s="11"/>
      <c r="C74" s="11"/>
      <c r="D74" s="11"/>
      <c r="E74" s="14"/>
      <c r="F74" s="4"/>
      <c r="G74" s="8">
        <v>71</v>
      </c>
      <c r="H74" s="13" t="s">
        <v>73</v>
      </c>
      <c r="I74" s="4"/>
      <c r="J74" s="4"/>
      <c r="K74" s="4"/>
      <c r="L74" s="4"/>
      <c r="M74" s="4"/>
    </row>
    <row r="75" spans="1:13" ht="27" customHeight="1">
      <c r="A75" s="4"/>
      <c r="B75" s="11"/>
      <c r="C75" s="11"/>
      <c r="D75" s="11"/>
      <c r="E75" s="14"/>
      <c r="F75" s="4"/>
      <c r="G75" s="8">
        <v>72</v>
      </c>
      <c r="H75" s="13" t="s">
        <v>74</v>
      </c>
      <c r="I75" s="4"/>
      <c r="J75" s="4"/>
      <c r="K75" s="4"/>
      <c r="L75" s="4"/>
      <c r="M75" s="4"/>
    </row>
    <row r="76" spans="1:13" ht="16.5" customHeight="1">
      <c r="A76" s="4"/>
      <c r="B76" s="11"/>
      <c r="C76" s="11"/>
      <c r="D76" s="11"/>
      <c r="E76" s="14"/>
      <c r="F76" s="4"/>
      <c r="G76" s="8">
        <v>73</v>
      </c>
      <c r="H76" s="13" t="s">
        <v>75</v>
      </c>
      <c r="I76" s="4"/>
      <c r="J76" s="4"/>
      <c r="K76" s="4"/>
      <c r="L76" s="4"/>
      <c r="M76" s="4"/>
    </row>
    <row r="77" spans="1:13" ht="16.5" customHeight="1">
      <c r="A77" s="4"/>
      <c r="B77" s="11"/>
      <c r="C77" s="11"/>
      <c r="D77" s="11"/>
      <c r="E77" s="14"/>
      <c r="F77" s="4"/>
      <c r="G77" s="8">
        <v>74</v>
      </c>
      <c r="H77" s="13" t="s">
        <v>76</v>
      </c>
      <c r="I77" s="4"/>
      <c r="J77" s="4"/>
      <c r="K77" s="4"/>
      <c r="L77" s="4"/>
      <c r="M77" s="4"/>
    </row>
    <row r="78" spans="1:13" ht="27">
      <c r="A78" s="4"/>
      <c r="B78" s="11"/>
      <c r="C78" s="11"/>
      <c r="D78" s="11"/>
      <c r="E78" s="14"/>
      <c r="F78" s="4"/>
      <c r="G78" s="8">
        <v>75</v>
      </c>
      <c r="H78" s="13" t="s">
        <v>77</v>
      </c>
      <c r="I78" s="4"/>
      <c r="J78" s="4"/>
      <c r="K78" s="4"/>
      <c r="L78" s="4"/>
      <c r="M78" s="4"/>
    </row>
    <row r="79" spans="1:13" ht="27" customHeight="1">
      <c r="A79" s="4"/>
      <c r="B79" s="11"/>
      <c r="C79" s="11"/>
      <c r="D79" s="11"/>
      <c r="E79" s="14"/>
      <c r="F79" s="4"/>
      <c r="G79" s="8">
        <v>76</v>
      </c>
      <c r="H79" s="13" t="s">
        <v>78</v>
      </c>
      <c r="I79" s="4"/>
      <c r="J79" s="4"/>
      <c r="K79" s="4"/>
      <c r="L79" s="4"/>
      <c r="M79" s="4"/>
    </row>
    <row r="80" spans="1:13" ht="27" customHeight="1">
      <c r="A80" s="4"/>
      <c r="B80" s="11"/>
      <c r="C80" s="11"/>
      <c r="D80" s="11"/>
      <c r="E80" s="14"/>
      <c r="F80" s="4"/>
      <c r="G80" s="8">
        <v>77</v>
      </c>
      <c r="H80" s="13" t="s">
        <v>79</v>
      </c>
      <c r="I80" s="4"/>
      <c r="J80" s="4"/>
      <c r="K80" s="4"/>
      <c r="L80" s="4"/>
      <c r="M80" s="4"/>
    </row>
    <row r="81" spans="1:13" ht="27" customHeight="1">
      <c r="A81" s="4"/>
      <c r="B81" s="11"/>
      <c r="C81" s="11"/>
      <c r="D81" s="11"/>
      <c r="E81" s="14"/>
      <c r="F81" s="4"/>
      <c r="G81" s="8">
        <v>78</v>
      </c>
      <c r="H81" s="13" t="s">
        <v>80</v>
      </c>
      <c r="I81" s="4"/>
      <c r="J81" s="4"/>
      <c r="K81" s="4"/>
      <c r="L81" s="4"/>
      <c r="M81" s="4"/>
    </row>
    <row r="82" spans="1:13" ht="27">
      <c r="A82" s="4"/>
      <c r="B82" s="11"/>
      <c r="C82" s="11"/>
      <c r="D82" s="11"/>
      <c r="E82" s="14"/>
      <c r="F82" s="4"/>
      <c r="G82" s="8">
        <v>79</v>
      </c>
      <c r="H82" s="13" t="s">
        <v>81</v>
      </c>
      <c r="I82" s="4"/>
      <c r="J82" s="4"/>
      <c r="K82" s="4"/>
      <c r="L82" s="4"/>
      <c r="M82" s="4"/>
    </row>
    <row r="83" spans="1:13" ht="27" customHeight="1">
      <c r="A83" s="4"/>
      <c r="B83" s="11"/>
      <c r="C83" s="11"/>
      <c r="D83" s="11"/>
      <c r="E83" s="14"/>
      <c r="F83" s="4"/>
      <c r="G83" s="8">
        <v>80</v>
      </c>
      <c r="H83" s="13" t="s">
        <v>82</v>
      </c>
      <c r="I83" s="4"/>
      <c r="J83" s="4"/>
      <c r="K83" s="4"/>
      <c r="L83" s="4"/>
      <c r="M83" s="4"/>
    </row>
    <row r="84" spans="1:13" ht="27" customHeight="1">
      <c r="A84" s="4"/>
      <c r="B84" s="11"/>
      <c r="C84" s="11"/>
      <c r="D84" s="11"/>
      <c r="E84" s="14"/>
      <c r="F84" s="4"/>
      <c r="G84" s="8">
        <v>81</v>
      </c>
      <c r="H84" s="13" t="s">
        <v>83</v>
      </c>
      <c r="I84" s="4"/>
      <c r="J84" s="4"/>
      <c r="K84" s="4"/>
      <c r="L84" s="4"/>
      <c r="M84" s="4"/>
    </row>
    <row r="85" spans="1:13" ht="27">
      <c r="A85" s="4"/>
      <c r="B85" s="11"/>
      <c r="C85" s="11"/>
      <c r="D85" s="11"/>
      <c r="E85" s="14"/>
      <c r="F85" s="4"/>
      <c r="G85" s="8">
        <v>82</v>
      </c>
      <c r="H85" s="13" t="s">
        <v>84</v>
      </c>
      <c r="I85" s="4"/>
      <c r="J85" s="4"/>
      <c r="K85" s="4"/>
      <c r="L85" s="4"/>
      <c r="M85" s="4"/>
    </row>
    <row r="86" spans="1:13" ht="27">
      <c r="A86" s="4"/>
      <c r="B86" s="11"/>
      <c r="C86" s="11"/>
      <c r="D86" s="11"/>
      <c r="E86" s="14"/>
      <c r="F86" s="4"/>
      <c r="G86" s="8">
        <v>83</v>
      </c>
      <c r="H86" s="13" t="s">
        <v>85</v>
      </c>
      <c r="I86" s="4"/>
      <c r="J86" s="4"/>
      <c r="K86" s="4"/>
      <c r="L86" s="4"/>
      <c r="M86" s="4"/>
    </row>
    <row r="87" spans="1:13" ht="27" customHeight="1">
      <c r="A87" s="4"/>
      <c r="B87" s="11"/>
      <c r="C87" s="11"/>
      <c r="D87" s="11"/>
      <c r="E87" s="14"/>
      <c r="F87" s="4"/>
      <c r="G87" s="8">
        <v>84</v>
      </c>
      <c r="H87" s="13" t="s">
        <v>86</v>
      </c>
      <c r="I87" s="4"/>
      <c r="J87" s="4"/>
      <c r="K87" s="4"/>
      <c r="L87" s="4"/>
      <c r="M87" s="4"/>
    </row>
    <row r="88" spans="1:13" ht="27" customHeight="1">
      <c r="A88" s="4"/>
      <c r="B88" s="11"/>
      <c r="C88" s="11"/>
      <c r="D88" s="11"/>
      <c r="E88" s="14"/>
      <c r="F88" s="4"/>
      <c r="G88" s="8">
        <v>85</v>
      </c>
      <c r="H88" s="13" t="s">
        <v>87</v>
      </c>
      <c r="I88" s="4"/>
      <c r="J88" s="4"/>
      <c r="K88" s="4"/>
      <c r="L88" s="4"/>
      <c r="M88" s="4"/>
    </row>
    <row r="89" spans="1:13" ht="27" customHeight="1">
      <c r="A89" s="4"/>
      <c r="B89" s="11"/>
      <c r="C89" s="11"/>
      <c r="D89" s="11"/>
      <c r="E89" s="14"/>
      <c r="F89" s="4"/>
      <c r="G89" s="8">
        <v>86</v>
      </c>
      <c r="I89" s="4"/>
      <c r="J89" s="4"/>
      <c r="K89" s="4"/>
      <c r="L89" s="4"/>
      <c r="M89" s="4"/>
    </row>
    <row r="90" spans="1:13" ht="27" customHeight="1">
      <c r="A90" s="4"/>
      <c r="B90" s="11"/>
      <c r="C90" s="11"/>
      <c r="D90" s="11"/>
      <c r="E90" s="14"/>
      <c r="F90" s="4"/>
      <c r="G90" s="8">
        <v>87</v>
      </c>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4"/>
      <c r="I154" s="4"/>
      <c r="J154" s="4"/>
      <c r="K154" s="4"/>
      <c r="L154" s="4"/>
      <c r="M154" s="4"/>
    </row>
    <row r="155" spans="1:13" ht="16.5" customHeight="1">
      <c r="A155" s="4"/>
      <c r="B155" s="11"/>
      <c r="C155" s="11"/>
      <c r="D155" s="11"/>
      <c r="E155" s="14"/>
      <c r="F155" s="4"/>
      <c r="G155" s="14"/>
      <c r="H155" s="4"/>
      <c r="I155" s="4"/>
      <c r="J155" s="4"/>
      <c r="K155" s="4"/>
      <c r="L155" s="4"/>
      <c r="M155" s="4"/>
    </row>
    <row r="156" spans="1:13" ht="16.5" customHeight="1">
      <c r="A156" s="4"/>
      <c r="B156" s="11"/>
      <c r="C156" s="11"/>
      <c r="D156" s="11"/>
      <c r="E156" s="14"/>
      <c r="F156" s="4"/>
      <c r="G156" s="14"/>
      <c r="H156" s="4"/>
      <c r="I156" s="4"/>
      <c r="J156" s="4"/>
      <c r="K156" s="4"/>
      <c r="L156" s="4"/>
      <c r="M156" s="4"/>
    </row>
    <row r="157" spans="1:13" ht="16.5" customHeight="1">
      <c r="A157" s="4"/>
      <c r="B157" s="11"/>
      <c r="C157" s="11"/>
      <c r="D157" s="11"/>
      <c r="E157" s="14"/>
      <c r="F157" s="4"/>
      <c r="G157" s="14"/>
      <c r="H157" s="4"/>
      <c r="I157" s="4"/>
      <c r="J157" s="4"/>
      <c r="K157" s="4"/>
      <c r="L157" s="4"/>
      <c r="M157" s="4"/>
    </row>
    <row r="158" spans="1:13" ht="16.5" customHeight="1">
      <c r="A158" s="4"/>
      <c r="B158" s="11"/>
      <c r="C158" s="11"/>
      <c r="D158" s="11"/>
      <c r="E158" s="14"/>
      <c r="F158" s="4"/>
      <c r="G158" s="14"/>
      <c r="H158" s="4"/>
      <c r="I158" s="4"/>
      <c r="J158" s="4"/>
      <c r="K158" s="4"/>
      <c r="L158" s="4"/>
      <c r="M158" s="4"/>
    </row>
    <row r="159" spans="1:13" ht="16.5" customHeight="1">
      <c r="A159" s="4"/>
      <c r="B159" s="11"/>
      <c r="C159" s="11"/>
      <c r="D159" s="11"/>
      <c r="E159" s="14"/>
      <c r="F159" s="4"/>
      <c r="G159" s="14"/>
      <c r="H159" s="4"/>
      <c r="I159" s="4"/>
      <c r="J159" s="4"/>
      <c r="K159" s="4"/>
      <c r="L159" s="4"/>
      <c r="M159" s="4"/>
    </row>
    <row r="160" spans="1:13" ht="16.5" customHeight="1">
      <c r="A160" s="4"/>
      <c r="B160" s="11"/>
      <c r="C160" s="11"/>
      <c r="D160" s="11"/>
      <c r="E160" s="14"/>
      <c r="F160" s="4"/>
      <c r="G160" s="14"/>
      <c r="H160" s="4"/>
      <c r="I160" s="4"/>
      <c r="J160" s="4"/>
      <c r="K160" s="4"/>
      <c r="L160" s="4"/>
      <c r="M160" s="4"/>
    </row>
    <row r="161" spans="1:13" ht="16.5" customHeight="1">
      <c r="A161" s="4"/>
      <c r="B161" s="11"/>
      <c r="C161" s="11"/>
      <c r="D161" s="11"/>
      <c r="E161" s="14"/>
      <c r="F161" s="4"/>
      <c r="G161" s="14"/>
      <c r="H161" s="4"/>
      <c r="I161" s="4"/>
      <c r="J161" s="4"/>
      <c r="K161" s="4"/>
      <c r="L161" s="4"/>
      <c r="M161" s="4"/>
    </row>
    <row r="162" spans="1:13" ht="16.5" customHeight="1">
      <c r="A162" s="4"/>
      <c r="B162" s="11"/>
      <c r="C162" s="11"/>
      <c r="D162" s="11"/>
      <c r="E162" s="14"/>
      <c r="F162" s="4"/>
      <c r="G162" s="14"/>
      <c r="H162" s="4"/>
      <c r="I162" s="4"/>
      <c r="J162" s="4"/>
      <c r="K162" s="4"/>
      <c r="L162" s="4"/>
      <c r="M162" s="4"/>
    </row>
    <row r="163" spans="1:13" ht="16.5" customHeight="1">
      <c r="A163" s="4"/>
      <c r="B163" s="11"/>
      <c r="C163" s="11"/>
      <c r="D163" s="11"/>
      <c r="E163" s="14"/>
      <c r="F163" s="4"/>
      <c r="G163" s="14"/>
      <c r="H163" s="4"/>
      <c r="I163" s="4"/>
      <c r="J163" s="4"/>
      <c r="K163" s="4"/>
      <c r="L163" s="4"/>
      <c r="M163" s="4"/>
    </row>
    <row r="164" spans="1:13" ht="16.5" customHeight="1">
      <c r="A164" s="4"/>
      <c r="B164" s="11"/>
      <c r="C164" s="11"/>
      <c r="D164" s="11"/>
      <c r="E164" s="14"/>
      <c r="F164" s="4"/>
      <c r="G164" s="14"/>
      <c r="H164" s="4"/>
      <c r="I164" s="4"/>
      <c r="J164" s="4"/>
      <c r="K164" s="4"/>
      <c r="L164" s="4"/>
      <c r="M164" s="4"/>
    </row>
    <row r="165" spans="1:13" ht="16.5" customHeight="1">
      <c r="A165" s="4"/>
      <c r="B165" s="11"/>
      <c r="C165" s="11"/>
      <c r="D165" s="11"/>
      <c r="E165" s="14"/>
      <c r="F165" s="4"/>
      <c r="G165" s="14"/>
      <c r="H165" s="4"/>
      <c r="I165" s="4"/>
      <c r="J165" s="4"/>
      <c r="K165" s="4"/>
      <c r="L165" s="4"/>
      <c r="M165" s="4"/>
    </row>
    <row r="166" spans="1:13" ht="16.5" customHeight="1">
      <c r="A166" s="4"/>
      <c r="B166" s="11"/>
      <c r="C166" s="11"/>
      <c r="D166" s="11"/>
      <c r="E166" s="14"/>
      <c r="F166" s="4"/>
      <c r="G166" s="14"/>
      <c r="H166" s="4"/>
      <c r="I166" s="4"/>
      <c r="J166" s="4"/>
      <c r="K166" s="4"/>
      <c r="L166" s="4"/>
      <c r="M166" s="4"/>
    </row>
    <row r="167" spans="1:13" ht="16.5" customHeight="1">
      <c r="A167" s="4"/>
      <c r="B167" s="11"/>
      <c r="C167" s="11"/>
      <c r="D167" s="11"/>
      <c r="E167" s="14"/>
      <c r="F167" s="4"/>
      <c r="G167" s="14"/>
      <c r="H167" s="4"/>
      <c r="I167" s="4"/>
      <c r="J167" s="4"/>
      <c r="K167" s="4"/>
      <c r="L167" s="4"/>
      <c r="M167" s="4"/>
    </row>
    <row r="168" spans="1:13" ht="16.5" customHeight="1">
      <c r="A168" s="4"/>
      <c r="B168" s="11"/>
      <c r="C168" s="11"/>
      <c r="D168" s="11"/>
      <c r="E168" s="14"/>
      <c r="F168" s="4"/>
      <c r="G168" s="14"/>
      <c r="H168" s="4"/>
      <c r="I168" s="4"/>
      <c r="J168" s="4"/>
      <c r="K168" s="4"/>
      <c r="L168" s="4"/>
      <c r="M168" s="4"/>
    </row>
    <row r="169" spans="1:13" ht="16.5" customHeight="1">
      <c r="A169" s="4"/>
      <c r="B169" s="11"/>
      <c r="C169" s="11"/>
      <c r="D169" s="11"/>
      <c r="E169" s="14"/>
      <c r="F169" s="4"/>
      <c r="G169" s="14"/>
      <c r="H169" s="4"/>
      <c r="I169" s="4"/>
      <c r="J169" s="4"/>
      <c r="K169" s="4"/>
      <c r="L169" s="4"/>
      <c r="M169" s="4"/>
    </row>
    <row r="170" spans="1:13" ht="16.5" customHeight="1">
      <c r="A170" s="4"/>
      <c r="B170" s="11"/>
      <c r="C170" s="11"/>
      <c r="D170" s="11"/>
      <c r="E170" s="14"/>
      <c r="F170" s="4"/>
      <c r="G170" s="14"/>
      <c r="H170" s="4"/>
      <c r="I170" s="4"/>
      <c r="J170" s="4"/>
      <c r="K170" s="4"/>
      <c r="L170" s="4"/>
      <c r="M170" s="4"/>
    </row>
    <row r="171" spans="1:13" ht="16.5" customHeight="1">
      <c r="A171" s="4"/>
      <c r="B171" s="11"/>
      <c r="C171" s="11"/>
      <c r="D171" s="11"/>
      <c r="E171" s="14"/>
      <c r="F171" s="4"/>
      <c r="G171" s="14"/>
      <c r="H171" s="4"/>
      <c r="I171" s="4"/>
      <c r="J171" s="4"/>
      <c r="K171" s="4"/>
      <c r="L171" s="4"/>
      <c r="M171" s="4"/>
    </row>
    <row r="172" spans="1:13" ht="16.5" customHeight="1">
      <c r="A172" s="4"/>
      <c r="B172" s="11"/>
      <c r="C172" s="11"/>
      <c r="D172" s="11"/>
      <c r="E172" s="14"/>
      <c r="F172" s="4"/>
      <c r="G172" s="14"/>
      <c r="H172" s="4"/>
      <c r="I172" s="4"/>
      <c r="J172" s="4"/>
      <c r="K172" s="4"/>
      <c r="L172" s="4"/>
      <c r="M172" s="4"/>
    </row>
    <row r="173" spans="1:13" ht="16.5" customHeight="1">
      <c r="A173" s="4"/>
      <c r="B173" s="11"/>
      <c r="C173" s="11"/>
      <c r="D173" s="11"/>
      <c r="E173" s="14"/>
      <c r="F173" s="4"/>
      <c r="G173" s="14"/>
      <c r="H173" s="4"/>
      <c r="I173" s="4"/>
      <c r="J173" s="4"/>
      <c r="K173" s="4"/>
      <c r="L173" s="4"/>
      <c r="M173" s="4"/>
    </row>
    <row r="174" spans="1:13" ht="16.5" customHeight="1">
      <c r="A174" s="4"/>
      <c r="B174" s="11"/>
      <c r="C174" s="11"/>
      <c r="D174" s="11"/>
      <c r="E174" s="14"/>
      <c r="F174" s="4"/>
      <c r="G174" s="14"/>
      <c r="H174" s="4"/>
      <c r="I174" s="4"/>
      <c r="J174" s="4"/>
      <c r="K174" s="4"/>
      <c r="L174" s="4"/>
      <c r="M174" s="4"/>
    </row>
    <row r="175" spans="1:13" ht="16.5" customHeight="1">
      <c r="A175" s="4"/>
      <c r="B175" s="11"/>
      <c r="C175" s="11"/>
      <c r="D175" s="11"/>
      <c r="E175" s="14"/>
      <c r="F175" s="4"/>
      <c r="G175" s="14"/>
      <c r="H175" s="4"/>
      <c r="I175" s="4"/>
      <c r="J175" s="4"/>
      <c r="K175" s="4"/>
      <c r="L175" s="4"/>
      <c r="M175" s="4"/>
    </row>
    <row r="176" spans="1:13" ht="16.5" customHeight="1">
      <c r="A176" s="4"/>
      <c r="B176" s="11"/>
      <c r="C176" s="11"/>
      <c r="D176" s="11"/>
      <c r="E176" s="14"/>
      <c r="F176" s="4"/>
      <c r="G176" s="14"/>
      <c r="H176" s="4"/>
      <c r="I176" s="4"/>
      <c r="J176" s="4"/>
      <c r="K176" s="4"/>
      <c r="L176" s="4"/>
      <c r="M176" s="4"/>
    </row>
    <row r="177" spans="1:13" ht="16.5" customHeight="1">
      <c r="A177" s="4"/>
      <c r="B177" s="11"/>
      <c r="C177" s="11"/>
      <c r="D177" s="11"/>
      <c r="E177" s="14"/>
      <c r="F177" s="4"/>
      <c r="G177" s="14"/>
      <c r="H177" s="4"/>
      <c r="I177" s="4"/>
      <c r="J177" s="4"/>
      <c r="K177" s="4"/>
      <c r="L177" s="4"/>
      <c r="M177" s="4"/>
    </row>
    <row r="178" spans="1:13" ht="16.5" customHeight="1">
      <c r="A178" s="4"/>
      <c r="B178" s="11"/>
      <c r="C178" s="11"/>
      <c r="D178" s="11"/>
      <c r="E178" s="14"/>
      <c r="F178" s="4"/>
      <c r="G178" s="14"/>
      <c r="H178" s="4"/>
      <c r="I178" s="4"/>
      <c r="J178" s="4"/>
      <c r="K178" s="4"/>
      <c r="L178" s="4"/>
      <c r="M178" s="4"/>
    </row>
    <row r="179" spans="1:13" ht="16.5" customHeight="1">
      <c r="A179" s="4"/>
      <c r="B179" s="11"/>
      <c r="C179" s="11"/>
      <c r="D179" s="11"/>
      <c r="E179" s="14"/>
      <c r="F179" s="4"/>
      <c r="G179" s="14"/>
      <c r="H179" s="4"/>
      <c r="I179" s="4"/>
      <c r="J179" s="4"/>
      <c r="K179" s="4"/>
      <c r="L179" s="4"/>
      <c r="M179" s="4"/>
    </row>
    <row r="180" spans="1:13" ht="16.5" customHeight="1">
      <c r="A180" s="4"/>
      <c r="B180" s="11"/>
      <c r="C180" s="11"/>
      <c r="D180" s="11"/>
      <c r="E180" s="14"/>
      <c r="F180" s="4"/>
      <c r="G180" s="14"/>
      <c r="H180" s="4"/>
      <c r="I180" s="4"/>
      <c r="J180" s="4"/>
      <c r="K180" s="4"/>
      <c r="L180" s="4"/>
      <c r="M180" s="4"/>
    </row>
    <row r="181" spans="1:13" ht="16.5" customHeight="1">
      <c r="A181" s="4"/>
      <c r="B181" s="11"/>
      <c r="C181" s="11"/>
      <c r="D181" s="11"/>
      <c r="E181" s="14"/>
      <c r="F181" s="4"/>
      <c r="G181" s="14"/>
      <c r="H181" s="4"/>
      <c r="I181" s="4"/>
      <c r="J181" s="4"/>
      <c r="K181" s="4"/>
      <c r="L181" s="4"/>
      <c r="M181" s="4"/>
    </row>
    <row r="182" spans="1:13" ht="16.5" customHeight="1">
      <c r="A182" s="4"/>
      <c r="B182" s="11"/>
      <c r="C182" s="11"/>
      <c r="D182" s="11"/>
      <c r="E182" s="14"/>
      <c r="F182" s="4"/>
      <c r="G182" s="14"/>
      <c r="H182" s="4"/>
      <c r="I182" s="4"/>
      <c r="J182" s="4"/>
      <c r="K182" s="4"/>
      <c r="L182" s="4"/>
      <c r="M182" s="4"/>
    </row>
    <row r="183" spans="1:13" ht="16.5" customHeight="1">
      <c r="A183" s="4"/>
      <c r="B183" s="11"/>
      <c r="C183" s="11"/>
      <c r="D183" s="11"/>
      <c r="E183" s="14"/>
      <c r="F183" s="4"/>
      <c r="G183" s="14"/>
      <c r="H183" s="4"/>
      <c r="I183" s="4"/>
      <c r="J183" s="4"/>
      <c r="K183" s="4"/>
      <c r="L183" s="4"/>
      <c r="M183" s="4"/>
    </row>
    <row r="184" spans="1:13" ht="16.5" customHeight="1">
      <c r="A184" s="4"/>
      <c r="B184" s="11"/>
      <c r="C184" s="11"/>
      <c r="D184" s="11"/>
      <c r="E184" s="14"/>
      <c r="F184" s="4"/>
      <c r="G184" s="14"/>
      <c r="H184" s="4"/>
      <c r="I184" s="4"/>
      <c r="J184" s="4"/>
      <c r="K184" s="4"/>
      <c r="L184" s="4"/>
      <c r="M184" s="4"/>
    </row>
    <row r="185" spans="1:13" ht="16.5" customHeight="1">
      <c r="A185" s="4"/>
      <c r="B185" s="11"/>
      <c r="C185" s="11"/>
      <c r="D185" s="11"/>
      <c r="E185" s="14"/>
      <c r="F185" s="4"/>
      <c r="G185" s="14"/>
      <c r="H185" s="4"/>
      <c r="I185" s="4"/>
      <c r="J185" s="4"/>
      <c r="K185" s="4"/>
      <c r="L185" s="4"/>
      <c r="M185" s="4"/>
    </row>
    <row r="186" spans="1:13" ht="16.5" customHeight="1">
      <c r="A186" s="4"/>
      <c r="B186" s="11"/>
      <c r="C186" s="11"/>
      <c r="D186" s="11"/>
      <c r="E186" s="14"/>
      <c r="F186" s="4"/>
      <c r="G186" s="14"/>
      <c r="H186" s="4"/>
      <c r="I186" s="4"/>
      <c r="J186" s="4"/>
      <c r="K186" s="4"/>
      <c r="L186" s="4"/>
      <c r="M186" s="4"/>
    </row>
    <row r="187" spans="1:13" ht="16.5" customHeight="1">
      <c r="A187" s="4"/>
      <c r="B187" s="11"/>
      <c r="C187" s="11"/>
      <c r="D187" s="11"/>
      <c r="E187" s="14"/>
      <c r="F187" s="4"/>
      <c r="G187" s="14"/>
      <c r="H187" s="4"/>
      <c r="I187" s="4"/>
      <c r="J187" s="4"/>
      <c r="K187" s="4"/>
      <c r="L187" s="4"/>
      <c r="M187" s="4"/>
    </row>
    <row r="188" spans="1:13" ht="16.5" customHeight="1">
      <c r="A188" s="4"/>
      <c r="B188" s="11"/>
      <c r="C188" s="11"/>
      <c r="D188" s="11"/>
      <c r="E188" s="14"/>
      <c r="F188" s="4"/>
      <c r="G188" s="14"/>
      <c r="H188" s="4"/>
      <c r="I188" s="4"/>
      <c r="J188" s="4"/>
      <c r="K188" s="4"/>
      <c r="L188" s="4"/>
      <c r="M188" s="4"/>
    </row>
    <row r="189" spans="1:13" ht="16.5" customHeight="1">
      <c r="A189" s="4"/>
      <c r="B189" s="11"/>
      <c r="C189" s="11"/>
      <c r="D189" s="11"/>
      <c r="E189" s="14"/>
      <c r="F189" s="4"/>
      <c r="G189" s="14"/>
      <c r="H189" s="4"/>
      <c r="I189" s="4"/>
      <c r="J189" s="4"/>
      <c r="K189" s="4"/>
      <c r="L189" s="4"/>
      <c r="M189" s="4"/>
    </row>
    <row r="190" spans="1:13" ht="16.5" customHeight="1">
      <c r="A190" s="4"/>
      <c r="B190" s="11"/>
      <c r="C190" s="11"/>
      <c r="D190" s="11"/>
      <c r="E190" s="14"/>
      <c r="F190" s="4"/>
      <c r="G190" s="14"/>
      <c r="H190" s="4"/>
      <c r="I190" s="4"/>
      <c r="J190" s="4"/>
      <c r="K190" s="4"/>
      <c r="L190" s="4"/>
      <c r="M190" s="4"/>
    </row>
    <row r="191" spans="1:13" ht="16.5" customHeight="1">
      <c r="A191" s="4"/>
      <c r="B191" s="11"/>
      <c r="C191" s="11"/>
      <c r="D191" s="11"/>
      <c r="E191" s="14"/>
      <c r="F191" s="4"/>
      <c r="G191" s="14"/>
      <c r="H191" s="4"/>
      <c r="I191" s="4"/>
      <c r="J191" s="4"/>
      <c r="K191" s="4"/>
      <c r="L191" s="4"/>
      <c r="M191" s="4"/>
    </row>
    <row r="192" spans="1:13" ht="16.5" customHeight="1">
      <c r="A192" s="4"/>
      <c r="B192" s="11"/>
      <c r="C192" s="11"/>
      <c r="D192" s="11"/>
      <c r="E192" s="14"/>
      <c r="F192" s="4"/>
      <c r="G192" s="14"/>
      <c r="H192" s="4"/>
      <c r="I192" s="4"/>
      <c r="J192" s="4"/>
      <c r="K192" s="4"/>
      <c r="L192" s="4"/>
      <c r="M192" s="4"/>
    </row>
    <row r="193" spans="1:13" ht="16.5" customHeight="1">
      <c r="A193" s="4"/>
      <c r="B193" s="11"/>
      <c r="C193" s="11"/>
      <c r="D193" s="11"/>
      <c r="E193" s="14"/>
      <c r="F193" s="4"/>
      <c r="G193" s="14"/>
      <c r="H193" s="4"/>
      <c r="I193" s="4"/>
      <c r="J193" s="4"/>
      <c r="K193" s="4"/>
      <c r="L193" s="4"/>
      <c r="M193" s="4"/>
    </row>
    <row r="194" spans="1:13" ht="16.5" customHeight="1">
      <c r="A194" s="4"/>
      <c r="B194" s="11"/>
      <c r="C194" s="11"/>
      <c r="D194" s="11"/>
      <c r="E194" s="14"/>
      <c r="F194" s="4"/>
      <c r="G194" s="14"/>
      <c r="H194" s="4"/>
      <c r="I194" s="4"/>
      <c r="J194" s="4"/>
      <c r="K194" s="4"/>
      <c r="L194" s="4"/>
      <c r="M194" s="4"/>
    </row>
    <row r="195" spans="1:13" ht="16.5" customHeight="1">
      <c r="A195" s="4"/>
      <c r="B195" s="11"/>
      <c r="C195" s="11"/>
      <c r="D195" s="11"/>
      <c r="E195" s="14"/>
      <c r="F195" s="4"/>
      <c r="G195" s="14"/>
      <c r="H195" s="4"/>
      <c r="I195" s="4"/>
      <c r="J195" s="4"/>
      <c r="K195" s="4"/>
      <c r="L195" s="4"/>
      <c r="M195" s="4"/>
    </row>
    <row r="196" spans="1:13" ht="16.5" customHeight="1">
      <c r="A196" s="4"/>
      <c r="B196" s="11"/>
      <c r="C196" s="11"/>
      <c r="D196" s="11"/>
      <c r="E196" s="14"/>
      <c r="F196" s="4"/>
      <c r="G196" s="14"/>
      <c r="H196" s="4"/>
      <c r="I196" s="4"/>
      <c r="J196" s="4"/>
      <c r="K196" s="4"/>
      <c r="L196" s="4"/>
      <c r="M196" s="4"/>
    </row>
    <row r="197" spans="1:13" ht="16.5" customHeight="1">
      <c r="A197" s="4"/>
      <c r="B197" s="11"/>
      <c r="C197" s="11"/>
      <c r="D197" s="11"/>
      <c r="E197" s="14"/>
      <c r="F197" s="4"/>
      <c r="G197" s="14"/>
      <c r="H197" s="4"/>
      <c r="I197" s="4"/>
      <c r="J197" s="4"/>
      <c r="K197" s="4"/>
      <c r="L197" s="4"/>
      <c r="M197" s="4"/>
    </row>
    <row r="198" spans="1:13" ht="16.5" customHeight="1">
      <c r="A198" s="4"/>
      <c r="B198" s="11"/>
      <c r="C198" s="11"/>
      <c r="D198" s="11"/>
      <c r="E198" s="14"/>
      <c r="F198" s="4"/>
      <c r="G198" s="14"/>
      <c r="H198" s="4"/>
      <c r="I198" s="4"/>
      <c r="J198" s="4"/>
      <c r="K198" s="4"/>
      <c r="L198" s="4"/>
      <c r="M198" s="4"/>
    </row>
    <row r="199" spans="1:13" ht="16.5" customHeight="1">
      <c r="A199" s="4"/>
      <c r="B199" s="11"/>
      <c r="C199" s="11"/>
      <c r="D199" s="11"/>
      <c r="E199" s="14"/>
      <c r="F199" s="4"/>
      <c r="G199" s="14"/>
      <c r="H199" s="4"/>
      <c r="I199" s="4"/>
      <c r="J199" s="4"/>
      <c r="K199" s="4"/>
      <c r="L199" s="4"/>
      <c r="M199" s="4"/>
    </row>
    <row r="200" spans="1:13" ht="16.5" customHeight="1">
      <c r="A200" s="4"/>
      <c r="B200" s="11"/>
      <c r="C200" s="11"/>
      <c r="D200" s="11"/>
      <c r="E200" s="14"/>
      <c r="F200" s="4"/>
      <c r="G200" s="14"/>
      <c r="H200" s="4"/>
      <c r="I200" s="4"/>
      <c r="J200" s="4"/>
      <c r="K200" s="4"/>
      <c r="L200" s="4"/>
      <c r="M200" s="4"/>
    </row>
    <row r="201" spans="1:13" ht="16.5" customHeight="1">
      <c r="A201" s="4"/>
      <c r="B201" s="11"/>
      <c r="C201" s="11"/>
      <c r="D201" s="11"/>
      <c r="E201" s="14"/>
      <c r="F201" s="4"/>
      <c r="G201" s="14"/>
      <c r="H201" s="4"/>
      <c r="I201" s="4"/>
      <c r="J201" s="4"/>
      <c r="K201" s="4"/>
      <c r="L201" s="4"/>
      <c r="M201" s="4"/>
    </row>
    <row r="202" spans="1:13" ht="16.5" customHeight="1">
      <c r="A202" s="4"/>
      <c r="B202" s="11"/>
      <c r="C202" s="11"/>
      <c r="D202" s="11"/>
      <c r="E202" s="14"/>
      <c r="F202" s="4"/>
      <c r="G202" s="14"/>
      <c r="H202" s="4"/>
      <c r="I202" s="4"/>
      <c r="J202" s="4"/>
      <c r="K202" s="4"/>
      <c r="L202" s="4"/>
      <c r="M202" s="4"/>
    </row>
    <row r="203" spans="1:13" ht="16.5" customHeight="1">
      <c r="A203" s="4"/>
      <c r="B203" s="11"/>
      <c r="C203" s="11"/>
      <c r="D203" s="11"/>
      <c r="E203" s="14"/>
      <c r="F203" s="4"/>
      <c r="G203" s="14"/>
      <c r="H203" s="4"/>
      <c r="I203" s="4"/>
      <c r="J203" s="4"/>
      <c r="K203" s="4"/>
      <c r="L203" s="4"/>
      <c r="M203" s="4"/>
    </row>
    <row r="204" spans="1:13" ht="16.5" customHeight="1">
      <c r="A204" s="4"/>
      <c r="B204" s="11"/>
      <c r="C204" s="11"/>
      <c r="D204" s="11"/>
      <c r="E204" s="14"/>
      <c r="F204" s="4"/>
      <c r="G204" s="14"/>
      <c r="H204" s="4"/>
      <c r="I204" s="4"/>
      <c r="J204" s="4"/>
      <c r="K204" s="4"/>
      <c r="L204" s="4"/>
      <c r="M204" s="4"/>
    </row>
    <row r="205" spans="1:13" ht="16.5" customHeight="1">
      <c r="A205" s="4"/>
      <c r="B205" s="11"/>
      <c r="C205" s="11"/>
      <c r="D205" s="11"/>
      <c r="E205" s="14"/>
      <c r="F205" s="4"/>
      <c r="G205" s="14"/>
      <c r="H205" s="4"/>
      <c r="I205" s="4"/>
      <c r="J205" s="4"/>
      <c r="K205" s="4"/>
      <c r="L205" s="4"/>
      <c r="M205" s="4"/>
    </row>
    <row r="206" spans="1:13" ht="16.5" customHeight="1">
      <c r="A206" s="4"/>
      <c r="B206" s="11"/>
      <c r="C206" s="11"/>
      <c r="D206" s="11"/>
      <c r="E206" s="14"/>
      <c r="F206" s="4"/>
      <c r="G206" s="14"/>
      <c r="H206" s="4"/>
      <c r="I206" s="4"/>
      <c r="J206" s="4"/>
      <c r="K206" s="4"/>
      <c r="L206" s="4"/>
      <c r="M206" s="4"/>
    </row>
    <row r="207" spans="1:13" ht="16.5" customHeight="1">
      <c r="A207" s="4"/>
      <c r="B207" s="11"/>
      <c r="C207" s="11"/>
      <c r="D207" s="11"/>
      <c r="E207" s="14"/>
      <c r="F207" s="4"/>
      <c r="G207" s="14"/>
      <c r="H207" s="4"/>
      <c r="I207" s="4"/>
      <c r="J207" s="4"/>
      <c r="K207" s="4"/>
      <c r="L207" s="4"/>
      <c r="M207" s="4"/>
    </row>
    <row r="208" spans="1:13" ht="16.5" customHeight="1">
      <c r="A208" s="4"/>
      <c r="B208" s="11"/>
      <c r="C208" s="11"/>
      <c r="D208" s="11"/>
      <c r="E208" s="14"/>
      <c r="F208" s="4"/>
      <c r="G208" s="14"/>
      <c r="H208" s="4"/>
      <c r="I208" s="4"/>
      <c r="J208" s="4"/>
      <c r="K208" s="4"/>
      <c r="L208" s="4"/>
      <c r="M208" s="4"/>
    </row>
    <row r="209" spans="1:13" ht="16.5" customHeight="1">
      <c r="A209" s="4"/>
      <c r="B209" s="11"/>
      <c r="C209" s="11"/>
      <c r="D209" s="11"/>
      <c r="E209" s="14"/>
      <c r="F209" s="4"/>
      <c r="G209" s="14"/>
      <c r="H209" s="4"/>
      <c r="I209" s="4"/>
      <c r="J209" s="4"/>
      <c r="K209" s="4"/>
      <c r="L209" s="4"/>
      <c r="M209" s="4"/>
    </row>
    <row r="210" spans="1:13" ht="16.5" customHeight="1">
      <c r="A210" s="4"/>
      <c r="B210" s="11"/>
      <c r="C210" s="11"/>
      <c r="D210" s="11"/>
      <c r="E210" s="14"/>
      <c r="F210" s="4"/>
      <c r="G210" s="14"/>
      <c r="H210" s="4"/>
      <c r="I210" s="4"/>
      <c r="J210" s="4"/>
      <c r="K210" s="4"/>
      <c r="L210" s="4"/>
      <c r="M210" s="4"/>
    </row>
    <row r="211" spans="1:13" ht="16.5" customHeight="1">
      <c r="A211" s="4"/>
      <c r="B211" s="11"/>
      <c r="C211" s="11"/>
      <c r="D211" s="11"/>
      <c r="E211" s="14"/>
      <c r="F211" s="4"/>
      <c r="G211" s="14"/>
      <c r="H211" s="4"/>
      <c r="I211" s="4"/>
      <c r="J211" s="4"/>
      <c r="K211" s="4"/>
      <c r="L211" s="4"/>
      <c r="M211" s="4"/>
    </row>
    <row r="212" spans="1:13" ht="16.5" customHeight="1">
      <c r="A212" s="4"/>
      <c r="B212" s="11"/>
      <c r="C212" s="11"/>
      <c r="D212" s="11"/>
      <c r="E212" s="14"/>
      <c r="F212" s="4"/>
      <c r="G212" s="14"/>
      <c r="H212" s="4"/>
      <c r="I212" s="4"/>
      <c r="J212" s="4"/>
      <c r="K212" s="4"/>
      <c r="L212" s="4"/>
      <c r="M212" s="4"/>
    </row>
    <row r="213" spans="1:13" ht="16.5" customHeight="1">
      <c r="A213" s="4"/>
      <c r="B213" s="11"/>
      <c r="C213" s="11"/>
      <c r="D213" s="11"/>
      <c r="E213" s="14"/>
      <c r="F213" s="4"/>
      <c r="G213" s="14"/>
      <c r="H213" s="4"/>
      <c r="I213" s="4"/>
      <c r="J213" s="4"/>
      <c r="K213" s="4"/>
      <c r="L213" s="4"/>
      <c r="M213" s="4"/>
    </row>
    <row r="214" spans="1:13" ht="16.5" customHeight="1">
      <c r="A214" s="4"/>
      <c r="B214" s="11"/>
      <c r="C214" s="11"/>
      <c r="D214" s="11"/>
      <c r="E214" s="14"/>
      <c r="F214" s="4"/>
      <c r="G214" s="14"/>
      <c r="H214" s="4"/>
      <c r="I214" s="4"/>
      <c r="J214" s="4"/>
      <c r="K214" s="4"/>
      <c r="L214" s="4"/>
      <c r="M214" s="4"/>
    </row>
    <row r="215" spans="1:13" ht="16.5" customHeight="1">
      <c r="A215" s="4"/>
      <c r="B215" s="11"/>
      <c r="C215" s="11"/>
      <c r="D215" s="11"/>
      <c r="E215" s="14"/>
      <c r="F215" s="4"/>
      <c r="G215" s="14"/>
      <c r="H215" s="4"/>
      <c r="I215" s="4"/>
      <c r="J215" s="4"/>
      <c r="K215" s="4"/>
      <c r="L215" s="4"/>
      <c r="M215" s="4"/>
    </row>
    <row r="216" spans="1:13" ht="16.5" customHeight="1">
      <c r="A216" s="4"/>
      <c r="B216" s="11"/>
      <c r="C216" s="11"/>
      <c r="D216" s="11"/>
      <c r="E216" s="14"/>
      <c r="F216" s="4"/>
      <c r="G216" s="14"/>
      <c r="H216" s="4"/>
      <c r="I216" s="4"/>
      <c r="J216" s="4"/>
      <c r="K216" s="4"/>
      <c r="L216" s="4"/>
      <c r="M216" s="4"/>
    </row>
    <row r="217" spans="1:13" ht="16.5" customHeight="1">
      <c r="A217" s="4"/>
      <c r="B217" s="11"/>
      <c r="C217" s="11"/>
      <c r="D217" s="11"/>
      <c r="E217" s="14"/>
      <c r="F217" s="4"/>
      <c r="G217" s="14"/>
      <c r="H217" s="4"/>
      <c r="I217" s="4"/>
      <c r="J217" s="4"/>
      <c r="K217" s="4"/>
      <c r="L217" s="4"/>
      <c r="M217" s="4"/>
    </row>
    <row r="218" spans="1:13" ht="16.5" customHeight="1">
      <c r="A218" s="4"/>
      <c r="B218" s="11"/>
      <c r="C218" s="11"/>
      <c r="D218" s="11"/>
      <c r="E218" s="14"/>
      <c r="F218" s="4"/>
      <c r="G218" s="14"/>
      <c r="H218" s="4"/>
      <c r="I218" s="4"/>
      <c r="J218" s="4"/>
      <c r="K218" s="4"/>
      <c r="L218" s="4"/>
      <c r="M218" s="4"/>
    </row>
    <row r="219" spans="1:13" ht="16.5" customHeight="1">
      <c r="A219" s="4"/>
      <c r="B219" s="11"/>
      <c r="C219" s="11"/>
      <c r="D219" s="11"/>
      <c r="E219" s="14"/>
      <c r="F219" s="4"/>
      <c r="G219" s="14"/>
      <c r="H219" s="4"/>
      <c r="I219" s="4"/>
      <c r="J219" s="4"/>
      <c r="K219" s="4"/>
      <c r="L219" s="4"/>
      <c r="M219" s="4"/>
    </row>
    <row r="220" spans="1:13" ht="16.5" customHeight="1">
      <c r="A220" s="4"/>
      <c r="B220" s="11"/>
      <c r="C220" s="11"/>
      <c r="D220" s="11"/>
      <c r="E220" s="14"/>
      <c r="F220" s="4"/>
      <c r="G220" s="14"/>
      <c r="H220" s="4"/>
      <c r="I220" s="4"/>
      <c r="J220" s="4"/>
      <c r="K220" s="4"/>
      <c r="L220" s="4"/>
      <c r="M220" s="4"/>
    </row>
    <row r="221" spans="1:13" ht="16.5" customHeight="1">
      <c r="A221" s="4"/>
      <c r="B221" s="11"/>
      <c r="C221" s="11"/>
      <c r="D221" s="11"/>
      <c r="E221" s="14"/>
      <c r="F221" s="4"/>
      <c r="G221" s="14"/>
      <c r="H221" s="4"/>
      <c r="I221" s="4"/>
      <c r="J221" s="4"/>
      <c r="K221" s="4"/>
      <c r="L221" s="4"/>
      <c r="M221" s="4"/>
    </row>
    <row r="222" spans="1:13" ht="16.5" customHeight="1">
      <c r="A222" s="4"/>
      <c r="B222" s="11"/>
      <c r="C222" s="11"/>
      <c r="D222" s="11"/>
      <c r="E222" s="14"/>
      <c r="F222" s="4"/>
      <c r="G222" s="14"/>
      <c r="H222" s="4"/>
      <c r="I222" s="4"/>
      <c r="J222" s="4"/>
      <c r="K222" s="4"/>
      <c r="L222" s="4"/>
      <c r="M222" s="4"/>
    </row>
    <row r="223" spans="1:13" ht="16.5" customHeight="1">
      <c r="A223" s="4"/>
      <c r="B223" s="11"/>
      <c r="C223" s="11"/>
      <c r="D223" s="11"/>
      <c r="E223" s="14"/>
      <c r="F223" s="4"/>
      <c r="G223" s="14"/>
      <c r="H223" s="4"/>
      <c r="I223" s="4"/>
      <c r="J223" s="4"/>
      <c r="K223" s="4"/>
      <c r="L223" s="4"/>
      <c r="M223" s="4"/>
    </row>
    <row r="224" spans="1:13" ht="16.5" customHeight="1">
      <c r="A224" s="4"/>
      <c r="B224" s="11"/>
      <c r="C224" s="11"/>
      <c r="D224" s="11"/>
      <c r="E224" s="14"/>
      <c r="F224" s="4"/>
      <c r="G224" s="14"/>
      <c r="H224" s="4"/>
      <c r="I224" s="4"/>
      <c r="J224" s="4"/>
      <c r="K224" s="4"/>
      <c r="L224" s="4"/>
      <c r="M224" s="4"/>
    </row>
    <row r="225" spans="1:13" ht="16.5" customHeight="1">
      <c r="A225" s="4"/>
      <c r="B225" s="11"/>
      <c r="C225" s="11"/>
      <c r="D225" s="11"/>
      <c r="E225" s="14"/>
      <c r="F225" s="4"/>
      <c r="G225" s="14"/>
      <c r="H225" s="4"/>
      <c r="I225" s="4"/>
      <c r="J225" s="4"/>
      <c r="K225" s="4"/>
      <c r="L225" s="4"/>
      <c r="M225" s="4"/>
    </row>
    <row r="226" spans="1:13" ht="16.5" customHeight="1">
      <c r="A226" s="4"/>
      <c r="B226" s="11"/>
      <c r="C226" s="11"/>
      <c r="D226" s="11"/>
      <c r="E226" s="14"/>
      <c r="F226" s="4"/>
      <c r="G226" s="14"/>
      <c r="H226" s="4"/>
      <c r="I226" s="4"/>
      <c r="J226" s="4"/>
      <c r="K226" s="4"/>
      <c r="L226" s="4"/>
      <c r="M226" s="4"/>
    </row>
    <row r="227" spans="1:13" ht="16.5" customHeight="1">
      <c r="A227" s="4"/>
      <c r="B227" s="11"/>
      <c r="C227" s="11"/>
      <c r="D227" s="11"/>
      <c r="E227" s="14"/>
      <c r="F227" s="4"/>
      <c r="G227" s="14"/>
      <c r="H227" s="4"/>
      <c r="I227" s="4"/>
      <c r="J227" s="4"/>
      <c r="K227" s="4"/>
      <c r="L227" s="4"/>
      <c r="M227" s="4"/>
    </row>
    <row r="228" spans="1:13" ht="16.5" customHeight="1">
      <c r="A228" s="4"/>
      <c r="B228" s="11"/>
      <c r="C228" s="11"/>
      <c r="D228" s="11"/>
      <c r="E228" s="14"/>
      <c r="F228" s="4"/>
      <c r="G228" s="14"/>
      <c r="H228" s="4"/>
      <c r="I228" s="4"/>
      <c r="J228" s="4"/>
      <c r="K228" s="4"/>
      <c r="L228" s="4"/>
      <c r="M228" s="4"/>
    </row>
    <row r="229" spans="1:13" ht="16.5" customHeight="1">
      <c r="A229" s="4"/>
      <c r="B229" s="11"/>
      <c r="C229" s="11"/>
      <c r="D229" s="11"/>
      <c r="E229" s="14"/>
      <c r="F229" s="4"/>
      <c r="G229" s="14"/>
      <c r="H229" s="4"/>
      <c r="I229" s="4"/>
      <c r="J229" s="4"/>
      <c r="K229" s="4"/>
      <c r="L229" s="4"/>
      <c r="M229" s="4"/>
    </row>
    <row r="230" spans="1:13" ht="16.5" customHeight="1">
      <c r="A230" s="4"/>
      <c r="B230" s="11"/>
      <c r="C230" s="11"/>
      <c r="D230" s="11"/>
      <c r="E230" s="14"/>
      <c r="F230" s="4"/>
      <c r="G230" s="14"/>
      <c r="H230" s="4"/>
      <c r="I230" s="4"/>
      <c r="J230" s="4"/>
      <c r="K230" s="4"/>
      <c r="L230" s="4"/>
      <c r="M230" s="4"/>
    </row>
    <row r="231" spans="1:13" ht="16.5" customHeight="1">
      <c r="A231" s="4"/>
      <c r="B231" s="11"/>
      <c r="C231" s="11"/>
      <c r="D231" s="11"/>
      <c r="E231" s="14"/>
      <c r="F231" s="4"/>
      <c r="G231" s="14"/>
      <c r="H231" s="4"/>
      <c r="I231" s="4"/>
      <c r="J231" s="4"/>
      <c r="K231" s="4"/>
      <c r="L231" s="4"/>
      <c r="M231" s="4"/>
    </row>
    <row r="232" spans="1:13" ht="16.5" customHeight="1">
      <c r="A232" s="4"/>
      <c r="B232" s="11"/>
      <c r="C232" s="11"/>
      <c r="D232" s="11"/>
      <c r="E232" s="14"/>
      <c r="F232" s="4"/>
      <c r="G232" s="14"/>
      <c r="H232" s="4"/>
      <c r="I232" s="4"/>
      <c r="J232" s="4"/>
      <c r="K232" s="4"/>
      <c r="L232" s="4"/>
      <c r="M232" s="4"/>
    </row>
    <row r="233" spans="1:13" ht="16.5" customHeight="1">
      <c r="A233" s="4"/>
      <c r="B233" s="11"/>
      <c r="C233" s="11"/>
      <c r="D233" s="11"/>
      <c r="E233" s="14"/>
      <c r="F233" s="4"/>
      <c r="G233" s="14"/>
      <c r="H233" s="4"/>
      <c r="I233" s="4"/>
      <c r="J233" s="4"/>
      <c r="K233" s="4"/>
      <c r="L233" s="4"/>
      <c r="M233" s="4"/>
    </row>
    <row r="234" spans="1:13" ht="16.5" customHeight="1">
      <c r="A234" s="4"/>
      <c r="B234" s="11"/>
      <c r="C234" s="11"/>
      <c r="D234" s="11"/>
      <c r="E234" s="14"/>
      <c r="F234" s="4"/>
      <c r="G234" s="14"/>
      <c r="H234" s="4"/>
      <c r="I234" s="4"/>
      <c r="J234" s="4"/>
      <c r="K234" s="4"/>
      <c r="L234" s="4"/>
      <c r="M234" s="4"/>
    </row>
    <row r="235" spans="1:13" ht="16.5" customHeight="1">
      <c r="A235" s="4"/>
      <c r="B235" s="11"/>
      <c r="C235" s="11"/>
      <c r="D235" s="11"/>
      <c r="E235" s="14"/>
      <c r="F235" s="4"/>
      <c r="G235" s="14"/>
      <c r="H235" s="4"/>
      <c r="I235" s="4"/>
      <c r="J235" s="4"/>
      <c r="K235" s="4"/>
      <c r="L235" s="4"/>
      <c r="M235" s="4"/>
    </row>
    <row r="236" spans="1:13" ht="16.5" customHeight="1">
      <c r="A236" s="4"/>
      <c r="B236" s="11"/>
      <c r="C236" s="11"/>
      <c r="D236" s="11"/>
      <c r="E236" s="14"/>
      <c r="F236" s="4"/>
      <c r="G236" s="14"/>
      <c r="H236" s="4"/>
      <c r="I236" s="4"/>
      <c r="J236" s="4"/>
      <c r="K236" s="4"/>
      <c r="L236" s="4"/>
      <c r="M236" s="4"/>
    </row>
    <row r="237" spans="1:13" ht="16.5" customHeight="1">
      <c r="A237" s="4"/>
      <c r="B237" s="11"/>
      <c r="C237" s="11"/>
      <c r="D237" s="11"/>
      <c r="E237" s="14"/>
      <c r="F237" s="4"/>
      <c r="G237" s="14"/>
      <c r="H237" s="4"/>
      <c r="I237" s="4"/>
      <c r="J237" s="4"/>
      <c r="K237" s="4"/>
      <c r="L237" s="4"/>
      <c r="M237" s="4"/>
    </row>
    <row r="238" spans="1:13" ht="16.5" customHeight="1">
      <c r="A238" s="4"/>
      <c r="B238" s="11"/>
      <c r="C238" s="11"/>
      <c r="D238" s="11"/>
      <c r="E238" s="14"/>
      <c r="F238" s="4"/>
      <c r="G238" s="14"/>
      <c r="H238" s="4"/>
      <c r="I238" s="4"/>
      <c r="J238" s="4"/>
      <c r="K238" s="4"/>
      <c r="L238" s="4"/>
      <c r="M238" s="4"/>
    </row>
    <row r="239" spans="1:13" ht="16.5" customHeight="1">
      <c r="A239" s="4"/>
      <c r="B239" s="11"/>
      <c r="C239" s="11"/>
      <c r="D239" s="11"/>
      <c r="E239" s="14"/>
      <c r="F239" s="4"/>
      <c r="G239" s="14"/>
      <c r="H239" s="4"/>
      <c r="I239" s="4"/>
      <c r="J239" s="4"/>
      <c r="K239" s="4"/>
      <c r="L239" s="4"/>
      <c r="M239" s="4"/>
    </row>
    <row r="240" spans="1:13" ht="16.5" customHeight="1">
      <c r="A240" s="4"/>
      <c r="B240" s="11"/>
      <c r="C240" s="11"/>
      <c r="D240" s="11"/>
      <c r="E240" s="14"/>
      <c r="F240" s="4"/>
      <c r="G240" s="14"/>
      <c r="H240" s="4"/>
      <c r="I240" s="4"/>
      <c r="J240" s="4"/>
      <c r="K240" s="4"/>
      <c r="L240" s="4"/>
      <c r="M240" s="4"/>
    </row>
    <row r="241" spans="1:13" ht="16.5" customHeight="1">
      <c r="A241" s="4"/>
      <c r="B241" s="11"/>
      <c r="C241" s="11"/>
      <c r="D241" s="11"/>
      <c r="E241" s="14"/>
      <c r="F241" s="4"/>
      <c r="G241" s="14"/>
      <c r="H241" s="4"/>
      <c r="I241" s="4"/>
      <c r="J241" s="4"/>
      <c r="K241" s="4"/>
      <c r="L241" s="4"/>
      <c r="M241" s="4"/>
    </row>
    <row r="242" spans="1:13" ht="16.5" customHeight="1">
      <c r="A242" s="4"/>
      <c r="B242" s="11"/>
      <c r="C242" s="11"/>
      <c r="D242" s="11"/>
      <c r="E242" s="14"/>
      <c r="F242" s="4"/>
      <c r="G242" s="14"/>
      <c r="H242" s="4"/>
      <c r="I242" s="4"/>
      <c r="J242" s="4"/>
      <c r="K242" s="4"/>
      <c r="L242" s="4"/>
      <c r="M242" s="4"/>
    </row>
    <row r="243" spans="1:13" ht="16.5" customHeight="1">
      <c r="A243" s="4"/>
      <c r="B243" s="11"/>
      <c r="C243" s="11"/>
      <c r="D243" s="11"/>
      <c r="E243" s="14"/>
      <c r="F243" s="4"/>
      <c r="G243" s="14"/>
      <c r="H243" s="4"/>
      <c r="I243" s="4"/>
      <c r="J243" s="4"/>
      <c r="K243" s="4"/>
      <c r="L243" s="4"/>
      <c r="M243" s="4"/>
    </row>
    <row r="244" spans="1:13" ht="16.5" customHeight="1">
      <c r="A244" s="4"/>
      <c r="B244" s="11"/>
      <c r="C244" s="11"/>
      <c r="D244" s="11"/>
      <c r="E244" s="14"/>
      <c r="F244" s="4"/>
      <c r="G244" s="14"/>
      <c r="H244" s="4"/>
      <c r="I244" s="4"/>
      <c r="J244" s="4"/>
      <c r="K244" s="4"/>
      <c r="L244" s="4"/>
      <c r="M244" s="4"/>
    </row>
    <row r="245" spans="1:13" ht="16.5" customHeight="1">
      <c r="A245" s="4"/>
      <c r="B245" s="11"/>
      <c r="C245" s="11"/>
      <c r="D245" s="11"/>
      <c r="E245" s="14"/>
      <c r="F245" s="4"/>
      <c r="G245" s="14"/>
      <c r="H245" s="4"/>
      <c r="I245" s="4"/>
      <c r="J245" s="4"/>
      <c r="K245" s="4"/>
      <c r="L245" s="4"/>
      <c r="M245" s="4"/>
    </row>
    <row r="246" spans="1:13" ht="16.5" customHeight="1">
      <c r="A246" s="4"/>
      <c r="B246" s="11"/>
      <c r="C246" s="11"/>
      <c r="D246" s="11"/>
      <c r="E246" s="14"/>
      <c r="F246" s="4"/>
      <c r="G246" s="14"/>
      <c r="H246" s="4"/>
      <c r="I246" s="4"/>
      <c r="J246" s="4"/>
      <c r="K246" s="4"/>
      <c r="L246" s="4"/>
      <c r="M246" s="4"/>
    </row>
    <row r="247" spans="1:13" ht="16.5" customHeight="1">
      <c r="A247" s="4"/>
      <c r="B247" s="11"/>
      <c r="C247" s="11"/>
      <c r="D247" s="11"/>
      <c r="E247" s="14"/>
      <c r="F247" s="4"/>
      <c r="G247" s="14"/>
      <c r="H247" s="4"/>
      <c r="I247" s="4"/>
      <c r="J247" s="4"/>
      <c r="K247" s="4"/>
      <c r="L247" s="4"/>
      <c r="M247" s="4"/>
    </row>
    <row r="248" spans="1:13" ht="16.5" customHeight="1">
      <c r="A248" s="4"/>
      <c r="B248" s="11"/>
      <c r="C248" s="11"/>
      <c r="D248" s="11"/>
      <c r="E248" s="14"/>
      <c r="F248" s="4"/>
      <c r="G248" s="14"/>
      <c r="H248" s="4"/>
      <c r="I248" s="4"/>
      <c r="J248" s="4"/>
      <c r="K248" s="4"/>
      <c r="L248" s="4"/>
      <c r="M248" s="4"/>
    </row>
    <row r="249" spans="1:13" ht="16.5" customHeight="1">
      <c r="A249" s="4"/>
      <c r="B249" s="11"/>
      <c r="C249" s="11"/>
      <c r="D249" s="11"/>
      <c r="E249" s="14"/>
      <c r="F249" s="4"/>
      <c r="G249" s="14"/>
      <c r="H249" s="4"/>
      <c r="I249" s="4"/>
      <c r="J249" s="4"/>
      <c r="K249" s="4"/>
      <c r="L249" s="4"/>
      <c r="M249" s="4"/>
    </row>
    <row r="250" spans="1:13" ht="16.5" customHeight="1">
      <c r="A250" s="4"/>
      <c r="B250" s="11"/>
      <c r="C250" s="11"/>
      <c r="D250" s="11"/>
      <c r="E250" s="14"/>
      <c r="F250" s="4"/>
      <c r="G250" s="14"/>
      <c r="H250" s="4"/>
      <c r="I250" s="4"/>
      <c r="J250" s="4"/>
      <c r="K250" s="4"/>
      <c r="L250" s="4"/>
      <c r="M250" s="4"/>
    </row>
    <row r="251" spans="1:13" ht="16.5" customHeight="1">
      <c r="A251" s="4"/>
      <c r="B251" s="11"/>
      <c r="C251" s="11"/>
      <c r="D251" s="11"/>
      <c r="E251" s="14"/>
      <c r="F251" s="4"/>
      <c r="G251" s="14"/>
      <c r="H251" s="4"/>
      <c r="I251" s="4"/>
      <c r="J251" s="4"/>
      <c r="K251" s="4"/>
      <c r="L251" s="4"/>
      <c r="M251" s="4"/>
    </row>
    <row r="252" spans="1:13" ht="16.5" customHeight="1">
      <c r="A252" s="4"/>
      <c r="B252" s="11"/>
      <c r="C252" s="11"/>
      <c r="D252" s="11"/>
      <c r="E252" s="14"/>
      <c r="F252" s="4"/>
      <c r="G252" s="14"/>
      <c r="H252" s="4"/>
      <c r="I252" s="4"/>
      <c r="J252" s="4"/>
      <c r="K252" s="4"/>
      <c r="L252" s="4"/>
      <c r="M252" s="4"/>
    </row>
    <row r="253" spans="1:13" ht="16.5" customHeight="1">
      <c r="A253" s="4"/>
      <c r="B253" s="11"/>
      <c r="C253" s="11"/>
      <c r="D253" s="11"/>
      <c r="E253" s="14"/>
      <c r="F253" s="4"/>
      <c r="G253" s="14"/>
      <c r="H253" s="4"/>
      <c r="I253" s="4"/>
      <c r="J253" s="4"/>
      <c r="K253" s="4"/>
      <c r="L253" s="4"/>
      <c r="M253" s="4"/>
    </row>
    <row r="254" spans="1:13" ht="16.5" customHeight="1">
      <c r="A254" s="4"/>
      <c r="B254" s="11"/>
      <c r="C254" s="11"/>
      <c r="D254" s="11"/>
      <c r="E254" s="14"/>
      <c r="F254" s="4"/>
      <c r="G254" s="14"/>
      <c r="H254" s="4"/>
      <c r="I254" s="4"/>
      <c r="J254" s="4"/>
      <c r="K254" s="4"/>
      <c r="L254" s="4"/>
      <c r="M254" s="4"/>
    </row>
    <row r="255" spans="1:13" ht="16.5" customHeight="1">
      <c r="A255" s="4"/>
      <c r="B255" s="11"/>
      <c r="C255" s="11"/>
      <c r="D255" s="11"/>
      <c r="E255" s="14"/>
      <c r="F255" s="4"/>
      <c r="G255" s="14"/>
      <c r="H255" s="4"/>
      <c r="I255" s="4"/>
      <c r="J255" s="4"/>
      <c r="K255" s="4"/>
      <c r="L255" s="4"/>
      <c r="M255" s="4"/>
    </row>
    <row r="256" spans="1:13" ht="16.5" customHeight="1">
      <c r="A256" s="4"/>
      <c r="B256" s="11"/>
      <c r="C256" s="11"/>
      <c r="D256" s="11"/>
      <c r="E256" s="14"/>
      <c r="F256" s="4"/>
      <c r="G256" s="14"/>
      <c r="H256" s="4"/>
      <c r="I256" s="4"/>
      <c r="J256" s="4"/>
      <c r="K256" s="4"/>
      <c r="L256" s="4"/>
      <c r="M256" s="4"/>
    </row>
    <row r="257" spans="1:13" ht="16.5" customHeight="1">
      <c r="A257" s="4"/>
      <c r="B257" s="11"/>
      <c r="C257" s="11"/>
      <c r="D257" s="11"/>
      <c r="E257" s="14"/>
      <c r="F257" s="4"/>
      <c r="G257" s="14"/>
      <c r="H257" s="4"/>
      <c r="I257" s="4"/>
      <c r="J257" s="4"/>
      <c r="K257" s="4"/>
      <c r="L257" s="4"/>
      <c r="M257" s="4"/>
    </row>
    <row r="258" spans="1:13" ht="16.5" customHeight="1">
      <c r="A258" s="4"/>
      <c r="B258" s="11"/>
      <c r="C258" s="11"/>
      <c r="D258" s="11"/>
      <c r="E258" s="14"/>
      <c r="F258" s="4"/>
      <c r="G258" s="14"/>
      <c r="H258" s="4"/>
      <c r="I258" s="4"/>
      <c r="J258" s="4"/>
      <c r="K258" s="4"/>
      <c r="L258" s="4"/>
      <c r="M258" s="4"/>
    </row>
    <row r="259" spans="1:13" ht="16.5" customHeight="1">
      <c r="A259" s="4"/>
      <c r="B259" s="11"/>
      <c r="C259" s="11"/>
      <c r="D259" s="11"/>
      <c r="E259" s="14"/>
      <c r="F259" s="4"/>
      <c r="G259" s="14"/>
      <c r="H259" s="4"/>
      <c r="I259" s="4"/>
      <c r="J259" s="4"/>
      <c r="K259" s="4"/>
      <c r="L259" s="4"/>
      <c r="M259" s="4"/>
    </row>
    <row r="260" spans="1:13" ht="16.5" customHeight="1">
      <c r="A260" s="4"/>
      <c r="B260" s="11"/>
      <c r="C260" s="11"/>
      <c r="D260" s="11"/>
      <c r="E260" s="14"/>
      <c r="F260" s="4"/>
      <c r="G260" s="14"/>
      <c r="H260" s="4"/>
      <c r="I260" s="4"/>
      <c r="J260" s="4"/>
      <c r="K260" s="4"/>
      <c r="L260" s="4"/>
      <c r="M260" s="4"/>
    </row>
    <row r="261" spans="1:13" ht="16.5" customHeight="1">
      <c r="A261" s="4"/>
      <c r="B261" s="11"/>
      <c r="C261" s="11"/>
      <c r="D261" s="11"/>
      <c r="E261" s="14"/>
      <c r="F261" s="4"/>
      <c r="G261" s="14"/>
      <c r="H261" s="4"/>
      <c r="I261" s="4"/>
      <c r="J261" s="4"/>
      <c r="K261" s="4"/>
      <c r="L261" s="4"/>
      <c r="M261" s="4"/>
    </row>
    <row r="262" spans="1:13" ht="16.5" customHeight="1">
      <c r="A262" s="4"/>
      <c r="B262" s="11"/>
      <c r="C262" s="11"/>
      <c r="D262" s="11"/>
      <c r="E262" s="14"/>
      <c r="F262" s="4"/>
      <c r="G262" s="14"/>
      <c r="H262" s="4"/>
      <c r="I262" s="4"/>
      <c r="J262" s="4"/>
      <c r="K262" s="4"/>
      <c r="L262" s="4"/>
      <c r="M262" s="4"/>
    </row>
    <row r="263" spans="1:13" ht="16.5" customHeight="1">
      <c r="A263" s="4"/>
      <c r="B263" s="11"/>
      <c r="C263" s="11"/>
      <c r="D263" s="11"/>
      <c r="E263" s="14"/>
      <c r="F263" s="4"/>
      <c r="G263" s="14"/>
      <c r="H263" s="4"/>
      <c r="I263" s="4"/>
      <c r="J263" s="4"/>
      <c r="K263" s="4"/>
      <c r="L263" s="4"/>
      <c r="M263" s="4"/>
    </row>
    <row r="264" spans="1:13" ht="16.5" customHeight="1">
      <c r="A264" s="4"/>
      <c r="B264" s="11"/>
      <c r="C264" s="11"/>
      <c r="D264" s="11"/>
      <c r="E264" s="14"/>
      <c r="F264" s="4"/>
      <c r="G264" s="14"/>
      <c r="H264" s="4"/>
      <c r="I264" s="4"/>
      <c r="J264" s="4"/>
      <c r="K264" s="4"/>
      <c r="L264" s="4"/>
      <c r="M264" s="4"/>
    </row>
    <row r="265" spans="1:13" ht="16.5" customHeight="1">
      <c r="A265" s="4"/>
      <c r="B265" s="11"/>
      <c r="C265" s="11"/>
      <c r="D265" s="11"/>
      <c r="E265" s="14"/>
      <c r="F265" s="4"/>
      <c r="G265" s="14"/>
      <c r="H265" s="4"/>
      <c r="I265" s="4"/>
      <c r="J265" s="4"/>
      <c r="K265" s="4"/>
      <c r="L265" s="4"/>
      <c r="M265" s="4"/>
    </row>
    <row r="266" spans="1:13" ht="16.5" customHeight="1">
      <c r="A266" s="4"/>
      <c r="B266" s="11"/>
      <c r="C266" s="11"/>
      <c r="D266" s="11"/>
      <c r="E266" s="14"/>
      <c r="F266" s="4"/>
      <c r="G266" s="14"/>
      <c r="H266" s="4"/>
      <c r="I266" s="4"/>
      <c r="J266" s="4"/>
      <c r="K266" s="4"/>
      <c r="L266" s="4"/>
      <c r="M266" s="4"/>
    </row>
    <row r="267" spans="1:13" ht="16.5" customHeight="1">
      <c r="A267" s="4"/>
      <c r="B267" s="11"/>
      <c r="C267" s="11"/>
      <c r="D267" s="11"/>
      <c r="E267" s="14"/>
      <c r="F267" s="4"/>
      <c r="G267" s="14"/>
      <c r="H267" s="4"/>
      <c r="I267" s="4"/>
      <c r="J267" s="4"/>
      <c r="K267" s="4"/>
      <c r="L267" s="4"/>
      <c r="M267" s="4"/>
    </row>
    <row r="268" spans="1:13" ht="16.5" customHeight="1">
      <c r="A268" s="4"/>
      <c r="B268" s="11"/>
      <c r="C268" s="11"/>
      <c r="D268" s="11"/>
      <c r="E268" s="14"/>
      <c r="F268" s="4"/>
      <c r="G268" s="14"/>
      <c r="H268" s="4"/>
      <c r="I268" s="4"/>
      <c r="J268" s="4"/>
      <c r="K268" s="4"/>
      <c r="L268" s="4"/>
      <c r="M268" s="4"/>
    </row>
    <row r="269" spans="1:13" ht="16.5" customHeight="1">
      <c r="A269" s="4"/>
      <c r="B269" s="11"/>
      <c r="C269" s="11"/>
      <c r="D269" s="11"/>
      <c r="E269" s="14"/>
      <c r="F269" s="4"/>
      <c r="G269" s="14"/>
      <c r="H269" s="4"/>
      <c r="I269" s="4"/>
      <c r="J269" s="4"/>
      <c r="K269" s="4"/>
      <c r="L269" s="4"/>
      <c r="M269" s="4"/>
    </row>
    <row r="270" spans="1:13" ht="16.5" customHeight="1">
      <c r="A270" s="4"/>
      <c r="B270" s="11"/>
      <c r="C270" s="11"/>
      <c r="D270" s="11"/>
      <c r="E270" s="14"/>
      <c r="F270" s="4"/>
      <c r="G270" s="14"/>
      <c r="H270" s="4"/>
      <c r="I270" s="4"/>
      <c r="J270" s="4"/>
      <c r="K270" s="4"/>
      <c r="L270" s="4"/>
      <c r="M270" s="4"/>
    </row>
    <row r="271" spans="1:13" ht="16.5" customHeight="1">
      <c r="A271" s="4"/>
      <c r="B271" s="11"/>
      <c r="C271" s="11"/>
      <c r="D271" s="11"/>
      <c r="E271" s="14"/>
      <c r="F271" s="4"/>
      <c r="G271" s="14"/>
      <c r="H271" s="4"/>
      <c r="I271" s="4"/>
      <c r="J271" s="4"/>
      <c r="K271" s="4"/>
      <c r="L271" s="4"/>
      <c r="M271" s="4"/>
    </row>
    <row r="272" spans="1:13" ht="16.5" customHeight="1">
      <c r="A272" s="4"/>
      <c r="B272" s="11"/>
      <c r="C272" s="11"/>
      <c r="D272" s="11"/>
      <c r="E272" s="14"/>
      <c r="F272" s="4"/>
      <c r="G272" s="14"/>
      <c r="H272" s="4"/>
      <c r="I272" s="4"/>
      <c r="J272" s="4"/>
      <c r="K272" s="4"/>
      <c r="L272" s="4"/>
      <c r="M272" s="4"/>
    </row>
    <row r="273" spans="1:13" ht="16.5" customHeight="1">
      <c r="A273" s="4"/>
      <c r="B273" s="11"/>
      <c r="C273" s="11"/>
      <c r="D273" s="11"/>
      <c r="E273" s="14"/>
      <c r="F273" s="4"/>
      <c r="G273" s="14"/>
      <c r="H273" s="4"/>
      <c r="I273" s="4"/>
      <c r="J273" s="4"/>
      <c r="K273" s="4"/>
      <c r="L273" s="4"/>
      <c r="M273" s="4"/>
    </row>
    <row r="274" spans="1:13" ht="16.5" customHeight="1">
      <c r="A274" s="4"/>
      <c r="B274" s="11"/>
      <c r="C274" s="11"/>
      <c r="D274" s="11"/>
      <c r="E274" s="14"/>
      <c r="F274" s="4"/>
      <c r="G274" s="14"/>
      <c r="H274" s="4"/>
      <c r="I274" s="4"/>
      <c r="J274" s="4"/>
      <c r="K274" s="4"/>
      <c r="L274" s="4"/>
      <c r="M274" s="4"/>
    </row>
    <row r="275" spans="1:13" ht="16.5" customHeight="1">
      <c r="A275" s="4"/>
      <c r="B275" s="11"/>
      <c r="C275" s="11"/>
      <c r="D275" s="11"/>
      <c r="E275" s="14"/>
      <c r="F275" s="4"/>
      <c r="G275" s="14"/>
      <c r="H275" s="4"/>
      <c r="I275" s="4"/>
      <c r="J275" s="4"/>
      <c r="K275" s="4"/>
      <c r="L275" s="4"/>
      <c r="M275" s="4"/>
    </row>
    <row r="276" spans="1:13" ht="16.5" customHeight="1">
      <c r="A276" s="4"/>
      <c r="B276" s="11"/>
      <c r="C276" s="11"/>
      <c r="D276" s="11"/>
      <c r="E276" s="14"/>
      <c r="F276" s="4"/>
      <c r="G276" s="14"/>
      <c r="H276" s="4"/>
      <c r="I276" s="4"/>
      <c r="J276" s="4"/>
      <c r="K276" s="4"/>
      <c r="L276" s="4"/>
      <c r="M276" s="4"/>
    </row>
    <row r="277" spans="1:13" ht="16.5" customHeight="1">
      <c r="A277" s="4"/>
      <c r="B277" s="11"/>
      <c r="C277" s="11"/>
      <c r="D277" s="11"/>
      <c r="E277" s="14"/>
      <c r="F277" s="4"/>
      <c r="G277" s="14"/>
      <c r="H277" s="4"/>
      <c r="I277" s="4"/>
      <c r="J277" s="4"/>
      <c r="K277" s="4"/>
      <c r="L277" s="4"/>
      <c r="M277" s="4"/>
    </row>
    <row r="278" spans="1:13" ht="16.5" customHeight="1">
      <c r="A278" s="4"/>
      <c r="B278" s="11"/>
      <c r="C278" s="11"/>
      <c r="D278" s="11"/>
      <c r="E278" s="14"/>
      <c r="F278" s="4"/>
      <c r="G278" s="14"/>
      <c r="H278" s="4"/>
      <c r="I278" s="4"/>
      <c r="J278" s="4"/>
      <c r="K278" s="4"/>
      <c r="L278" s="4"/>
      <c r="M278" s="4"/>
    </row>
    <row r="279" spans="1:13" ht="16.5" customHeight="1">
      <c r="A279" s="4"/>
      <c r="B279" s="11"/>
      <c r="C279" s="11"/>
      <c r="D279" s="11"/>
      <c r="E279" s="14"/>
      <c r="F279" s="4"/>
      <c r="G279" s="14"/>
      <c r="H279" s="4"/>
      <c r="I279" s="4"/>
      <c r="J279" s="4"/>
      <c r="K279" s="4"/>
      <c r="L279" s="4"/>
      <c r="M279" s="4"/>
    </row>
    <row r="280" spans="1:13" ht="16.5" customHeight="1">
      <c r="A280" s="4"/>
      <c r="B280" s="11"/>
      <c r="C280" s="11"/>
      <c r="D280" s="11"/>
      <c r="E280" s="14"/>
      <c r="F280" s="4"/>
      <c r="G280" s="14"/>
      <c r="H280" s="4"/>
      <c r="I280" s="4"/>
      <c r="J280" s="4"/>
      <c r="K280" s="4"/>
      <c r="L280" s="4"/>
      <c r="M280" s="4"/>
    </row>
    <row r="281" spans="1:13" ht="16.5" customHeight="1">
      <c r="A281" s="4"/>
      <c r="B281" s="11"/>
      <c r="C281" s="11"/>
      <c r="D281" s="11"/>
      <c r="E281" s="14"/>
      <c r="F281" s="4"/>
      <c r="G281" s="14"/>
      <c r="H281" s="4"/>
      <c r="I281" s="4"/>
      <c r="J281" s="4"/>
      <c r="K281" s="4"/>
      <c r="L281" s="4"/>
      <c r="M281" s="4"/>
    </row>
    <row r="282" spans="1:13" ht="16.5" customHeight="1">
      <c r="A282" s="4"/>
      <c r="B282" s="11"/>
      <c r="C282" s="11"/>
      <c r="D282" s="11"/>
      <c r="E282" s="14"/>
      <c r="F282" s="4"/>
      <c r="G282" s="14"/>
      <c r="H282" s="4"/>
      <c r="I282" s="4"/>
      <c r="J282" s="4"/>
      <c r="K282" s="4"/>
      <c r="L282" s="4"/>
      <c r="M282" s="4"/>
    </row>
    <row r="283" spans="1:13" ht="16.5" customHeight="1">
      <c r="A283" s="4"/>
      <c r="B283" s="11"/>
      <c r="C283" s="11"/>
      <c r="D283" s="11"/>
      <c r="E283" s="14"/>
      <c r="F283" s="4"/>
      <c r="G283" s="14"/>
      <c r="H283" s="4"/>
      <c r="I283" s="4"/>
      <c r="J283" s="4"/>
      <c r="K283" s="4"/>
      <c r="L283" s="4"/>
      <c r="M283" s="4"/>
    </row>
    <row r="284" spans="1:13" ht="16.5" customHeight="1">
      <c r="A284" s="4"/>
      <c r="B284" s="11"/>
      <c r="C284" s="11"/>
      <c r="D284" s="11"/>
      <c r="E284" s="14"/>
      <c r="F284" s="4"/>
      <c r="G284" s="14"/>
      <c r="H284" s="4"/>
      <c r="I284" s="4"/>
      <c r="J284" s="4"/>
      <c r="K284" s="4"/>
      <c r="L284" s="4"/>
      <c r="M284" s="4"/>
    </row>
    <row r="285" spans="1:13" ht="16.5" customHeight="1">
      <c r="A285" s="4"/>
      <c r="B285" s="11"/>
      <c r="C285" s="11"/>
      <c r="D285" s="11"/>
      <c r="E285" s="14"/>
      <c r="F285" s="4"/>
      <c r="G285" s="14"/>
      <c r="H285" s="4"/>
      <c r="I285" s="4"/>
      <c r="J285" s="4"/>
      <c r="K285" s="4"/>
      <c r="L285" s="4"/>
      <c r="M285" s="4"/>
    </row>
    <row r="286" spans="1:13" ht="16.5" customHeight="1">
      <c r="A286" s="4"/>
      <c r="B286" s="11"/>
      <c r="C286" s="11"/>
      <c r="D286" s="11"/>
      <c r="E286" s="14"/>
      <c r="F286" s="4"/>
      <c r="G286" s="14"/>
      <c r="H286" s="4"/>
      <c r="I286" s="4"/>
      <c r="J286" s="4"/>
      <c r="K286" s="4"/>
      <c r="L286" s="4"/>
      <c r="M286" s="4"/>
    </row>
    <row r="287" spans="1:13" ht="16.5" customHeight="1">
      <c r="A287" s="4"/>
      <c r="B287" s="11"/>
      <c r="C287" s="11"/>
      <c r="D287" s="11"/>
      <c r="E287" s="14"/>
      <c r="F287" s="4"/>
      <c r="G287" s="14"/>
      <c r="H287" s="4"/>
      <c r="I287" s="4"/>
      <c r="J287" s="4"/>
      <c r="K287" s="4"/>
      <c r="L287" s="4"/>
      <c r="M287" s="4"/>
    </row>
    <row r="288" spans="1:13" ht="16.5" customHeight="1">
      <c r="A288" s="4"/>
      <c r="B288" s="11"/>
      <c r="C288" s="11"/>
      <c r="D288" s="11"/>
      <c r="E288" s="14"/>
      <c r="F288" s="4"/>
      <c r="G288" s="14"/>
      <c r="H288" s="4"/>
      <c r="I288" s="4"/>
      <c r="J288" s="4"/>
      <c r="K288" s="4"/>
      <c r="L288" s="4"/>
      <c r="M288" s="4"/>
    </row>
    <row r="289" spans="1:13" ht="16.5" customHeight="1">
      <c r="A289" s="4"/>
      <c r="B289" s="11"/>
      <c r="C289" s="11"/>
      <c r="D289" s="11"/>
      <c r="E289" s="14"/>
      <c r="F289" s="4"/>
      <c r="G289" s="14"/>
      <c r="H289" s="4"/>
      <c r="I289" s="4"/>
      <c r="J289" s="4"/>
      <c r="K289" s="4"/>
      <c r="L289" s="4"/>
      <c r="M289" s="4"/>
    </row>
    <row r="290" spans="1:13" ht="16.5" customHeight="1">
      <c r="A290" s="4"/>
      <c r="B290" s="11"/>
      <c r="C290" s="11"/>
      <c r="D290" s="11"/>
      <c r="E290" s="14"/>
      <c r="F290" s="4"/>
      <c r="G290" s="14"/>
      <c r="H290" s="4"/>
      <c r="I290" s="4"/>
      <c r="J290" s="4"/>
      <c r="K290" s="4"/>
      <c r="L290" s="4"/>
      <c r="M290" s="4"/>
    </row>
    <row r="291" spans="1:13" ht="16.5" customHeight="1">
      <c r="A291" s="4"/>
      <c r="B291" s="11"/>
      <c r="C291" s="11"/>
      <c r="D291" s="11"/>
      <c r="E291" s="14"/>
      <c r="F291" s="4"/>
      <c r="G291" s="14"/>
      <c r="H291" s="4"/>
      <c r="I291" s="4"/>
      <c r="J291" s="4"/>
      <c r="K291" s="4"/>
      <c r="L291" s="4"/>
      <c r="M291" s="4"/>
    </row>
    <row r="292" spans="1:13" ht="16.5" customHeight="1">
      <c r="A292" s="4"/>
      <c r="B292" s="11"/>
      <c r="C292" s="11"/>
      <c r="D292" s="11"/>
      <c r="E292" s="14"/>
      <c r="F292" s="4"/>
      <c r="G292" s="14"/>
      <c r="H292" s="4"/>
      <c r="I292" s="4"/>
      <c r="J292" s="4"/>
      <c r="K292" s="4"/>
      <c r="L292" s="4"/>
      <c r="M292" s="4"/>
    </row>
    <row r="293" spans="1:13" ht="16.5" customHeight="1">
      <c r="A293" s="4"/>
      <c r="B293" s="11"/>
      <c r="C293" s="11"/>
      <c r="D293" s="11"/>
      <c r="E293" s="14"/>
      <c r="F293" s="4"/>
      <c r="G293" s="14"/>
      <c r="H293" s="4"/>
      <c r="I293" s="4"/>
      <c r="J293" s="4"/>
      <c r="K293" s="4"/>
      <c r="L293" s="4"/>
      <c r="M293" s="4"/>
    </row>
    <row r="294" spans="1:13" ht="16.5" customHeight="1">
      <c r="A294" s="4"/>
      <c r="B294" s="11"/>
      <c r="C294" s="11"/>
      <c r="D294" s="11"/>
      <c r="E294" s="14"/>
      <c r="F294" s="4"/>
      <c r="G294" s="14"/>
      <c r="H294" s="4"/>
      <c r="I294" s="4"/>
      <c r="J294" s="4"/>
      <c r="K294" s="4"/>
      <c r="L294" s="4"/>
      <c r="M294" s="4"/>
    </row>
    <row r="295" spans="1:13" ht="16.5" customHeight="1">
      <c r="A295" s="4"/>
      <c r="B295" s="11"/>
      <c r="C295" s="11"/>
      <c r="D295" s="11"/>
      <c r="E295" s="14"/>
      <c r="F295" s="4"/>
      <c r="G295" s="14"/>
      <c r="H295" s="4"/>
      <c r="I295" s="4"/>
      <c r="J295" s="4"/>
      <c r="K295" s="4"/>
      <c r="L295" s="4"/>
      <c r="M295" s="4"/>
    </row>
    <row r="296" spans="1:13" ht="16.5" customHeight="1">
      <c r="A296" s="4"/>
      <c r="B296" s="11"/>
      <c r="C296" s="11"/>
      <c r="D296" s="11"/>
      <c r="E296" s="14"/>
      <c r="F296" s="4"/>
      <c r="G296" s="14"/>
      <c r="H296" s="4"/>
      <c r="I296" s="4"/>
      <c r="J296" s="4"/>
      <c r="K296" s="4"/>
      <c r="L296" s="4"/>
      <c r="M296" s="4"/>
    </row>
    <row r="297" spans="1:13" ht="16.5" customHeight="1">
      <c r="A297" s="4"/>
      <c r="B297" s="11"/>
      <c r="C297" s="11"/>
      <c r="D297" s="11"/>
      <c r="E297" s="14"/>
      <c r="F297" s="4"/>
      <c r="G297" s="14"/>
      <c r="H297" s="4"/>
      <c r="I297" s="4"/>
      <c r="J297" s="4"/>
      <c r="K297" s="4"/>
      <c r="L297" s="4"/>
      <c r="M297" s="4"/>
    </row>
    <row r="298" spans="1:13" ht="16.5" customHeight="1">
      <c r="A298" s="4"/>
      <c r="B298" s="11"/>
      <c r="C298" s="11"/>
      <c r="D298" s="11"/>
      <c r="E298" s="14"/>
      <c r="F298" s="4"/>
      <c r="G298" s="14"/>
      <c r="H298" s="4"/>
      <c r="I298" s="4"/>
      <c r="J298" s="4"/>
      <c r="K298" s="4"/>
      <c r="L298" s="4"/>
      <c r="M298" s="4"/>
    </row>
    <row r="299" spans="1:13" ht="16.5" customHeight="1">
      <c r="A299" s="4"/>
      <c r="B299" s="11"/>
      <c r="C299" s="11"/>
      <c r="D299" s="11"/>
      <c r="E299" s="14"/>
      <c r="F299" s="4"/>
      <c r="G299" s="14"/>
      <c r="H299" s="4"/>
      <c r="I299" s="4"/>
      <c r="J299" s="4"/>
      <c r="K299" s="4"/>
      <c r="L299" s="4"/>
      <c r="M299" s="4"/>
    </row>
    <row r="300" spans="1:13" ht="16.5" customHeight="1">
      <c r="A300" s="4"/>
      <c r="B300" s="11"/>
      <c r="C300" s="11"/>
      <c r="D300" s="11"/>
      <c r="E300" s="14"/>
      <c r="F300" s="4"/>
      <c r="G300" s="14"/>
      <c r="H300" s="4"/>
      <c r="I300" s="4"/>
      <c r="J300" s="4"/>
      <c r="K300" s="4"/>
      <c r="L300" s="4"/>
      <c r="M300" s="4"/>
    </row>
    <row r="301" spans="1:13" ht="16.5" customHeight="1">
      <c r="A301" s="4"/>
      <c r="B301" s="11"/>
      <c r="C301" s="11"/>
      <c r="D301" s="11"/>
      <c r="E301" s="14"/>
      <c r="F301" s="4"/>
      <c r="G301" s="14"/>
      <c r="H301" s="4"/>
      <c r="I301" s="4"/>
      <c r="J301" s="4"/>
      <c r="K301" s="4"/>
      <c r="L301" s="4"/>
      <c r="M301" s="4"/>
    </row>
    <row r="302" spans="1:13" ht="16.5" customHeight="1">
      <c r="A302" s="4"/>
      <c r="B302" s="11"/>
      <c r="C302" s="11"/>
      <c r="D302" s="11"/>
      <c r="E302" s="14"/>
      <c r="F302" s="4"/>
      <c r="G302" s="14"/>
      <c r="H302" s="4"/>
      <c r="I302" s="4"/>
      <c r="J302" s="4"/>
      <c r="K302" s="4"/>
      <c r="L302" s="4"/>
      <c r="M302" s="4"/>
    </row>
    <row r="303" spans="1:13" ht="16.5" customHeight="1">
      <c r="A303" s="4"/>
      <c r="B303" s="11"/>
      <c r="C303" s="11"/>
      <c r="D303" s="11"/>
      <c r="E303" s="14"/>
      <c r="F303" s="4"/>
      <c r="G303" s="14"/>
      <c r="H303" s="4"/>
      <c r="I303" s="4"/>
      <c r="J303" s="4"/>
      <c r="K303" s="4"/>
      <c r="L303" s="4"/>
      <c r="M303" s="4"/>
    </row>
    <row r="304" spans="1:13" ht="16.5" customHeight="1">
      <c r="A304" s="4"/>
      <c r="B304" s="11"/>
      <c r="C304" s="11"/>
      <c r="D304" s="11"/>
      <c r="E304" s="14"/>
      <c r="F304" s="4"/>
      <c r="G304" s="14"/>
      <c r="H304" s="4"/>
      <c r="I304" s="4"/>
      <c r="J304" s="4"/>
      <c r="K304" s="4"/>
      <c r="L304" s="4"/>
      <c r="M304" s="4"/>
    </row>
    <row r="305" spans="1:13" ht="16.5" customHeight="1">
      <c r="A305" s="4"/>
      <c r="B305" s="11"/>
      <c r="C305" s="11"/>
      <c r="D305" s="11"/>
      <c r="E305" s="14"/>
      <c r="F305" s="4"/>
      <c r="G305" s="14"/>
      <c r="H305" s="4"/>
      <c r="I305" s="4"/>
      <c r="J305" s="4"/>
      <c r="K305" s="4"/>
      <c r="L305" s="4"/>
      <c r="M305" s="4"/>
    </row>
    <row r="306" spans="1:13" ht="16.5" customHeight="1">
      <c r="A306" s="4"/>
      <c r="B306" s="11"/>
      <c r="C306" s="11"/>
      <c r="D306" s="11"/>
      <c r="E306" s="14"/>
      <c r="F306" s="4"/>
      <c r="G306" s="14"/>
      <c r="H306" s="4"/>
      <c r="I306" s="4"/>
      <c r="J306" s="4"/>
      <c r="K306" s="4"/>
      <c r="L306" s="4"/>
      <c r="M306" s="4"/>
    </row>
    <row r="307" spans="1:13" ht="16.5" customHeight="1">
      <c r="A307" s="4"/>
      <c r="B307" s="11"/>
      <c r="C307" s="11"/>
      <c r="D307" s="11"/>
      <c r="E307" s="14"/>
      <c r="F307" s="4"/>
      <c r="G307" s="14"/>
      <c r="H307" s="4"/>
      <c r="I307" s="4"/>
      <c r="J307" s="4"/>
      <c r="K307" s="4"/>
      <c r="L307" s="4"/>
      <c r="M307" s="4"/>
    </row>
    <row r="308" spans="1:13" ht="16.5" customHeight="1">
      <c r="A308" s="4"/>
      <c r="B308" s="11"/>
      <c r="C308" s="11"/>
      <c r="D308" s="11"/>
      <c r="E308" s="14"/>
      <c r="F308" s="4"/>
      <c r="G308" s="14"/>
      <c r="H308" s="4"/>
      <c r="I308" s="4"/>
      <c r="J308" s="4"/>
      <c r="K308" s="4"/>
      <c r="L308" s="4"/>
      <c r="M308" s="4"/>
    </row>
    <row r="309" spans="1:13" ht="16.5" customHeight="1">
      <c r="A309" s="4"/>
      <c r="B309" s="11"/>
      <c r="C309" s="11"/>
      <c r="D309" s="11"/>
      <c r="E309" s="14"/>
      <c r="F309" s="4"/>
      <c r="G309" s="14"/>
      <c r="H309" s="4"/>
      <c r="I309" s="4"/>
      <c r="J309" s="4"/>
      <c r="K309" s="4"/>
      <c r="L309" s="4"/>
      <c r="M309" s="4"/>
    </row>
    <row r="310" spans="1:13" ht="16.5" customHeight="1">
      <c r="A310" s="4"/>
      <c r="B310" s="11"/>
      <c r="C310" s="11"/>
      <c r="D310" s="11"/>
      <c r="E310" s="14"/>
      <c r="F310" s="4"/>
      <c r="G310" s="14"/>
      <c r="H310" s="4"/>
      <c r="I310" s="4"/>
      <c r="J310" s="4"/>
      <c r="K310" s="4"/>
      <c r="L310" s="4"/>
      <c r="M310" s="4"/>
    </row>
    <row r="311" spans="1:13" ht="16.5" customHeight="1">
      <c r="A311" s="4"/>
      <c r="B311" s="11"/>
      <c r="C311" s="11"/>
      <c r="D311" s="11"/>
      <c r="E311" s="14"/>
      <c r="F311" s="4"/>
      <c r="G311" s="14"/>
      <c r="H311" s="4"/>
      <c r="I311" s="4"/>
      <c r="J311" s="4"/>
      <c r="K311" s="4"/>
      <c r="L311" s="4"/>
      <c r="M311" s="4"/>
    </row>
    <row r="312" spans="1:13" ht="16.5" customHeight="1">
      <c r="A312" s="4"/>
      <c r="B312" s="11"/>
      <c r="C312" s="11"/>
      <c r="D312" s="11"/>
      <c r="E312" s="14"/>
      <c r="F312" s="4"/>
      <c r="G312" s="14"/>
      <c r="H312" s="4"/>
      <c r="I312" s="4"/>
      <c r="J312" s="4"/>
      <c r="K312" s="4"/>
      <c r="L312" s="4"/>
      <c r="M312" s="4"/>
    </row>
    <row r="313" spans="1:13" ht="16.5" customHeight="1">
      <c r="A313" s="4"/>
      <c r="B313" s="11"/>
      <c r="C313" s="11"/>
      <c r="D313" s="11"/>
      <c r="E313" s="14"/>
      <c r="F313" s="4"/>
      <c r="G313" s="14"/>
      <c r="H313" s="4"/>
      <c r="I313" s="4"/>
      <c r="J313" s="4"/>
      <c r="K313" s="4"/>
      <c r="L313" s="4"/>
      <c r="M313" s="4"/>
    </row>
    <row r="314" spans="1:13" ht="16.5" customHeight="1">
      <c r="A314" s="4"/>
      <c r="B314" s="11"/>
      <c r="C314" s="11"/>
      <c r="D314" s="11"/>
      <c r="E314" s="14"/>
      <c r="F314" s="4"/>
      <c r="G314" s="14"/>
      <c r="H314" s="4"/>
      <c r="I314" s="4"/>
      <c r="J314" s="4"/>
      <c r="K314" s="4"/>
      <c r="L314" s="4"/>
      <c r="M314" s="4"/>
    </row>
    <row r="315" spans="1:13" ht="16.5" customHeight="1">
      <c r="A315" s="4"/>
      <c r="B315" s="11"/>
      <c r="C315" s="11"/>
      <c r="D315" s="11"/>
      <c r="E315" s="14"/>
      <c r="F315" s="4"/>
      <c r="G315" s="14"/>
      <c r="H315" s="4"/>
      <c r="I315" s="4"/>
      <c r="J315" s="4"/>
      <c r="K315" s="4"/>
      <c r="L315" s="4"/>
      <c r="M315" s="4"/>
    </row>
    <row r="316" spans="1:13" ht="16.5" customHeight="1">
      <c r="A316" s="4"/>
      <c r="B316" s="11"/>
      <c r="C316" s="11"/>
      <c r="D316" s="11"/>
      <c r="E316" s="14"/>
      <c r="F316" s="4"/>
      <c r="G316" s="14"/>
      <c r="H316" s="4"/>
      <c r="I316" s="4"/>
      <c r="J316" s="4"/>
      <c r="K316" s="4"/>
      <c r="L316" s="4"/>
      <c r="M316" s="4"/>
    </row>
    <row r="317" spans="1:13" ht="16.5" customHeight="1">
      <c r="A317" s="4"/>
      <c r="B317" s="11"/>
      <c r="C317" s="11"/>
      <c r="D317" s="11"/>
      <c r="E317" s="14"/>
      <c r="F317" s="4"/>
      <c r="G317" s="14"/>
      <c r="H317" s="4"/>
      <c r="I317" s="4"/>
      <c r="J317" s="4"/>
      <c r="K317" s="4"/>
      <c r="L317" s="4"/>
      <c r="M317" s="4"/>
    </row>
    <row r="318" spans="1:13" ht="16.5" customHeight="1">
      <c r="A318" s="4"/>
      <c r="B318" s="11"/>
      <c r="C318" s="11"/>
      <c r="D318" s="11"/>
      <c r="E318" s="14"/>
      <c r="F318" s="4"/>
      <c r="G318" s="14"/>
      <c r="H318" s="4"/>
      <c r="I318" s="4"/>
      <c r="J318" s="4"/>
      <c r="K318" s="4"/>
      <c r="L318" s="4"/>
      <c r="M318" s="4"/>
    </row>
    <row r="319" spans="1:13" ht="16.5" customHeight="1">
      <c r="A319" s="4"/>
      <c r="B319" s="11"/>
      <c r="C319" s="11"/>
      <c r="D319" s="11"/>
      <c r="E319" s="14"/>
      <c r="F319" s="4"/>
      <c r="G319" s="14"/>
      <c r="H319" s="4"/>
      <c r="I319" s="4"/>
      <c r="J319" s="4"/>
      <c r="K319" s="4"/>
      <c r="L319" s="4"/>
      <c r="M319" s="4"/>
    </row>
    <row r="320" spans="1:13" ht="16.5" customHeight="1">
      <c r="A320" s="4"/>
      <c r="B320" s="11"/>
      <c r="C320" s="11"/>
      <c r="D320" s="11"/>
      <c r="E320" s="14"/>
      <c r="F320" s="4"/>
      <c r="G320" s="14"/>
      <c r="H320" s="4"/>
      <c r="I320" s="4"/>
      <c r="J320" s="4"/>
      <c r="K320" s="4"/>
      <c r="L320" s="4"/>
      <c r="M320" s="4"/>
    </row>
    <row r="321" spans="1:13" ht="16.5" customHeight="1">
      <c r="A321" s="4"/>
      <c r="B321" s="11"/>
      <c r="C321" s="11"/>
      <c r="D321" s="11"/>
      <c r="E321" s="14"/>
      <c r="F321" s="4"/>
      <c r="G321" s="14"/>
      <c r="H321" s="4"/>
      <c r="I321" s="4"/>
      <c r="J321" s="4"/>
      <c r="K321" s="4"/>
      <c r="L321" s="4"/>
      <c r="M321" s="4"/>
    </row>
    <row r="322" spans="1:13" ht="16.5" customHeight="1">
      <c r="A322" s="4"/>
      <c r="B322" s="11"/>
      <c r="C322" s="11"/>
      <c r="D322" s="11"/>
      <c r="E322" s="14"/>
      <c r="F322" s="4"/>
      <c r="G322" s="14"/>
      <c r="H322" s="4"/>
      <c r="I322" s="4"/>
      <c r="J322" s="4"/>
      <c r="K322" s="4"/>
      <c r="L322" s="4"/>
      <c r="M322" s="4"/>
    </row>
    <row r="323" spans="1:13" ht="16.5" customHeight="1">
      <c r="A323" s="4"/>
      <c r="B323" s="11"/>
      <c r="C323" s="11"/>
      <c r="D323" s="11"/>
      <c r="E323" s="14"/>
      <c r="F323" s="4"/>
      <c r="G323" s="14"/>
      <c r="H323" s="4"/>
      <c r="I323" s="4"/>
      <c r="J323" s="4"/>
      <c r="K323" s="4"/>
      <c r="L323" s="4"/>
      <c r="M323" s="4"/>
    </row>
    <row r="324" spans="1:13" ht="16.5" customHeight="1">
      <c r="A324" s="4"/>
      <c r="B324" s="11"/>
      <c r="C324" s="11"/>
      <c r="D324" s="11"/>
      <c r="E324" s="14"/>
      <c r="F324" s="4"/>
      <c r="G324" s="14"/>
      <c r="H324" s="4"/>
      <c r="I324" s="4"/>
      <c r="J324" s="4"/>
      <c r="K324" s="4"/>
      <c r="L324" s="4"/>
      <c r="M324" s="4"/>
    </row>
    <row r="325" spans="1:13" ht="16.5" customHeight="1">
      <c r="A325" s="4"/>
      <c r="B325" s="11"/>
      <c r="C325" s="11"/>
      <c r="D325" s="11"/>
      <c r="E325" s="14"/>
      <c r="F325" s="4"/>
      <c r="G325" s="14"/>
      <c r="H325" s="4"/>
      <c r="I325" s="4"/>
      <c r="J325" s="4"/>
      <c r="K325" s="4"/>
      <c r="L325" s="4"/>
      <c r="M325" s="4"/>
    </row>
    <row r="326" spans="1:13" ht="16.5" customHeight="1">
      <c r="A326" s="4"/>
      <c r="B326" s="11"/>
      <c r="C326" s="11"/>
      <c r="D326" s="11"/>
      <c r="E326" s="14"/>
      <c r="F326" s="4"/>
      <c r="G326" s="14"/>
      <c r="H326" s="4"/>
      <c r="I326" s="4"/>
      <c r="J326" s="4"/>
      <c r="K326" s="4"/>
      <c r="L326" s="4"/>
      <c r="M326" s="4"/>
    </row>
    <row r="327" spans="1:13" ht="16.5" customHeight="1">
      <c r="A327" s="4"/>
      <c r="B327" s="11"/>
      <c r="C327" s="11"/>
      <c r="D327" s="11"/>
      <c r="E327" s="14"/>
      <c r="F327" s="4"/>
      <c r="G327" s="14"/>
      <c r="H327" s="4"/>
      <c r="I327" s="4"/>
      <c r="J327" s="4"/>
      <c r="K327" s="4"/>
      <c r="L327" s="4"/>
      <c r="M327" s="4"/>
    </row>
    <row r="328" spans="1:13" ht="16.5" customHeight="1">
      <c r="A328" s="4"/>
      <c r="B328" s="11"/>
      <c r="C328" s="11"/>
      <c r="D328" s="11"/>
      <c r="E328" s="14"/>
      <c r="F328" s="4"/>
      <c r="G328" s="14"/>
      <c r="H328" s="4"/>
      <c r="I328" s="4"/>
      <c r="J328" s="4"/>
      <c r="K328" s="4"/>
      <c r="L328" s="4"/>
      <c r="M328" s="4"/>
    </row>
    <row r="329" spans="1:13" ht="16.5" customHeight="1">
      <c r="A329" s="4"/>
      <c r="B329" s="11"/>
      <c r="C329" s="11"/>
      <c r="D329" s="11"/>
      <c r="E329" s="14"/>
      <c r="F329" s="4"/>
      <c r="G329" s="14"/>
      <c r="H329" s="4"/>
      <c r="I329" s="4"/>
      <c r="J329" s="4"/>
      <c r="K329" s="4"/>
      <c r="L329" s="4"/>
      <c r="M329" s="4"/>
    </row>
    <row r="330" spans="1:13" ht="16.5" customHeight="1">
      <c r="A330" s="4"/>
      <c r="B330" s="11"/>
      <c r="C330" s="11"/>
      <c r="D330" s="11"/>
      <c r="E330" s="14"/>
      <c r="F330" s="4"/>
      <c r="G330" s="14"/>
      <c r="H330" s="4"/>
      <c r="I330" s="4"/>
      <c r="J330" s="4"/>
      <c r="K330" s="4"/>
      <c r="L330" s="4"/>
      <c r="M330" s="4"/>
    </row>
    <row r="331" spans="1:13" ht="16.5" customHeight="1">
      <c r="A331" s="4"/>
      <c r="B331" s="11"/>
      <c r="C331" s="11"/>
      <c r="D331" s="11"/>
      <c r="E331" s="14"/>
      <c r="F331" s="4"/>
      <c r="G331" s="14"/>
      <c r="H331" s="4"/>
      <c r="I331" s="4"/>
      <c r="J331" s="4"/>
      <c r="K331" s="4"/>
      <c r="L331" s="4"/>
      <c r="M331" s="4"/>
    </row>
    <row r="332" spans="1:13" ht="16.5" customHeight="1">
      <c r="A332" s="4"/>
      <c r="B332" s="11"/>
      <c r="C332" s="11"/>
      <c r="D332" s="11"/>
      <c r="E332" s="14"/>
      <c r="F332" s="4"/>
      <c r="G332" s="14"/>
      <c r="H332" s="4"/>
      <c r="I332" s="4"/>
      <c r="J332" s="4"/>
      <c r="K332" s="4"/>
      <c r="L332" s="4"/>
      <c r="M332" s="4"/>
    </row>
    <row r="333" spans="1:13" ht="16.5" customHeight="1">
      <c r="A333" s="4"/>
      <c r="B333" s="11"/>
      <c r="C333" s="11"/>
      <c r="D333" s="11"/>
      <c r="E333" s="14"/>
      <c r="F333" s="4"/>
      <c r="G333" s="14"/>
      <c r="H333" s="4"/>
      <c r="I333" s="4"/>
      <c r="J333" s="4"/>
      <c r="K333" s="4"/>
      <c r="L333" s="4"/>
      <c r="M333" s="4"/>
    </row>
    <row r="334" spans="1:13" ht="16.5" customHeight="1">
      <c r="A334" s="4"/>
      <c r="B334" s="11"/>
      <c r="C334" s="11"/>
      <c r="D334" s="11"/>
      <c r="E334" s="14"/>
      <c r="F334" s="4"/>
      <c r="G334" s="14"/>
      <c r="H334" s="4"/>
      <c r="I334" s="4"/>
      <c r="J334" s="4"/>
      <c r="K334" s="4"/>
      <c r="L334" s="4"/>
      <c r="M334" s="4"/>
    </row>
    <row r="335" spans="1:13" ht="16.5" customHeight="1">
      <c r="A335" s="4"/>
      <c r="B335" s="11"/>
      <c r="C335" s="11"/>
      <c r="D335" s="11"/>
      <c r="E335" s="14"/>
      <c r="F335" s="4"/>
      <c r="G335" s="14"/>
      <c r="H335" s="4"/>
      <c r="I335" s="4"/>
      <c r="J335" s="4"/>
      <c r="K335" s="4"/>
      <c r="L335" s="4"/>
      <c r="M335" s="4"/>
    </row>
    <row r="336" spans="1:13" ht="16.5" customHeight="1">
      <c r="A336" s="4"/>
      <c r="B336" s="11"/>
      <c r="C336" s="11"/>
      <c r="D336" s="11"/>
      <c r="E336" s="14"/>
      <c r="F336" s="4"/>
      <c r="G336" s="14"/>
      <c r="H336" s="4"/>
      <c r="I336" s="4"/>
      <c r="J336" s="4"/>
      <c r="K336" s="4"/>
      <c r="L336" s="4"/>
      <c r="M336" s="4"/>
    </row>
    <row r="337" spans="1:13" ht="16.5" customHeight="1">
      <c r="A337" s="4"/>
      <c r="B337" s="11"/>
      <c r="C337" s="11"/>
      <c r="D337" s="11"/>
      <c r="E337" s="14"/>
      <c r="F337" s="4"/>
      <c r="G337" s="14"/>
      <c r="H337" s="4"/>
      <c r="I337" s="4"/>
      <c r="J337" s="4"/>
      <c r="K337" s="4"/>
      <c r="L337" s="4"/>
      <c r="M337" s="4"/>
    </row>
    <row r="338" spans="1:13" ht="16.5" customHeight="1">
      <c r="A338" s="4"/>
      <c r="B338" s="11"/>
      <c r="C338" s="11"/>
      <c r="D338" s="11"/>
      <c r="E338" s="14"/>
      <c r="F338" s="4"/>
      <c r="G338" s="14"/>
      <c r="H338" s="4"/>
      <c r="I338" s="4"/>
      <c r="J338" s="4"/>
      <c r="K338" s="4"/>
      <c r="L338" s="4"/>
      <c r="M338" s="4"/>
    </row>
    <row r="339" spans="1:13" ht="16.5" customHeight="1">
      <c r="A339" s="4"/>
      <c r="B339" s="11"/>
      <c r="C339" s="11"/>
      <c r="D339" s="11"/>
      <c r="E339" s="14"/>
      <c r="F339" s="4"/>
      <c r="G339" s="14"/>
      <c r="H339" s="4"/>
      <c r="I339" s="4"/>
      <c r="J339" s="4"/>
      <c r="K339" s="4"/>
      <c r="L339" s="4"/>
      <c r="M339" s="4"/>
    </row>
    <row r="340" spans="1:13" ht="16.5" customHeight="1">
      <c r="A340" s="4"/>
      <c r="B340" s="11"/>
      <c r="C340" s="11"/>
      <c r="D340" s="11"/>
      <c r="E340" s="14"/>
      <c r="F340" s="4"/>
      <c r="G340" s="14"/>
      <c r="H340" s="4"/>
      <c r="I340" s="4"/>
      <c r="J340" s="4"/>
      <c r="K340" s="4"/>
      <c r="L340" s="4"/>
      <c r="M340" s="4"/>
    </row>
    <row r="341" spans="1:13" ht="16.5" customHeight="1">
      <c r="A341" s="4"/>
      <c r="B341" s="11"/>
      <c r="C341" s="11"/>
      <c r="D341" s="11"/>
      <c r="E341" s="14"/>
      <c r="F341" s="4"/>
      <c r="G341" s="14"/>
      <c r="H341" s="4"/>
      <c r="I341" s="4"/>
      <c r="J341" s="4"/>
      <c r="K341" s="4"/>
      <c r="L341" s="4"/>
      <c r="M341" s="4"/>
    </row>
    <row r="342" spans="1:13" ht="16.5" customHeight="1">
      <c r="A342" s="4"/>
      <c r="B342" s="11"/>
      <c r="C342" s="11"/>
      <c r="D342" s="11"/>
      <c r="E342" s="14"/>
      <c r="F342" s="4"/>
      <c r="G342" s="14"/>
      <c r="H342" s="4"/>
      <c r="I342" s="4"/>
      <c r="J342" s="4"/>
      <c r="K342" s="4"/>
      <c r="L342" s="4"/>
      <c r="M342" s="4"/>
    </row>
    <row r="343" spans="1:13" ht="16.5" customHeight="1">
      <c r="A343" s="4"/>
      <c r="B343" s="11"/>
      <c r="C343" s="11"/>
      <c r="D343" s="11"/>
      <c r="E343" s="14"/>
      <c r="F343" s="4"/>
      <c r="G343" s="14"/>
      <c r="H343" s="4"/>
      <c r="I343" s="4"/>
      <c r="J343" s="4"/>
      <c r="K343" s="4"/>
      <c r="L343" s="4"/>
      <c r="M343" s="4"/>
    </row>
    <row r="344" spans="1:13" ht="16.5" customHeight="1">
      <c r="A344" s="4"/>
      <c r="B344" s="11"/>
      <c r="C344" s="11"/>
      <c r="D344" s="11"/>
      <c r="E344" s="14"/>
      <c r="F344" s="4"/>
      <c r="G344" s="14"/>
      <c r="H344" s="4"/>
      <c r="I344" s="4"/>
      <c r="J344" s="4"/>
      <c r="K344" s="4"/>
      <c r="L344" s="4"/>
      <c r="M344" s="4"/>
    </row>
    <row r="345" spans="1:13" ht="16.5" customHeight="1">
      <c r="A345" s="4"/>
      <c r="B345" s="11"/>
      <c r="C345" s="11"/>
      <c r="D345" s="11"/>
      <c r="E345" s="14"/>
      <c r="F345" s="4"/>
      <c r="G345" s="14"/>
      <c r="H345" s="4"/>
      <c r="I345" s="4"/>
      <c r="J345" s="4"/>
      <c r="K345" s="4"/>
      <c r="L345" s="4"/>
      <c r="M345" s="4"/>
    </row>
    <row r="346" spans="1:13" ht="16.5" customHeight="1">
      <c r="A346" s="4"/>
      <c r="B346" s="11"/>
      <c r="C346" s="11"/>
      <c r="D346" s="11"/>
      <c r="E346" s="14"/>
      <c r="F346" s="4"/>
      <c r="G346" s="14"/>
      <c r="H346" s="4"/>
      <c r="I346" s="4"/>
      <c r="J346" s="4"/>
      <c r="K346" s="4"/>
      <c r="L346" s="4"/>
      <c r="M346" s="4"/>
    </row>
    <row r="347" spans="1:13" ht="16.5" customHeight="1">
      <c r="A347" s="4"/>
      <c r="B347" s="11"/>
      <c r="C347" s="11"/>
      <c r="D347" s="11"/>
      <c r="E347" s="14"/>
      <c r="F347" s="4"/>
      <c r="G347" s="14"/>
      <c r="H347" s="4"/>
      <c r="I347" s="4"/>
      <c r="J347" s="4"/>
      <c r="K347" s="4"/>
      <c r="L347" s="4"/>
      <c r="M347" s="4"/>
    </row>
    <row r="348" spans="1:13" ht="16.5" customHeight="1">
      <c r="A348" s="4"/>
      <c r="B348" s="11"/>
      <c r="C348" s="11"/>
      <c r="D348" s="11"/>
      <c r="E348" s="14"/>
      <c r="F348" s="4"/>
      <c r="G348" s="14"/>
      <c r="H348" s="4"/>
      <c r="I348" s="4"/>
      <c r="J348" s="4"/>
      <c r="K348" s="4"/>
      <c r="L348" s="4"/>
      <c r="M348" s="4"/>
    </row>
    <row r="349" spans="1:13" ht="16.5" customHeight="1">
      <c r="A349" s="4"/>
      <c r="B349" s="11"/>
      <c r="C349" s="11"/>
      <c r="D349" s="11"/>
      <c r="E349" s="14"/>
      <c r="F349" s="4"/>
      <c r="G349" s="14"/>
      <c r="H349" s="4"/>
      <c r="I349" s="4"/>
      <c r="J349" s="4"/>
      <c r="K349" s="4"/>
      <c r="L349" s="4"/>
      <c r="M349" s="4"/>
    </row>
    <row r="350" spans="1:13" ht="16.5" customHeight="1">
      <c r="A350" s="4"/>
      <c r="B350" s="11"/>
      <c r="C350" s="11"/>
      <c r="D350" s="11"/>
      <c r="E350" s="14"/>
      <c r="F350" s="4"/>
      <c r="G350" s="14"/>
      <c r="H350" s="4"/>
      <c r="I350" s="4"/>
      <c r="J350" s="4"/>
      <c r="K350" s="4"/>
      <c r="L350" s="4"/>
      <c r="M350" s="4"/>
    </row>
    <row r="351" spans="1:13" ht="16.5" customHeight="1">
      <c r="A351" s="4"/>
      <c r="B351" s="11"/>
      <c r="C351" s="11"/>
      <c r="D351" s="11"/>
      <c r="E351" s="14"/>
      <c r="F351" s="4"/>
      <c r="G351" s="14"/>
      <c r="H351" s="4"/>
      <c r="I351" s="4"/>
      <c r="J351" s="4"/>
      <c r="K351" s="4"/>
      <c r="L351" s="4"/>
      <c r="M351" s="4"/>
    </row>
    <row r="352" spans="1:13" ht="16.5" customHeight="1">
      <c r="A352" s="4"/>
      <c r="B352" s="11"/>
      <c r="C352" s="11"/>
      <c r="D352" s="11"/>
      <c r="E352" s="14"/>
      <c r="F352" s="4"/>
      <c r="G352" s="14"/>
      <c r="H352" s="4"/>
      <c r="I352" s="4"/>
      <c r="J352" s="4"/>
      <c r="K352" s="4"/>
      <c r="L352" s="4"/>
      <c r="M352" s="4"/>
    </row>
    <row r="353" spans="1:13" ht="16.5" customHeight="1">
      <c r="A353" s="4"/>
      <c r="B353" s="11"/>
      <c r="C353" s="11"/>
      <c r="D353" s="11"/>
      <c r="E353" s="14"/>
      <c r="F353" s="4"/>
      <c r="G353" s="14"/>
      <c r="H353" s="4"/>
      <c r="I353" s="4"/>
      <c r="J353" s="4"/>
      <c r="K353" s="4"/>
      <c r="L353" s="4"/>
      <c r="M353" s="4"/>
    </row>
    <row r="354" spans="1:13" ht="16.5" customHeight="1">
      <c r="A354" s="4"/>
      <c r="B354" s="11"/>
      <c r="C354" s="11"/>
      <c r="D354" s="11"/>
      <c r="E354" s="14"/>
      <c r="F354" s="4"/>
      <c r="G354" s="14"/>
      <c r="H354" s="4"/>
      <c r="I354" s="4"/>
      <c r="J354" s="4"/>
      <c r="K354" s="4"/>
      <c r="L354" s="4"/>
      <c r="M354" s="4"/>
    </row>
    <row r="355" spans="1:13" ht="16.5" customHeight="1">
      <c r="A355" s="4"/>
      <c r="B355" s="11"/>
      <c r="C355" s="11"/>
      <c r="D355" s="11"/>
      <c r="E355" s="14"/>
      <c r="F355" s="4"/>
      <c r="G355" s="14"/>
      <c r="H355" s="4"/>
      <c r="I355" s="4"/>
      <c r="J355" s="4"/>
      <c r="K355" s="4"/>
      <c r="L355" s="4"/>
      <c r="M355" s="4"/>
    </row>
    <row r="356" spans="1:13" ht="16.5" customHeight="1">
      <c r="A356" s="4"/>
      <c r="B356" s="11"/>
      <c r="C356" s="11"/>
      <c r="D356" s="11"/>
      <c r="E356" s="14"/>
      <c r="F356" s="4"/>
      <c r="G356" s="14"/>
      <c r="H356" s="4"/>
      <c r="I356" s="4"/>
      <c r="J356" s="4"/>
      <c r="K356" s="4"/>
      <c r="L356" s="4"/>
      <c r="M356" s="4"/>
    </row>
    <row r="357" spans="1:13" ht="16.5" customHeight="1">
      <c r="A357" s="4"/>
      <c r="B357" s="11"/>
      <c r="C357" s="11"/>
      <c r="D357" s="11"/>
      <c r="E357" s="14"/>
      <c r="F357" s="4"/>
      <c r="G357" s="14"/>
      <c r="H357" s="4"/>
      <c r="I357" s="4"/>
      <c r="J357" s="4"/>
      <c r="K357" s="4"/>
      <c r="L357" s="4"/>
      <c r="M357" s="4"/>
    </row>
    <row r="358" spans="1:13" ht="16.5" customHeight="1">
      <c r="A358" s="4"/>
      <c r="B358" s="11"/>
      <c r="C358" s="11"/>
      <c r="D358" s="11"/>
      <c r="E358" s="14"/>
      <c r="F358" s="4"/>
      <c r="G358" s="14"/>
      <c r="H358" s="4"/>
      <c r="I358" s="4"/>
      <c r="J358" s="4"/>
      <c r="K358" s="4"/>
      <c r="L358" s="4"/>
      <c r="M358" s="4"/>
    </row>
    <row r="359" spans="1:13" ht="16.5" customHeight="1">
      <c r="A359" s="4"/>
      <c r="B359" s="11"/>
      <c r="C359" s="11"/>
      <c r="D359" s="11"/>
      <c r="E359" s="14"/>
      <c r="F359" s="4"/>
      <c r="G359" s="14"/>
      <c r="H359" s="4"/>
      <c r="I359" s="4"/>
      <c r="J359" s="4"/>
      <c r="K359" s="4"/>
      <c r="L359" s="4"/>
      <c r="M359" s="4"/>
    </row>
    <row r="360" spans="1:13" ht="16.5" customHeight="1">
      <c r="A360" s="4"/>
      <c r="B360" s="11"/>
      <c r="C360" s="11"/>
      <c r="D360" s="11"/>
      <c r="E360" s="14"/>
      <c r="F360" s="4"/>
      <c r="G360" s="14"/>
      <c r="H360" s="4"/>
      <c r="I360" s="4"/>
      <c r="J360" s="4"/>
      <c r="K360" s="4"/>
      <c r="L360" s="4"/>
      <c r="M360" s="4"/>
    </row>
    <row r="361" spans="1:13" ht="16.5" customHeight="1">
      <c r="A361" s="4"/>
      <c r="B361" s="11"/>
      <c r="C361" s="11"/>
      <c r="D361" s="11"/>
      <c r="E361" s="14"/>
      <c r="F361" s="4"/>
      <c r="G361" s="14"/>
      <c r="H361" s="4"/>
      <c r="I361" s="4"/>
      <c r="J361" s="4"/>
      <c r="K361" s="4"/>
      <c r="L361" s="4"/>
      <c r="M361" s="4"/>
    </row>
    <row r="362" spans="1:13" ht="16.5" customHeight="1">
      <c r="A362" s="4"/>
      <c r="B362" s="11"/>
      <c r="C362" s="11"/>
      <c r="D362" s="11"/>
      <c r="E362" s="14"/>
      <c r="F362" s="4"/>
      <c r="G362" s="14"/>
      <c r="H362" s="4"/>
      <c r="I362" s="4"/>
      <c r="J362" s="4"/>
      <c r="K362" s="4"/>
      <c r="L362" s="4"/>
      <c r="M362" s="4"/>
    </row>
    <row r="363" spans="1:13" ht="16.5" customHeight="1">
      <c r="A363" s="4"/>
      <c r="B363" s="11"/>
      <c r="C363" s="11"/>
      <c r="D363" s="11"/>
      <c r="E363" s="14"/>
      <c r="F363" s="4"/>
      <c r="G363" s="14"/>
      <c r="H363" s="4"/>
      <c r="I363" s="4"/>
      <c r="J363" s="4"/>
      <c r="K363" s="4"/>
      <c r="L363" s="4"/>
      <c r="M363" s="4"/>
    </row>
    <row r="364" spans="1:13" ht="16.5" customHeight="1">
      <c r="A364" s="4"/>
      <c r="B364" s="11"/>
      <c r="C364" s="11"/>
      <c r="D364" s="11"/>
      <c r="E364" s="14"/>
      <c r="F364" s="4"/>
      <c r="G364" s="14"/>
      <c r="H364" s="4"/>
      <c r="I364" s="4"/>
      <c r="J364" s="4"/>
      <c r="K364" s="4"/>
      <c r="L364" s="4"/>
      <c r="M364" s="4"/>
    </row>
    <row r="365" spans="1:13" ht="16.5" customHeight="1">
      <c r="A365" s="4"/>
      <c r="B365" s="11"/>
      <c r="C365" s="11"/>
      <c r="D365" s="11"/>
      <c r="E365" s="14"/>
      <c r="F365" s="4"/>
      <c r="G365" s="14"/>
      <c r="H365" s="4"/>
      <c r="I365" s="4"/>
      <c r="J365" s="4"/>
      <c r="K365" s="4"/>
      <c r="L365" s="4"/>
      <c r="M365" s="4"/>
    </row>
    <row r="366" spans="1:13" ht="16.5" customHeight="1">
      <c r="A366" s="4"/>
      <c r="B366" s="11"/>
      <c r="C366" s="11"/>
      <c r="D366" s="11"/>
      <c r="E366" s="14"/>
      <c r="F366" s="4"/>
      <c r="G366" s="14"/>
      <c r="H366" s="4"/>
      <c r="I366" s="4"/>
      <c r="J366" s="4"/>
      <c r="K366" s="4"/>
      <c r="L366" s="4"/>
      <c r="M366" s="4"/>
    </row>
    <row r="367" spans="1:13" ht="16.5" customHeight="1">
      <c r="A367" s="4"/>
      <c r="B367" s="11"/>
      <c r="C367" s="11"/>
      <c r="D367" s="11"/>
      <c r="E367" s="14"/>
      <c r="F367" s="4"/>
      <c r="G367" s="14"/>
      <c r="H367" s="4"/>
      <c r="I367" s="4"/>
      <c r="J367" s="4"/>
      <c r="K367" s="4"/>
      <c r="L367" s="4"/>
      <c r="M367" s="4"/>
    </row>
    <row r="368" spans="1:13" ht="16.5" customHeight="1">
      <c r="A368" s="4"/>
      <c r="B368" s="11"/>
      <c r="C368" s="11"/>
      <c r="D368" s="11"/>
      <c r="E368" s="14"/>
      <c r="F368" s="4"/>
      <c r="G368" s="14"/>
      <c r="H368" s="4"/>
      <c r="I368" s="4"/>
      <c r="J368" s="4"/>
      <c r="K368" s="4"/>
      <c r="L368" s="4"/>
      <c r="M368" s="4"/>
    </row>
    <row r="369" spans="1:13" ht="16.5" customHeight="1">
      <c r="A369" s="4"/>
      <c r="B369" s="11"/>
      <c r="C369" s="11"/>
      <c r="D369" s="11"/>
      <c r="E369" s="14"/>
      <c r="F369" s="4"/>
      <c r="G369" s="14"/>
      <c r="H369" s="4"/>
      <c r="I369" s="4"/>
      <c r="J369" s="4"/>
      <c r="K369" s="4"/>
      <c r="L369" s="4"/>
      <c r="M369" s="4"/>
    </row>
    <row r="370" spans="1:13" ht="16.5" customHeight="1">
      <c r="A370" s="4"/>
      <c r="B370" s="11"/>
      <c r="C370" s="11"/>
      <c r="D370" s="11"/>
      <c r="E370" s="14"/>
      <c r="F370" s="4"/>
      <c r="G370" s="14"/>
      <c r="H370" s="4"/>
      <c r="I370" s="4"/>
      <c r="J370" s="4"/>
      <c r="K370" s="4"/>
      <c r="L370" s="4"/>
      <c r="M370" s="4"/>
    </row>
    <row r="371" spans="1:13" ht="16.5" customHeight="1">
      <c r="A371" s="4"/>
      <c r="B371" s="11"/>
      <c r="C371" s="11"/>
      <c r="D371" s="11"/>
      <c r="E371" s="14"/>
      <c r="F371" s="4"/>
      <c r="G371" s="14"/>
      <c r="H371" s="4"/>
      <c r="I371" s="4"/>
      <c r="J371" s="4"/>
      <c r="K371" s="4"/>
      <c r="L371" s="4"/>
      <c r="M371" s="4"/>
    </row>
    <row r="372" spans="1:13" ht="16.5" customHeight="1">
      <c r="A372" s="4"/>
      <c r="B372" s="11"/>
      <c r="C372" s="11"/>
      <c r="D372" s="11"/>
      <c r="E372" s="14"/>
      <c r="F372" s="4"/>
      <c r="G372" s="14"/>
      <c r="H372" s="4"/>
      <c r="I372" s="4"/>
      <c r="J372" s="4"/>
      <c r="K372" s="4"/>
      <c r="L372" s="4"/>
      <c r="M372" s="4"/>
    </row>
    <row r="373" spans="1:13" ht="16.5" customHeight="1">
      <c r="A373" s="4"/>
      <c r="B373" s="11"/>
      <c r="C373" s="11"/>
      <c r="D373" s="11"/>
      <c r="E373" s="14"/>
      <c r="F373" s="4"/>
      <c r="G373" s="14"/>
      <c r="H373" s="4"/>
      <c r="I373" s="4"/>
      <c r="J373" s="4"/>
      <c r="K373" s="4"/>
      <c r="L373" s="4"/>
      <c r="M373" s="4"/>
    </row>
    <row r="374" spans="1:13" ht="16.5" customHeight="1">
      <c r="A374" s="4"/>
      <c r="B374" s="11"/>
      <c r="C374" s="11"/>
      <c r="D374" s="11"/>
      <c r="E374" s="14"/>
      <c r="F374" s="4"/>
      <c r="G374" s="14"/>
      <c r="H374" s="4"/>
      <c r="I374" s="4"/>
      <c r="J374" s="4"/>
      <c r="K374" s="4"/>
      <c r="L374" s="4"/>
      <c r="M374" s="4"/>
    </row>
    <row r="375" spans="1:13" ht="16.5" customHeight="1">
      <c r="A375" s="4"/>
      <c r="B375" s="11"/>
      <c r="C375" s="11"/>
      <c r="D375" s="11"/>
      <c r="E375" s="14"/>
      <c r="F375" s="4"/>
      <c r="G375" s="14"/>
      <c r="H375" s="4"/>
      <c r="I375" s="4"/>
      <c r="J375" s="4"/>
      <c r="K375" s="4"/>
      <c r="L375" s="4"/>
      <c r="M375" s="4"/>
    </row>
    <row r="376" spans="1:13" ht="16.5" customHeight="1">
      <c r="A376" s="4"/>
      <c r="B376" s="11"/>
      <c r="C376" s="11"/>
      <c r="D376" s="11"/>
      <c r="E376" s="14"/>
      <c r="F376" s="4"/>
      <c r="G376" s="14"/>
      <c r="H376" s="4"/>
      <c r="I376" s="4"/>
      <c r="J376" s="4"/>
      <c r="K376" s="4"/>
      <c r="L376" s="4"/>
      <c r="M376" s="4"/>
    </row>
    <row r="377" spans="1:13" ht="16.5" customHeight="1">
      <c r="A377" s="4"/>
      <c r="B377" s="11"/>
      <c r="C377" s="11"/>
      <c r="D377" s="11"/>
      <c r="E377" s="14"/>
      <c r="F377" s="4"/>
      <c r="G377" s="14"/>
      <c r="H377" s="4"/>
      <c r="I377" s="4"/>
      <c r="J377" s="4"/>
      <c r="K377" s="4"/>
      <c r="L377" s="4"/>
      <c r="M377" s="4"/>
    </row>
    <row r="378" spans="1:13" ht="16.5" customHeight="1">
      <c r="A378" s="4"/>
      <c r="B378" s="11"/>
      <c r="C378" s="11"/>
      <c r="D378" s="11"/>
      <c r="E378" s="14"/>
      <c r="F378" s="4"/>
      <c r="G378" s="14"/>
      <c r="H378" s="4"/>
      <c r="I378" s="4"/>
      <c r="J378" s="4"/>
      <c r="K378" s="4"/>
      <c r="L378" s="4"/>
      <c r="M378" s="4"/>
    </row>
    <row r="379" spans="1:13" ht="16.5" customHeight="1">
      <c r="A379" s="4"/>
      <c r="B379" s="11"/>
      <c r="C379" s="11"/>
      <c r="D379" s="11"/>
      <c r="E379" s="14"/>
      <c r="F379" s="4"/>
      <c r="G379" s="14"/>
      <c r="H379" s="4"/>
      <c r="I379" s="4"/>
      <c r="J379" s="4"/>
      <c r="K379" s="4"/>
      <c r="L379" s="4"/>
      <c r="M379" s="4"/>
    </row>
    <row r="380" spans="1:13" ht="16.5" customHeight="1">
      <c r="A380" s="4"/>
      <c r="B380" s="11"/>
      <c r="C380" s="11"/>
      <c r="D380" s="11"/>
      <c r="E380" s="14"/>
      <c r="F380" s="4"/>
      <c r="G380" s="14"/>
      <c r="H380" s="4"/>
      <c r="I380" s="4"/>
      <c r="J380" s="4"/>
      <c r="K380" s="4"/>
      <c r="L380" s="4"/>
      <c r="M380" s="4"/>
    </row>
    <row r="381" spans="1:13" ht="16.5" customHeight="1">
      <c r="A381" s="4"/>
      <c r="B381" s="11"/>
      <c r="C381" s="11"/>
      <c r="D381" s="11"/>
      <c r="E381" s="14"/>
      <c r="F381" s="4"/>
      <c r="G381" s="14"/>
      <c r="H381" s="4"/>
      <c r="I381" s="4"/>
      <c r="J381" s="4"/>
      <c r="K381" s="4"/>
      <c r="L381" s="4"/>
      <c r="M381" s="4"/>
    </row>
    <row r="382" spans="1:13" ht="16.5" customHeight="1">
      <c r="A382" s="4"/>
      <c r="B382" s="11"/>
      <c r="C382" s="11"/>
      <c r="D382" s="11"/>
      <c r="E382" s="14"/>
      <c r="F382" s="4"/>
      <c r="G382" s="14"/>
      <c r="H382" s="4"/>
      <c r="I382" s="4"/>
      <c r="J382" s="4"/>
      <c r="K382" s="4"/>
      <c r="L382" s="4"/>
      <c r="M382" s="4"/>
    </row>
    <row r="383" spans="1:13" ht="16.5" customHeight="1">
      <c r="A383" s="4"/>
      <c r="B383" s="11"/>
      <c r="C383" s="11"/>
      <c r="D383" s="11"/>
      <c r="E383" s="14"/>
      <c r="F383" s="4"/>
      <c r="G383" s="14"/>
      <c r="H383" s="4"/>
      <c r="I383" s="4"/>
      <c r="J383" s="4"/>
      <c r="K383" s="4"/>
      <c r="L383" s="4"/>
      <c r="M383" s="4"/>
    </row>
    <row r="384" spans="1:13" ht="16.5" customHeight="1">
      <c r="A384" s="4"/>
      <c r="B384" s="11"/>
      <c r="C384" s="11"/>
      <c r="D384" s="11"/>
      <c r="E384" s="14"/>
      <c r="F384" s="4"/>
      <c r="G384" s="14"/>
      <c r="H384" s="4"/>
      <c r="I384" s="4"/>
      <c r="J384" s="4"/>
      <c r="K384" s="4"/>
      <c r="L384" s="4"/>
      <c r="M384" s="4"/>
    </row>
    <row r="385" spans="1:13" ht="16.5" customHeight="1">
      <c r="A385" s="4"/>
      <c r="B385" s="11"/>
      <c r="C385" s="11"/>
      <c r="D385" s="11"/>
      <c r="E385" s="14"/>
      <c r="F385" s="4"/>
      <c r="G385" s="14"/>
      <c r="H385" s="4"/>
      <c r="I385" s="4"/>
      <c r="J385" s="4"/>
      <c r="K385" s="4"/>
      <c r="L385" s="4"/>
      <c r="M385" s="4"/>
    </row>
    <row r="386" spans="1:13" ht="16.5" customHeight="1">
      <c r="A386" s="4"/>
      <c r="B386" s="11"/>
      <c r="C386" s="11"/>
      <c r="D386" s="11"/>
      <c r="E386" s="14"/>
      <c r="F386" s="4"/>
      <c r="G386" s="14"/>
      <c r="H386" s="4"/>
      <c r="I386" s="4"/>
      <c r="J386" s="4"/>
      <c r="K386" s="4"/>
      <c r="L386" s="4"/>
      <c r="M386" s="4"/>
    </row>
    <row r="387" spans="1:13" ht="16.5" customHeight="1">
      <c r="A387" s="4"/>
      <c r="B387" s="11"/>
      <c r="C387" s="11"/>
      <c r="D387" s="11"/>
      <c r="E387" s="14"/>
      <c r="F387" s="4"/>
      <c r="G387" s="14"/>
      <c r="H387" s="4"/>
      <c r="I387" s="4"/>
      <c r="J387" s="4"/>
      <c r="K387" s="4"/>
      <c r="L387" s="4"/>
      <c r="M387" s="4"/>
    </row>
    <row r="388" spans="1:13" ht="16.5" customHeight="1">
      <c r="A388" s="4"/>
      <c r="B388" s="11"/>
      <c r="C388" s="11"/>
      <c r="D388" s="11"/>
      <c r="E388" s="14"/>
      <c r="F388" s="4"/>
      <c r="G388" s="14"/>
      <c r="H388" s="4"/>
      <c r="I388" s="4"/>
      <c r="J388" s="4"/>
      <c r="K388" s="4"/>
      <c r="L388" s="4"/>
      <c r="M388" s="4"/>
    </row>
    <row r="389" spans="1:13" ht="16.5" customHeight="1">
      <c r="A389" s="4"/>
      <c r="B389" s="11"/>
      <c r="C389" s="11"/>
      <c r="D389" s="11"/>
      <c r="E389" s="14"/>
      <c r="F389" s="4"/>
      <c r="G389" s="14"/>
      <c r="H389" s="4"/>
      <c r="I389" s="4"/>
      <c r="J389" s="4"/>
      <c r="K389" s="4"/>
      <c r="L389" s="4"/>
      <c r="M389" s="4"/>
    </row>
    <row r="390" spans="1:13" ht="16.5" customHeight="1">
      <c r="A390" s="4"/>
      <c r="B390" s="11"/>
      <c r="C390" s="11"/>
      <c r="D390" s="11"/>
      <c r="E390" s="14"/>
      <c r="F390" s="4"/>
      <c r="G390" s="14"/>
      <c r="H390" s="4"/>
      <c r="I390" s="4"/>
      <c r="J390" s="4"/>
      <c r="K390" s="4"/>
      <c r="L390" s="4"/>
      <c r="M390" s="4"/>
    </row>
    <row r="391" spans="1:13" ht="16.5" customHeight="1">
      <c r="A391" s="4"/>
      <c r="B391" s="11"/>
      <c r="C391" s="11"/>
      <c r="D391" s="11"/>
      <c r="E391" s="14"/>
      <c r="F391" s="4"/>
      <c r="G391" s="14"/>
      <c r="H391" s="4"/>
      <c r="I391" s="4"/>
      <c r="J391" s="4"/>
      <c r="K391" s="4"/>
      <c r="L391" s="4"/>
      <c r="M391" s="4"/>
    </row>
    <row r="392" spans="1:13" ht="16.5" customHeight="1">
      <c r="A392" s="4"/>
      <c r="B392" s="11"/>
      <c r="C392" s="11"/>
      <c r="D392" s="11"/>
      <c r="E392" s="14"/>
      <c r="F392" s="4"/>
      <c r="G392" s="14"/>
      <c r="H392" s="4"/>
      <c r="I392" s="4"/>
      <c r="J392" s="4"/>
      <c r="K392" s="4"/>
      <c r="L392" s="4"/>
      <c r="M392" s="4"/>
    </row>
    <row r="393" spans="1:13" ht="16.5" customHeight="1">
      <c r="A393" s="4"/>
      <c r="B393" s="11"/>
      <c r="C393" s="11"/>
      <c r="D393" s="11"/>
      <c r="E393" s="14"/>
      <c r="F393" s="4"/>
      <c r="G393" s="14"/>
      <c r="H393" s="4"/>
      <c r="I393" s="4"/>
      <c r="J393" s="4"/>
      <c r="K393" s="4"/>
      <c r="L393" s="4"/>
      <c r="M393" s="4"/>
    </row>
    <row r="394" spans="1:13" ht="16.5" customHeight="1">
      <c r="A394" s="4"/>
      <c r="B394" s="11"/>
      <c r="C394" s="11"/>
      <c r="D394" s="11"/>
      <c r="E394" s="14"/>
      <c r="F394" s="4"/>
      <c r="G394" s="14"/>
      <c r="H394" s="4"/>
      <c r="I394" s="4"/>
      <c r="J394" s="4"/>
      <c r="K394" s="4"/>
      <c r="L394" s="4"/>
      <c r="M394" s="4"/>
    </row>
    <row r="395" spans="1:13" ht="16.5" customHeight="1">
      <c r="A395" s="4"/>
      <c r="B395" s="11"/>
      <c r="C395" s="11"/>
      <c r="D395" s="11"/>
      <c r="E395" s="14"/>
      <c r="F395" s="4"/>
      <c r="G395" s="14"/>
      <c r="H395" s="4"/>
      <c r="I395" s="4"/>
      <c r="J395" s="4"/>
      <c r="K395" s="4"/>
      <c r="L395" s="4"/>
      <c r="M395" s="4"/>
    </row>
    <row r="396" spans="1:13" ht="16.5" customHeight="1">
      <c r="A396" s="4"/>
      <c r="B396" s="11"/>
      <c r="C396" s="11"/>
      <c r="D396" s="11"/>
      <c r="E396" s="14"/>
      <c r="F396" s="4"/>
      <c r="G396" s="14"/>
      <c r="H396" s="4"/>
      <c r="I396" s="4"/>
      <c r="J396" s="4"/>
      <c r="K396" s="4"/>
      <c r="L396" s="4"/>
      <c r="M396" s="4"/>
    </row>
    <row r="397" spans="1:13" ht="16.5" customHeight="1">
      <c r="A397" s="4"/>
      <c r="B397" s="11"/>
      <c r="C397" s="11"/>
      <c r="D397" s="11"/>
      <c r="E397" s="14"/>
      <c r="F397" s="4"/>
      <c r="G397" s="14"/>
      <c r="H397" s="4"/>
      <c r="I397" s="4"/>
      <c r="J397" s="4"/>
      <c r="K397" s="4"/>
      <c r="L397" s="4"/>
      <c r="M397" s="4"/>
    </row>
    <row r="398" spans="1:13" ht="16.5" customHeight="1">
      <c r="A398" s="4"/>
      <c r="B398" s="11"/>
      <c r="C398" s="11"/>
      <c r="D398" s="11"/>
      <c r="E398" s="14"/>
      <c r="F398" s="4"/>
      <c r="G398" s="14"/>
      <c r="H398" s="4"/>
      <c r="I398" s="4"/>
      <c r="J398" s="4"/>
      <c r="K398" s="4"/>
      <c r="L398" s="4"/>
      <c r="M398" s="4"/>
    </row>
    <row r="399" spans="1:13" ht="16.5" customHeight="1">
      <c r="A399" s="4"/>
      <c r="B399" s="11"/>
      <c r="C399" s="11"/>
      <c r="D399" s="11"/>
      <c r="E399" s="14"/>
      <c r="F399" s="4"/>
      <c r="G399" s="14"/>
      <c r="H399" s="4"/>
      <c r="I399" s="4"/>
      <c r="J399" s="4"/>
      <c r="K399" s="4"/>
      <c r="L399" s="4"/>
      <c r="M399" s="4"/>
    </row>
    <row r="400" spans="1:13" ht="16.5" customHeight="1">
      <c r="A400" s="4"/>
      <c r="B400" s="11"/>
      <c r="C400" s="11"/>
      <c r="D400" s="11"/>
      <c r="E400" s="14"/>
      <c r="F400" s="4"/>
      <c r="G400" s="14"/>
      <c r="H400" s="4"/>
      <c r="I400" s="4"/>
      <c r="J400" s="4"/>
      <c r="K400" s="4"/>
      <c r="L400" s="4"/>
      <c r="M400" s="4"/>
    </row>
    <row r="401" spans="1:13" ht="16.5" customHeight="1">
      <c r="A401" s="4"/>
      <c r="B401" s="11"/>
      <c r="C401" s="11"/>
      <c r="D401" s="11"/>
      <c r="E401" s="14"/>
      <c r="F401" s="4"/>
      <c r="G401" s="14"/>
      <c r="H401" s="4"/>
      <c r="I401" s="4"/>
      <c r="J401" s="4"/>
      <c r="K401" s="4"/>
      <c r="L401" s="4"/>
      <c r="M401" s="4"/>
    </row>
    <row r="402" spans="1:13" ht="16.5" customHeight="1">
      <c r="A402" s="4"/>
      <c r="B402" s="11"/>
      <c r="C402" s="11"/>
      <c r="D402" s="11"/>
      <c r="E402" s="14"/>
      <c r="F402" s="4"/>
      <c r="G402" s="14"/>
      <c r="H402" s="4"/>
      <c r="I402" s="4"/>
      <c r="J402" s="4"/>
      <c r="K402" s="4"/>
      <c r="L402" s="4"/>
      <c r="M402" s="4"/>
    </row>
    <row r="403" spans="1:13" ht="16.5" customHeight="1">
      <c r="A403" s="4"/>
      <c r="B403" s="11"/>
      <c r="C403" s="11"/>
      <c r="D403" s="11"/>
      <c r="E403" s="14"/>
      <c r="F403" s="4"/>
      <c r="G403" s="14"/>
      <c r="H403" s="4"/>
      <c r="I403" s="4"/>
      <c r="J403" s="4"/>
      <c r="K403" s="4"/>
      <c r="L403" s="4"/>
      <c r="M403" s="4"/>
    </row>
    <row r="404" spans="1:13" ht="16.5" customHeight="1">
      <c r="A404" s="4"/>
      <c r="B404" s="11"/>
      <c r="C404" s="11"/>
      <c r="D404" s="11"/>
      <c r="E404" s="14"/>
      <c r="F404" s="4"/>
      <c r="G404" s="14"/>
      <c r="H404" s="4"/>
      <c r="I404" s="4"/>
      <c r="J404" s="4"/>
      <c r="K404" s="4"/>
      <c r="L404" s="4"/>
      <c r="M404" s="4"/>
    </row>
    <row r="405" spans="1:13" ht="16.5" customHeight="1">
      <c r="A405" s="4"/>
      <c r="B405" s="11"/>
      <c r="C405" s="11"/>
      <c r="D405" s="11"/>
      <c r="E405" s="14"/>
      <c r="F405" s="4"/>
      <c r="G405" s="14"/>
      <c r="H405" s="4"/>
      <c r="I405" s="4"/>
      <c r="J405" s="4"/>
      <c r="K405" s="4"/>
      <c r="L405" s="4"/>
      <c r="M405" s="4"/>
    </row>
    <row r="406" spans="1:13" ht="16.5" customHeight="1">
      <c r="A406" s="4"/>
      <c r="B406" s="11"/>
      <c r="C406" s="11"/>
      <c r="D406" s="11"/>
      <c r="E406" s="14"/>
      <c r="F406" s="4"/>
      <c r="G406" s="14"/>
      <c r="H406" s="4"/>
      <c r="I406" s="4"/>
      <c r="J406" s="4"/>
      <c r="K406" s="4"/>
      <c r="L406" s="4"/>
      <c r="M406" s="4"/>
    </row>
    <row r="407" spans="1:13" ht="16.5" customHeight="1">
      <c r="A407" s="4"/>
      <c r="B407" s="11"/>
      <c r="C407" s="11"/>
      <c r="D407" s="11"/>
      <c r="E407" s="14"/>
      <c r="F407" s="4"/>
      <c r="G407" s="14"/>
      <c r="H407" s="4"/>
      <c r="I407" s="4"/>
      <c r="J407" s="4"/>
      <c r="K407" s="4"/>
      <c r="L407" s="4"/>
      <c r="M407" s="4"/>
    </row>
    <row r="408" spans="1:13" ht="16.5" customHeight="1">
      <c r="A408" s="4"/>
      <c r="B408" s="11"/>
      <c r="C408" s="11"/>
      <c r="D408" s="11"/>
      <c r="E408" s="14"/>
      <c r="F408" s="4"/>
      <c r="G408" s="14"/>
      <c r="H408" s="4"/>
      <c r="I408" s="4"/>
      <c r="J408" s="4"/>
      <c r="K408" s="4"/>
      <c r="L408" s="4"/>
      <c r="M408" s="4"/>
    </row>
    <row r="409" spans="1:13" ht="16.5" customHeight="1">
      <c r="A409" s="4"/>
      <c r="B409" s="11"/>
      <c r="C409" s="11"/>
      <c r="D409" s="11"/>
      <c r="E409" s="14"/>
      <c r="F409" s="4"/>
      <c r="G409" s="14"/>
      <c r="H409" s="4"/>
      <c r="I409" s="4"/>
      <c r="J409" s="4"/>
      <c r="K409" s="4"/>
      <c r="L409" s="4"/>
      <c r="M409" s="4"/>
    </row>
    <row r="410" spans="1:13" ht="16.5" customHeight="1">
      <c r="A410" s="4"/>
      <c r="B410" s="11"/>
      <c r="C410" s="11"/>
      <c r="D410" s="11"/>
      <c r="E410" s="14"/>
      <c r="F410" s="4"/>
      <c r="G410" s="14"/>
      <c r="H410" s="4"/>
      <c r="I410" s="4"/>
      <c r="J410" s="4"/>
      <c r="K410" s="4"/>
      <c r="L410" s="4"/>
      <c r="M410" s="4"/>
    </row>
    <row r="411" spans="1:13" ht="16.5" customHeight="1">
      <c r="A411" s="4"/>
      <c r="B411" s="11"/>
      <c r="C411" s="11"/>
      <c r="D411" s="11"/>
      <c r="E411" s="14"/>
      <c r="F411" s="4"/>
      <c r="G411" s="14"/>
      <c r="H411" s="4"/>
      <c r="I411" s="4"/>
      <c r="J411" s="4"/>
      <c r="K411" s="4"/>
      <c r="L411" s="4"/>
      <c r="M411" s="4"/>
    </row>
    <row r="412" spans="1:13" ht="16.5" customHeight="1">
      <c r="A412" s="4"/>
      <c r="B412" s="11"/>
      <c r="C412" s="11"/>
      <c r="D412" s="11"/>
      <c r="E412" s="14"/>
      <c r="F412" s="4"/>
      <c r="G412" s="14"/>
      <c r="H412" s="4"/>
      <c r="I412" s="4"/>
      <c r="J412" s="4"/>
      <c r="K412" s="4"/>
      <c r="L412" s="4"/>
      <c r="M412" s="4"/>
    </row>
    <row r="413" spans="1:13" ht="16.5" customHeight="1">
      <c r="A413" s="4"/>
      <c r="B413" s="11"/>
      <c r="C413" s="11"/>
      <c r="D413" s="11"/>
      <c r="E413" s="14"/>
      <c r="F413" s="4"/>
      <c r="G413" s="14"/>
      <c r="H413" s="4"/>
      <c r="I413" s="4"/>
      <c r="J413" s="4"/>
      <c r="K413" s="4"/>
      <c r="L413" s="4"/>
      <c r="M413" s="4"/>
    </row>
    <row r="414" spans="1:13" ht="16.5" customHeight="1">
      <c r="A414" s="4"/>
      <c r="B414" s="11"/>
      <c r="C414" s="11"/>
      <c r="D414" s="11"/>
      <c r="E414" s="14"/>
      <c r="F414" s="4"/>
      <c r="G414" s="14"/>
      <c r="H414" s="4"/>
      <c r="I414" s="4"/>
      <c r="J414" s="4"/>
      <c r="K414" s="4"/>
      <c r="L414" s="4"/>
      <c r="M414" s="4"/>
    </row>
    <row r="415" spans="1:13" ht="16.5" customHeight="1">
      <c r="A415" s="4"/>
      <c r="B415" s="11"/>
      <c r="C415" s="11"/>
      <c r="D415" s="11"/>
      <c r="E415" s="14"/>
      <c r="F415" s="4"/>
      <c r="G415" s="14"/>
      <c r="H415" s="4"/>
      <c r="I415" s="4"/>
      <c r="J415" s="4"/>
      <c r="K415" s="4"/>
      <c r="L415" s="4"/>
      <c r="M415" s="4"/>
    </row>
    <row r="416" spans="1:13" ht="16.5" customHeight="1">
      <c r="A416" s="4"/>
      <c r="B416" s="11"/>
      <c r="C416" s="11"/>
      <c r="D416" s="11"/>
      <c r="E416" s="14"/>
      <c r="F416" s="4"/>
      <c r="G416" s="14"/>
      <c r="H416" s="4"/>
      <c r="I416" s="4"/>
      <c r="J416" s="4"/>
      <c r="K416" s="4"/>
      <c r="L416" s="4"/>
      <c r="M416" s="4"/>
    </row>
    <row r="417" spans="1:13" ht="16.5" customHeight="1">
      <c r="A417" s="4"/>
      <c r="B417" s="11"/>
      <c r="C417" s="11"/>
      <c r="D417" s="11"/>
      <c r="E417" s="14"/>
      <c r="F417" s="4"/>
      <c r="G417" s="14"/>
      <c r="H417" s="4"/>
      <c r="I417" s="4"/>
      <c r="J417" s="4"/>
      <c r="K417" s="4"/>
      <c r="L417" s="4"/>
      <c r="M417" s="4"/>
    </row>
    <row r="418" spans="1:13" ht="16.5" customHeight="1">
      <c r="A418" s="4"/>
      <c r="B418" s="11"/>
      <c r="C418" s="11"/>
      <c r="D418" s="11"/>
      <c r="E418" s="14"/>
      <c r="F418" s="4"/>
      <c r="G418" s="14"/>
      <c r="H418" s="4"/>
      <c r="I418" s="4"/>
      <c r="J418" s="4"/>
      <c r="K418" s="4"/>
      <c r="L418" s="4"/>
      <c r="M418" s="4"/>
    </row>
    <row r="419" spans="1:13" ht="16.5" customHeight="1">
      <c r="A419" s="4"/>
      <c r="B419" s="11"/>
      <c r="C419" s="11"/>
      <c r="D419" s="11"/>
      <c r="E419" s="14"/>
      <c r="F419" s="4"/>
      <c r="G419" s="14"/>
      <c r="H419" s="4"/>
      <c r="I419" s="4"/>
      <c r="J419" s="4"/>
      <c r="K419" s="4"/>
      <c r="L419" s="4"/>
      <c r="M419" s="4"/>
    </row>
    <row r="420" spans="1:13" ht="16.5" customHeight="1">
      <c r="A420" s="4"/>
      <c r="B420" s="11"/>
      <c r="C420" s="11"/>
      <c r="D420" s="11"/>
      <c r="E420" s="14"/>
      <c r="F420" s="4"/>
      <c r="G420" s="14"/>
      <c r="H420" s="4"/>
      <c r="I420" s="4"/>
      <c r="J420" s="4"/>
      <c r="K420" s="4"/>
      <c r="L420" s="4"/>
      <c r="M420" s="4"/>
    </row>
    <row r="421" spans="1:13" ht="16.5" customHeight="1">
      <c r="A421" s="4"/>
      <c r="B421" s="11"/>
      <c r="C421" s="11"/>
      <c r="D421" s="11"/>
      <c r="E421" s="14"/>
      <c r="F421" s="4"/>
      <c r="G421" s="14"/>
      <c r="H421" s="4"/>
      <c r="I421" s="4"/>
      <c r="J421" s="4"/>
      <c r="K421" s="4"/>
      <c r="L421" s="4"/>
      <c r="M421" s="4"/>
    </row>
    <row r="422" spans="1:13" ht="16.5" customHeight="1">
      <c r="A422" s="4"/>
      <c r="B422" s="11"/>
      <c r="C422" s="11"/>
      <c r="D422" s="11"/>
      <c r="E422" s="14"/>
      <c r="F422" s="4"/>
      <c r="G422" s="14"/>
      <c r="H422" s="4"/>
      <c r="I422" s="4"/>
      <c r="J422" s="4"/>
      <c r="K422" s="4"/>
      <c r="L422" s="4"/>
      <c r="M422" s="4"/>
    </row>
    <row r="423" spans="1:13" ht="16.5" customHeight="1">
      <c r="A423" s="4"/>
      <c r="B423" s="11"/>
      <c r="C423" s="11"/>
      <c r="D423" s="11"/>
      <c r="E423" s="14"/>
      <c r="F423" s="4"/>
      <c r="G423" s="14"/>
      <c r="H423" s="4"/>
      <c r="I423" s="4"/>
      <c r="J423" s="4"/>
      <c r="K423" s="4"/>
      <c r="L423" s="4"/>
      <c r="M423" s="4"/>
    </row>
    <row r="424" spans="1:13" ht="16.5" customHeight="1">
      <c r="A424" s="4"/>
      <c r="B424" s="11"/>
      <c r="C424" s="11"/>
      <c r="D424" s="11"/>
      <c r="E424" s="14"/>
      <c r="F424" s="4"/>
      <c r="G424" s="14"/>
      <c r="H424" s="4"/>
      <c r="I424" s="4"/>
      <c r="J424" s="4"/>
      <c r="K424" s="4"/>
      <c r="L424" s="4"/>
      <c r="M424" s="4"/>
    </row>
    <row r="425" spans="1:13" ht="16.5" customHeight="1">
      <c r="A425" s="4"/>
      <c r="B425" s="11"/>
      <c r="C425" s="11"/>
      <c r="D425" s="11"/>
      <c r="E425" s="14"/>
      <c r="F425" s="4"/>
      <c r="G425" s="14"/>
      <c r="H425" s="4"/>
      <c r="I425" s="4"/>
      <c r="J425" s="4"/>
      <c r="K425" s="4"/>
      <c r="L425" s="4"/>
      <c r="M425" s="4"/>
    </row>
    <row r="426" spans="1:13" ht="16.5" customHeight="1">
      <c r="A426" s="4"/>
      <c r="B426" s="11"/>
      <c r="C426" s="11"/>
      <c r="D426" s="11"/>
      <c r="E426" s="14"/>
      <c r="F426" s="4"/>
      <c r="G426" s="14"/>
      <c r="H426" s="4"/>
      <c r="I426" s="4"/>
      <c r="J426" s="4"/>
      <c r="K426" s="4"/>
      <c r="L426" s="4"/>
      <c r="M426" s="4"/>
    </row>
    <row r="427" spans="1:13" ht="16.5" customHeight="1">
      <c r="A427" s="4"/>
      <c r="B427" s="11"/>
      <c r="C427" s="11"/>
      <c r="D427" s="11"/>
      <c r="E427" s="14"/>
      <c r="F427" s="4"/>
      <c r="G427" s="14"/>
      <c r="H427" s="4"/>
      <c r="I427" s="4"/>
      <c r="J427" s="4"/>
      <c r="K427" s="4"/>
      <c r="L427" s="4"/>
      <c r="M427" s="4"/>
    </row>
    <row r="428" spans="1:13" ht="16.5" customHeight="1">
      <c r="A428" s="4"/>
      <c r="B428" s="11"/>
      <c r="C428" s="11"/>
      <c r="D428" s="11"/>
      <c r="E428" s="14"/>
      <c r="F428" s="4"/>
      <c r="G428" s="14"/>
      <c r="H428" s="4"/>
      <c r="I428" s="4"/>
      <c r="J428" s="4"/>
      <c r="K428" s="4"/>
      <c r="L428" s="4"/>
      <c r="M428" s="4"/>
    </row>
    <row r="429" spans="1:13" ht="16.5" customHeight="1">
      <c r="A429" s="4"/>
      <c r="B429" s="11"/>
      <c r="C429" s="11"/>
      <c r="D429" s="11"/>
      <c r="E429" s="14"/>
      <c r="F429" s="4"/>
      <c r="G429" s="14"/>
      <c r="H429" s="4"/>
      <c r="I429" s="4"/>
      <c r="J429" s="4"/>
      <c r="K429" s="4"/>
      <c r="L429" s="4"/>
      <c r="M429" s="4"/>
    </row>
    <row r="430" spans="1:13" ht="16.5" customHeight="1">
      <c r="A430" s="4"/>
      <c r="B430" s="11"/>
      <c r="C430" s="11"/>
      <c r="D430" s="11"/>
      <c r="E430" s="14"/>
      <c r="F430" s="4"/>
      <c r="G430" s="14"/>
      <c r="H430" s="4"/>
      <c r="I430" s="4"/>
      <c r="J430" s="4"/>
      <c r="K430" s="4"/>
      <c r="L430" s="4"/>
      <c r="M430" s="4"/>
    </row>
    <row r="431" spans="1:13" ht="16.5" customHeight="1">
      <c r="A431" s="4"/>
      <c r="B431" s="11"/>
      <c r="C431" s="11"/>
      <c r="D431" s="11"/>
      <c r="E431" s="14"/>
      <c r="F431" s="4"/>
      <c r="G431" s="14"/>
      <c r="H431" s="4"/>
      <c r="I431" s="4"/>
      <c r="J431" s="4"/>
      <c r="K431" s="4"/>
      <c r="L431" s="4"/>
      <c r="M431" s="4"/>
    </row>
    <row r="432" spans="1:13" ht="16.5" customHeight="1">
      <c r="A432" s="4"/>
      <c r="B432" s="11"/>
      <c r="C432" s="11"/>
      <c r="D432" s="11"/>
      <c r="E432" s="14"/>
      <c r="F432" s="4"/>
      <c r="G432" s="14"/>
      <c r="H432" s="4"/>
      <c r="I432" s="4"/>
      <c r="J432" s="4"/>
      <c r="K432" s="4"/>
      <c r="L432" s="4"/>
      <c r="M432" s="4"/>
    </row>
    <row r="433" spans="1:13" ht="16.5" customHeight="1">
      <c r="A433" s="4"/>
      <c r="B433" s="11"/>
      <c r="C433" s="11"/>
      <c r="D433" s="11"/>
      <c r="E433" s="14"/>
      <c r="F433" s="4"/>
      <c r="G433" s="14"/>
      <c r="H433" s="4"/>
      <c r="I433" s="4"/>
      <c r="J433" s="4"/>
      <c r="K433" s="4"/>
      <c r="L433" s="4"/>
      <c r="M433" s="4"/>
    </row>
    <row r="434" spans="1:13" ht="16.5" customHeight="1">
      <c r="A434" s="4"/>
      <c r="B434" s="11"/>
      <c r="C434" s="11"/>
      <c r="D434" s="11"/>
      <c r="E434" s="14"/>
      <c r="F434" s="4"/>
      <c r="G434" s="14"/>
      <c r="H434" s="4"/>
      <c r="I434" s="4"/>
      <c r="J434" s="4"/>
      <c r="K434" s="4"/>
      <c r="L434" s="4"/>
      <c r="M434" s="4"/>
    </row>
    <row r="435" spans="1:13" ht="16.5" customHeight="1">
      <c r="A435" s="4"/>
      <c r="B435" s="11"/>
      <c r="C435" s="11"/>
      <c r="D435" s="11"/>
      <c r="E435" s="14"/>
      <c r="F435" s="4"/>
      <c r="G435" s="14"/>
      <c r="H435" s="4"/>
      <c r="I435" s="4"/>
      <c r="J435" s="4"/>
      <c r="K435" s="4"/>
      <c r="L435" s="4"/>
      <c r="M435" s="4"/>
    </row>
    <row r="436" spans="1:13" ht="16.5" customHeight="1">
      <c r="A436" s="4"/>
      <c r="B436" s="11"/>
      <c r="C436" s="11"/>
      <c r="D436" s="11"/>
      <c r="E436" s="14"/>
      <c r="F436" s="4"/>
      <c r="G436" s="14"/>
      <c r="H436" s="4"/>
      <c r="I436" s="4"/>
      <c r="J436" s="4"/>
      <c r="K436" s="4"/>
      <c r="L436" s="4"/>
      <c r="M436" s="4"/>
    </row>
    <row r="437" spans="1:13" ht="16.5" customHeight="1">
      <c r="A437" s="4"/>
      <c r="B437" s="11"/>
      <c r="C437" s="11"/>
      <c r="D437" s="11"/>
      <c r="E437" s="14"/>
      <c r="F437" s="4"/>
      <c r="G437" s="14"/>
      <c r="H437" s="4"/>
      <c r="I437" s="4"/>
      <c r="J437" s="4"/>
      <c r="K437" s="4"/>
      <c r="L437" s="4"/>
      <c r="M437" s="4"/>
    </row>
    <row r="438" spans="1:13" ht="16.5" customHeight="1">
      <c r="A438" s="4"/>
      <c r="B438" s="11"/>
      <c r="C438" s="11"/>
      <c r="D438" s="11"/>
      <c r="E438" s="14"/>
      <c r="F438" s="4"/>
      <c r="G438" s="14"/>
      <c r="H438" s="4"/>
      <c r="I438" s="4"/>
      <c r="J438" s="4"/>
      <c r="K438" s="4"/>
      <c r="L438" s="4"/>
      <c r="M438" s="4"/>
    </row>
    <row r="439" spans="1:13" ht="16.5" customHeight="1">
      <c r="A439" s="4"/>
      <c r="B439" s="11"/>
      <c r="C439" s="11"/>
      <c r="D439" s="11"/>
      <c r="E439" s="14"/>
      <c r="F439" s="4"/>
      <c r="G439" s="14"/>
      <c r="H439" s="4"/>
      <c r="I439" s="4"/>
      <c r="J439" s="4"/>
      <c r="K439" s="4"/>
      <c r="L439" s="4"/>
      <c r="M439" s="4"/>
    </row>
    <row r="440" spans="1:13" ht="16.5" customHeight="1">
      <c r="A440" s="4"/>
      <c r="B440" s="11"/>
      <c r="C440" s="11"/>
      <c r="D440" s="11"/>
      <c r="E440" s="14"/>
      <c r="F440" s="4"/>
      <c r="G440" s="14"/>
      <c r="H440" s="4"/>
      <c r="I440" s="4"/>
      <c r="J440" s="4"/>
      <c r="K440" s="4"/>
      <c r="L440" s="4"/>
      <c r="M440" s="4"/>
    </row>
    <row r="441" spans="1:13" ht="16.5" customHeight="1">
      <c r="A441" s="4"/>
      <c r="B441" s="11"/>
      <c r="C441" s="11"/>
      <c r="D441" s="11"/>
      <c r="E441" s="14"/>
      <c r="F441" s="4"/>
      <c r="G441" s="14"/>
      <c r="H441" s="4"/>
      <c r="I441" s="4"/>
      <c r="J441" s="4"/>
      <c r="K441" s="4"/>
      <c r="L441" s="4"/>
      <c r="M441" s="4"/>
    </row>
    <row r="442" spans="1:13" ht="16.5" customHeight="1">
      <c r="A442" s="4"/>
      <c r="B442" s="11"/>
      <c r="C442" s="11"/>
      <c r="D442" s="11"/>
      <c r="E442" s="14"/>
      <c r="F442" s="4"/>
      <c r="G442" s="14"/>
      <c r="H442" s="4"/>
      <c r="I442" s="4"/>
      <c r="J442" s="4"/>
      <c r="K442" s="4"/>
      <c r="L442" s="4"/>
      <c r="M442" s="4"/>
    </row>
    <row r="443" spans="1:13" ht="16.5" customHeight="1">
      <c r="A443" s="4"/>
      <c r="B443" s="11"/>
      <c r="C443" s="11"/>
      <c r="D443" s="11"/>
      <c r="E443" s="14"/>
      <c r="F443" s="4"/>
      <c r="G443" s="14"/>
      <c r="H443" s="4"/>
      <c r="I443" s="4"/>
      <c r="J443" s="4"/>
      <c r="K443" s="4"/>
      <c r="L443" s="4"/>
      <c r="M443" s="4"/>
    </row>
    <row r="444" spans="1:13" ht="16.5" customHeight="1">
      <c r="A444" s="4"/>
      <c r="B444" s="11"/>
      <c r="C444" s="11"/>
      <c r="D444" s="11"/>
      <c r="E444" s="14"/>
      <c r="F444" s="4"/>
      <c r="G444" s="14"/>
      <c r="H444" s="4"/>
      <c r="I444" s="4"/>
      <c r="J444" s="4"/>
      <c r="K444" s="4"/>
      <c r="L444" s="4"/>
      <c r="M444" s="4"/>
    </row>
    <row r="445" spans="1:13" ht="16.5" customHeight="1">
      <c r="A445" s="4"/>
      <c r="B445" s="11"/>
      <c r="C445" s="11"/>
      <c r="D445" s="11"/>
      <c r="E445" s="14"/>
      <c r="F445" s="4"/>
      <c r="G445" s="14"/>
      <c r="H445" s="4"/>
      <c r="I445" s="4"/>
      <c r="J445" s="4"/>
      <c r="K445" s="4"/>
      <c r="L445" s="4"/>
      <c r="M445" s="4"/>
    </row>
    <row r="446" spans="1:13" ht="16.5" customHeight="1">
      <c r="A446" s="4"/>
      <c r="B446" s="11"/>
      <c r="C446" s="11"/>
      <c r="D446" s="11"/>
      <c r="E446" s="14"/>
      <c r="F446" s="4"/>
      <c r="G446" s="14"/>
      <c r="H446" s="4"/>
      <c r="I446" s="4"/>
      <c r="J446" s="4"/>
      <c r="K446" s="4"/>
      <c r="L446" s="4"/>
      <c r="M446" s="4"/>
    </row>
    <row r="447" spans="1:13" ht="16.5" customHeight="1">
      <c r="A447" s="4"/>
      <c r="B447" s="11"/>
      <c r="C447" s="11"/>
      <c r="D447" s="11"/>
      <c r="E447" s="14"/>
      <c r="F447" s="4"/>
      <c r="G447" s="14"/>
      <c r="H447" s="4"/>
      <c r="I447" s="4"/>
      <c r="J447" s="4"/>
      <c r="K447" s="4"/>
      <c r="L447" s="4"/>
      <c r="M447" s="4"/>
    </row>
    <row r="448" spans="1:13" ht="16.5" customHeight="1">
      <c r="A448" s="4"/>
      <c r="B448" s="11"/>
      <c r="C448" s="11"/>
      <c r="D448" s="11"/>
      <c r="E448" s="14"/>
      <c r="F448" s="4"/>
      <c r="G448" s="14"/>
      <c r="H448" s="4"/>
      <c r="I448" s="4"/>
      <c r="J448" s="4"/>
      <c r="K448" s="4"/>
      <c r="L448" s="4"/>
      <c r="M448" s="4"/>
    </row>
    <row r="449" spans="1:13" ht="16.5" customHeight="1">
      <c r="A449" s="4"/>
      <c r="B449" s="11"/>
      <c r="C449" s="11"/>
      <c r="D449" s="11"/>
      <c r="E449" s="14"/>
      <c r="F449" s="4"/>
      <c r="G449" s="14"/>
      <c r="H449" s="4"/>
      <c r="I449" s="4"/>
      <c r="J449" s="4"/>
      <c r="K449" s="4"/>
      <c r="L449" s="4"/>
      <c r="M449" s="4"/>
    </row>
    <row r="450" spans="1:13" ht="16.5" customHeight="1">
      <c r="A450" s="4"/>
      <c r="B450" s="11"/>
      <c r="C450" s="11"/>
      <c r="D450" s="11"/>
      <c r="E450" s="14"/>
      <c r="F450" s="4"/>
      <c r="G450" s="14"/>
      <c r="H450" s="4"/>
      <c r="I450" s="4"/>
      <c r="J450" s="4"/>
      <c r="K450" s="4"/>
      <c r="L450" s="4"/>
      <c r="M450" s="4"/>
    </row>
    <row r="451" spans="1:13" ht="16.5" customHeight="1">
      <c r="A451" s="4"/>
      <c r="B451" s="11"/>
      <c r="C451" s="11"/>
      <c r="D451" s="11"/>
      <c r="E451" s="14"/>
      <c r="F451" s="4"/>
      <c r="G451" s="14"/>
      <c r="H451" s="4"/>
      <c r="I451" s="4"/>
      <c r="J451" s="4"/>
      <c r="K451" s="4"/>
      <c r="L451" s="4"/>
      <c r="M451" s="4"/>
    </row>
    <row r="452" spans="1:13" ht="16.5" customHeight="1">
      <c r="A452" s="4"/>
      <c r="B452" s="11"/>
      <c r="C452" s="11"/>
      <c r="D452" s="11"/>
      <c r="E452" s="14"/>
      <c r="F452" s="4"/>
      <c r="G452" s="14"/>
      <c r="H452" s="4"/>
      <c r="I452" s="4"/>
      <c r="J452" s="4"/>
      <c r="K452" s="4"/>
      <c r="L452" s="4"/>
      <c r="M452" s="4"/>
    </row>
    <row r="453" spans="1:13" ht="16.5" customHeight="1">
      <c r="A453" s="4"/>
      <c r="B453" s="11"/>
      <c r="C453" s="11"/>
      <c r="D453" s="11"/>
      <c r="E453" s="14"/>
      <c r="F453" s="4"/>
      <c r="G453" s="14"/>
      <c r="H453" s="4"/>
      <c r="I453" s="4"/>
      <c r="J453" s="4"/>
      <c r="K453" s="4"/>
      <c r="L453" s="4"/>
      <c r="M453" s="4"/>
    </row>
    <row r="454" spans="1:13" ht="16.5" customHeight="1">
      <c r="A454" s="4"/>
      <c r="B454" s="11"/>
      <c r="C454" s="11"/>
      <c r="D454" s="11"/>
      <c r="E454" s="14"/>
      <c r="F454" s="4"/>
      <c r="G454" s="14"/>
      <c r="H454" s="4"/>
      <c r="I454" s="4"/>
      <c r="J454" s="4"/>
      <c r="K454" s="4"/>
      <c r="L454" s="4"/>
      <c r="M454" s="4"/>
    </row>
    <row r="455" spans="1:13" ht="16.5" customHeight="1">
      <c r="A455" s="4"/>
      <c r="B455" s="11"/>
      <c r="C455" s="11"/>
      <c r="D455" s="11"/>
      <c r="E455" s="14"/>
      <c r="F455" s="4"/>
      <c r="G455" s="14"/>
      <c r="H455" s="4"/>
      <c r="I455" s="4"/>
      <c r="J455" s="4"/>
      <c r="K455" s="4"/>
      <c r="L455" s="4"/>
      <c r="M455" s="4"/>
    </row>
    <row r="456" spans="1:13" ht="16.5" customHeight="1">
      <c r="A456" s="4"/>
      <c r="B456" s="11"/>
      <c r="C456" s="11"/>
      <c r="D456" s="11"/>
      <c r="E456" s="14"/>
      <c r="F456" s="4"/>
      <c r="G456" s="14"/>
      <c r="H456" s="4"/>
      <c r="I456" s="4"/>
      <c r="J456" s="4"/>
      <c r="K456" s="4"/>
      <c r="L456" s="4"/>
      <c r="M456" s="4"/>
    </row>
    <row r="457" spans="1:13" ht="16.5" customHeight="1">
      <c r="A457" s="4"/>
      <c r="B457" s="11"/>
      <c r="C457" s="11"/>
      <c r="D457" s="11"/>
      <c r="E457" s="14"/>
      <c r="F457" s="4"/>
      <c r="G457" s="14"/>
      <c r="H457" s="4"/>
      <c r="I457" s="4"/>
      <c r="J457" s="4"/>
      <c r="K457" s="4"/>
      <c r="L457" s="4"/>
      <c r="M457" s="4"/>
    </row>
    <row r="458" spans="1:13" ht="16.5" customHeight="1">
      <c r="A458" s="4"/>
      <c r="B458" s="11"/>
      <c r="C458" s="11"/>
      <c r="D458" s="11"/>
      <c r="E458" s="14"/>
      <c r="F458" s="4"/>
      <c r="G458" s="14"/>
      <c r="H458" s="4"/>
      <c r="I458" s="4"/>
      <c r="J458" s="4"/>
      <c r="K458" s="4"/>
      <c r="L458" s="4"/>
      <c r="M458" s="4"/>
    </row>
    <row r="459" spans="1:13" ht="16.5" customHeight="1">
      <c r="A459" s="4"/>
      <c r="B459" s="11"/>
      <c r="C459" s="11"/>
      <c r="D459" s="11"/>
      <c r="E459" s="14"/>
      <c r="F459" s="4"/>
      <c r="G459" s="14"/>
      <c r="H459" s="4"/>
      <c r="I459" s="4"/>
      <c r="J459" s="4"/>
      <c r="K459" s="4"/>
      <c r="L459" s="4"/>
      <c r="M459" s="4"/>
    </row>
    <row r="460" spans="1:13" ht="16.5" customHeight="1">
      <c r="A460" s="4"/>
      <c r="B460" s="11"/>
      <c r="C460" s="11"/>
      <c r="D460" s="11"/>
      <c r="E460" s="14"/>
      <c r="F460" s="4"/>
      <c r="G460" s="14"/>
      <c r="H460" s="4"/>
      <c r="I460" s="4"/>
      <c r="J460" s="4"/>
      <c r="K460" s="4"/>
      <c r="L460" s="4"/>
      <c r="M460" s="4"/>
    </row>
    <row r="461" spans="1:13" ht="16.5" customHeight="1">
      <c r="A461" s="4"/>
      <c r="B461" s="11"/>
      <c r="C461" s="11"/>
      <c r="D461" s="11"/>
      <c r="E461" s="14"/>
      <c r="F461" s="4"/>
      <c r="G461" s="14"/>
      <c r="H461" s="4"/>
      <c r="I461" s="4"/>
      <c r="J461" s="4"/>
      <c r="K461" s="4"/>
      <c r="L461" s="4"/>
      <c r="M461" s="4"/>
    </row>
    <row r="462" spans="1:13" ht="16.5" customHeight="1">
      <c r="A462" s="4"/>
      <c r="B462" s="11"/>
      <c r="C462" s="11"/>
      <c r="D462" s="11"/>
      <c r="E462" s="14"/>
      <c r="F462" s="4"/>
      <c r="G462" s="14"/>
      <c r="H462" s="4"/>
      <c r="I462" s="4"/>
      <c r="J462" s="4"/>
      <c r="K462" s="4"/>
      <c r="L462" s="4"/>
      <c r="M462" s="4"/>
    </row>
    <row r="463" spans="1:13" ht="16.5" customHeight="1">
      <c r="A463" s="4"/>
      <c r="B463" s="11"/>
      <c r="C463" s="11"/>
      <c r="D463" s="11"/>
      <c r="E463" s="14"/>
      <c r="F463" s="4"/>
      <c r="G463" s="14"/>
      <c r="H463" s="4"/>
      <c r="I463" s="4"/>
      <c r="J463" s="4"/>
      <c r="K463" s="4"/>
      <c r="L463" s="4"/>
      <c r="M463" s="4"/>
    </row>
    <row r="464" spans="1:13" ht="16.5" customHeight="1">
      <c r="A464" s="4"/>
      <c r="B464" s="11"/>
      <c r="C464" s="11"/>
      <c r="D464" s="11"/>
      <c r="E464" s="14"/>
      <c r="F464" s="4"/>
      <c r="G464" s="14"/>
      <c r="H464" s="4"/>
      <c r="I464" s="4"/>
      <c r="J464" s="4"/>
      <c r="K464" s="4"/>
      <c r="L464" s="4"/>
      <c r="M464" s="4"/>
    </row>
    <row r="465" spans="1:13" ht="16.5" customHeight="1">
      <c r="A465" s="4"/>
      <c r="B465" s="11"/>
      <c r="C465" s="11"/>
      <c r="D465" s="11"/>
      <c r="E465" s="14"/>
      <c r="F465" s="4"/>
      <c r="G465" s="14"/>
      <c r="H465" s="4"/>
      <c r="I465" s="4"/>
      <c r="J465" s="4"/>
      <c r="K465" s="4"/>
      <c r="L465" s="4"/>
      <c r="M465" s="4"/>
    </row>
    <row r="466" spans="1:13" ht="16.5" customHeight="1">
      <c r="A466" s="4"/>
      <c r="B466" s="11"/>
      <c r="C466" s="11"/>
      <c r="D466" s="11"/>
      <c r="E466" s="14"/>
      <c r="F466" s="4"/>
      <c r="G466" s="14"/>
      <c r="H466" s="4"/>
      <c r="I466" s="4"/>
      <c r="J466" s="4"/>
      <c r="K466" s="4"/>
      <c r="L466" s="4"/>
      <c r="M466" s="4"/>
    </row>
    <row r="467" spans="1:13" ht="16.5" customHeight="1">
      <c r="A467" s="4"/>
      <c r="B467" s="11"/>
      <c r="C467" s="11"/>
      <c r="D467" s="11"/>
      <c r="E467" s="14"/>
      <c r="F467" s="4"/>
      <c r="G467" s="14"/>
      <c r="H467" s="4"/>
      <c r="I467" s="4"/>
      <c r="J467" s="4"/>
      <c r="K467" s="4"/>
      <c r="L467" s="4"/>
      <c r="M467" s="4"/>
    </row>
    <row r="468" spans="1:13" ht="16.5" customHeight="1">
      <c r="A468" s="4"/>
      <c r="B468" s="11"/>
      <c r="C468" s="11"/>
      <c r="D468" s="11"/>
      <c r="E468" s="14"/>
      <c r="F468" s="4"/>
      <c r="G468" s="14"/>
      <c r="H468" s="4"/>
      <c r="I468" s="4"/>
      <c r="J468" s="4"/>
      <c r="K468" s="4"/>
      <c r="L468" s="4"/>
      <c r="M468" s="4"/>
    </row>
    <row r="469" spans="1:13" ht="16.5" customHeight="1">
      <c r="A469" s="4"/>
      <c r="B469" s="11"/>
      <c r="C469" s="11"/>
      <c r="D469" s="11"/>
      <c r="E469" s="14"/>
      <c r="F469" s="4"/>
      <c r="G469" s="14"/>
      <c r="H469" s="4"/>
      <c r="I469" s="4"/>
      <c r="J469" s="4"/>
      <c r="K469" s="4"/>
      <c r="L469" s="4"/>
      <c r="M469" s="4"/>
    </row>
    <row r="470" spans="1:13" ht="16.5" customHeight="1">
      <c r="A470" s="4"/>
      <c r="B470" s="11"/>
      <c r="C470" s="11"/>
      <c r="D470" s="11"/>
      <c r="E470" s="14"/>
      <c r="F470" s="4"/>
      <c r="G470" s="14"/>
      <c r="H470" s="4"/>
      <c r="I470" s="4"/>
      <c r="J470" s="4"/>
      <c r="K470" s="4"/>
      <c r="L470" s="4"/>
      <c r="M470" s="4"/>
    </row>
    <row r="471" spans="1:13" ht="16.5" customHeight="1">
      <c r="A471" s="4"/>
      <c r="B471" s="11"/>
      <c r="C471" s="11"/>
      <c r="D471" s="11"/>
      <c r="E471" s="14"/>
      <c r="F471" s="4"/>
      <c r="G471" s="14"/>
      <c r="H471" s="4"/>
      <c r="I471" s="4"/>
      <c r="J471" s="4"/>
      <c r="K471" s="4"/>
      <c r="L471" s="4"/>
      <c r="M471" s="4"/>
    </row>
    <row r="472" spans="1:13" ht="16.5" customHeight="1">
      <c r="A472" s="4"/>
      <c r="B472" s="11"/>
      <c r="C472" s="11"/>
      <c r="D472" s="11"/>
      <c r="E472" s="14"/>
      <c r="F472" s="4"/>
      <c r="G472" s="14"/>
      <c r="H472" s="4"/>
      <c r="I472" s="4"/>
      <c r="J472" s="4"/>
      <c r="K472" s="4"/>
      <c r="L472" s="4"/>
      <c r="M472" s="4"/>
    </row>
    <row r="473" spans="1:13" ht="16.5" customHeight="1">
      <c r="A473" s="4"/>
      <c r="B473" s="11"/>
      <c r="C473" s="11"/>
      <c r="D473" s="11"/>
      <c r="E473" s="14"/>
      <c r="F473" s="4"/>
      <c r="G473" s="14"/>
      <c r="H473" s="4"/>
      <c r="I473" s="4"/>
      <c r="J473" s="4"/>
      <c r="K473" s="4"/>
      <c r="L473" s="4"/>
      <c r="M473" s="4"/>
    </row>
    <row r="474" spans="1:13" ht="16.5" customHeight="1">
      <c r="A474" s="4"/>
      <c r="B474" s="11"/>
      <c r="C474" s="11"/>
      <c r="D474" s="11"/>
      <c r="E474" s="14"/>
      <c r="F474" s="4"/>
      <c r="G474" s="14"/>
      <c r="H474" s="4"/>
      <c r="I474" s="4"/>
      <c r="J474" s="4"/>
      <c r="K474" s="4"/>
      <c r="L474" s="4"/>
      <c r="M474" s="4"/>
    </row>
    <row r="475" spans="1:13" ht="16.5" customHeight="1">
      <c r="A475" s="4"/>
      <c r="B475" s="11"/>
      <c r="C475" s="11"/>
      <c r="D475" s="11"/>
      <c r="E475" s="14"/>
      <c r="F475" s="4"/>
      <c r="G475" s="14"/>
      <c r="H475" s="4"/>
      <c r="I475" s="4"/>
      <c r="J475" s="4"/>
      <c r="K475" s="4"/>
      <c r="L475" s="4"/>
      <c r="M475" s="4"/>
    </row>
    <row r="476" spans="1:13" ht="16.5" customHeight="1">
      <c r="A476" s="4"/>
      <c r="B476" s="11"/>
      <c r="C476" s="11"/>
      <c r="D476" s="11"/>
      <c r="E476" s="14"/>
      <c r="F476" s="4"/>
      <c r="G476" s="14"/>
      <c r="H476" s="4"/>
      <c r="I476" s="4"/>
      <c r="J476" s="4"/>
      <c r="K476" s="4"/>
      <c r="L476" s="4"/>
      <c r="M476" s="4"/>
    </row>
    <row r="477" spans="1:13" ht="16.5" customHeight="1">
      <c r="A477" s="4"/>
      <c r="B477" s="11"/>
      <c r="C477" s="11"/>
      <c r="D477" s="11"/>
      <c r="E477" s="14"/>
      <c r="F477" s="4"/>
      <c r="G477" s="14"/>
      <c r="H477" s="4"/>
      <c r="I477" s="4"/>
      <c r="J477" s="4"/>
      <c r="K477" s="4"/>
      <c r="L477" s="4"/>
      <c r="M477" s="4"/>
    </row>
    <row r="478" spans="1:13" ht="16.5" customHeight="1">
      <c r="A478" s="4"/>
      <c r="B478" s="11"/>
      <c r="C478" s="11"/>
      <c r="D478" s="11"/>
      <c r="E478" s="14"/>
      <c r="F478" s="4"/>
      <c r="G478" s="14"/>
      <c r="H478" s="4"/>
      <c r="I478" s="4"/>
      <c r="J478" s="4"/>
      <c r="K478" s="4"/>
      <c r="L478" s="4"/>
      <c r="M478" s="4"/>
    </row>
    <row r="479" spans="1:13" ht="16.5" customHeight="1">
      <c r="A479" s="4"/>
      <c r="B479" s="11"/>
      <c r="C479" s="11"/>
      <c r="D479" s="11"/>
      <c r="E479" s="14"/>
      <c r="F479" s="4"/>
      <c r="G479" s="14"/>
      <c r="H479" s="4"/>
      <c r="I479" s="4"/>
      <c r="J479" s="4"/>
      <c r="K479" s="4"/>
      <c r="L479" s="4"/>
      <c r="M479" s="4"/>
    </row>
    <row r="480" spans="1:13" ht="16.5" customHeight="1">
      <c r="A480" s="4"/>
      <c r="B480" s="11"/>
      <c r="C480" s="11"/>
      <c r="D480" s="11"/>
      <c r="E480" s="14"/>
      <c r="F480" s="4"/>
      <c r="G480" s="14"/>
      <c r="H480" s="4"/>
      <c r="I480" s="4"/>
      <c r="J480" s="4"/>
      <c r="K480" s="4"/>
      <c r="L480" s="4"/>
      <c r="M480" s="4"/>
    </row>
    <row r="481" spans="1:13" ht="16.5" customHeight="1">
      <c r="A481" s="4"/>
      <c r="B481" s="11"/>
      <c r="C481" s="11"/>
      <c r="D481" s="11"/>
      <c r="E481" s="14"/>
      <c r="F481" s="4"/>
      <c r="G481" s="14"/>
      <c r="H481" s="4"/>
      <c r="I481" s="4"/>
      <c r="J481" s="4"/>
      <c r="K481" s="4"/>
      <c r="L481" s="4"/>
      <c r="M481" s="4"/>
    </row>
    <row r="482" spans="1:13" ht="16.5" customHeight="1">
      <c r="A482" s="4"/>
      <c r="B482" s="11"/>
      <c r="C482" s="11"/>
      <c r="D482" s="11"/>
      <c r="E482" s="14"/>
      <c r="F482" s="4"/>
      <c r="G482" s="14"/>
      <c r="H482" s="4"/>
      <c r="I482" s="4"/>
      <c r="J482" s="4"/>
      <c r="K482" s="4"/>
      <c r="L482" s="4"/>
      <c r="M482" s="4"/>
    </row>
    <row r="483" spans="1:13" ht="16.5" customHeight="1">
      <c r="A483" s="4"/>
      <c r="B483" s="11"/>
      <c r="C483" s="11"/>
      <c r="D483" s="11"/>
      <c r="E483" s="14"/>
      <c r="F483" s="4"/>
      <c r="G483" s="14"/>
      <c r="H483" s="4"/>
      <c r="I483" s="4"/>
      <c r="J483" s="4"/>
      <c r="K483" s="4"/>
      <c r="L483" s="4"/>
      <c r="M483" s="4"/>
    </row>
    <row r="484" spans="1:13" ht="16.5" customHeight="1">
      <c r="A484" s="4"/>
      <c r="B484" s="11"/>
      <c r="C484" s="11"/>
      <c r="D484" s="11"/>
      <c r="E484" s="14"/>
      <c r="F484" s="4"/>
      <c r="G484" s="14"/>
      <c r="H484" s="4"/>
      <c r="I484" s="4"/>
      <c r="J484" s="4"/>
      <c r="K484" s="4"/>
      <c r="L484" s="4"/>
      <c r="M484" s="4"/>
    </row>
    <row r="485" spans="1:13" ht="16.5" customHeight="1">
      <c r="A485" s="4"/>
      <c r="B485" s="11"/>
      <c r="C485" s="11"/>
      <c r="D485" s="11"/>
      <c r="E485" s="14"/>
      <c r="F485" s="4"/>
      <c r="G485" s="14"/>
      <c r="H485" s="4"/>
      <c r="I485" s="4"/>
      <c r="J485" s="4"/>
      <c r="K485" s="4"/>
      <c r="L485" s="4"/>
      <c r="M485" s="4"/>
    </row>
    <row r="486" spans="1:13" ht="16.5" customHeight="1">
      <c r="A486" s="4"/>
      <c r="B486" s="11"/>
      <c r="C486" s="11"/>
      <c r="D486" s="11"/>
      <c r="E486" s="14"/>
      <c r="F486" s="4"/>
      <c r="G486" s="14"/>
      <c r="H486" s="4"/>
      <c r="I486" s="4"/>
      <c r="J486" s="4"/>
      <c r="K486" s="4"/>
      <c r="L486" s="4"/>
      <c r="M486" s="4"/>
    </row>
    <row r="487" spans="1:13" ht="16.5" customHeight="1">
      <c r="A487" s="4"/>
      <c r="B487" s="11"/>
      <c r="C487" s="11"/>
      <c r="D487" s="11"/>
      <c r="E487" s="14"/>
      <c r="F487" s="4"/>
      <c r="G487" s="14"/>
      <c r="H487" s="4"/>
      <c r="I487" s="4"/>
      <c r="J487" s="4"/>
      <c r="K487" s="4"/>
      <c r="L487" s="4"/>
      <c r="M487" s="4"/>
    </row>
    <row r="488" spans="1:13" ht="16.5" customHeight="1">
      <c r="A488" s="4"/>
      <c r="B488" s="11"/>
      <c r="C488" s="11"/>
      <c r="D488" s="11"/>
      <c r="E488" s="14"/>
      <c r="F488" s="4"/>
      <c r="G488" s="14"/>
      <c r="H488" s="4"/>
      <c r="I488" s="4"/>
      <c r="J488" s="4"/>
      <c r="K488" s="4"/>
      <c r="L488" s="4"/>
      <c r="M488" s="4"/>
    </row>
    <row r="489" spans="1:13" ht="16.5" customHeight="1">
      <c r="A489" s="4"/>
      <c r="B489" s="11"/>
      <c r="C489" s="11"/>
      <c r="D489" s="11"/>
      <c r="E489" s="14"/>
      <c r="F489" s="4"/>
      <c r="G489" s="14"/>
      <c r="H489" s="4"/>
      <c r="I489" s="4"/>
      <c r="J489" s="4"/>
      <c r="K489" s="4"/>
      <c r="L489" s="4"/>
      <c r="M489" s="4"/>
    </row>
    <row r="490" spans="1:13" ht="16.5" customHeight="1">
      <c r="A490" s="4"/>
      <c r="B490" s="11"/>
      <c r="C490" s="11"/>
      <c r="D490" s="11"/>
      <c r="E490" s="14"/>
      <c r="F490" s="4"/>
      <c r="G490" s="14"/>
      <c r="H490" s="4"/>
      <c r="I490" s="4"/>
      <c r="J490" s="4"/>
      <c r="K490" s="4"/>
      <c r="L490" s="4"/>
      <c r="M490" s="4"/>
    </row>
    <row r="491" spans="1:13" ht="16.5" customHeight="1">
      <c r="A491" s="4"/>
      <c r="B491" s="11"/>
      <c r="C491" s="11"/>
      <c r="D491" s="11"/>
      <c r="E491" s="14"/>
      <c r="F491" s="4"/>
      <c r="G491" s="14"/>
      <c r="H491" s="4"/>
      <c r="I491" s="4"/>
      <c r="J491" s="4"/>
      <c r="K491" s="4"/>
      <c r="L491" s="4"/>
      <c r="M491" s="4"/>
    </row>
    <row r="492" spans="1:13" ht="16.5" customHeight="1">
      <c r="A492" s="4"/>
      <c r="B492" s="11"/>
      <c r="C492" s="11"/>
      <c r="D492" s="11"/>
      <c r="E492" s="14"/>
      <c r="F492" s="4"/>
      <c r="G492" s="14"/>
      <c r="H492" s="4"/>
      <c r="I492" s="4"/>
      <c r="J492" s="4"/>
      <c r="K492" s="4"/>
      <c r="L492" s="4"/>
      <c r="M492" s="4"/>
    </row>
    <row r="493" spans="1:13" ht="16.5" customHeight="1">
      <c r="A493" s="4"/>
      <c r="B493" s="11"/>
      <c r="C493" s="11"/>
      <c r="D493" s="11"/>
      <c r="E493" s="14"/>
      <c r="F493" s="4"/>
      <c r="G493" s="14"/>
      <c r="H493" s="4"/>
      <c r="I493" s="4"/>
      <c r="J493" s="4"/>
      <c r="K493" s="4"/>
      <c r="L493" s="4"/>
      <c r="M493" s="4"/>
    </row>
    <row r="494" spans="1:13" ht="16.5" customHeight="1">
      <c r="A494" s="4"/>
      <c r="B494" s="11"/>
      <c r="C494" s="11"/>
      <c r="D494" s="11"/>
      <c r="E494" s="14"/>
      <c r="F494" s="4"/>
      <c r="G494" s="14"/>
      <c r="H494" s="4"/>
      <c r="I494" s="4"/>
      <c r="J494" s="4"/>
      <c r="K494" s="4"/>
      <c r="L494" s="4"/>
      <c r="M494" s="4"/>
    </row>
    <row r="495" spans="1:13" ht="16.5" customHeight="1">
      <c r="A495" s="4"/>
      <c r="B495" s="11"/>
      <c r="C495" s="11"/>
      <c r="D495" s="11"/>
      <c r="E495" s="14"/>
      <c r="F495" s="4"/>
      <c r="G495" s="14"/>
      <c r="H495" s="4"/>
      <c r="I495" s="4"/>
      <c r="J495" s="4"/>
      <c r="K495" s="4"/>
      <c r="L495" s="4"/>
      <c r="M495" s="4"/>
    </row>
    <row r="496" spans="1:13" ht="16.5" customHeight="1">
      <c r="A496" s="4"/>
      <c r="B496" s="11"/>
      <c r="C496" s="11"/>
      <c r="D496" s="11"/>
      <c r="E496" s="14"/>
      <c r="F496" s="4"/>
      <c r="G496" s="14"/>
      <c r="H496" s="4"/>
      <c r="I496" s="4"/>
      <c r="J496" s="4"/>
      <c r="K496" s="4"/>
      <c r="L496" s="4"/>
      <c r="M496" s="4"/>
    </row>
    <row r="497" spans="1:13" ht="16.5" customHeight="1">
      <c r="A497" s="4"/>
      <c r="B497" s="11"/>
      <c r="C497" s="11"/>
      <c r="D497" s="11"/>
      <c r="E497" s="14"/>
      <c r="F497" s="4"/>
      <c r="G497" s="14"/>
      <c r="H497" s="4"/>
      <c r="I497" s="4"/>
      <c r="J497" s="4"/>
      <c r="K497" s="4"/>
      <c r="L497" s="4"/>
      <c r="M497" s="4"/>
    </row>
    <row r="498" spans="1:13" ht="16.5" customHeight="1">
      <c r="A498" s="4"/>
      <c r="B498" s="11"/>
      <c r="C498" s="11"/>
      <c r="D498" s="11"/>
      <c r="E498" s="14"/>
      <c r="F498" s="4"/>
      <c r="G498" s="14"/>
      <c r="H498" s="4"/>
      <c r="I498" s="4"/>
      <c r="J498" s="4"/>
      <c r="K498" s="4"/>
      <c r="L498" s="4"/>
      <c r="M498" s="4"/>
    </row>
    <row r="499" spans="1:13" ht="16.5" customHeight="1">
      <c r="A499" s="4"/>
      <c r="B499" s="11"/>
      <c r="C499" s="11"/>
      <c r="D499" s="11"/>
      <c r="E499" s="14"/>
      <c r="F499" s="4"/>
      <c r="G499" s="14"/>
      <c r="H499" s="4"/>
      <c r="I499" s="4"/>
      <c r="J499" s="4"/>
      <c r="K499" s="4"/>
      <c r="L499" s="4"/>
      <c r="M499" s="4"/>
    </row>
    <row r="500" spans="1:13" ht="16.5" customHeight="1">
      <c r="A500" s="4"/>
      <c r="B500" s="11"/>
      <c r="C500" s="11"/>
      <c r="D500" s="11"/>
      <c r="E500" s="14"/>
      <c r="F500" s="4"/>
      <c r="G500" s="14"/>
      <c r="H500" s="4"/>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500"/>
  <sheetViews>
    <sheetView zoomScaleNormal="100" workbookViewId="0">
      <pane xSplit="3" ySplit="3" topLeftCell="D7" activePane="bottomRight" state="frozen"/>
      <selection pane="topRight" activeCell="D1" sqref="D1"/>
      <selection pane="bottomLeft" activeCell="A4" sqref="A4"/>
      <selection pane="bottomRight" activeCell="H12" sqref="H12"/>
    </sheetView>
  </sheetViews>
  <sheetFormatPr defaultColWidth="17.25" defaultRowHeight="15" customHeight="1"/>
  <cols>
    <col min="1" max="1" width="1.375" customWidth="1"/>
    <col min="2" max="2" width="4.375" customWidth="1"/>
    <col min="3" max="3" width="8.125" customWidth="1"/>
    <col min="4" max="4" width="6.75" customWidth="1"/>
    <col min="5" max="5" width="55.625" customWidth="1"/>
    <col min="6" max="6" width="2" customWidth="1"/>
    <col min="7" max="7" width="7.125" customWidth="1"/>
    <col min="8" max="8" width="55.625" customWidth="1"/>
    <col min="9" max="9" width="1.25" customWidth="1"/>
    <col min="10" max="10" width="4.625" customWidth="1"/>
    <col min="11" max="11" width="8.125" customWidth="1"/>
    <col min="12" max="12" width="6.125" customWidth="1"/>
    <col min="13" max="13" width="6.125" hidden="1" customWidth="1"/>
    <col min="14" max="14" width="6.125" customWidth="1"/>
    <col min="15" max="15" width="6.125" hidden="1" customWidth="1"/>
    <col min="16" max="16" width="6.125" customWidth="1"/>
    <col min="17" max="17" width="6.125" hidden="1" customWidth="1"/>
    <col min="18" max="18" width="6.125" customWidth="1"/>
    <col min="19" max="19" width="6.125" hidden="1" customWidth="1"/>
    <col min="20" max="20" width="6.125" customWidth="1"/>
    <col min="21" max="21" width="6.125" hidden="1" customWidth="1"/>
    <col min="22" max="22" width="6.625" customWidth="1"/>
    <col min="23" max="23" width="6.875" customWidth="1"/>
    <col min="24" max="24" width="6.125" customWidth="1"/>
  </cols>
  <sheetData>
    <row r="1" spans="1:24" ht="34.5" customHeight="1">
      <c r="A1" s="4"/>
      <c r="B1" s="71" t="s">
        <v>88</v>
      </c>
      <c r="C1" s="68"/>
      <c r="D1" s="68"/>
      <c r="E1" s="68"/>
      <c r="F1" s="68"/>
      <c r="G1" s="68"/>
      <c r="H1" s="68"/>
      <c r="I1" s="4"/>
      <c r="J1" s="70" t="s">
        <v>89</v>
      </c>
      <c r="K1" s="66"/>
      <c r="L1" s="66"/>
      <c r="M1" s="66"/>
      <c r="N1" s="66"/>
      <c r="O1" s="66"/>
      <c r="P1" s="66"/>
      <c r="Q1" s="66"/>
      <c r="R1" s="66"/>
      <c r="S1" s="66"/>
      <c r="T1" s="66"/>
      <c r="U1" s="66"/>
      <c r="V1" s="66"/>
      <c r="W1" s="66"/>
    </row>
    <row r="2" spans="1:24" ht="26.25" customHeight="1">
      <c r="A2" s="4"/>
      <c r="B2" s="69" t="s">
        <v>90</v>
      </c>
      <c r="C2" s="66"/>
      <c r="D2" s="66"/>
      <c r="E2" s="66"/>
      <c r="F2" s="5"/>
      <c r="G2" s="5"/>
      <c r="H2" s="5"/>
      <c r="I2" s="4"/>
      <c r="J2" s="74" t="s">
        <v>3</v>
      </c>
      <c r="K2" s="74" t="s">
        <v>4</v>
      </c>
      <c r="L2" s="72" t="s">
        <v>91</v>
      </c>
      <c r="M2" s="73"/>
      <c r="N2" s="72" t="s">
        <v>92</v>
      </c>
      <c r="O2" s="73"/>
      <c r="P2" s="76" t="s">
        <v>93</v>
      </c>
      <c r="Q2" s="73"/>
      <c r="R2" s="72" t="s">
        <v>94</v>
      </c>
      <c r="S2" s="73"/>
      <c r="T2" s="72" t="s">
        <v>95</v>
      </c>
      <c r="U2" s="73"/>
      <c r="V2" s="76" t="s">
        <v>96</v>
      </c>
      <c r="W2" s="73"/>
    </row>
    <row r="3" spans="1:24" ht="16.5" customHeight="1">
      <c r="A3" s="4"/>
      <c r="B3" s="6" t="s">
        <v>3</v>
      </c>
      <c r="C3" s="6" t="s">
        <v>4</v>
      </c>
      <c r="D3" s="7" t="s">
        <v>5</v>
      </c>
      <c r="E3" s="7" t="s">
        <v>6</v>
      </c>
      <c r="F3" s="15"/>
      <c r="G3" s="7" t="s">
        <v>7</v>
      </c>
      <c r="H3" s="7" t="s">
        <v>8</v>
      </c>
      <c r="I3" s="4"/>
      <c r="J3" s="75"/>
      <c r="K3" s="75"/>
      <c r="L3" s="16" t="s">
        <v>97</v>
      </c>
      <c r="M3" s="16" t="s">
        <v>98</v>
      </c>
      <c r="N3" s="16" t="s">
        <v>97</v>
      </c>
      <c r="O3" s="16" t="s">
        <v>98</v>
      </c>
      <c r="P3" s="16" t="s">
        <v>678</v>
      </c>
      <c r="Q3" s="16" t="s">
        <v>98</v>
      </c>
      <c r="R3" s="16" t="s">
        <v>97</v>
      </c>
      <c r="S3" s="16" t="s">
        <v>98</v>
      </c>
      <c r="T3" s="16" t="s">
        <v>97</v>
      </c>
      <c r="U3" s="16" t="s">
        <v>98</v>
      </c>
      <c r="V3" s="16" t="s">
        <v>97</v>
      </c>
      <c r="W3" s="16" t="s">
        <v>98</v>
      </c>
    </row>
    <row r="4" spans="1:24" ht="40.5" customHeight="1">
      <c r="A4" s="4"/>
      <c r="B4" s="6">
        <f>IF(인성!B4&gt;0,인성!B4,"")</f>
        <v>1</v>
      </c>
      <c r="C4" s="6" t="str">
        <f>IF(인성!C4&gt;0,인성!C4,"")</f>
        <v>김권위</v>
      </c>
      <c r="D4" s="2"/>
      <c r="E4" s="12" t="str">
        <f>IF(IF(D4=0,"",VLOOKUP(D4,$G$4:$H$153,2,FALSE))=0,"(학습능력)"&amp;종합의견!$F$1,(IF(D4=0,"",VLOOKUP(D4,$G$4:$H$153,2,FALSE))))</f>
        <v/>
      </c>
      <c r="F4" s="9"/>
      <c r="G4" s="8">
        <v>1</v>
      </c>
      <c r="H4" s="13" t="s">
        <v>99</v>
      </c>
      <c r="I4" s="4"/>
      <c r="J4" s="17">
        <f t="shared" ref="J4:K4" si="0">B4</f>
        <v>1</v>
      </c>
      <c r="K4" s="17" t="str">
        <f t="shared" si="0"/>
        <v>김권위</v>
      </c>
      <c r="L4" s="18"/>
      <c r="M4" s="19"/>
      <c r="N4" s="20"/>
      <c r="O4" s="21"/>
      <c r="P4" s="20">
        <v>43.7</v>
      </c>
      <c r="Q4" s="21"/>
      <c r="R4" s="20"/>
      <c r="S4" s="21"/>
      <c r="T4" s="20"/>
      <c r="U4" s="19"/>
      <c r="V4" s="20"/>
      <c r="W4" s="19"/>
      <c r="X4">
        <f>RANK(P4,$P$4:$P$23)</f>
        <v>19</v>
      </c>
    </row>
    <row r="5" spans="1:24" ht="27" customHeight="1">
      <c r="A5" s="4"/>
      <c r="B5" s="6">
        <f>IF(인성!B5&gt;0,인성!B5,"")</f>
        <v>2</v>
      </c>
      <c r="C5" s="6" t="str">
        <f>IF(인성!C5&gt;0,인성!C5,"")</f>
        <v>김상현</v>
      </c>
      <c r="D5" s="2">
        <v>57</v>
      </c>
      <c r="E5" s="12" t="str">
        <f>IF(IF(D5=0,"",VLOOKUP(D5,$G$4:$H$153,2,FALSE))=0,"(학습능력)"&amp;종합의견!$F$1,(IF(D5=0,"",VLOOKUP(D5,$G$4:$H$153,2,FALSE))))</f>
        <v xml:space="preserve">스스로 문제를 해결하려는 자세를 좋으며 매사 성실함. </v>
      </c>
      <c r="F5" s="9"/>
      <c r="G5" s="8">
        <v>2</v>
      </c>
      <c r="H5" s="13" t="s">
        <v>100</v>
      </c>
      <c r="I5" s="4"/>
      <c r="J5" s="17">
        <f t="shared" ref="J5:K5" si="1">B5</f>
        <v>2</v>
      </c>
      <c r="K5" s="17" t="str">
        <f t="shared" si="1"/>
        <v>김상현</v>
      </c>
      <c r="L5" s="18"/>
      <c r="M5" s="19"/>
      <c r="N5" s="20"/>
      <c r="O5" s="21"/>
      <c r="P5" s="20">
        <v>83.8</v>
      </c>
      <c r="Q5" s="21"/>
      <c r="R5" s="20"/>
      <c r="S5" s="21"/>
      <c r="T5" s="20"/>
      <c r="U5" s="19"/>
      <c r="V5" s="20"/>
      <c r="W5" s="19"/>
      <c r="X5">
        <f t="shared" ref="X5:X23" si="2">RANK(P5,$P$4:$P$23)</f>
        <v>15</v>
      </c>
    </row>
    <row r="6" spans="1:24" ht="40.5" customHeight="1">
      <c r="A6" s="4"/>
      <c r="B6" s="6">
        <f>IF(인성!B6&gt;0,인성!B6,"")</f>
        <v>3</v>
      </c>
      <c r="C6" s="6" t="str">
        <f>IF(인성!C6&gt;0,인성!C6,"")</f>
        <v>김승길</v>
      </c>
      <c r="D6" s="2">
        <v>53</v>
      </c>
      <c r="E6" s="12" t="str">
        <f>IF(IF(D6=0,"",VLOOKUP(D6,$G$4:$H$153,2,FALSE))=0,"(학습능력)"&amp;종합의견!$F$1,(IF(D6=0,"",VLOOKUP(D6,$G$4:$H$153,2,FALSE))))</f>
        <v xml:space="preserve">과제 학습을 잘 해오며 기본 학습 태도가 바르게 형성되어 있음. </v>
      </c>
      <c r="F6" s="9"/>
      <c r="G6" s="8">
        <v>3</v>
      </c>
      <c r="H6" s="13" t="s">
        <v>105</v>
      </c>
      <c r="I6" s="4"/>
      <c r="J6" s="17">
        <f t="shared" ref="J6:K6" si="3">B6</f>
        <v>3</v>
      </c>
      <c r="K6" s="17" t="str">
        <f t="shared" si="3"/>
        <v>김승길</v>
      </c>
      <c r="L6" s="18"/>
      <c r="M6" s="19"/>
      <c r="N6" s="20"/>
      <c r="O6" s="21"/>
      <c r="P6" s="20">
        <v>85.5</v>
      </c>
      <c r="Q6" s="21"/>
      <c r="R6" s="20"/>
      <c r="S6" s="21"/>
      <c r="T6" s="20"/>
      <c r="U6" s="19"/>
      <c r="V6" s="20"/>
      <c r="W6" s="19"/>
      <c r="X6">
        <f t="shared" si="2"/>
        <v>14</v>
      </c>
    </row>
    <row r="7" spans="1:24" ht="27" customHeight="1">
      <c r="A7" s="4"/>
      <c r="B7" s="6">
        <f>IF(인성!B7&gt;0,인성!B7,"")</f>
        <v>4</v>
      </c>
      <c r="C7" s="6" t="str">
        <f>IF(인성!C7&gt;0,인성!C7,"")</f>
        <v>김하얀</v>
      </c>
      <c r="D7" s="2">
        <v>26</v>
      </c>
      <c r="E7" s="12" t="str">
        <f>IF(IF(D7=0,"",VLOOKUP(D7,$G$4:$H$153,2,FALSE))=0,"(학습능력)"&amp;종합의견!$F$1,(IF(D7=0,"",VLOOKUP(D7,$G$4:$H$153,2,FALSE))))</f>
        <v>교과학습 시간에 올바른 학습태도를 잘 유지하고 나름대로 계획을 세워 자기주도적 학습을 실천하고자 노력하고 있어 발전가능성이 있음.</v>
      </c>
      <c r="F7" s="9"/>
      <c r="G7" s="8">
        <v>4</v>
      </c>
      <c r="H7" s="13" t="s">
        <v>106</v>
      </c>
      <c r="I7" s="4"/>
      <c r="J7" s="17">
        <f t="shared" ref="J7:K7" si="4">B7</f>
        <v>4</v>
      </c>
      <c r="K7" s="17" t="str">
        <f t="shared" si="4"/>
        <v>김하얀</v>
      </c>
      <c r="L7" s="18"/>
      <c r="M7" s="19"/>
      <c r="N7" s="20"/>
      <c r="O7" s="21"/>
      <c r="P7" s="20">
        <v>88.3</v>
      </c>
      <c r="Q7" s="21"/>
      <c r="R7" s="20"/>
      <c r="S7" s="21"/>
      <c r="T7" s="20"/>
      <c r="U7" s="19"/>
      <c r="V7" s="20"/>
      <c r="W7" s="19"/>
      <c r="X7">
        <f t="shared" si="2"/>
        <v>7</v>
      </c>
    </row>
    <row r="8" spans="1:24" ht="27" customHeight="1">
      <c r="A8" s="4"/>
      <c r="B8" s="6">
        <f>IF(인성!B8&gt;0,인성!B8,"")</f>
        <v>5</v>
      </c>
      <c r="C8" s="6" t="str">
        <f>IF(인성!C8&gt;0,인성!C8,"")</f>
        <v>김호찬</v>
      </c>
      <c r="D8" s="2"/>
      <c r="E8" s="12" t="str">
        <f>IF(IF(D8=0,"",VLOOKUP(D8,$G$4:$H$153,2,FALSE))=0,"(학습능력)"&amp;종합의견!$F$1,(IF(D8=0,"",VLOOKUP(D8,$G$4:$H$153,2,FALSE))))</f>
        <v/>
      </c>
      <c r="F8" s="9"/>
      <c r="G8" s="8">
        <v>5</v>
      </c>
      <c r="H8" s="13" t="s">
        <v>112</v>
      </c>
      <c r="I8" s="4"/>
      <c r="J8" s="17">
        <f t="shared" ref="J8:K8" si="5">B8</f>
        <v>5</v>
      </c>
      <c r="K8" s="17" t="str">
        <f t="shared" si="5"/>
        <v>김호찬</v>
      </c>
      <c r="L8" s="18"/>
      <c r="M8" s="19"/>
      <c r="N8" s="20"/>
      <c r="O8" s="21"/>
      <c r="P8" s="20">
        <v>43.2</v>
      </c>
      <c r="Q8" s="21"/>
      <c r="R8" s="20"/>
      <c r="S8" s="21"/>
      <c r="T8" s="20"/>
      <c r="U8" s="19"/>
      <c r="V8" s="20"/>
      <c r="W8" s="19"/>
      <c r="X8">
        <f t="shared" si="2"/>
        <v>20</v>
      </c>
    </row>
    <row r="9" spans="1:24" ht="27" customHeight="1">
      <c r="A9" s="4"/>
      <c r="B9" s="6">
        <f>IF(인성!B9&gt;0,인성!B9,"")</f>
        <v>6</v>
      </c>
      <c r="C9" s="6" t="str">
        <f>IF(인성!C9&gt;0,인성!C9,"")</f>
        <v>노지형</v>
      </c>
      <c r="D9" s="2">
        <v>58</v>
      </c>
      <c r="E9" s="12" t="str">
        <f>IF(IF(D9=0,"",VLOOKUP(D9,$G$4:$H$153,2,FALSE))=0,"(학습능력)"&amp;종합의견!$F$1,(IF(D9=0,"",VLOOKUP(D9,$G$4:$H$153,2,FALSE))))</f>
        <v xml:space="preserve">기본적인 학습 규칙을 잘 이행하며 자기의 목표 달성을 위해 성실히 노력함. </v>
      </c>
      <c r="F9" s="9"/>
      <c r="G9" s="8">
        <v>6</v>
      </c>
      <c r="H9" s="13" t="s">
        <v>113</v>
      </c>
      <c r="I9" s="4"/>
      <c r="J9" s="17">
        <f t="shared" ref="J9:K9" si="6">B9</f>
        <v>6</v>
      </c>
      <c r="K9" s="17" t="str">
        <f t="shared" si="6"/>
        <v>노지형</v>
      </c>
      <c r="L9" s="18"/>
      <c r="M9" s="19"/>
      <c r="N9" s="20"/>
      <c r="O9" s="21"/>
      <c r="P9" s="20">
        <v>82</v>
      </c>
      <c r="Q9" s="21"/>
      <c r="R9" s="20"/>
      <c r="S9" s="21"/>
      <c r="T9" s="20"/>
      <c r="U9" s="19"/>
      <c r="V9" s="20"/>
      <c r="W9" s="19"/>
      <c r="X9">
        <f t="shared" si="2"/>
        <v>16</v>
      </c>
    </row>
    <row r="10" spans="1:24" ht="27" customHeight="1">
      <c r="A10" s="4"/>
      <c r="B10" s="6">
        <f>IF(인성!B10&gt;0,인성!B10,"")</f>
        <v>7</v>
      </c>
      <c r="C10" s="6" t="str">
        <f>IF(인성!C10&gt;0,인성!C10,"")</f>
        <v>류나경</v>
      </c>
      <c r="D10" s="2">
        <v>39</v>
      </c>
      <c r="E10" s="12" t="str">
        <f>IF(IF(D10=0,"",VLOOKUP(D10,$G$4:$H$153,2,FALSE))=0,"(학습능력)"&amp;종합의견!$F$1,(IF(D10=0,"",VLOOKUP(D10,$G$4:$H$153,2,FALSE))))</f>
        <v xml:space="preserve">노력에 비해 학업성취도는 비교적 미흡하나 수업태도가 매우 좋고 열심히 노력하는 의지가 돋보여 발전가능성이 있음. </v>
      </c>
      <c r="F10" s="9"/>
      <c r="G10" s="8">
        <v>7</v>
      </c>
      <c r="H10" s="13" t="s">
        <v>114</v>
      </c>
      <c r="I10" s="4"/>
      <c r="J10" s="17">
        <f t="shared" ref="J10:K10" si="7">B10</f>
        <v>7</v>
      </c>
      <c r="K10" s="17" t="str">
        <f t="shared" si="7"/>
        <v>류나경</v>
      </c>
      <c r="L10" s="18"/>
      <c r="M10" s="19"/>
      <c r="N10" s="20"/>
      <c r="O10" s="21"/>
      <c r="P10" s="20">
        <v>76</v>
      </c>
      <c r="Q10" s="21"/>
      <c r="R10" s="20"/>
      <c r="S10" s="21"/>
      <c r="T10" s="20"/>
      <c r="U10" s="19"/>
      <c r="V10" s="20"/>
      <c r="W10" s="19"/>
      <c r="X10">
        <f t="shared" si="2"/>
        <v>17</v>
      </c>
    </row>
    <row r="11" spans="1:24" ht="27" customHeight="1">
      <c r="A11" s="4"/>
      <c r="B11" s="6">
        <f>IF(인성!B11&gt;0,인성!B11,"")</f>
        <v>8</v>
      </c>
      <c r="C11" s="6" t="str">
        <f>IF(인성!C11&gt;0,인성!C11,"")</f>
        <v>박건하</v>
      </c>
      <c r="D11" s="2">
        <v>2</v>
      </c>
      <c r="E11" s="12" t="str">
        <f>IF(IF(D11=0,"",VLOOKUP(D11,$G$4:$H$153,2,FALSE))=0,"(학습능력)"&amp;종합의견!$F$1,(IF(D11=0,"",VLOOKUP(D11,$G$4:$H$153,2,FALSE))))</f>
        <v>자기 절제력과 집중력이 좋아 관심분야에 대해 몰입하여 깊이 탐구하는 것을 좋아하고 자기주도적인 학습계획과 실천능력이 매우 우수함.</v>
      </c>
      <c r="F11" s="9"/>
      <c r="G11" s="8">
        <v>8</v>
      </c>
      <c r="H11" s="13" t="s">
        <v>698</v>
      </c>
      <c r="I11" s="4"/>
      <c r="J11" s="17">
        <f t="shared" ref="J11:K11" si="8">B11</f>
        <v>8</v>
      </c>
      <c r="K11" s="17" t="str">
        <f t="shared" si="8"/>
        <v>박건하</v>
      </c>
      <c r="L11" s="18"/>
      <c r="M11" s="19"/>
      <c r="N11" s="20"/>
      <c r="O11" s="21"/>
      <c r="P11" s="20">
        <v>90.8</v>
      </c>
      <c r="Q11" s="21"/>
      <c r="R11" s="20"/>
      <c r="S11" s="21"/>
      <c r="T11" s="20"/>
      <c r="U11" s="19"/>
      <c r="V11" s="20"/>
      <c r="W11" s="19"/>
      <c r="X11">
        <f t="shared" si="2"/>
        <v>4</v>
      </c>
    </row>
    <row r="12" spans="1:24" ht="40.5" customHeight="1">
      <c r="A12" s="4"/>
      <c r="B12" s="6">
        <f>IF(인성!B12&gt;0,인성!B12,"")</f>
        <v>9</v>
      </c>
      <c r="C12" s="6" t="str">
        <f>IF(인성!C12&gt;0,인성!C12,"")</f>
        <v>서형찬</v>
      </c>
      <c r="D12" s="2">
        <v>52</v>
      </c>
      <c r="E12" s="12" t="str">
        <f>IF(IF(D12=0,"",VLOOKUP(D12,$G$4:$H$153,2,FALSE))=0,"(학습능력)"&amp;종합의견!$F$1,(IF(D12=0,"",VLOOKUP(D12,$G$4:$H$153,2,FALSE))))</f>
        <v xml:space="preserve">학습에 필요한 자료를 잘 수집하여 활용하는 학습 태도가 매우 진취적임. </v>
      </c>
      <c r="F12" s="9"/>
      <c r="G12" s="8">
        <v>9</v>
      </c>
      <c r="H12" s="13" t="s">
        <v>118</v>
      </c>
      <c r="I12" s="4"/>
      <c r="J12" s="17">
        <f t="shared" ref="J12:K12" si="9">B12</f>
        <v>9</v>
      </c>
      <c r="K12" s="17" t="str">
        <f t="shared" si="9"/>
        <v>서형찬</v>
      </c>
      <c r="L12" s="18"/>
      <c r="M12" s="19"/>
      <c r="N12" s="20"/>
      <c r="O12" s="21"/>
      <c r="P12" s="20">
        <v>85.6</v>
      </c>
      <c r="Q12" s="21"/>
      <c r="R12" s="20"/>
      <c r="S12" s="21"/>
      <c r="T12" s="20"/>
      <c r="U12" s="19"/>
      <c r="V12" s="20"/>
      <c r="W12" s="19"/>
      <c r="X12">
        <f t="shared" si="2"/>
        <v>12</v>
      </c>
    </row>
    <row r="13" spans="1:24" ht="27" customHeight="1">
      <c r="A13" s="4"/>
      <c r="B13" s="6">
        <f>IF(인성!B13&gt;0,인성!B13,"")</f>
        <v>10</v>
      </c>
      <c r="C13" s="6" t="str">
        <f>IF(인성!C13&gt;0,인성!C13,"")</f>
        <v>손우진</v>
      </c>
      <c r="D13" s="2">
        <v>26</v>
      </c>
      <c r="E13" s="12" t="str">
        <f>IF(IF(D13=0,"",VLOOKUP(D13,$G$4:$H$153,2,FALSE))=0,"(학습능력)"&amp;종합의견!$F$1,(IF(D13=0,"",VLOOKUP(D13,$G$4:$H$153,2,FALSE))))</f>
        <v>교과학습 시간에 올바른 학습태도를 잘 유지하고 나름대로 계획을 세워 자기주도적 학습을 실천하고자 노력하고 있어 발전가능성이 있음.</v>
      </c>
      <c r="F13" s="9"/>
      <c r="G13" s="8">
        <v>10</v>
      </c>
      <c r="H13" s="13" t="s">
        <v>119</v>
      </c>
      <c r="I13" s="4"/>
      <c r="J13" s="17">
        <f t="shared" ref="J13:K13" si="10">B13</f>
        <v>10</v>
      </c>
      <c r="K13" s="17" t="str">
        <f t="shared" si="10"/>
        <v>손우진</v>
      </c>
      <c r="L13" s="18"/>
      <c r="M13" s="19"/>
      <c r="N13" s="20"/>
      <c r="O13" s="21"/>
      <c r="P13" s="20">
        <v>88.2</v>
      </c>
      <c r="Q13" s="21"/>
      <c r="R13" s="20"/>
      <c r="S13" s="21"/>
      <c r="T13" s="20"/>
      <c r="U13" s="19"/>
      <c r="V13" s="20"/>
      <c r="W13" s="19"/>
      <c r="X13">
        <f t="shared" si="2"/>
        <v>8</v>
      </c>
    </row>
    <row r="14" spans="1:24" ht="40.5" customHeight="1">
      <c r="A14" s="4"/>
      <c r="B14" s="6">
        <f>IF(인성!B14&gt;0,인성!B14,"")</f>
        <v>11</v>
      </c>
      <c r="C14" s="6" t="str">
        <f>IF(인성!C14&gt;0,인성!C14,"")</f>
        <v>송정연</v>
      </c>
      <c r="D14" s="2">
        <v>20</v>
      </c>
      <c r="E14" s="12" t="str">
        <f>IF(IF(D14=0,"",VLOOKUP(D14,$G$4:$H$153,2,FALSE))=0,"(학습능력)"&amp;종합의견!$F$1,(IF(D14=0,"",VLOOKUP(D14,$G$4:$H$153,2,FALSE))))</f>
        <v>학습계획과 목표를 설정하여 수업시간에 자기주도적 학습태도를 잘 견지함은 물론 쉬는 시간이나 자습시간을 활용함으로써 전반적으로 학업성적이 우수함.</v>
      </c>
      <c r="F14" s="9"/>
      <c r="G14" s="8">
        <v>11</v>
      </c>
      <c r="H14" s="13" t="s">
        <v>121</v>
      </c>
      <c r="I14" s="4"/>
      <c r="J14" s="17">
        <f t="shared" ref="J14:K14" si="11">B14</f>
        <v>11</v>
      </c>
      <c r="K14" s="17" t="str">
        <f t="shared" si="11"/>
        <v>송정연</v>
      </c>
      <c r="L14" s="18"/>
      <c r="M14" s="19"/>
      <c r="N14" s="20"/>
      <c r="O14" s="21"/>
      <c r="P14" s="20">
        <v>88.5</v>
      </c>
      <c r="Q14" s="21"/>
      <c r="R14" s="20"/>
      <c r="S14" s="21"/>
      <c r="T14" s="20"/>
      <c r="U14" s="19"/>
      <c r="V14" s="20"/>
      <c r="W14" s="19"/>
      <c r="X14">
        <f t="shared" si="2"/>
        <v>6</v>
      </c>
    </row>
    <row r="15" spans="1:24" ht="40.5" customHeight="1">
      <c r="A15" s="4"/>
      <c r="B15" s="6">
        <f>IF(인성!B15&gt;0,인성!B15,"")</f>
        <v>12</v>
      </c>
      <c r="C15" s="6" t="str">
        <f>IF(인성!C15&gt;0,인성!C15,"")</f>
        <v>양민국</v>
      </c>
      <c r="D15" s="2">
        <v>55</v>
      </c>
      <c r="E15" s="12" t="str">
        <f>IF(IF(D15=0,"",VLOOKUP(D15,$G$4:$H$153,2,FALSE))=0,"(학습능력)"&amp;종합의견!$F$1,(IF(D15=0,"",VLOOKUP(D15,$G$4:$H$153,2,FALSE))))</f>
        <v xml:space="preserve">생활 주변 현상에 대해 남다른 관심을 가졌으며 매사 진취적인 태도로 학습 활동에 참여함. </v>
      </c>
      <c r="F15" s="9"/>
      <c r="G15" s="8">
        <v>12</v>
      </c>
      <c r="H15" s="13" t="s">
        <v>122</v>
      </c>
      <c r="I15" s="4"/>
      <c r="J15" s="17">
        <f t="shared" ref="J15:K15" si="12">B15</f>
        <v>12</v>
      </c>
      <c r="K15" s="17" t="str">
        <f t="shared" si="12"/>
        <v>양민국</v>
      </c>
      <c r="L15" s="18"/>
      <c r="M15" s="19"/>
      <c r="N15" s="20"/>
      <c r="O15" s="21"/>
      <c r="P15" s="20">
        <v>86.9</v>
      </c>
      <c r="Q15" s="21"/>
      <c r="R15" s="20"/>
      <c r="S15" s="21"/>
      <c r="T15" s="20"/>
      <c r="U15" s="19"/>
      <c r="V15" s="20"/>
      <c r="W15" s="19"/>
      <c r="X15">
        <f t="shared" si="2"/>
        <v>11</v>
      </c>
    </row>
    <row r="16" spans="1:24" ht="27" customHeight="1">
      <c r="A16" s="4"/>
      <c r="B16" s="6">
        <f>IF(인성!B16&gt;0,인성!B16,"")</f>
        <v>13</v>
      </c>
      <c r="C16" s="6" t="str">
        <f>IF(인성!C16&gt;0,인성!C16,"")</f>
        <v>오서현</v>
      </c>
      <c r="D16" s="2">
        <v>4</v>
      </c>
      <c r="E16" s="12" t="str">
        <f>IF(IF(D16=0,"",VLOOKUP(D16,$G$4:$H$153,2,FALSE))=0,"(학습능력)"&amp;종합의견!$F$1,(IF(D16=0,"",VLOOKUP(D16,$G$4:$H$153,2,FALSE))))</f>
        <v>자기관리 능력이 뛰어나 학습계획에 따라 공부하는 등 자기주도적 학습능력이 뛰어남.</v>
      </c>
      <c r="F16" s="9"/>
      <c r="G16" s="8">
        <v>13</v>
      </c>
      <c r="H16" s="13" t="s">
        <v>123</v>
      </c>
      <c r="I16" s="4"/>
      <c r="J16" s="17">
        <f t="shared" ref="J16:K16" si="13">B16</f>
        <v>13</v>
      </c>
      <c r="K16" s="17" t="str">
        <f t="shared" si="13"/>
        <v>오서현</v>
      </c>
      <c r="L16" s="18"/>
      <c r="M16" s="19"/>
      <c r="N16" s="20"/>
      <c r="O16" s="21"/>
      <c r="P16" s="20">
        <v>90.5</v>
      </c>
      <c r="Q16" s="21"/>
      <c r="R16" s="20"/>
      <c r="S16" s="21"/>
      <c r="T16" s="20"/>
      <c r="U16" s="19"/>
      <c r="V16" s="20"/>
      <c r="W16" s="19"/>
      <c r="X16">
        <f t="shared" si="2"/>
        <v>5</v>
      </c>
    </row>
    <row r="17" spans="1:24" ht="40.5" customHeight="1">
      <c r="A17" s="4"/>
      <c r="B17" s="6">
        <f>IF(인성!B17&gt;0,인성!B17,"")</f>
        <v>14</v>
      </c>
      <c r="C17" s="6" t="str">
        <f>IF(인성!C17&gt;0,인성!C17,"")</f>
        <v>윤재영</v>
      </c>
      <c r="D17" s="2">
        <v>59</v>
      </c>
      <c r="E17" s="12" t="str">
        <f>IF(IF(D17=0,"",VLOOKUP(D17,$G$4:$H$153,2,FALSE))=0,"(학습능력)"&amp;종합의견!$F$1,(IF(D17=0,"",VLOOKUP(D17,$G$4:$H$153,2,FALSE))))</f>
        <v xml:space="preserve">탐구 능력이 있으며 합리적인 생활 태도를 가지려고 노력함. </v>
      </c>
      <c r="F17" s="9"/>
      <c r="G17" s="8">
        <v>14</v>
      </c>
      <c r="H17" s="13" t="s">
        <v>124</v>
      </c>
      <c r="I17" s="4"/>
      <c r="J17" s="17">
        <f t="shared" ref="J17:K17" si="14">B17</f>
        <v>14</v>
      </c>
      <c r="K17" s="17" t="str">
        <f t="shared" si="14"/>
        <v>윤재영</v>
      </c>
      <c r="L17" s="18"/>
      <c r="M17" s="19"/>
      <c r="N17" s="20"/>
      <c r="O17" s="21"/>
      <c r="P17" s="20">
        <v>85.6</v>
      </c>
      <c r="Q17" s="21"/>
      <c r="R17" s="20"/>
      <c r="S17" s="21"/>
      <c r="T17" s="20"/>
      <c r="U17" s="19"/>
      <c r="V17" s="20"/>
      <c r="W17" s="19"/>
      <c r="X17">
        <f t="shared" si="2"/>
        <v>12</v>
      </c>
    </row>
    <row r="18" spans="1:24" ht="27" customHeight="1">
      <c r="A18" s="4"/>
      <c r="B18" s="6">
        <f>IF(인성!B18&gt;0,인성!B18,"")</f>
        <v>15</v>
      </c>
      <c r="C18" s="6" t="str">
        <f>IF(인성!C18&gt;0,인성!C18,"")</f>
        <v>이승민</v>
      </c>
      <c r="D18" s="2">
        <v>3</v>
      </c>
      <c r="E18" s="12" t="str">
        <f>IF(IF(D18=0,"",VLOOKUP(D18,$G$4:$H$153,2,FALSE))=0,"(학습능력)"&amp;종합의견!$F$1,(IF(D18=0,"",VLOOKUP(D18,$G$4:$H$153,2,FALSE))))</f>
        <v>자신이 세운 학습목표와 계획에 따라 주도면밀하게 잘 실천함으로써 지속적으로 높은 학업성취도를 유지함.</v>
      </c>
      <c r="F18" s="9"/>
      <c r="G18" s="8">
        <v>15</v>
      </c>
      <c r="H18" s="13" t="s">
        <v>126</v>
      </c>
      <c r="I18" s="4"/>
      <c r="J18" s="17">
        <f t="shared" ref="J18:K18" si="15">B18</f>
        <v>15</v>
      </c>
      <c r="K18" s="17" t="str">
        <f t="shared" si="15"/>
        <v>이승민</v>
      </c>
      <c r="L18" s="18"/>
      <c r="M18" s="19"/>
      <c r="N18" s="20"/>
      <c r="O18" s="21"/>
      <c r="P18" s="20">
        <v>95.9</v>
      </c>
      <c r="Q18" s="21"/>
      <c r="R18" s="20"/>
      <c r="S18" s="21"/>
      <c r="T18" s="20"/>
      <c r="U18" s="19"/>
      <c r="V18" s="20"/>
      <c r="W18" s="19"/>
      <c r="X18">
        <f t="shared" si="2"/>
        <v>2</v>
      </c>
    </row>
    <row r="19" spans="1:24" ht="27" customHeight="1">
      <c r="A19" s="4"/>
      <c r="B19" s="6">
        <f>IF(인성!B19&gt;0,인성!B19,"")</f>
        <v>16</v>
      </c>
      <c r="C19" s="6" t="str">
        <f>IF(인성!C19&gt;0,인성!C19,"")</f>
        <v>조도울</v>
      </c>
      <c r="D19" s="2">
        <v>9</v>
      </c>
      <c r="E19" s="12" t="str">
        <f>IF(IF(D19=0,"",VLOOKUP(D19,$G$4:$H$153,2,FALSE))=0,"(학습능력)"&amp;종합의견!$F$1,(IF(D19=0,"",VLOOKUP(D19,$G$4:$H$153,2,FALSE))))</f>
        <v>인내력이 강하고 자기관리 능력이 뛰어나 자기주도적 학습계획은 물론 목표에 따른 일관된 실천을 통해 학업성취도가 지속적으로 높게 유지됨.</v>
      </c>
      <c r="F19" s="9"/>
      <c r="G19" s="8">
        <v>16</v>
      </c>
      <c r="H19" s="13" t="s">
        <v>127</v>
      </c>
      <c r="I19" s="4"/>
      <c r="J19" s="17">
        <f t="shared" ref="J19:K19" si="16">B19</f>
        <v>16</v>
      </c>
      <c r="K19" s="17" t="str">
        <f t="shared" si="16"/>
        <v>조도울</v>
      </c>
      <c r="L19" s="18"/>
      <c r="M19" s="19"/>
      <c r="N19" s="20"/>
      <c r="O19" s="21"/>
      <c r="P19" s="20">
        <v>92.7</v>
      </c>
      <c r="Q19" s="21"/>
      <c r="R19" s="20"/>
      <c r="S19" s="21"/>
      <c r="T19" s="20"/>
      <c r="U19" s="19"/>
      <c r="V19" s="20"/>
      <c r="W19" s="19"/>
      <c r="X19">
        <f t="shared" si="2"/>
        <v>3</v>
      </c>
    </row>
    <row r="20" spans="1:24" ht="27" customHeight="1">
      <c r="A20" s="4"/>
      <c r="B20" s="6">
        <f>IF(인성!B20&gt;0,인성!B20,"")</f>
        <v>17</v>
      </c>
      <c r="C20" s="6" t="str">
        <f>IF(인성!C20&gt;0,인성!C20,"")</f>
        <v>차명준</v>
      </c>
      <c r="D20" s="2">
        <v>1</v>
      </c>
      <c r="E20" s="12" t="str">
        <f>IF(IF(D20=0,"",VLOOKUP(D20,$G$4:$H$153,2,FALSE))=0,"(학습능력)"&amp;종합의견!$F$1,(IF(D20=0,"",VLOOKUP(D20,$G$4:$H$153,2,FALSE))))</f>
        <v>학업성취도는 비교적 저조하나 열심히 공부하고자 하는 의욕이 있어 자신만의 학습방법을 잘 터득하여 실천하면 좋은 결과가 있을 것으로 기대됨.</v>
      </c>
      <c r="F20" s="9"/>
      <c r="G20" s="8">
        <v>17</v>
      </c>
      <c r="H20" s="13" t="s">
        <v>128</v>
      </c>
      <c r="I20" s="4"/>
      <c r="J20" s="17">
        <f t="shared" ref="J20:K20" si="17">B20</f>
        <v>17</v>
      </c>
      <c r="K20" s="17" t="str">
        <f t="shared" si="17"/>
        <v>차명준</v>
      </c>
      <c r="L20" s="18"/>
      <c r="M20" s="19"/>
      <c r="N20" s="20"/>
      <c r="O20" s="21"/>
      <c r="P20" s="20">
        <v>75.400000000000006</v>
      </c>
      <c r="Q20" s="21"/>
      <c r="R20" s="20"/>
      <c r="S20" s="21"/>
      <c r="T20" s="20"/>
      <c r="U20" s="19"/>
      <c r="V20" s="20"/>
      <c r="W20" s="19"/>
      <c r="X20">
        <f t="shared" si="2"/>
        <v>18</v>
      </c>
    </row>
    <row r="21" spans="1:24" ht="47.45" customHeight="1">
      <c r="A21" s="4"/>
      <c r="B21" s="6">
        <f>IF(인성!B21&gt;0,인성!B21,"")</f>
        <v>18</v>
      </c>
      <c r="C21" s="6" t="str">
        <f>IF(인성!C21&gt;0,인성!C21,"")</f>
        <v>최가영</v>
      </c>
      <c r="D21" s="2">
        <v>23</v>
      </c>
      <c r="E21" s="12" t="str">
        <f>IF(IF(D21=0,"",VLOOKUP(D21,$G$4:$H$153,2,FALSE))=0,"(학습능력)"&amp;종합의견!$F$1,(IF(D21=0,"",VLOOKUP(D21,$G$4:$H$153,2,FALSE))))</f>
        <v>학습태도가 좋고 자신이 세운 학습목표에 따라 자신을 잘 통제하며 생활하는 자기주도적 학습능력이 좋아 꾸준히 학업성적이 향상됨.</v>
      </c>
      <c r="F21" s="9"/>
      <c r="G21" s="8">
        <v>18</v>
      </c>
      <c r="H21" s="13" t="s">
        <v>594</v>
      </c>
      <c r="I21" s="4"/>
      <c r="J21" s="17">
        <f t="shared" ref="J21:K21" si="18">B21</f>
        <v>18</v>
      </c>
      <c r="K21" s="17" t="str">
        <f t="shared" si="18"/>
        <v>최가영</v>
      </c>
      <c r="L21" s="18"/>
      <c r="M21" s="19"/>
      <c r="N21" s="20"/>
      <c r="O21" s="21"/>
      <c r="P21" s="20">
        <v>88.2</v>
      </c>
      <c r="Q21" s="21"/>
      <c r="R21" s="20"/>
      <c r="S21" s="21"/>
      <c r="T21" s="20"/>
      <c r="U21" s="19"/>
      <c r="V21" s="20"/>
      <c r="W21" s="19"/>
      <c r="X21">
        <f t="shared" si="2"/>
        <v>8</v>
      </c>
    </row>
    <row r="22" spans="1:24" ht="40.5" customHeight="1">
      <c r="A22" s="4"/>
      <c r="B22" s="6">
        <f>IF(인성!B22&gt;0,인성!B22,"")</f>
        <v>19</v>
      </c>
      <c r="C22" s="6" t="str">
        <f>IF(인성!C22&gt;0,인성!C22,"")</f>
        <v>최다빈</v>
      </c>
      <c r="D22" s="2">
        <v>54</v>
      </c>
      <c r="E22" s="12" t="str">
        <f>IF(IF(D22=0,"",VLOOKUP(D22,$G$4:$H$153,2,FALSE))=0,"(학습능력)"&amp;종합의견!$F$1,(IF(D22=0,"",VLOOKUP(D22,$G$4:$H$153,2,FALSE))))</f>
        <v xml:space="preserve">학습에 임하는 자세가 바르게 정착되어 있으며 꾸준히 노력하는 성품을 가졌음. </v>
      </c>
      <c r="F22" s="9"/>
      <c r="G22" s="8">
        <v>19</v>
      </c>
      <c r="H22" s="13" t="s">
        <v>129</v>
      </c>
      <c r="I22" s="4"/>
      <c r="J22" s="17">
        <f t="shared" ref="J22:K22" si="19">B22</f>
        <v>19</v>
      </c>
      <c r="K22" s="17" t="str">
        <f t="shared" si="19"/>
        <v>최다빈</v>
      </c>
      <c r="L22" s="18"/>
      <c r="M22" s="19"/>
      <c r="N22" s="20"/>
      <c r="O22" s="21"/>
      <c r="P22" s="20">
        <v>87.4</v>
      </c>
      <c r="Q22" s="21"/>
      <c r="R22" s="20"/>
      <c r="S22" s="21"/>
      <c r="T22" s="20"/>
      <c r="U22" s="19"/>
      <c r="V22" s="20"/>
      <c r="W22" s="19"/>
      <c r="X22">
        <f t="shared" si="2"/>
        <v>10</v>
      </c>
    </row>
    <row r="23" spans="1:24" ht="40.5" customHeight="1">
      <c r="A23" s="4"/>
      <c r="B23" s="6">
        <f>IF(인성!B23&gt;0,인성!B23,"")</f>
        <v>20</v>
      </c>
      <c r="C23" s="6" t="str">
        <f>IF(인성!C23&gt;0,인성!C23,"")</f>
        <v>홍준석</v>
      </c>
      <c r="D23" s="2">
        <v>8</v>
      </c>
      <c r="E23" s="12" t="str">
        <f>IF(IF(D23=0,"",VLOOKUP(D23,$G$4:$H$153,2,FALSE))=0,"(학습능력)"&amp;종합의견!$F$1,(IF(D23=0,"",VLOOKUP(D23,$G$4:$H$153,2,FALSE))))</f>
        <v>인내력이 강하고 자기관리 능력이 뛰어나 자기주도적 학습능력이 우수하고 모든 교과목의 학업성취도가 탁월함.</v>
      </c>
      <c r="F23" s="9"/>
      <c r="G23" s="8">
        <v>20</v>
      </c>
      <c r="H23" s="13" t="s">
        <v>131</v>
      </c>
      <c r="I23" s="4"/>
      <c r="J23" s="17">
        <f t="shared" ref="J23:K23" si="20">B23</f>
        <v>20</v>
      </c>
      <c r="K23" s="17" t="str">
        <f t="shared" si="20"/>
        <v>홍준석</v>
      </c>
      <c r="L23" s="18"/>
      <c r="M23" s="19"/>
      <c r="N23" s="20"/>
      <c r="O23" s="21"/>
      <c r="P23" s="20">
        <v>96.5</v>
      </c>
      <c r="Q23" s="21"/>
      <c r="R23" s="20"/>
      <c r="S23" s="21"/>
      <c r="T23" s="20"/>
      <c r="U23" s="19"/>
      <c r="V23" s="20"/>
      <c r="W23" s="19"/>
      <c r="X23">
        <f t="shared" si="2"/>
        <v>1</v>
      </c>
    </row>
    <row r="24" spans="1:24" ht="40.5" customHeight="1">
      <c r="A24" s="4"/>
      <c r="B24" s="6" t="str">
        <f>IF(인성!B24&gt;0,인성!B24,"")</f>
        <v/>
      </c>
      <c r="C24" s="6" t="str">
        <f>IF(인성!C24&gt;0,인성!C24,"")</f>
        <v/>
      </c>
      <c r="D24" s="2"/>
      <c r="E24" s="12" t="str">
        <f>IF(IF(D24=0,"",VLOOKUP(D24,$G$4:$H$153,2,FALSE))=0,"(학습능력)"&amp;종합의견!$F$1,(IF(D24=0,"",VLOOKUP(D24,$G$4:$H$153,2,FALSE))))</f>
        <v/>
      </c>
      <c r="F24" s="9"/>
      <c r="G24" s="8">
        <v>21</v>
      </c>
      <c r="H24" s="13" t="s">
        <v>132</v>
      </c>
      <c r="I24" s="4"/>
      <c r="J24" s="17" t="str">
        <f t="shared" ref="J24:K24" si="21">B24</f>
        <v/>
      </c>
      <c r="K24" s="17" t="str">
        <f t="shared" si="21"/>
        <v/>
      </c>
      <c r="L24" s="18"/>
      <c r="M24" s="19"/>
      <c r="N24" s="20"/>
      <c r="O24" s="21"/>
      <c r="P24" s="20"/>
      <c r="Q24" s="21"/>
      <c r="R24" s="20"/>
      <c r="S24" s="21"/>
      <c r="T24" s="20"/>
      <c r="U24" s="19"/>
      <c r="V24" s="20"/>
      <c r="W24" s="19"/>
    </row>
    <row r="25" spans="1:24" ht="49.9" customHeight="1">
      <c r="A25" s="4"/>
      <c r="B25" s="6" t="str">
        <f>IF(인성!B25&gt;0,인성!B25,"")</f>
        <v/>
      </c>
      <c r="C25" s="6" t="str">
        <f>IF(인성!C25&gt;0,인성!C25,"")</f>
        <v/>
      </c>
      <c r="D25" s="2"/>
      <c r="E25" s="12" t="str">
        <f>IF(IF(D25=0,"",VLOOKUP(D25,$G$4:$H$153,2,FALSE))=0,"(학습능력)"&amp;종합의견!$F$1,(IF(D25=0,"",VLOOKUP(D25,$G$4:$H$153,2,FALSE))))</f>
        <v/>
      </c>
      <c r="F25" s="9"/>
      <c r="G25" s="8">
        <v>22</v>
      </c>
      <c r="H25" s="13" t="s">
        <v>133</v>
      </c>
      <c r="I25" s="4"/>
      <c r="J25" s="17" t="str">
        <f t="shared" ref="J25:K25" si="22">B25</f>
        <v/>
      </c>
      <c r="K25" s="17" t="str">
        <f t="shared" si="22"/>
        <v/>
      </c>
      <c r="L25" s="18"/>
      <c r="M25" s="19"/>
      <c r="N25" s="20"/>
      <c r="O25" s="21"/>
      <c r="P25" s="20"/>
      <c r="Q25" s="21"/>
      <c r="R25" s="20"/>
      <c r="S25" s="21"/>
      <c r="T25" s="20"/>
      <c r="U25" s="19"/>
      <c r="V25" s="20"/>
      <c r="W25" s="19"/>
    </row>
    <row r="26" spans="1:24" ht="40.5" customHeight="1">
      <c r="A26" s="4"/>
      <c r="B26" s="6" t="str">
        <f>IF(인성!B26&gt;0,인성!B26,"")</f>
        <v/>
      </c>
      <c r="C26" s="6" t="str">
        <f>IF(인성!C26&gt;0,인성!C26,"")</f>
        <v/>
      </c>
      <c r="D26" s="2"/>
      <c r="E26" s="12" t="str">
        <f>IF(IF(D26=0,"",VLOOKUP(D26,$G$4:$H$153,2,FALSE))=0,"(학습능력)"&amp;종합의견!$F$1,(IF(D26=0,"",VLOOKUP(D26,$G$4:$H$153,2,FALSE))))</f>
        <v/>
      </c>
      <c r="F26" s="9"/>
      <c r="G26" s="8">
        <v>23</v>
      </c>
      <c r="H26" s="13" t="s">
        <v>134</v>
      </c>
      <c r="I26" s="4"/>
      <c r="J26" s="17" t="str">
        <f t="shared" ref="J26:K26" si="23">B26</f>
        <v/>
      </c>
      <c r="K26" s="17" t="str">
        <f t="shared" si="23"/>
        <v/>
      </c>
      <c r="L26" s="18"/>
      <c r="M26" s="19"/>
      <c r="N26" s="20"/>
      <c r="O26" s="21"/>
      <c r="P26" s="20"/>
      <c r="Q26" s="21"/>
      <c r="R26" s="20"/>
      <c r="S26" s="21"/>
      <c r="T26" s="20"/>
      <c r="U26" s="19"/>
      <c r="V26" s="20"/>
      <c r="W26" s="19"/>
    </row>
    <row r="27" spans="1:24" ht="40.5" customHeight="1">
      <c r="A27" s="4"/>
      <c r="B27" s="6" t="str">
        <f>IF(인성!B27&gt;0,인성!B27,"")</f>
        <v/>
      </c>
      <c r="C27" s="6" t="str">
        <f>IF(인성!C27&gt;0,인성!C27,"")</f>
        <v/>
      </c>
      <c r="D27" s="2"/>
      <c r="E27" s="12" t="str">
        <f>IF(IF(D27=0,"",VLOOKUP(D27,$G$4:$H$153,2,FALSE))=0,"(학습능력)"&amp;종합의견!$F$1,(IF(D27=0,"",VLOOKUP(D27,$G$4:$H$153,2,FALSE))))</f>
        <v/>
      </c>
      <c r="F27" s="9"/>
      <c r="G27" s="8">
        <v>24</v>
      </c>
      <c r="H27" s="13" t="s">
        <v>135</v>
      </c>
      <c r="I27" s="4"/>
      <c r="J27" s="17" t="str">
        <f t="shared" ref="J27:K27" si="24">B27</f>
        <v/>
      </c>
      <c r="K27" s="17" t="str">
        <f t="shared" si="24"/>
        <v/>
      </c>
      <c r="L27" s="18"/>
      <c r="M27" s="19"/>
      <c r="N27" s="20"/>
      <c r="O27" s="21"/>
      <c r="P27" s="20"/>
      <c r="Q27" s="21"/>
      <c r="R27" s="20"/>
      <c r="S27" s="21"/>
      <c r="T27" s="20"/>
      <c r="U27" s="19"/>
      <c r="V27" s="20"/>
      <c r="W27" s="19"/>
    </row>
    <row r="28" spans="1:24" ht="40.5" customHeight="1">
      <c r="A28" s="4"/>
      <c r="B28" s="6" t="str">
        <f>IF(인성!B28&gt;0,인성!B28,"")</f>
        <v/>
      </c>
      <c r="C28" s="6" t="str">
        <f>IF(인성!C28&gt;0,인성!C28,"")</f>
        <v/>
      </c>
      <c r="D28" s="2"/>
      <c r="E28" s="12" t="str">
        <f>IF(IF(D28=0,"",VLOOKUP(D28,$G$4:$H$153,2,FALSE))=0,"(학습능력)"&amp;종합의견!$F$1,(IF(D28=0,"",VLOOKUP(D28,$G$4:$H$153,2,FALSE))))</f>
        <v/>
      </c>
      <c r="F28" s="9"/>
      <c r="G28" s="8">
        <v>25</v>
      </c>
      <c r="H28" s="13" t="s">
        <v>136</v>
      </c>
      <c r="I28" s="4"/>
      <c r="J28" s="17" t="str">
        <f t="shared" ref="J28:K28" si="25">B28</f>
        <v/>
      </c>
      <c r="K28" s="17" t="str">
        <f t="shared" si="25"/>
        <v/>
      </c>
      <c r="L28" s="18"/>
      <c r="M28" s="19"/>
      <c r="N28" s="20"/>
      <c r="O28" s="21"/>
      <c r="P28" s="20"/>
      <c r="Q28" s="21"/>
      <c r="R28" s="20"/>
      <c r="S28" s="21"/>
      <c r="T28" s="20"/>
      <c r="U28" s="19"/>
      <c r="V28" s="20"/>
      <c r="W28" s="19"/>
    </row>
    <row r="29" spans="1:24" ht="27" customHeight="1">
      <c r="A29" s="4"/>
      <c r="B29" s="6" t="str">
        <f>IF(인성!B29&gt;0,인성!B29,"")</f>
        <v/>
      </c>
      <c r="C29" s="6" t="str">
        <f>IF(인성!C29&gt;0,인성!C29,"")</f>
        <v/>
      </c>
      <c r="D29" s="2"/>
      <c r="E29" s="12" t="str">
        <f>IF(IF(D29=0,"",VLOOKUP(D29,$G$4:$H$153,2,FALSE))=0,"(학습능력)"&amp;종합의견!$F$1,(IF(D29=0,"",VLOOKUP(D29,$G$4:$H$153,2,FALSE))))</f>
        <v/>
      </c>
      <c r="F29" s="9"/>
      <c r="G29" s="8">
        <v>26</v>
      </c>
      <c r="H29" s="13" t="s">
        <v>137</v>
      </c>
      <c r="I29" s="4"/>
      <c r="J29" s="17" t="str">
        <f t="shared" ref="J29:K29" si="26">B29</f>
        <v/>
      </c>
      <c r="K29" s="17" t="str">
        <f t="shared" si="26"/>
        <v/>
      </c>
      <c r="L29" s="18"/>
      <c r="M29" s="19"/>
      <c r="N29" s="20"/>
      <c r="O29" s="21"/>
      <c r="P29" s="20"/>
      <c r="Q29" s="21"/>
      <c r="R29" s="20"/>
      <c r="S29" s="21"/>
      <c r="T29" s="20"/>
      <c r="U29" s="19"/>
      <c r="V29" s="20"/>
      <c r="W29" s="19"/>
    </row>
    <row r="30" spans="1:24" ht="40.5" customHeight="1">
      <c r="A30" s="4"/>
      <c r="B30" s="6" t="str">
        <f>IF(인성!B30&gt;0,인성!B30,"")</f>
        <v/>
      </c>
      <c r="C30" s="6" t="str">
        <f>IF(인성!C30&gt;0,인성!C30,"")</f>
        <v/>
      </c>
      <c r="D30" s="2"/>
      <c r="E30" s="12" t="str">
        <f>IF(IF(D30=0,"",VLOOKUP(D30,$G$4:$H$153,2,FALSE))=0,"(학습능력)"&amp;종합의견!$F$1,(IF(D30=0,"",VLOOKUP(D30,$G$4:$H$153,2,FALSE))))</f>
        <v/>
      </c>
      <c r="F30" s="9"/>
      <c r="G30" s="8">
        <v>27</v>
      </c>
      <c r="H30" s="13" t="s">
        <v>138</v>
      </c>
      <c r="I30" s="4"/>
      <c r="J30" s="17" t="str">
        <f t="shared" ref="J30:K30" si="27">B30</f>
        <v/>
      </c>
      <c r="K30" s="17" t="str">
        <f t="shared" si="27"/>
        <v/>
      </c>
      <c r="L30" s="18"/>
      <c r="M30" s="19"/>
      <c r="N30" s="20"/>
      <c r="O30" s="21"/>
      <c r="P30" s="20"/>
      <c r="Q30" s="21"/>
      <c r="R30" s="20"/>
      <c r="S30" s="21"/>
      <c r="T30" s="20"/>
      <c r="U30" s="19"/>
      <c r="V30" s="20"/>
      <c r="W30" s="19"/>
    </row>
    <row r="31" spans="1:24" ht="40.5" customHeight="1">
      <c r="A31" s="4"/>
      <c r="B31" s="6" t="str">
        <f>IF(인성!B31&gt;0,인성!B31,"")</f>
        <v/>
      </c>
      <c r="C31" s="6" t="str">
        <f>IF(인성!C31&gt;0,인성!C31,"")</f>
        <v/>
      </c>
      <c r="D31" s="2"/>
      <c r="E31" s="12" t="str">
        <f>IF(IF(D31=0,"",VLOOKUP(D31,$G$4:$H$153,2,FALSE))=0,"(학습능력)"&amp;종합의견!$F$1,(IF(D31=0,"",VLOOKUP(D31,$G$4:$H$153,2,FALSE))))</f>
        <v/>
      </c>
      <c r="F31" s="9"/>
      <c r="G31" s="8">
        <v>28</v>
      </c>
      <c r="H31" s="13" t="s">
        <v>139</v>
      </c>
      <c r="I31" s="4"/>
      <c r="J31" s="17" t="str">
        <f t="shared" ref="J31:K31" si="28">B31</f>
        <v/>
      </c>
      <c r="K31" s="17" t="str">
        <f t="shared" si="28"/>
        <v/>
      </c>
      <c r="L31" s="18"/>
      <c r="M31" s="19"/>
      <c r="N31" s="20"/>
      <c r="O31" s="21"/>
      <c r="P31" s="20"/>
      <c r="Q31" s="21"/>
      <c r="R31" s="20"/>
      <c r="S31" s="21"/>
      <c r="T31" s="20"/>
      <c r="U31" s="19"/>
      <c r="V31" s="20"/>
      <c r="W31" s="19"/>
    </row>
    <row r="32" spans="1:24" ht="40.5" customHeight="1">
      <c r="A32" s="4"/>
      <c r="B32" s="6" t="str">
        <f>IF(인성!B32&gt;0,인성!B32,"")</f>
        <v/>
      </c>
      <c r="C32" s="6" t="str">
        <f>IF(인성!C32&gt;0,인성!C32,"")</f>
        <v/>
      </c>
      <c r="D32" s="2"/>
      <c r="E32" s="12" t="str">
        <f>IF(IF(D32=0,"",VLOOKUP(D32,$G$4:$H$153,2,FALSE))=0,"(학습능력)"&amp;종합의견!$F$1,(IF(D32=0,"",VLOOKUP(D32,$G$4:$H$153,2,FALSE))))</f>
        <v/>
      </c>
      <c r="F32" s="9"/>
      <c r="G32" s="8">
        <v>29</v>
      </c>
      <c r="H32" s="13" t="s">
        <v>140</v>
      </c>
      <c r="I32" s="4"/>
      <c r="J32" s="17" t="str">
        <f t="shared" ref="J32:K32" si="29">B32</f>
        <v/>
      </c>
      <c r="K32" s="17" t="str">
        <f t="shared" si="29"/>
        <v/>
      </c>
      <c r="L32" s="18"/>
      <c r="M32" s="19"/>
      <c r="N32" s="20"/>
      <c r="O32" s="21"/>
      <c r="P32" s="20"/>
      <c r="Q32" s="21"/>
      <c r="R32" s="20"/>
      <c r="S32" s="21"/>
      <c r="T32" s="20"/>
      <c r="U32" s="19"/>
      <c r="V32" s="20"/>
      <c r="W32" s="19"/>
    </row>
    <row r="33" spans="1:23" ht="40.5" customHeight="1">
      <c r="A33" s="4"/>
      <c r="B33" s="6" t="str">
        <f>IF(인성!B33&gt;0,인성!B33,"")</f>
        <v/>
      </c>
      <c r="C33" s="6" t="str">
        <f>IF(인성!C33&gt;0,인성!C33,"")</f>
        <v/>
      </c>
      <c r="D33" s="2"/>
      <c r="E33" s="12" t="str">
        <f>IF(IF(D33=0,"",VLOOKUP(D33,$G$4:$H$153,2,FALSE))=0,"(학습능력)"&amp;종합의견!$F$1,(IF(D33=0,"",VLOOKUP(D33,$G$4:$H$153,2,FALSE))))</f>
        <v/>
      </c>
      <c r="F33" s="9"/>
      <c r="G33" s="8">
        <v>30</v>
      </c>
      <c r="H33" s="13" t="s">
        <v>141</v>
      </c>
      <c r="I33" s="4"/>
      <c r="J33" s="17" t="str">
        <f t="shared" ref="J33:K33" si="30">B33</f>
        <v/>
      </c>
      <c r="K33" s="17" t="str">
        <f t="shared" si="30"/>
        <v/>
      </c>
      <c r="L33" s="18"/>
      <c r="M33" s="19"/>
      <c r="N33" s="20"/>
      <c r="O33" s="21"/>
      <c r="P33" s="20"/>
      <c r="Q33" s="21"/>
      <c r="R33" s="20"/>
      <c r="S33" s="21"/>
      <c r="T33" s="20"/>
      <c r="U33" s="19"/>
      <c r="V33" s="20"/>
      <c r="W33" s="19"/>
    </row>
    <row r="34" spans="1:23" ht="40.5" customHeight="1">
      <c r="A34" s="4"/>
      <c r="B34" s="6" t="str">
        <f>IF(인성!B34&gt;0,인성!B34,"")</f>
        <v/>
      </c>
      <c r="C34" s="6" t="str">
        <f>IF(인성!C34&gt;0,인성!C34,"")</f>
        <v/>
      </c>
      <c r="D34" s="2"/>
      <c r="E34" s="12" t="str">
        <f>IF(IF(D34=0,"",VLOOKUP(D34,$G$4:$H$153,2,FALSE))=0,"(학습능력)"&amp;종합의견!$F$1,(IF(D34=0,"",VLOOKUP(D34,$G$4:$H$153,2,FALSE))))</f>
        <v/>
      </c>
      <c r="F34" s="9"/>
      <c r="G34" s="8">
        <v>31</v>
      </c>
      <c r="H34" s="13" t="s">
        <v>142</v>
      </c>
      <c r="I34" s="4"/>
      <c r="J34" s="17" t="str">
        <f t="shared" ref="J34:K34" si="31">B34</f>
        <v/>
      </c>
      <c r="K34" s="17" t="str">
        <f t="shared" si="31"/>
        <v/>
      </c>
      <c r="L34" s="18"/>
      <c r="M34" s="19"/>
      <c r="N34" s="20"/>
      <c r="O34" s="21"/>
      <c r="P34" s="20"/>
      <c r="Q34" s="21"/>
      <c r="R34" s="20"/>
      <c r="S34" s="21"/>
      <c r="T34" s="20"/>
      <c r="U34" s="19"/>
      <c r="V34" s="20"/>
      <c r="W34" s="19"/>
    </row>
    <row r="35" spans="1:23" ht="27" customHeight="1">
      <c r="A35" s="4"/>
      <c r="B35" s="6" t="str">
        <f>IF(인성!B35&gt;0,인성!B35,"")</f>
        <v/>
      </c>
      <c r="C35" s="6" t="str">
        <f>IF(인성!C35&gt;0,인성!C35,"")</f>
        <v/>
      </c>
      <c r="D35" s="2"/>
      <c r="E35" s="12" t="str">
        <f>IF(IF(D35=0,"",VLOOKUP(D35,$G$4:$H$153,2,FALSE))=0,"(학습능력)"&amp;종합의견!$F$1,(IF(D35=0,"",VLOOKUP(D35,$G$4:$H$153,2,FALSE))))</f>
        <v/>
      </c>
      <c r="F35" s="9"/>
      <c r="G35" s="8">
        <v>32</v>
      </c>
      <c r="H35" s="13" t="s">
        <v>143</v>
      </c>
      <c r="I35" s="4"/>
      <c r="J35" s="17" t="str">
        <f t="shared" ref="J35:K35" si="32">B35</f>
        <v/>
      </c>
      <c r="K35" s="17" t="str">
        <f t="shared" si="32"/>
        <v/>
      </c>
      <c r="L35" s="18"/>
      <c r="M35" s="19"/>
      <c r="N35" s="20"/>
      <c r="O35" s="21"/>
      <c r="P35" s="20"/>
      <c r="Q35" s="21"/>
      <c r="R35" s="20"/>
      <c r="S35" s="21"/>
      <c r="T35" s="20"/>
      <c r="U35" s="19"/>
      <c r="V35" s="20"/>
      <c r="W35" s="19"/>
    </row>
    <row r="36" spans="1:23" ht="40.5" customHeight="1">
      <c r="A36" s="4"/>
      <c r="B36" s="6" t="str">
        <f>IF(인성!B36&gt;0,인성!B36,"")</f>
        <v/>
      </c>
      <c r="C36" s="6" t="str">
        <f>IF(인성!C36&gt;0,인성!C36,"")</f>
        <v/>
      </c>
      <c r="D36" s="2"/>
      <c r="E36" s="12" t="str">
        <f>IF(IF(D36=0,"",VLOOKUP(D36,$G$4:$H$153,2,FALSE))=0,"(학습능력)"&amp;종합의견!$F$1,(IF(D36=0,"",VLOOKUP(D36,$G$4:$H$153,2,FALSE))))</f>
        <v/>
      </c>
      <c r="F36" s="9"/>
      <c r="G36" s="8">
        <v>33</v>
      </c>
      <c r="H36" s="13" t="s">
        <v>144</v>
      </c>
      <c r="I36" s="4"/>
      <c r="J36" s="17" t="str">
        <f t="shared" ref="J36:K36" si="33">B36</f>
        <v/>
      </c>
      <c r="K36" s="17" t="str">
        <f t="shared" si="33"/>
        <v/>
      </c>
      <c r="L36" s="18"/>
      <c r="M36" s="19"/>
      <c r="N36" s="20"/>
      <c r="O36" s="21"/>
      <c r="P36" s="20"/>
      <c r="Q36" s="21"/>
      <c r="R36" s="20"/>
      <c r="S36" s="21"/>
      <c r="T36" s="20"/>
      <c r="U36" s="19"/>
      <c r="V36" s="20"/>
      <c r="W36" s="19"/>
    </row>
    <row r="37" spans="1:23" ht="40.5" customHeight="1">
      <c r="A37" s="4"/>
      <c r="B37" s="6" t="str">
        <f>IF(인성!B37&gt;0,인성!B37,"")</f>
        <v/>
      </c>
      <c r="C37" s="6" t="str">
        <f>IF(인성!C37&gt;0,인성!C37,"")</f>
        <v/>
      </c>
      <c r="D37" s="2"/>
      <c r="E37" s="12" t="str">
        <f>IF(IF(D37=0,"",VLOOKUP(D37,$G$4:$H$153,2,FALSE))=0,"(학습능력)"&amp;종합의견!$F$1,(IF(D37=0,"",VLOOKUP(D37,$G$4:$H$153,2,FALSE))))</f>
        <v/>
      </c>
      <c r="F37" s="9"/>
      <c r="G37" s="8">
        <v>34</v>
      </c>
      <c r="H37" s="13" t="s">
        <v>145</v>
      </c>
      <c r="I37" s="4"/>
      <c r="J37" s="17" t="str">
        <f t="shared" ref="J37:K37" si="34">B37</f>
        <v/>
      </c>
      <c r="K37" s="17" t="str">
        <f t="shared" si="34"/>
        <v/>
      </c>
      <c r="L37" s="18"/>
      <c r="M37" s="19"/>
      <c r="N37" s="20"/>
      <c r="O37" s="21"/>
      <c r="P37" s="20"/>
      <c r="Q37" s="21"/>
      <c r="R37" s="20"/>
      <c r="S37" s="21"/>
      <c r="T37" s="20"/>
      <c r="U37" s="19"/>
      <c r="V37" s="20"/>
      <c r="W37" s="19"/>
    </row>
    <row r="38" spans="1:23" ht="40.5" customHeight="1">
      <c r="A38" s="4"/>
      <c r="B38" s="6" t="str">
        <f>IF(인성!B38&gt;0,인성!B38,"")</f>
        <v/>
      </c>
      <c r="C38" s="6" t="str">
        <f>IF(인성!C38&gt;0,인성!C38,"")</f>
        <v/>
      </c>
      <c r="D38" s="2"/>
      <c r="E38" s="12" t="str">
        <f>IF(IF(D38=0,"",VLOOKUP(D38,$G$4:$H$153,2,FALSE))=0,"(학습능력)"&amp;종합의견!$F$1,(IF(D38=0,"",VLOOKUP(D38,$G$4:$H$153,2,FALSE))))</f>
        <v/>
      </c>
      <c r="F38" s="9"/>
      <c r="G38" s="8">
        <v>35</v>
      </c>
      <c r="H38" s="13" t="s">
        <v>146</v>
      </c>
      <c r="I38" s="4"/>
      <c r="J38" s="17" t="str">
        <f t="shared" ref="J38:K38" si="35">B38</f>
        <v/>
      </c>
      <c r="K38" s="17" t="str">
        <f t="shared" si="35"/>
        <v/>
      </c>
      <c r="L38" s="18"/>
      <c r="M38" s="19"/>
      <c r="N38" s="20"/>
      <c r="O38" s="21"/>
      <c r="P38" s="20"/>
      <c r="Q38" s="21"/>
      <c r="R38" s="20"/>
      <c r="S38" s="21"/>
      <c r="T38" s="20"/>
      <c r="U38" s="19"/>
      <c r="V38" s="20"/>
      <c r="W38" s="19"/>
    </row>
    <row r="39" spans="1:23" ht="67.5" customHeight="1">
      <c r="A39" s="4"/>
      <c r="B39" s="6" t="str">
        <f>IF(인성!B39&gt;0,인성!B39,"")</f>
        <v/>
      </c>
      <c r="C39" s="6" t="str">
        <f>IF(인성!C39&gt;0,인성!C39,"")</f>
        <v/>
      </c>
      <c r="D39" s="2"/>
      <c r="E39" s="12" t="str">
        <f>IF(IF(D39=0,"",VLOOKUP(D39,$G$4:$H$153,2,FALSE))=0,"(학습능력)"&amp;종합의견!$F$1,(IF(D39=0,"",VLOOKUP(D39,$G$4:$H$153,2,FALSE))))</f>
        <v/>
      </c>
      <c r="F39" s="9"/>
      <c r="G39" s="8">
        <v>36</v>
      </c>
      <c r="H39" s="13" t="s">
        <v>147</v>
      </c>
      <c r="I39" s="4"/>
      <c r="J39" s="17" t="str">
        <f t="shared" ref="J39:K39" si="36">B39</f>
        <v/>
      </c>
      <c r="K39" s="17" t="str">
        <f t="shared" si="36"/>
        <v/>
      </c>
      <c r="L39" s="18"/>
      <c r="M39" s="19"/>
      <c r="N39" s="20"/>
      <c r="O39" s="21"/>
      <c r="P39" s="20"/>
      <c r="Q39" s="21"/>
      <c r="R39" s="20"/>
      <c r="S39" s="21"/>
      <c r="T39" s="20"/>
      <c r="U39" s="19"/>
      <c r="V39" s="20"/>
      <c r="W39" s="19"/>
    </row>
    <row r="40" spans="1:23" ht="27" customHeight="1">
      <c r="A40" s="4"/>
      <c r="B40" s="6" t="str">
        <f>IF(인성!B40&gt;0,인성!B40,"")</f>
        <v/>
      </c>
      <c r="C40" s="6" t="str">
        <f>IF(인성!C40&gt;0,인성!C40,"")</f>
        <v/>
      </c>
      <c r="D40" s="2"/>
      <c r="E40" s="12" t="str">
        <f>IF(IF(D40=0,"",VLOOKUP(D40,$G$4:$H$153,2,FALSE))=0,"(학습능력)"&amp;종합의견!$F$1,(IF(D40=0,"",VLOOKUP(D40,$G$4:$H$153,2,FALSE))))</f>
        <v/>
      </c>
      <c r="F40" s="9"/>
      <c r="G40" s="8">
        <v>37</v>
      </c>
      <c r="H40" s="13" t="s">
        <v>149</v>
      </c>
      <c r="I40" s="4"/>
      <c r="J40" s="17" t="str">
        <f t="shared" ref="J40:K40" si="37">B40</f>
        <v/>
      </c>
      <c r="K40" s="17" t="str">
        <f t="shared" si="37"/>
        <v/>
      </c>
      <c r="L40" s="18"/>
      <c r="M40" s="19"/>
      <c r="N40" s="20"/>
      <c r="O40" s="21"/>
      <c r="P40" s="20"/>
      <c r="Q40" s="21"/>
      <c r="R40" s="20"/>
      <c r="S40" s="21"/>
      <c r="T40" s="20"/>
      <c r="U40" s="19"/>
      <c r="V40" s="20"/>
      <c r="W40" s="19"/>
    </row>
    <row r="41" spans="1:23" ht="27" customHeight="1">
      <c r="A41" s="4"/>
      <c r="B41" s="6" t="str">
        <f>IF(인성!B41&gt;0,인성!B41,"")</f>
        <v/>
      </c>
      <c r="C41" s="6" t="str">
        <f>IF(인성!C41&gt;0,인성!C41,"")</f>
        <v/>
      </c>
      <c r="D41" s="2"/>
      <c r="E41" s="12" t="str">
        <f>IF(IF(D41=0,"",VLOOKUP(D41,$G$4:$H$153,2,FALSE))=0,"(학습능력)"&amp;종합의견!$F$1,(IF(D41=0,"",VLOOKUP(D41,$G$4:$H$153,2,FALSE))))</f>
        <v/>
      </c>
      <c r="F41" s="9"/>
      <c r="G41" s="8">
        <v>38</v>
      </c>
      <c r="H41" s="13" t="s">
        <v>150</v>
      </c>
      <c r="I41" s="4"/>
      <c r="J41" s="17" t="str">
        <f t="shared" ref="J41:K41" si="38">B41</f>
        <v/>
      </c>
      <c r="K41" s="17" t="str">
        <f t="shared" si="38"/>
        <v/>
      </c>
      <c r="L41" s="18"/>
      <c r="M41" s="19"/>
      <c r="N41" s="20"/>
      <c r="O41" s="21"/>
      <c r="P41" s="20"/>
      <c r="Q41" s="21"/>
      <c r="R41" s="20"/>
      <c r="S41" s="21"/>
      <c r="T41" s="20"/>
      <c r="U41" s="19"/>
      <c r="V41" s="20"/>
      <c r="W41" s="19"/>
    </row>
    <row r="42" spans="1:23" ht="27" customHeight="1">
      <c r="A42" s="4"/>
      <c r="B42" s="6" t="str">
        <f>IF(인성!B42&gt;0,인성!B42,"")</f>
        <v/>
      </c>
      <c r="C42" s="6" t="str">
        <f>IF(인성!C42&gt;0,인성!C42,"")</f>
        <v/>
      </c>
      <c r="D42" s="2"/>
      <c r="E42" s="12" t="str">
        <f>IF(IF(D42=0,"",VLOOKUP(D42,$G$4:$H$153,2,FALSE))=0,"(학습능력)"&amp;종합의견!$F$1,(IF(D42=0,"",VLOOKUP(D42,$G$4:$H$153,2,FALSE))))</f>
        <v/>
      </c>
      <c r="F42" s="9"/>
      <c r="G42" s="8">
        <v>39</v>
      </c>
      <c r="H42" s="13" t="s">
        <v>151</v>
      </c>
      <c r="I42" s="4"/>
      <c r="J42" s="17" t="str">
        <f t="shared" ref="J42:K42" si="39">B42</f>
        <v/>
      </c>
      <c r="K42" s="17" t="str">
        <f t="shared" si="39"/>
        <v/>
      </c>
      <c r="L42" s="18"/>
      <c r="M42" s="19"/>
      <c r="N42" s="20"/>
      <c r="O42" s="21"/>
      <c r="P42" s="20"/>
      <c r="Q42" s="21"/>
      <c r="R42" s="20"/>
      <c r="S42" s="21"/>
      <c r="T42" s="20"/>
      <c r="U42" s="19"/>
      <c r="V42" s="20"/>
      <c r="W42" s="19"/>
    </row>
    <row r="43" spans="1:23" ht="27" customHeight="1">
      <c r="A43" s="4"/>
      <c r="B43" s="6" t="str">
        <f>IF(인성!B43&gt;0,인성!B43,"")</f>
        <v/>
      </c>
      <c r="C43" s="6" t="str">
        <f>IF(인성!C43&gt;0,인성!C43,"")</f>
        <v/>
      </c>
      <c r="D43" s="2"/>
      <c r="E43" s="12" t="str">
        <f>IF(IF(D43=0,"",VLOOKUP(D43,$G$4:$H$153,2,FALSE))=0,"(학습능력)"&amp;종합의견!$F$1,(IF(D43=0,"",VLOOKUP(D43,$G$4:$H$153,2,FALSE))))</f>
        <v/>
      </c>
      <c r="F43" s="9"/>
      <c r="G43" s="8">
        <v>40</v>
      </c>
      <c r="H43" s="13" t="s">
        <v>152</v>
      </c>
      <c r="I43" s="4"/>
      <c r="J43" s="17" t="str">
        <f t="shared" ref="J43:K43" si="40">B43</f>
        <v/>
      </c>
      <c r="K43" s="17" t="str">
        <f t="shared" si="40"/>
        <v/>
      </c>
      <c r="L43" s="18"/>
      <c r="M43" s="19"/>
      <c r="N43" s="20"/>
      <c r="O43" s="21"/>
      <c r="P43" s="20"/>
      <c r="Q43" s="21"/>
      <c r="R43" s="20"/>
      <c r="S43" s="21"/>
      <c r="T43" s="20"/>
      <c r="U43" s="19"/>
      <c r="V43" s="20"/>
      <c r="W43" s="19"/>
    </row>
    <row r="44" spans="1:23" ht="49.15" customHeight="1">
      <c r="A44" s="4"/>
      <c r="B44" s="6" t="str">
        <f>IF(인성!B44&gt;0,인성!B44,"")</f>
        <v/>
      </c>
      <c r="C44" s="6" t="str">
        <f>IF(인성!C44&gt;0,인성!C44,"")</f>
        <v/>
      </c>
      <c r="D44" s="2"/>
      <c r="E44" s="12" t="str">
        <f>IF(IF(D44=0,"",VLOOKUP(D44,$G$4:$H$153,2,FALSE))=0,"(학습능력)"&amp;종합의견!$F$1,(IF(D44=0,"",VLOOKUP(D44,$G$4:$H$153,2,FALSE))))</f>
        <v/>
      </c>
      <c r="F44" s="9"/>
      <c r="G44" s="8">
        <v>41</v>
      </c>
      <c r="H44" s="13" t="s">
        <v>153</v>
      </c>
      <c r="I44" s="4"/>
      <c r="J44" s="17" t="str">
        <f t="shared" ref="J44:K44" si="41">B44</f>
        <v/>
      </c>
      <c r="K44" s="17" t="str">
        <f t="shared" si="41"/>
        <v/>
      </c>
      <c r="L44" s="18"/>
      <c r="M44" s="19"/>
      <c r="N44" s="20"/>
      <c r="O44" s="21"/>
      <c r="P44" s="20"/>
      <c r="Q44" s="21"/>
      <c r="R44" s="20"/>
      <c r="S44" s="21"/>
      <c r="T44" s="20"/>
      <c r="U44" s="19"/>
      <c r="V44" s="20"/>
      <c r="W44" s="19"/>
    </row>
    <row r="45" spans="1:23" ht="40.5" customHeight="1">
      <c r="A45" s="4"/>
      <c r="B45" s="6" t="str">
        <f>IF(인성!B45&gt;0,인성!B45,"")</f>
        <v/>
      </c>
      <c r="C45" s="6" t="str">
        <f>IF(인성!C45&gt;0,인성!C45,"")</f>
        <v/>
      </c>
      <c r="D45" s="2"/>
      <c r="E45" s="12" t="str">
        <f>IF(IF(D45=0,"",VLOOKUP(D45,$G$4:$H$153,2,FALSE))=0,"(학습능력)"&amp;종합의견!$F$1,(IF(D45=0,"",VLOOKUP(D45,$G$4:$H$153,2,FALSE))))</f>
        <v/>
      </c>
      <c r="F45" s="9"/>
      <c r="G45" s="8">
        <v>42</v>
      </c>
      <c r="H45" s="13" t="s">
        <v>154</v>
      </c>
      <c r="I45" s="4"/>
      <c r="J45" s="17" t="str">
        <f t="shared" ref="J45:K45" si="42">B45</f>
        <v/>
      </c>
      <c r="K45" s="17" t="str">
        <f t="shared" si="42"/>
        <v/>
      </c>
      <c r="L45" s="18"/>
      <c r="M45" s="19"/>
      <c r="N45" s="20"/>
      <c r="O45" s="21"/>
      <c r="P45" s="20"/>
      <c r="Q45" s="21"/>
      <c r="R45" s="20"/>
      <c r="S45" s="21"/>
      <c r="T45" s="20"/>
      <c r="U45" s="19"/>
      <c r="V45" s="20"/>
      <c r="W45" s="19"/>
    </row>
    <row r="46" spans="1:23" ht="27" customHeight="1">
      <c r="A46" s="4"/>
      <c r="B46" s="6" t="str">
        <f>IF(인성!B46&gt;0,인성!B46,"")</f>
        <v/>
      </c>
      <c r="C46" s="6" t="str">
        <f>IF(인성!C46&gt;0,인성!C46,"")</f>
        <v/>
      </c>
      <c r="D46" s="2"/>
      <c r="E46" s="12" t="str">
        <f>IF(IF(D46=0,"",VLOOKUP(D46,$G$4:$H$153,2,FALSE))=0,"(학습능력)"&amp;종합의견!$F$1,(IF(D46=0,"",VLOOKUP(D46,$G$4:$H$153,2,FALSE))))</f>
        <v/>
      </c>
      <c r="F46" s="9"/>
      <c r="G46" s="8">
        <v>43</v>
      </c>
      <c r="H46" s="13" t="s">
        <v>155</v>
      </c>
      <c r="I46" s="4"/>
      <c r="J46" s="17" t="str">
        <f t="shared" ref="J46:K46" si="43">B46</f>
        <v/>
      </c>
      <c r="K46" s="17" t="str">
        <f t="shared" si="43"/>
        <v/>
      </c>
      <c r="L46" s="18"/>
      <c r="M46" s="19"/>
      <c r="N46" s="20"/>
      <c r="O46" s="21"/>
      <c r="P46" s="20"/>
      <c r="Q46" s="21"/>
      <c r="R46" s="20"/>
      <c r="S46" s="21"/>
      <c r="T46" s="20"/>
      <c r="U46" s="19"/>
      <c r="V46" s="20"/>
      <c r="W46" s="19"/>
    </row>
    <row r="47" spans="1:23" ht="27" customHeight="1">
      <c r="A47" s="4"/>
      <c r="B47" s="6" t="str">
        <f>IF(인성!B47&gt;0,인성!B47,"")</f>
        <v/>
      </c>
      <c r="C47" s="6" t="str">
        <f>IF(인성!C47&gt;0,인성!C47,"")</f>
        <v/>
      </c>
      <c r="D47" s="2"/>
      <c r="E47" s="12" t="str">
        <f>IF(IF(D47=0,"",VLOOKUP(D47,$G$4:$H$153,2,FALSE))=0,"(학습능력)"&amp;종합의견!$F$1,(IF(D47=0,"",VLOOKUP(D47,$G$4:$H$153,2,FALSE))))</f>
        <v/>
      </c>
      <c r="F47" s="9"/>
      <c r="G47" s="8">
        <v>44</v>
      </c>
      <c r="H47" s="13" t="s">
        <v>156</v>
      </c>
      <c r="I47" s="4"/>
      <c r="J47" s="17" t="str">
        <f t="shared" ref="J47:K47" si="44">B47</f>
        <v/>
      </c>
      <c r="K47" s="17" t="str">
        <f t="shared" si="44"/>
        <v/>
      </c>
      <c r="L47" s="18"/>
      <c r="M47" s="19"/>
      <c r="N47" s="20"/>
      <c r="O47" s="21"/>
      <c r="P47" s="20"/>
      <c r="Q47" s="21"/>
      <c r="R47" s="20"/>
      <c r="S47" s="21"/>
      <c r="T47" s="20"/>
      <c r="U47" s="19"/>
      <c r="V47" s="20"/>
      <c r="W47" s="19"/>
    </row>
    <row r="48" spans="1:23" ht="27" customHeight="1">
      <c r="A48" s="4"/>
      <c r="B48" s="6" t="str">
        <f>IF(인성!B48&gt;0,인성!B48,"")</f>
        <v/>
      </c>
      <c r="C48" s="6" t="str">
        <f>IF(인성!C48&gt;0,인성!C48,"")</f>
        <v/>
      </c>
      <c r="D48" s="2"/>
      <c r="E48" s="12" t="str">
        <f>IF(IF(D48=0,"",VLOOKUP(D48,$G$4:$H$153,2,FALSE))=0,"(학습능력)"&amp;종합의견!$F$1,(IF(D48=0,"",VLOOKUP(D48,$G$4:$H$153,2,FALSE))))</f>
        <v/>
      </c>
      <c r="F48" s="9"/>
      <c r="G48" s="8">
        <v>45</v>
      </c>
      <c r="H48" s="13" t="s">
        <v>157</v>
      </c>
      <c r="I48" s="4"/>
      <c r="J48" s="17" t="str">
        <f t="shared" ref="J48:K48" si="45">B48</f>
        <v/>
      </c>
      <c r="K48" s="17" t="str">
        <f t="shared" si="45"/>
        <v/>
      </c>
      <c r="L48" s="18"/>
      <c r="M48" s="19"/>
      <c r="N48" s="20"/>
      <c r="O48" s="21"/>
      <c r="P48" s="20"/>
      <c r="Q48" s="21"/>
      <c r="R48" s="20"/>
      <c r="S48" s="21"/>
      <c r="T48" s="20"/>
      <c r="U48" s="19"/>
      <c r="V48" s="20"/>
      <c r="W48" s="19"/>
    </row>
    <row r="49" spans="1:23" ht="40.5" customHeight="1">
      <c r="A49" s="4"/>
      <c r="B49" s="11"/>
      <c r="C49" s="11"/>
      <c r="D49" s="11"/>
      <c r="E49" s="14"/>
      <c r="F49" s="4"/>
      <c r="G49" s="8">
        <v>46</v>
      </c>
      <c r="H49" s="13" t="s">
        <v>158</v>
      </c>
      <c r="I49" s="4"/>
      <c r="J49" s="11"/>
      <c r="K49" s="11"/>
      <c r="L49" s="4"/>
      <c r="M49" s="4"/>
      <c r="N49" s="4"/>
      <c r="O49" s="4"/>
      <c r="P49" s="4"/>
      <c r="Q49" s="4"/>
      <c r="R49" s="4"/>
      <c r="S49" s="4"/>
      <c r="T49" s="4"/>
      <c r="U49" s="4"/>
      <c r="V49" s="4"/>
      <c r="W49" s="4"/>
    </row>
    <row r="50" spans="1:23" ht="40.5" customHeight="1">
      <c r="A50" s="4"/>
      <c r="B50" s="11"/>
      <c r="C50" s="11"/>
      <c r="D50" s="11"/>
      <c r="E50" s="14"/>
      <c r="F50" s="4"/>
      <c r="G50" s="8">
        <v>47</v>
      </c>
      <c r="H50" s="13" t="s">
        <v>159</v>
      </c>
      <c r="I50" s="4"/>
      <c r="J50" s="11"/>
      <c r="K50" s="11"/>
      <c r="L50" s="4"/>
      <c r="M50" s="4"/>
      <c r="N50" s="4"/>
      <c r="O50" s="4"/>
      <c r="P50" s="4"/>
      <c r="Q50" s="4"/>
      <c r="R50" s="4"/>
      <c r="S50" s="4"/>
      <c r="T50" s="4"/>
      <c r="U50" s="4"/>
      <c r="V50" s="4"/>
      <c r="W50" s="4"/>
    </row>
    <row r="51" spans="1:23" ht="43.9" customHeight="1">
      <c r="A51" s="4"/>
      <c r="B51" s="11"/>
      <c r="C51" s="11"/>
      <c r="D51" s="11"/>
      <c r="E51" s="14"/>
      <c r="F51" s="4"/>
      <c r="G51" s="8">
        <v>48</v>
      </c>
      <c r="H51" s="13" t="s">
        <v>160</v>
      </c>
      <c r="I51" s="4"/>
      <c r="J51" s="11"/>
      <c r="K51" s="11"/>
      <c r="L51" s="4"/>
      <c r="M51" s="4"/>
      <c r="N51" s="4"/>
      <c r="O51" s="4"/>
      <c r="P51" s="4"/>
      <c r="Q51" s="4"/>
      <c r="R51" s="4"/>
      <c r="S51" s="4"/>
      <c r="T51" s="4"/>
      <c r="U51" s="4"/>
      <c r="V51" s="4"/>
      <c r="W51" s="4"/>
    </row>
    <row r="52" spans="1:23" ht="40.5" customHeight="1">
      <c r="A52" s="4"/>
      <c r="B52" s="11"/>
      <c r="C52" s="11"/>
      <c r="D52" s="11"/>
      <c r="E52" s="14"/>
      <c r="F52" s="4"/>
      <c r="G52" s="8">
        <v>49</v>
      </c>
      <c r="H52" s="13" t="s">
        <v>161</v>
      </c>
      <c r="I52" s="4"/>
      <c r="J52" s="11"/>
      <c r="K52" s="11"/>
      <c r="L52" s="4"/>
      <c r="M52" s="4"/>
      <c r="N52" s="4"/>
      <c r="O52" s="4"/>
      <c r="P52" s="4"/>
      <c r="Q52" s="4"/>
      <c r="R52" s="4"/>
      <c r="S52" s="4"/>
      <c r="T52" s="4"/>
      <c r="U52" s="4"/>
      <c r="V52" s="4"/>
      <c r="W52" s="4"/>
    </row>
    <row r="53" spans="1:23" ht="40.5" customHeight="1">
      <c r="A53" s="4"/>
      <c r="B53" s="11"/>
      <c r="C53" s="11"/>
      <c r="D53" s="11"/>
      <c r="E53" s="14"/>
      <c r="F53" s="4"/>
      <c r="G53" s="8">
        <v>50</v>
      </c>
      <c r="H53" s="13" t="s">
        <v>162</v>
      </c>
      <c r="I53" s="4"/>
      <c r="J53" s="11"/>
      <c r="K53" s="11"/>
      <c r="L53" s="4"/>
      <c r="M53" s="4"/>
      <c r="N53" s="4"/>
      <c r="O53" s="4"/>
      <c r="P53" s="4"/>
      <c r="Q53" s="4"/>
      <c r="R53" s="4"/>
      <c r="S53" s="4"/>
      <c r="T53" s="4"/>
      <c r="U53" s="4"/>
      <c r="V53" s="4"/>
      <c r="W53" s="4"/>
    </row>
    <row r="54" spans="1:23" ht="54" customHeight="1">
      <c r="A54" s="4"/>
      <c r="B54" s="11"/>
      <c r="C54" s="11"/>
      <c r="D54" s="11"/>
      <c r="E54" s="14"/>
      <c r="F54" s="4"/>
      <c r="G54" s="8">
        <v>51</v>
      </c>
      <c r="H54" s="13" t="s">
        <v>163</v>
      </c>
      <c r="I54" s="4"/>
      <c r="J54" s="11"/>
      <c r="K54" s="11"/>
      <c r="L54" s="4"/>
      <c r="M54" s="4"/>
      <c r="N54" s="4"/>
      <c r="O54" s="4"/>
      <c r="P54" s="4"/>
      <c r="Q54" s="4"/>
      <c r="R54" s="4"/>
      <c r="S54" s="4"/>
      <c r="T54" s="4"/>
      <c r="U54" s="4"/>
      <c r="V54" s="4"/>
      <c r="W54" s="4"/>
    </row>
    <row r="55" spans="1:23" ht="27" customHeight="1">
      <c r="A55" s="4"/>
      <c r="B55" s="11"/>
      <c r="C55" s="11"/>
      <c r="D55" s="11"/>
      <c r="E55" s="14"/>
      <c r="F55" s="4"/>
      <c r="G55" s="8">
        <v>52</v>
      </c>
      <c r="H55" s="13" t="s">
        <v>685</v>
      </c>
      <c r="I55" s="4"/>
      <c r="J55" s="11"/>
      <c r="K55" s="11"/>
      <c r="L55" s="4"/>
      <c r="M55" s="4"/>
      <c r="N55" s="4"/>
      <c r="O55" s="4"/>
      <c r="P55" s="4"/>
      <c r="Q55" s="4"/>
      <c r="R55" s="4"/>
      <c r="S55" s="4"/>
      <c r="T55" s="4"/>
      <c r="U55" s="4"/>
      <c r="V55" s="4"/>
      <c r="W55" s="4"/>
    </row>
    <row r="56" spans="1:23" ht="16.5" customHeight="1">
      <c r="A56" s="4"/>
      <c r="B56" s="11"/>
      <c r="C56" s="11"/>
      <c r="D56" s="11"/>
      <c r="E56" s="14"/>
      <c r="F56" s="4"/>
      <c r="G56" s="8">
        <v>53</v>
      </c>
      <c r="H56" s="13" t="s">
        <v>686</v>
      </c>
      <c r="I56" s="4"/>
      <c r="J56" s="11"/>
      <c r="K56" s="11"/>
      <c r="L56" s="4"/>
      <c r="M56" s="4"/>
      <c r="N56" s="4"/>
      <c r="O56" s="4"/>
      <c r="P56" s="4"/>
      <c r="Q56" s="4"/>
      <c r="R56" s="4"/>
      <c r="S56" s="4"/>
      <c r="T56" s="4"/>
      <c r="U56" s="4"/>
      <c r="V56" s="4"/>
      <c r="W56" s="4"/>
    </row>
    <row r="57" spans="1:23" ht="27">
      <c r="A57" s="4"/>
      <c r="B57" s="11"/>
      <c r="C57" s="11"/>
      <c r="D57" s="11"/>
      <c r="E57" s="14"/>
      <c r="F57" s="4"/>
      <c r="G57" s="8">
        <v>54</v>
      </c>
      <c r="H57" s="13" t="s">
        <v>687</v>
      </c>
      <c r="I57" s="4"/>
      <c r="J57" s="11"/>
      <c r="K57" s="11"/>
      <c r="L57" s="4"/>
      <c r="M57" s="4"/>
      <c r="N57" s="4"/>
      <c r="O57" s="4"/>
      <c r="P57" s="4"/>
      <c r="Q57" s="4"/>
      <c r="R57" s="4"/>
      <c r="S57" s="4"/>
      <c r="T57" s="4"/>
      <c r="U57" s="4"/>
      <c r="V57" s="4"/>
      <c r="W57" s="4"/>
    </row>
    <row r="58" spans="1:23" ht="27">
      <c r="A58" s="4"/>
      <c r="B58" s="11"/>
      <c r="C58" s="11"/>
      <c r="D58" s="11"/>
      <c r="E58" s="14"/>
      <c r="F58" s="4"/>
      <c r="G58" s="8">
        <v>55</v>
      </c>
      <c r="H58" s="13" t="s">
        <v>688</v>
      </c>
      <c r="I58" s="4"/>
      <c r="J58" s="11"/>
      <c r="K58" s="11"/>
      <c r="L58" s="4"/>
      <c r="M58" s="4"/>
      <c r="N58" s="4"/>
      <c r="O58" s="4"/>
      <c r="P58" s="4"/>
      <c r="Q58" s="4"/>
      <c r="R58" s="4"/>
      <c r="S58" s="4"/>
      <c r="T58" s="4"/>
      <c r="U58" s="4"/>
      <c r="V58" s="4"/>
      <c r="W58" s="4"/>
    </row>
    <row r="59" spans="1:23" ht="16.5" customHeight="1">
      <c r="A59" s="4"/>
      <c r="B59" s="11"/>
      <c r="C59" s="11"/>
      <c r="D59" s="11"/>
      <c r="E59" s="14"/>
      <c r="F59" s="4"/>
      <c r="G59" s="8">
        <v>56</v>
      </c>
      <c r="H59" s="13" t="s">
        <v>689</v>
      </c>
      <c r="I59" s="4"/>
      <c r="J59" s="11"/>
      <c r="K59" s="11"/>
      <c r="L59" s="4"/>
      <c r="M59" s="4"/>
      <c r="N59" s="4"/>
      <c r="O59" s="4"/>
      <c r="P59" s="4"/>
      <c r="Q59" s="4"/>
      <c r="R59" s="4"/>
      <c r="S59" s="4"/>
      <c r="T59" s="4"/>
      <c r="U59" s="4"/>
      <c r="V59" s="4"/>
      <c r="W59" s="4"/>
    </row>
    <row r="60" spans="1:23" ht="16.5" customHeight="1">
      <c r="A60" s="4"/>
      <c r="B60" s="11"/>
      <c r="C60" s="11"/>
      <c r="D60" s="11"/>
      <c r="E60" s="14"/>
      <c r="F60" s="4"/>
      <c r="G60" s="8">
        <v>57</v>
      </c>
      <c r="H60" s="13" t="s">
        <v>690</v>
      </c>
      <c r="I60" s="4"/>
      <c r="J60" s="11"/>
      <c r="K60" s="11"/>
      <c r="L60" s="4"/>
      <c r="M60" s="4"/>
      <c r="N60" s="4"/>
      <c r="O60" s="4"/>
      <c r="P60" s="4"/>
      <c r="Q60" s="4"/>
      <c r="R60" s="4"/>
      <c r="S60" s="4"/>
      <c r="T60" s="4"/>
      <c r="U60" s="4"/>
      <c r="V60" s="4"/>
      <c r="W60" s="4"/>
    </row>
    <row r="61" spans="1:23" ht="27">
      <c r="A61" s="4"/>
      <c r="B61" s="11"/>
      <c r="C61" s="11"/>
      <c r="D61" s="11"/>
      <c r="E61" s="14"/>
      <c r="F61" s="4"/>
      <c r="G61" s="8">
        <v>58</v>
      </c>
      <c r="H61" s="13" t="s">
        <v>691</v>
      </c>
      <c r="I61" s="4"/>
      <c r="J61" s="11"/>
      <c r="K61" s="11"/>
      <c r="L61" s="4"/>
      <c r="M61" s="4"/>
      <c r="N61" s="4"/>
      <c r="O61" s="4"/>
      <c r="P61" s="4"/>
      <c r="Q61" s="4"/>
      <c r="R61" s="4"/>
      <c r="S61" s="4"/>
      <c r="T61" s="4"/>
      <c r="U61" s="4"/>
      <c r="V61" s="4"/>
      <c r="W61" s="4"/>
    </row>
    <row r="62" spans="1:23" ht="16.5" customHeight="1">
      <c r="A62" s="4"/>
      <c r="B62" s="11"/>
      <c r="C62" s="11"/>
      <c r="D62" s="11"/>
      <c r="E62" s="14"/>
      <c r="F62" s="4"/>
      <c r="G62" s="8">
        <v>59</v>
      </c>
      <c r="H62" s="13" t="s">
        <v>692</v>
      </c>
      <c r="I62" s="4"/>
      <c r="J62" s="11"/>
      <c r="K62" s="11"/>
      <c r="L62" s="4"/>
      <c r="M62" s="4"/>
      <c r="N62" s="4"/>
      <c r="O62" s="4"/>
      <c r="P62" s="4"/>
      <c r="Q62" s="4"/>
      <c r="R62" s="4"/>
      <c r="S62" s="4"/>
      <c r="T62" s="4"/>
      <c r="U62" s="4"/>
      <c r="V62" s="4"/>
      <c r="W62" s="4"/>
    </row>
    <row r="63" spans="1:23" ht="16.5" customHeight="1">
      <c r="A63" s="4"/>
      <c r="B63" s="11"/>
      <c r="C63" s="11"/>
      <c r="D63" s="11"/>
      <c r="E63" s="14"/>
      <c r="F63" s="4"/>
      <c r="G63" s="8">
        <v>60</v>
      </c>
      <c r="H63" s="13"/>
      <c r="I63" s="4"/>
      <c r="J63" s="11"/>
      <c r="K63" s="11"/>
      <c r="L63" s="4"/>
      <c r="M63" s="4"/>
      <c r="N63" s="4"/>
      <c r="O63" s="4"/>
      <c r="P63" s="4"/>
      <c r="Q63" s="4"/>
      <c r="R63" s="4"/>
      <c r="S63" s="4"/>
      <c r="T63" s="4"/>
      <c r="U63" s="4"/>
      <c r="V63" s="4"/>
      <c r="W63" s="4"/>
    </row>
    <row r="64" spans="1:23" ht="16.5" customHeight="1">
      <c r="A64" s="4"/>
      <c r="B64" s="11"/>
      <c r="C64" s="11"/>
      <c r="D64" s="11"/>
      <c r="E64" s="14"/>
      <c r="F64" s="4"/>
      <c r="G64" s="8">
        <v>61</v>
      </c>
      <c r="H64" s="13"/>
      <c r="I64" s="4"/>
      <c r="J64" s="11"/>
      <c r="K64" s="11"/>
      <c r="L64" s="4"/>
      <c r="M64" s="4"/>
      <c r="N64" s="4"/>
      <c r="O64" s="4"/>
      <c r="P64" s="4"/>
      <c r="Q64" s="4"/>
      <c r="R64" s="4"/>
      <c r="S64" s="4"/>
      <c r="T64" s="4"/>
      <c r="U64" s="4"/>
      <c r="V64" s="4"/>
      <c r="W64" s="4"/>
    </row>
    <row r="65" spans="1:23" ht="16.5" customHeight="1">
      <c r="A65" s="4"/>
      <c r="B65" s="11"/>
      <c r="C65" s="11"/>
      <c r="D65" s="11"/>
      <c r="E65" s="14"/>
      <c r="F65" s="4"/>
      <c r="G65" s="8">
        <v>62</v>
      </c>
      <c r="H65" s="13"/>
      <c r="I65" s="4"/>
      <c r="J65" s="11"/>
      <c r="K65" s="11"/>
      <c r="L65" s="4"/>
      <c r="M65" s="4"/>
      <c r="N65" s="4"/>
      <c r="O65" s="4"/>
      <c r="P65" s="4"/>
      <c r="Q65" s="4"/>
      <c r="R65" s="4"/>
      <c r="S65" s="4"/>
      <c r="T65" s="4"/>
      <c r="U65" s="4"/>
      <c r="V65" s="4"/>
      <c r="W65" s="4"/>
    </row>
    <row r="66" spans="1:23" ht="16.5" customHeight="1">
      <c r="A66" s="4"/>
      <c r="B66" s="11"/>
      <c r="C66" s="11"/>
      <c r="D66" s="11"/>
      <c r="E66" s="14"/>
      <c r="F66" s="4"/>
      <c r="G66" s="8">
        <v>63</v>
      </c>
      <c r="H66" s="13"/>
      <c r="I66" s="4"/>
      <c r="J66" s="11"/>
      <c r="K66" s="11"/>
      <c r="L66" s="4"/>
      <c r="M66" s="4"/>
      <c r="N66" s="4"/>
      <c r="O66" s="4"/>
      <c r="P66" s="4"/>
      <c r="Q66" s="4"/>
      <c r="R66" s="4"/>
      <c r="S66" s="4"/>
      <c r="T66" s="4"/>
      <c r="U66" s="4"/>
      <c r="V66" s="4"/>
      <c r="W66" s="4"/>
    </row>
    <row r="67" spans="1:23" ht="16.5" customHeight="1">
      <c r="A67" s="4"/>
      <c r="B67" s="11"/>
      <c r="C67" s="11"/>
      <c r="D67" s="11"/>
      <c r="E67" s="14"/>
      <c r="F67" s="4"/>
      <c r="G67" s="8">
        <v>64</v>
      </c>
      <c r="H67" s="13"/>
      <c r="I67" s="4"/>
      <c r="J67" s="11"/>
      <c r="K67" s="11"/>
      <c r="L67" s="4"/>
      <c r="M67" s="4"/>
      <c r="N67" s="4"/>
      <c r="O67" s="4"/>
      <c r="P67" s="4"/>
      <c r="Q67" s="4"/>
      <c r="R67" s="4"/>
      <c r="S67" s="4"/>
      <c r="T67" s="4"/>
      <c r="U67" s="4"/>
      <c r="V67" s="4"/>
      <c r="W67" s="4"/>
    </row>
    <row r="68" spans="1:23" ht="16.5" customHeight="1">
      <c r="A68" s="4"/>
      <c r="B68" s="11"/>
      <c r="C68" s="11"/>
      <c r="D68" s="11"/>
      <c r="E68" s="14"/>
      <c r="F68" s="4"/>
      <c r="G68" s="8">
        <v>65</v>
      </c>
      <c r="H68" s="13"/>
      <c r="I68" s="4"/>
      <c r="J68" s="11"/>
      <c r="K68" s="11"/>
      <c r="L68" s="4"/>
      <c r="M68" s="4"/>
      <c r="N68" s="4"/>
      <c r="O68" s="4"/>
      <c r="P68" s="4"/>
      <c r="Q68" s="4"/>
      <c r="R68" s="4"/>
      <c r="S68" s="4"/>
      <c r="T68" s="4"/>
      <c r="U68" s="4"/>
      <c r="V68" s="4"/>
      <c r="W68" s="4"/>
    </row>
    <row r="69" spans="1:23" ht="16.5" customHeight="1">
      <c r="A69" s="4"/>
      <c r="B69" s="11"/>
      <c r="C69" s="11"/>
      <c r="D69" s="11"/>
      <c r="E69" s="14"/>
      <c r="F69" s="4"/>
      <c r="G69" s="8">
        <v>66</v>
      </c>
      <c r="H69" s="13"/>
      <c r="I69" s="4"/>
      <c r="J69" s="11"/>
      <c r="K69" s="11"/>
      <c r="L69" s="4"/>
      <c r="M69" s="4"/>
      <c r="N69" s="4"/>
      <c r="O69" s="4"/>
      <c r="P69" s="4"/>
      <c r="Q69" s="4"/>
      <c r="R69" s="4"/>
      <c r="S69" s="4"/>
      <c r="T69" s="4"/>
      <c r="U69" s="4"/>
      <c r="V69" s="4"/>
      <c r="W69" s="4"/>
    </row>
    <row r="70" spans="1:23" ht="16.5" customHeight="1">
      <c r="A70" s="4"/>
      <c r="B70" s="11"/>
      <c r="C70" s="11"/>
      <c r="D70" s="11"/>
      <c r="E70" s="14"/>
      <c r="F70" s="4"/>
      <c r="G70" s="8">
        <v>67</v>
      </c>
      <c r="H70" s="13"/>
      <c r="I70" s="4"/>
      <c r="J70" s="11"/>
      <c r="K70" s="11"/>
      <c r="L70" s="4"/>
      <c r="M70" s="4"/>
      <c r="N70" s="4"/>
      <c r="O70" s="4"/>
      <c r="P70" s="4"/>
      <c r="Q70" s="4"/>
      <c r="R70" s="4"/>
      <c r="S70" s="4"/>
      <c r="T70" s="4"/>
      <c r="U70" s="4"/>
      <c r="V70" s="4"/>
      <c r="W70" s="4"/>
    </row>
    <row r="71" spans="1:23" ht="16.5" customHeight="1">
      <c r="A71" s="4"/>
      <c r="B71" s="11"/>
      <c r="C71" s="11"/>
      <c r="D71" s="11"/>
      <c r="E71" s="14"/>
      <c r="F71" s="4"/>
      <c r="G71" s="8">
        <v>68</v>
      </c>
      <c r="H71" s="13"/>
      <c r="I71" s="4"/>
      <c r="J71" s="11"/>
      <c r="K71" s="11"/>
      <c r="L71" s="4"/>
      <c r="M71" s="4"/>
      <c r="N71" s="4"/>
      <c r="O71" s="4"/>
      <c r="P71" s="4"/>
      <c r="Q71" s="4"/>
      <c r="R71" s="4"/>
      <c r="S71" s="4"/>
      <c r="T71" s="4"/>
      <c r="U71" s="4"/>
      <c r="V71" s="4"/>
      <c r="W71" s="4"/>
    </row>
    <row r="72" spans="1:23" ht="16.5" customHeight="1">
      <c r="A72" s="4"/>
      <c r="B72" s="11"/>
      <c r="C72" s="11"/>
      <c r="D72" s="11"/>
      <c r="E72" s="14"/>
      <c r="F72" s="4"/>
      <c r="G72" s="8">
        <v>69</v>
      </c>
      <c r="H72" s="13"/>
      <c r="I72" s="4"/>
      <c r="J72" s="11"/>
      <c r="K72" s="11"/>
      <c r="L72" s="4"/>
      <c r="M72" s="4"/>
      <c r="N72" s="4"/>
      <c r="O72" s="4"/>
      <c r="P72" s="4"/>
      <c r="Q72" s="4"/>
      <c r="R72" s="4"/>
      <c r="S72" s="4"/>
      <c r="T72" s="4"/>
      <c r="U72" s="4"/>
      <c r="V72" s="4"/>
      <c r="W72" s="4"/>
    </row>
    <row r="73" spans="1:23" ht="16.5" customHeight="1">
      <c r="A73" s="4"/>
      <c r="B73" s="11"/>
      <c r="C73" s="11"/>
      <c r="D73" s="11"/>
      <c r="E73" s="14"/>
      <c r="F73" s="4"/>
      <c r="G73" s="8">
        <v>70</v>
      </c>
      <c r="H73" s="13"/>
      <c r="I73" s="4"/>
      <c r="J73" s="11"/>
      <c r="K73" s="11"/>
      <c r="L73" s="4"/>
      <c r="M73" s="4"/>
      <c r="N73" s="4"/>
      <c r="O73" s="4"/>
      <c r="P73" s="4"/>
      <c r="Q73" s="4"/>
      <c r="R73" s="4"/>
      <c r="S73" s="4"/>
      <c r="T73" s="4"/>
      <c r="U73" s="4"/>
      <c r="V73" s="4"/>
      <c r="W73" s="4"/>
    </row>
    <row r="74" spans="1:23" ht="16.5" customHeight="1">
      <c r="A74" s="4"/>
      <c r="B74" s="11"/>
      <c r="C74" s="11"/>
      <c r="D74" s="11"/>
      <c r="E74" s="14"/>
      <c r="F74" s="4"/>
      <c r="G74" s="8">
        <v>71</v>
      </c>
      <c r="H74" s="13"/>
      <c r="I74" s="4"/>
      <c r="J74" s="11"/>
      <c r="K74" s="11"/>
      <c r="L74" s="4"/>
      <c r="M74" s="4"/>
      <c r="N74" s="4"/>
      <c r="O74" s="4"/>
      <c r="P74" s="4"/>
      <c r="Q74" s="4"/>
      <c r="R74" s="4"/>
      <c r="S74" s="4"/>
      <c r="T74" s="4"/>
      <c r="U74" s="4"/>
      <c r="V74" s="4"/>
      <c r="W74" s="4"/>
    </row>
    <row r="75" spans="1:23" ht="16.5" customHeight="1">
      <c r="A75" s="4"/>
      <c r="B75" s="11"/>
      <c r="C75" s="11"/>
      <c r="D75" s="11"/>
      <c r="E75" s="14"/>
      <c r="F75" s="4"/>
      <c r="G75" s="8">
        <v>72</v>
      </c>
      <c r="H75" s="13"/>
      <c r="I75" s="4"/>
      <c r="J75" s="11"/>
      <c r="K75" s="11"/>
      <c r="L75" s="4"/>
      <c r="M75" s="4"/>
      <c r="N75" s="4"/>
      <c r="O75" s="4"/>
      <c r="P75" s="4"/>
      <c r="Q75" s="4"/>
      <c r="R75" s="4"/>
      <c r="S75" s="4"/>
      <c r="T75" s="4"/>
      <c r="U75" s="4"/>
      <c r="V75" s="4"/>
      <c r="W75" s="4"/>
    </row>
    <row r="76" spans="1:23" ht="16.5" customHeight="1">
      <c r="A76" s="4"/>
      <c r="B76" s="11"/>
      <c r="C76" s="11"/>
      <c r="D76" s="11"/>
      <c r="E76" s="14"/>
      <c r="F76" s="4"/>
      <c r="G76" s="8">
        <v>73</v>
      </c>
      <c r="H76" s="13"/>
      <c r="I76" s="4"/>
      <c r="J76" s="11"/>
      <c r="K76" s="11"/>
      <c r="L76" s="4"/>
      <c r="M76" s="4"/>
      <c r="N76" s="4"/>
      <c r="O76" s="4"/>
      <c r="P76" s="4"/>
      <c r="Q76" s="4"/>
      <c r="R76" s="4"/>
      <c r="S76" s="4"/>
      <c r="T76" s="4"/>
      <c r="U76" s="4"/>
      <c r="V76" s="4"/>
      <c r="W76" s="4"/>
    </row>
    <row r="77" spans="1:23" ht="16.5" customHeight="1">
      <c r="A77" s="4"/>
      <c r="B77" s="11"/>
      <c r="C77" s="11"/>
      <c r="D77" s="11"/>
      <c r="E77" s="14"/>
      <c r="F77" s="4"/>
      <c r="G77" s="8">
        <v>74</v>
      </c>
      <c r="H77" s="13"/>
      <c r="I77" s="4"/>
      <c r="J77" s="11"/>
      <c r="K77" s="11"/>
      <c r="L77" s="4"/>
      <c r="M77" s="4"/>
      <c r="N77" s="4"/>
      <c r="O77" s="4"/>
      <c r="P77" s="4"/>
      <c r="Q77" s="4"/>
      <c r="R77" s="4"/>
      <c r="S77" s="4"/>
      <c r="T77" s="4"/>
      <c r="U77" s="4"/>
      <c r="V77" s="4"/>
      <c r="W77" s="4"/>
    </row>
    <row r="78" spans="1:23" ht="16.5" customHeight="1">
      <c r="A78" s="4"/>
      <c r="B78" s="11"/>
      <c r="C78" s="11"/>
      <c r="D78" s="11"/>
      <c r="E78" s="14"/>
      <c r="F78" s="4"/>
      <c r="G78" s="8">
        <v>75</v>
      </c>
      <c r="H78" s="13"/>
      <c r="I78" s="4"/>
      <c r="J78" s="11"/>
      <c r="K78" s="11"/>
      <c r="L78" s="4"/>
      <c r="M78" s="4"/>
      <c r="N78" s="4"/>
      <c r="O78" s="4"/>
      <c r="P78" s="4"/>
      <c r="Q78" s="4"/>
      <c r="R78" s="4"/>
      <c r="S78" s="4"/>
      <c r="T78" s="4"/>
      <c r="U78" s="4"/>
      <c r="V78" s="4"/>
      <c r="W78" s="4"/>
    </row>
    <row r="79" spans="1:23" ht="16.5" customHeight="1">
      <c r="A79" s="4"/>
      <c r="B79" s="11"/>
      <c r="C79" s="11"/>
      <c r="D79" s="11"/>
      <c r="E79" s="14"/>
      <c r="F79" s="4"/>
      <c r="G79" s="8">
        <v>76</v>
      </c>
      <c r="H79" s="13"/>
      <c r="I79" s="4"/>
      <c r="J79" s="11"/>
      <c r="K79" s="11"/>
      <c r="L79" s="4"/>
      <c r="M79" s="4"/>
      <c r="N79" s="4"/>
      <c r="O79" s="4"/>
      <c r="P79" s="4"/>
      <c r="Q79" s="4"/>
      <c r="R79" s="4"/>
      <c r="S79" s="4"/>
      <c r="T79" s="4"/>
      <c r="U79" s="4"/>
      <c r="V79" s="4"/>
      <c r="W79" s="4"/>
    </row>
    <row r="80" spans="1:23" ht="16.5" customHeight="1">
      <c r="A80" s="4"/>
      <c r="B80" s="11"/>
      <c r="C80" s="11"/>
      <c r="D80" s="11"/>
      <c r="E80" s="14"/>
      <c r="F80" s="4"/>
      <c r="G80" s="8">
        <v>77</v>
      </c>
      <c r="H80" s="13"/>
      <c r="I80" s="4"/>
      <c r="J80" s="11"/>
      <c r="K80" s="11"/>
      <c r="L80" s="4"/>
      <c r="M80" s="4"/>
      <c r="N80" s="4"/>
      <c r="O80" s="4"/>
      <c r="P80" s="4"/>
      <c r="Q80" s="4"/>
      <c r="R80" s="4"/>
      <c r="S80" s="4"/>
      <c r="T80" s="4"/>
      <c r="U80" s="4"/>
      <c r="V80" s="4"/>
      <c r="W80" s="4"/>
    </row>
    <row r="81" spans="1:23" ht="16.5" customHeight="1">
      <c r="A81" s="4"/>
      <c r="B81" s="11"/>
      <c r="C81" s="11"/>
      <c r="D81" s="11"/>
      <c r="E81" s="14"/>
      <c r="F81" s="4"/>
      <c r="G81" s="8">
        <v>78</v>
      </c>
      <c r="H81" s="13"/>
      <c r="I81" s="4"/>
      <c r="J81" s="11"/>
      <c r="K81" s="11"/>
      <c r="L81" s="4"/>
      <c r="M81" s="4"/>
      <c r="N81" s="4"/>
      <c r="O81" s="4"/>
      <c r="P81" s="4"/>
      <c r="Q81" s="4"/>
      <c r="R81" s="4"/>
      <c r="S81" s="4"/>
      <c r="T81" s="4"/>
      <c r="U81" s="4"/>
      <c r="V81" s="4"/>
      <c r="W81" s="4"/>
    </row>
    <row r="82" spans="1:23" ht="16.5" customHeight="1">
      <c r="A82" s="4"/>
      <c r="B82" s="11"/>
      <c r="C82" s="11"/>
      <c r="D82" s="11"/>
      <c r="E82" s="14"/>
      <c r="F82" s="4"/>
      <c r="G82" s="8">
        <v>79</v>
      </c>
      <c r="H82" s="13"/>
      <c r="I82" s="4"/>
      <c r="J82" s="11"/>
      <c r="K82" s="11"/>
      <c r="L82" s="4"/>
      <c r="M82" s="4"/>
      <c r="N82" s="4"/>
      <c r="O82" s="4"/>
      <c r="P82" s="4"/>
      <c r="Q82" s="4"/>
      <c r="R82" s="4"/>
      <c r="S82" s="4"/>
      <c r="T82" s="4"/>
      <c r="U82" s="4"/>
      <c r="V82" s="4"/>
      <c r="W82" s="4"/>
    </row>
    <row r="83" spans="1:23" ht="16.5" customHeight="1">
      <c r="A83" s="4"/>
      <c r="B83" s="11"/>
      <c r="C83" s="11"/>
      <c r="D83" s="11"/>
      <c r="E83" s="14"/>
      <c r="F83" s="4"/>
      <c r="G83" s="8">
        <v>80</v>
      </c>
      <c r="H83" s="13"/>
      <c r="I83" s="4"/>
      <c r="J83" s="11"/>
      <c r="K83" s="11"/>
      <c r="L83" s="4"/>
      <c r="M83" s="4"/>
      <c r="N83" s="4"/>
      <c r="O83" s="4"/>
      <c r="P83" s="4"/>
      <c r="Q83" s="4"/>
      <c r="R83" s="4"/>
      <c r="S83" s="4"/>
      <c r="T83" s="4"/>
      <c r="U83" s="4"/>
      <c r="V83" s="4"/>
      <c r="W83" s="4"/>
    </row>
    <row r="84" spans="1:23" ht="16.5" customHeight="1">
      <c r="A84" s="4"/>
      <c r="B84" s="11"/>
      <c r="C84" s="11"/>
      <c r="D84" s="11"/>
      <c r="E84" s="14"/>
      <c r="F84" s="4"/>
      <c r="G84" s="8">
        <v>81</v>
      </c>
      <c r="H84" s="13"/>
      <c r="I84" s="4"/>
      <c r="J84" s="11"/>
      <c r="K84" s="11"/>
      <c r="L84" s="4"/>
      <c r="M84" s="4"/>
      <c r="N84" s="4"/>
      <c r="O84" s="4"/>
      <c r="P84" s="4"/>
      <c r="Q84" s="4"/>
      <c r="R84" s="4"/>
      <c r="S84" s="4"/>
      <c r="T84" s="4"/>
      <c r="U84" s="4"/>
      <c r="V84" s="4"/>
      <c r="W84" s="4"/>
    </row>
    <row r="85" spans="1:23" ht="16.5" customHeight="1">
      <c r="A85" s="4"/>
      <c r="B85" s="11"/>
      <c r="C85" s="11"/>
      <c r="D85" s="11"/>
      <c r="E85" s="14"/>
      <c r="F85" s="4"/>
      <c r="G85" s="8">
        <v>82</v>
      </c>
      <c r="H85" s="13"/>
      <c r="I85" s="4"/>
      <c r="J85" s="11"/>
      <c r="K85" s="11"/>
      <c r="L85" s="4"/>
      <c r="M85" s="4"/>
      <c r="N85" s="4"/>
      <c r="O85" s="4"/>
      <c r="P85" s="4"/>
      <c r="Q85" s="4"/>
      <c r="R85" s="4"/>
      <c r="S85" s="4"/>
      <c r="T85" s="4"/>
      <c r="U85" s="4"/>
      <c r="V85" s="4"/>
      <c r="W85" s="4"/>
    </row>
    <row r="86" spans="1:23" ht="16.5" customHeight="1">
      <c r="A86" s="4"/>
      <c r="B86" s="11"/>
      <c r="C86" s="11"/>
      <c r="D86" s="11"/>
      <c r="E86" s="14"/>
      <c r="F86" s="4"/>
      <c r="G86" s="8">
        <v>83</v>
      </c>
      <c r="H86" s="13"/>
      <c r="I86" s="4"/>
      <c r="J86" s="11"/>
      <c r="K86" s="11"/>
      <c r="L86" s="4"/>
      <c r="M86" s="4"/>
      <c r="N86" s="4"/>
      <c r="O86" s="4"/>
      <c r="P86" s="4"/>
      <c r="Q86" s="4"/>
      <c r="R86" s="4"/>
      <c r="S86" s="4"/>
      <c r="T86" s="4"/>
      <c r="U86" s="4"/>
      <c r="V86" s="4"/>
      <c r="W86" s="4"/>
    </row>
    <row r="87" spans="1:23" ht="16.5" customHeight="1">
      <c r="A87" s="4"/>
      <c r="B87" s="11"/>
      <c r="C87" s="11"/>
      <c r="D87" s="11"/>
      <c r="E87" s="14"/>
      <c r="F87" s="4"/>
      <c r="G87" s="8">
        <v>84</v>
      </c>
      <c r="H87" s="13"/>
      <c r="I87" s="4"/>
      <c r="J87" s="11"/>
      <c r="K87" s="11"/>
      <c r="L87" s="4"/>
      <c r="M87" s="4"/>
      <c r="N87" s="4"/>
      <c r="O87" s="4"/>
      <c r="P87" s="4"/>
      <c r="Q87" s="4"/>
      <c r="R87" s="4"/>
      <c r="S87" s="4"/>
      <c r="T87" s="4"/>
      <c r="U87" s="4"/>
      <c r="V87" s="4"/>
      <c r="W87" s="4"/>
    </row>
    <row r="88" spans="1:23" ht="16.5" customHeight="1">
      <c r="A88" s="4"/>
      <c r="B88" s="11"/>
      <c r="C88" s="11"/>
      <c r="D88" s="11"/>
      <c r="E88" s="14"/>
      <c r="F88" s="4"/>
      <c r="G88" s="8">
        <v>85</v>
      </c>
      <c r="H88" s="13"/>
      <c r="I88" s="4"/>
      <c r="J88" s="11"/>
      <c r="K88" s="11"/>
      <c r="L88" s="4"/>
      <c r="M88" s="4"/>
      <c r="N88" s="4"/>
      <c r="O88" s="4"/>
      <c r="P88" s="4"/>
      <c r="Q88" s="4"/>
      <c r="R88" s="4"/>
      <c r="S88" s="4"/>
      <c r="T88" s="4"/>
      <c r="U88" s="4"/>
      <c r="V88" s="4"/>
      <c r="W88" s="4"/>
    </row>
    <row r="89" spans="1:23" ht="16.5" customHeight="1">
      <c r="A89" s="4"/>
      <c r="B89" s="11"/>
      <c r="C89" s="11"/>
      <c r="D89" s="11"/>
      <c r="E89" s="14"/>
      <c r="F89" s="4"/>
      <c r="G89" s="8">
        <v>86</v>
      </c>
      <c r="H89" s="13"/>
      <c r="I89" s="4"/>
      <c r="J89" s="11"/>
      <c r="K89" s="11"/>
      <c r="L89" s="4"/>
      <c r="M89" s="4"/>
      <c r="N89" s="4"/>
      <c r="O89" s="4"/>
      <c r="P89" s="4"/>
      <c r="Q89" s="4"/>
      <c r="R89" s="4"/>
      <c r="S89" s="4"/>
      <c r="T89" s="4"/>
      <c r="U89" s="4"/>
      <c r="V89" s="4"/>
      <c r="W89" s="4"/>
    </row>
    <row r="90" spans="1:23" ht="16.5" customHeight="1">
      <c r="A90" s="4"/>
      <c r="B90" s="11"/>
      <c r="C90" s="11"/>
      <c r="D90" s="11"/>
      <c r="E90" s="14"/>
      <c r="F90" s="4"/>
      <c r="G90" s="8">
        <v>87</v>
      </c>
      <c r="H90" s="13"/>
      <c r="I90" s="4"/>
      <c r="J90" s="11"/>
      <c r="K90" s="11"/>
      <c r="L90" s="4"/>
      <c r="M90" s="4"/>
      <c r="N90" s="4"/>
      <c r="O90" s="4"/>
      <c r="P90" s="4"/>
      <c r="Q90" s="4"/>
      <c r="R90" s="4"/>
      <c r="S90" s="4"/>
      <c r="T90" s="4"/>
      <c r="U90" s="4"/>
      <c r="V90" s="4"/>
      <c r="W90" s="4"/>
    </row>
    <row r="91" spans="1:23" ht="16.5" customHeight="1">
      <c r="A91" s="4"/>
      <c r="B91" s="11"/>
      <c r="C91" s="11"/>
      <c r="D91" s="11"/>
      <c r="E91" s="14"/>
      <c r="F91" s="4"/>
      <c r="G91" s="8">
        <v>88</v>
      </c>
      <c r="H91" s="13"/>
      <c r="I91" s="4"/>
      <c r="J91" s="11"/>
      <c r="K91" s="11"/>
      <c r="L91" s="4"/>
      <c r="M91" s="4"/>
      <c r="N91" s="4"/>
      <c r="O91" s="4"/>
      <c r="P91" s="4"/>
      <c r="Q91" s="4"/>
      <c r="R91" s="4"/>
      <c r="S91" s="4"/>
      <c r="T91" s="4"/>
      <c r="U91" s="4"/>
      <c r="V91" s="4"/>
      <c r="W91" s="4"/>
    </row>
    <row r="92" spans="1:23" ht="16.5" customHeight="1">
      <c r="A92" s="4"/>
      <c r="B92" s="11"/>
      <c r="C92" s="11"/>
      <c r="D92" s="11"/>
      <c r="E92" s="14"/>
      <c r="F92" s="4"/>
      <c r="G92" s="8">
        <v>89</v>
      </c>
      <c r="H92" s="13"/>
      <c r="I92" s="4"/>
      <c r="J92" s="11"/>
      <c r="K92" s="11"/>
      <c r="L92" s="4"/>
      <c r="M92" s="4"/>
      <c r="N92" s="4"/>
      <c r="O92" s="4"/>
      <c r="P92" s="4"/>
      <c r="Q92" s="4"/>
      <c r="R92" s="4"/>
      <c r="S92" s="4"/>
      <c r="T92" s="4"/>
      <c r="U92" s="4"/>
      <c r="V92" s="4"/>
      <c r="W92" s="4"/>
    </row>
    <row r="93" spans="1:23" ht="16.5" customHeight="1">
      <c r="A93" s="4"/>
      <c r="B93" s="11"/>
      <c r="C93" s="11"/>
      <c r="D93" s="11"/>
      <c r="E93" s="14"/>
      <c r="F93" s="4"/>
      <c r="G93" s="8">
        <v>90</v>
      </c>
      <c r="H93" s="13"/>
      <c r="I93" s="4"/>
      <c r="J93" s="11"/>
      <c r="K93" s="11"/>
      <c r="L93" s="4"/>
      <c r="M93" s="4"/>
      <c r="N93" s="4"/>
      <c r="O93" s="4"/>
      <c r="P93" s="4"/>
      <c r="Q93" s="4"/>
      <c r="R93" s="4"/>
      <c r="S93" s="4"/>
      <c r="T93" s="4"/>
      <c r="U93" s="4"/>
      <c r="V93" s="4"/>
      <c r="W93" s="4"/>
    </row>
    <row r="94" spans="1:23" ht="16.5" customHeight="1">
      <c r="A94" s="4"/>
      <c r="B94" s="11"/>
      <c r="C94" s="11"/>
      <c r="D94" s="11"/>
      <c r="E94" s="14"/>
      <c r="F94" s="4"/>
      <c r="G94" s="8">
        <v>91</v>
      </c>
      <c r="H94" s="13"/>
      <c r="I94" s="4"/>
      <c r="J94" s="11"/>
      <c r="K94" s="11"/>
      <c r="L94" s="4"/>
      <c r="M94" s="4"/>
      <c r="N94" s="4"/>
      <c r="O94" s="4"/>
      <c r="P94" s="4"/>
      <c r="Q94" s="4"/>
      <c r="R94" s="4"/>
      <c r="S94" s="4"/>
      <c r="T94" s="4"/>
      <c r="U94" s="4"/>
      <c r="V94" s="4"/>
      <c r="W94" s="4"/>
    </row>
    <row r="95" spans="1:23" ht="16.5" customHeight="1">
      <c r="A95" s="4"/>
      <c r="B95" s="11"/>
      <c r="C95" s="11"/>
      <c r="D95" s="11"/>
      <c r="E95" s="14"/>
      <c r="F95" s="4"/>
      <c r="G95" s="8">
        <v>92</v>
      </c>
      <c r="H95" s="13"/>
      <c r="I95" s="4"/>
      <c r="J95" s="11"/>
      <c r="K95" s="11"/>
      <c r="L95" s="4"/>
      <c r="M95" s="4"/>
      <c r="N95" s="4"/>
      <c r="O95" s="4"/>
      <c r="P95" s="4"/>
      <c r="Q95" s="4"/>
      <c r="R95" s="4"/>
      <c r="S95" s="4"/>
      <c r="T95" s="4"/>
      <c r="U95" s="4"/>
      <c r="V95" s="4"/>
      <c r="W95" s="4"/>
    </row>
    <row r="96" spans="1:23" ht="16.5" customHeight="1">
      <c r="A96" s="4"/>
      <c r="B96" s="11"/>
      <c r="C96" s="11"/>
      <c r="D96" s="11"/>
      <c r="E96" s="14"/>
      <c r="F96" s="4"/>
      <c r="G96" s="8">
        <v>93</v>
      </c>
      <c r="H96" s="13"/>
      <c r="I96" s="4"/>
      <c r="J96" s="11"/>
      <c r="K96" s="11"/>
      <c r="L96" s="4"/>
      <c r="M96" s="4"/>
      <c r="N96" s="4"/>
      <c r="O96" s="4"/>
      <c r="P96" s="4"/>
      <c r="Q96" s="4"/>
      <c r="R96" s="4"/>
      <c r="S96" s="4"/>
      <c r="T96" s="4"/>
      <c r="U96" s="4"/>
      <c r="V96" s="4"/>
      <c r="W96" s="4"/>
    </row>
    <row r="97" spans="1:23" ht="16.5" customHeight="1">
      <c r="A97" s="4"/>
      <c r="B97" s="11"/>
      <c r="C97" s="11"/>
      <c r="D97" s="11"/>
      <c r="E97" s="14"/>
      <c r="F97" s="4"/>
      <c r="G97" s="8">
        <v>94</v>
      </c>
      <c r="H97" s="13"/>
      <c r="I97" s="4"/>
      <c r="J97" s="11"/>
      <c r="K97" s="11"/>
      <c r="L97" s="4"/>
      <c r="M97" s="4"/>
      <c r="N97" s="4"/>
      <c r="O97" s="4"/>
      <c r="P97" s="4"/>
      <c r="Q97" s="4"/>
      <c r="R97" s="4"/>
      <c r="S97" s="4"/>
      <c r="T97" s="4"/>
      <c r="U97" s="4"/>
      <c r="V97" s="4"/>
      <c r="W97" s="4"/>
    </row>
    <row r="98" spans="1:23" ht="16.5" customHeight="1">
      <c r="A98" s="4"/>
      <c r="B98" s="11"/>
      <c r="C98" s="11"/>
      <c r="D98" s="11"/>
      <c r="E98" s="14"/>
      <c r="F98" s="4"/>
      <c r="G98" s="8">
        <v>95</v>
      </c>
      <c r="H98" s="13"/>
      <c r="I98" s="4"/>
      <c r="J98" s="11"/>
      <c r="K98" s="11"/>
      <c r="L98" s="4"/>
      <c r="M98" s="4"/>
      <c r="N98" s="4"/>
      <c r="O98" s="4"/>
      <c r="P98" s="4"/>
      <c r="Q98" s="4"/>
      <c r="R98" s="4"/>
      <c r="S98" s="4"/>
      <c r="T98" s="4"/>
      <c r="U98" s="4"/>
      <c r="V98" s="4"/>
      <c r="W98" s="4"/>
    </row>
    <row r="99" spans="1:23" ht="16.5" customHeight="1">
      <c r="A99" s="4"/>
      <c r="B99" s="11"/>
      <c r="C99" s="11"/>
      <c r="D99" s="11"/>
      <c r="E99" s="14"/>
      <c r="F99" s="4"/>
      <c r="G99" s="8">
        <v>96</v>
      </c>
      <c r="H99" s="13"/>
      <c r="I99" s="4"/>
      <c r="J99" s="11"/>
      <c r="K99" s="11"/>
      <c r="L99" s="4"/>
      <c r="M99" s="4"/>
      <c r="N99" s="4"/>
      <c r="O99" s="4"/>
      <c r="P99" s="4"/>
      <c r="Q99" s="4"/>
      <c r="R99" s="4"/>
      <c r="S99" s="4"/>
      <c r="T99" s="4"/>
      <c r="U99" s="4"/>
      <c r="V99" s="4"/>
      <c r="W99" s="4"/>
    </row>
    <row r="100" spans="1:23" ht="16.5" customHeight="1">
      <c r="A100" s="4"/>
      <c r="B100" s="11"/>
      <c r="C100" s="11"/>
      <c r="D100" s="11"/>
      <c r="E100" s="14"/>
      <c r="F100" s="4"/>
      <c r="G100" s="8">
        <v>97</v>
      </c>
      <c r="H100" s="13"/>
      <c r="I100" s="4"/>
      <c r="J100" s="11"/>
      <c r="K100" s="11"/>
      <c r="L100" s="4"/>
      <c r="M100" s="4"/>
      <c r="N100" s="4"/>
      <c r="O100" s="4"/>
      <c r="P100" s="4"/>
      <c r="Q100" s="4"/>
      <c r="R100" s="4"/>
      <c r="S100" s="4"/>
      <c r="T100" s="4"/>
      <c r="U100" s="4"/>
      <c r="V100" s="4"/>
      <c r="W100" s="4"/>
    </row>
    <row r="101" spans="1:23" ht="16.5" customHeight="1">
      <c r="A101" s="4"/>
      <c r="B101" s="11"/>
      <c r="C101" s="11"/>
      <c r="D101" s="11"/>
      <c r="E101" s="14"/>
      <c r="F101" s="4"/>
      <c r="G101" s="8">
        <v>98</v>
      </c>
      <c r="H101" s="13"/>
      <c r="I101" s="4"/>
      <c r="J101" s="11"/>
      <c r="K101" s="11"/>
      <c r="L101" s="4"/>
      <c r="M101" s="4"/>
      <c r="N101" s="4"/>
      <c r="O101" s="4"/>
      <c r="P101" s="4"/>
      <c r="Q101" s="4"/>
      <c r="R101" s="4"/>
      <c r="S101" s="4"/>
      <c r="T101" s="4"/>
      <c r="U101" s="4"/>
      <c r="V101" s="4"/>
      <c r="W101" s="4"/>
    </row>
    <row r="102" spans="1:23" ht="16.5" customHeight="1">
      <c r="A102" s="4"/>
      <c r="B102" s="11"/>
      <c r="C102" s="11"/>
      <c r="D102" s="11"/>
      <c r="E102" s="14"/>
      <c r="F102" s="4"/>
      <c r="G102" s="8">
        <v>99</v>
      </c>
      <c r="H102" s="13"/>
      <c r="I102" s="4"/>
      <c r="J102" s="11"/>
      <c r="K102" s="11"/>
      <c r="L102" s="4"/>
      <c r="M102" s="4"/>
      <c r="N102" s="4"/>
      <c r="O102" s="4"/>
      <c r="P102" s="4"/>
      <c r="Q102" s="4"/>
      <c r="R102" s="4"/>
      <c r="S102" s="4"/>
      <c r="T102" s="4"/>
      <c r="U102" s="4"/>
      <c r="V102" s="4"/>
      <c r="W102" s="4"/>
    </row>
    <row r="103" spans="1:23" ht="16.5" customHeight="1">
      <c r="A103" s="4"/>
      <c r="B103" s="11"/>
      <c r="C103" s="11"/>
      <c r="D103" s="11"/>
      <c r="E103" s="14"/>
      <c r="F103" s="4"/>
      <c r="G103" s="8">
        <v>100</v>
      </c>
      <c r="H103" s="13"/>
      <c r="I103" s="4"/>
      <c r="J103" s="11"/>
      <c r="K103" s="11"/>
      <c r="L103" s="4"/>
      <c r="M103" s="4"/>
      <c r="N103" s="4"/>
      <c r="O103" s="4"/>
      <c r="P103" s="4"/>
      <c r="Q103" s="4"/>
      <c r="R103" s="4"/>
      <c r="S103" s="4"/>
      <c r="T103" s="4"/>
      <c r="U103" s="4"/>
      <c r="V103" s="4"/>
      <c r="W103" s="4"/>
    </row>
    <row r="104" spans="1:23" ht="16.5" customHeight="1">
      <c r="A104" s="4"/>
      <c r="B104" s="11"/>
      <c r="C104" s="11"/>
      <c r="D104" s="11"/>
      <c r="E104" s="14"/>
      <c r="F104" s="4"/>
      <c r="G104" s="8">
        <v>101</v>
      </c>
      <c r="H104" s="13"/>
      <c r="I104" s="4"/>
      <c r="J104" s="11"/>
      <c r="K104" s="11"/>
      <c r="L104" s="4"/>
      <c r="M104" s="4"/>
      <c r="N104" s="4"/>
      <c r="O104" s="4"/>
      <c r="P104" s="4"/>
      <c r="Q104" s="4"/>
      <c r="R104" s="4"/>
      <c r="S104" s="4"/>
      <c r="T104" s="4"/>
      <c r="U104" s="4"/>
      <c r="V104" s="4"/>
      <c r="W104" s="4"/>
    </row>
    <row r="105" spans="1:23" ht="16.5" customHeight="1">
      <c r="A105" s="4"/>
      <c r="B105" s="11"/>
      <c r="C105" s="11"/>
      <c r="D105" s="11"/>
      <c r="E105" s="14"/>
      <c r="F105" s="4"/>
      <c r="G105" s="8">
        <v>102</v>
      </c>
      <c r="H105" s="13"/>
      <c r="I105" s="4"/>
      <c r="J105" s="11"/>
      <c r="K105" s="11"/>
      <c r="L105" s="4"/>
      <c r="M105" s="4"/>
      <c r="N105" s="4"/>
      <c r="O105" s="4"/>
      <c r="P105" s="4"/>
      <c r="Q105" s="4"/>
      <c r="R105" s="4"/>
      <c r="S105" s="4"/>
      <c r="T105" s="4"/>
      <c r="U105" s="4"/>
      <c r="V105" s="4"/>
      <c r="W105" s="4"/>
    </row>
    <row r="106" spans="1:23" ht="16.5" customHeight="1">
      <c r="A106" s="4"/>
      <c r="B106" s="11"/>
      <c r="C106" s="11"/>
      <c r="D106" s="11"/>
      <c r="E106" s="14"/>
      <c r="F106" s="4"/>
      <c r="G106" s="8">
        <v>103</v>
      </c>
      <c r="H106" s="13"/>
      <c r="I106" s="4"/>
      <c r="J106" s="11"/>
      <c r="K106" s="11"/>
      <c r="L106" s="4"/>
      <c r="M106" s="4"/>
      <c r="N106" s="4"/>
      <c r="O106" s="4"/>
      <c r="P106" s="4"/>
      <c r="Q106" s="4"/>
      <c r="R106" s="4"/>
      <c r="S106" s="4"/>
      <c r="T106" s="4"/>
      <c r="U106" s="4"/>
      <c r="V106" s="4"/>
      <c r="W106" s="4"/>
    </row>
    <row r="107" spans="1:23" ht="16.5" customHeight="1">
      <c r="A107" s="4"/>
      <c r="B107" s="11"/>
      <c r="C107" s="11"/>
      <c r="D107" s="11"/>
      <c r="E107" s="14"/>
      <c r="F107" s="4"/>
      <c r="G107" s="8">
        <v>104</v>
      </c>
      <c r="H107" s="13"/>
      <c r="I107" s="4"/>
      <c r="J107" s="11"/>
      <c r="K107" s="11"/>
      <c r="L107" s="4"/>
      <c r="M107" s="4"/>
      <c r="N107" s="4"/>
      <c r="O107" s="4"/>
      <c r="P107" s="4"/>
      <c r="Q107" s="4"/>
      <c r="R107" s="4"/>
      <c r="S107" s="4"/>
      <c r="T107" s="4"/>
      <c r="U107" s="4"/>
      <c r="V107" s="4"/>
      <c r="W107" s="4"/>
    </row>
    <row r="108" spans="1:23" ht="16.5" customHeight="1">
      <c r="A108" s="4"/>
      <c r="B108" s="11"/>
      <c r="C108" s="11"/>
      <c r="D108" s="11"/>
      <c r="E108" s="14"/>
      <c r="F108" s="4"/>
      <c r="G108" s="8">
        <v>105</v>
      </c>
      <c r="H108" s="13"/>
      <c r="I108" s="4"/>
      <c r="J108" s="11"/>
      <c r="K108" s="11"/>
      <c r="L108" s="4"/>
      <c r="M108" s="4"/>
      <c r="N108" s="4"/>
      <c r="O108" s="4"/>
      <c r="P108" s="4"/>
      <c r="Q108" s="4"/>
      <c r="R108" s="4"/>
      <c r="S108" s="4"/>
      <c r="T108" s="4"/>
      <c r="U108" s="4"/>
      <c r="V108" s="4"/>
      <c r="W108" s="4"/>
    </row>
    <row r="109" spans="1:23" ht="16.5" customHeight="1">
      <c r="A109" s="4"/>
      <c r="B109" s="11"/>
      <c r="C109" s="11"/>
      <c r="D109" s="11"/>
      <c r="E109" s="14"/>
      <c r="F109" s="4"/>
      <c r="G109" s="8">
        <v>106</v>
      </c>
      <c r="H109" s="13"/>
      <c r="I109" s="4"/>
      <c r="J109" s="11"/>
      <c r="K109" s="11"/>
      <c r="L109" s="4"/>
      <c r="M109" s="4"/>
      <c r="N109" s="4"/>
      <c r="O109" s="4"/>
      <c r="P109" s="4"/>
      <c r="Q109" s="4"/>
      <c r="R109" s="4"/>
      <c r="S109" s="4"/>
      <c r="T109" s="4"/>
      <c r="U109" s="4"/>
      <c r="V109" s="4"/>
      <c r="W109" s="4"/>
    </row>
    <row r="110" spans="1:23" ht="16.5" customHeight="1">
      <c r="A110" s="4"/>
      <c r="B110" s="11"/>
      <c r="C110" s="11"/>
      <c r="D110" s="11"/>
      <c r="E110" s="14"/>
      <c r="F110" s="4"/>
      <c r="G110" s="8">
        <v>107</v>
      </c>
      <c r="H110" s="13"/>
      <c r="I110" s="4"/>
      <c r="J110" s="11"/>
      <c r="K110" s="11"/>
      <c r="L110" s="4"/>
      <c r="M110" s="4"/>
      <c r="N110" s="4"/>
      <c r="O110" s="4"/>
      <c r="P110" s="4"/>
      <c r="Q110" s="4"/>
      <c r="R110" s="4"/>
      <c r="S110" s="4"/>
      <c r="T110" s="4"/>
      <c r="U110" s="4"/>
      <c r="V110" s="4"/>
      <c r="W110" s="4"/>
    </row>
    <row r="111" spans="1:23" ht="16.5" customHeight="1">
      <c r="A111" s="4"/>
      <c r="B111" s="11"/>
      <c r="C111" s="11"/>
      <c r="D111" s="11"/>
      <c r="E111" s="14"/>
      <c r="F111" s="4"/>
      <c r="G111" s="8">
        <v>108</v>
      </c>
      <c r="H111" s="13"/>
      <c r="I111" s="4"/>
      <c r="J111" s="11"/>
      <c r="K111" s="11"/>
      <c r="L111" s="4"/>
      <c r="M111" s="4"/>
      <c r="N111" s="4"/>
      <c r="O111" s="4"/>
      <c r="P111" s="4"/>
      <c r="Q111" s="4"/>
      <c r="R111" s="4"/>
      <c r="S111" s="4"/>
      <c r="T111" s="4"/>
      <c r="U111" s="4"/>
      <c r="V111" s="4"/>
      <c r="W111" s="4"/>
    </row>
    <row r="112" spans="1:23" ht="16.5" customHeight="1">
      <c r="A112" s="4"/>
      <c r="B112" s="11"/>
      <c r="C112" s="11"/>
      <c r="D112" s="11"/>
      <c r="E112" s="14"/>
      <c r="F112" s="4"/>
      <c r="G112" s="8">
        <v>109</v>
      </c>
      <c r="H112" s="13"/>
      <c r="I112" s="4"/>
      <c r="J112" s="11"/>
      <c r="K112" s="11"/>
      <c r="L112" s="4"/>
      <c r="M112" s="4"/>
      <c r="N112" s="4"/>
      <c r="O112" s="4"/>
      <c r="P112" s="4"/>
      <c r="Q112" s="4"/>
      <c r="R112" s="4"/>
      <c r="S112" s="4"/>
      <c r="T112" s="4"/>
      <c r="U112" s="4"/>
      <c r="V112" s="4"/>
      <c r="W112" s="4"/>
    </row>
    <row r="113" spans="1:23" ht="16.5" customHeight="1">
      <c r="A113" s="4"/>
      <c r="B113" s="11"/>
      <c r="C113" s="11"/>
      <c r="D113" s="11"/>
      <c r="E113" s="14"/>
      <c r="F113" s="4"/>
      <c r="G113" s="8">
        <v>110</v>
      </c>
      <c r="H113" s="13"/>
      <c r="I113" s="4"/>
      <c r="J113" s="11"/>
      <c r="K113" s="11"/>
      <c r="L113" s="4"/>
      <c r="M113" s="4"/>
      <c r="N113" s="4"/>
      <c r="O113" s="4"/>
      <c r="P113" s="4"/>
      <c r="Q113" s="4"/>
      <c r="R113" s="4"/>
      <c r="S113" s="4"/>
      <c r="T113" s="4"/>
      <c r="U113" s="4"/>
      <c r="V113" s="4"/>
      <c r="W113" s="4"/>
    </row>
    <row r="114" spans="1:23" ht="16.5" customHeight="1">
      <c r="A114" s="4"/>
      <c r="B114" s="11"/>
      <c r="C114" s="11"/>
      <c r="D114" s="11"/>
      <c r="E114" s="14"/>
      <c r="F114" s="4"/>
      <c r="G114" s="8">
        <v>111</v>
      </c>
      <c r="H114" s="13"/>
      <c r="I114" s="4"/>
      <c r="J114" s="11"/>
      <c r="K114" s="11"/>
      <c r="L114" s="4"/>
      <c r="M114" s="4"/>
      <c r="N114" s="4"/>
      <c r="O114" s="4"/>
      <c r="P114" s="4"/>
      <c r="Q114" s="4"/>
      <c r="R114" s="4"/>
      <c r="S114" s="4"/>
      <c r="T114" s="4"/>
      <c r="U114" s="4"/>
      <c r="V114" s="4"/>
      <c r="W114" s="4"/>
    </row>
    <row r="115" spans="1:23" ht="16.5" customHeight="1">
      <c r="A115" s="4"/>
      <c r="B115" s="11"/>
      <c r="C115" s="11"/>
      <c r="D115" s="11"/>
      <c r="E115" s="14"/>
      <c r="F115" s="4"/>
      <c r="G115" s="8">
        <v>112</v>
      </c>
      <c r="H115" s="13"/>
      <c r="I115" s="4"/>
      <c r="J115" s="11"/>
      <c r="K115" s="11"/>
      <c r="L115" s="4"/>
      <c r="M115" s="4"/>
      <c r="N115" s="4"/>
      <c r="O115" s="4"/>
      <c r="P115" s="4"/>
      <c r="Q115" s="4"/>
      <c r="R115" s="4"/>
      <c r="S115" s="4"/>
      <c r="T115" s="4"/>
      <c r="U115" s="4"/>
      <c r="V115" s="4"/>
      <c r="W115" s="4"/>
    </row>
    <row r="116" spans="1:23" ht="16.5" customHeight="1">
      <c r="A116" s="4"/>
      <c r="B116" s="11"/>
      <c r="C116" s="11"/>
      <c r="D116" s="11"/>
      <c r="E116" s="14"/>
      <c r="F116" s="4"/>
      <c r="G116" s="8">
        <v>113</v>
      </c>
      <c r="H116" s="13"/>
      <c r="I116" s="4"/>
      <c r="J116" s="11"/>
      <c r="K116" s="11"/>
      <c r="L116" s="4"/>
      <c r="M116" s="4"/>
      <c r="N116" s="4"/>
      <c r="O116" s="4"/>
      <c r="P116" s="4"/>
      <c r="Q116" s="4"/>
      <c r="R116" s="4"/>
      <c r="S116" s="4"/>
      <c r="T116" s="4"/>
      <c r="U116" s="4"/>
      <c r="V116" s="4"/>
      <c r="W116" s="4"/>
    </row>
    <row r="117" spans="1:23" ht="16.5" customHeight="1">
      <c r="A117" s="4"/>
      <c r="B117" s="11"/>
      <c r="C117" s="11"/>
      <c r="D117" s="11"/>
      <c r="E117" s="14"/>
      <c r="F117" s="4"/>
      <c r="G117" s="8">
        <v>114</v>
      </c>
      <c r="H117" s="13"/>
      <c r="I117" s="4"/>
      <c r="J117" s="11"/>
      <c r="K117" s="11"/>
      <c r="L117" s="4"/>
      <c r="M117" s="4"/>
      <c r="N117" s="4"/>
      <c r="O117" s="4"/>
      <c r="P117" s="4"/>
      <c r="Q117" s="4"/>
      <c r="R117" s="4"/>
      <c r="S117" s="4"/>
      <c r="T117" s="4"/>
      <c r="U117" s="4"/>
      <c r="V117" s="4"/>
      <c r="W117" s="4"/>
    </row>
    <row r="118" spans="1:23" ht="16.5" customHeight="1">
      <c r="A118" s="4"/>
      <c r="B118" s="11"/>
      <c r="C118" s="11"/>
      <c r="D118" s="11"/>
      <c r="E118" s="14"/>
      <c r="F118" s="4"/>
      <c r="G118" s="8">
        <v>115</v>
      </c>
      <c r="H118" s="13"/>
      <c r="I118" s="4"/>
      <c r="J118" s="11"/>
      <c r="K118" s="11"/>
      <c r="L118" s="4"/>
      <c r="M118" s="4"/>
      <c r="N118" s="4"/>
      <c r="O118" s="4"/>
      <c r="P118" s="4"/>
      <c r="Q118" s="4"/>
      <c r="R118" s="4"/>
      <c r="S118" s="4"/>
      <c r="T118" s="4"/>
      <c r="U118" s="4"/>
      <c r="V118" s="4"/>
      <c r="W118" s="4"/>
    </row>
    <row r="119" spans="1:23" ht="16.5" customHeight="1">
      <c r="A119" s="4"/>
      <c r="B119" s="11"/>
      <c r="C119" s="11"/>
      <c r="D119" s="11"/>
      <c r="E119" s="14"/>
      <c r="F119" s="4"/>
      <c r="G119" s="8">
        <v>116</v>
      </c>
      <c r="H119" s="13"/>
      <c r="I119" s="4"/>
      <c r="J119" s="11"/>
      <c r="K119" s="11"/>
      <c r="L119" s="4"/>
      <c r="M119" s="4"/>
      <c r="N119" s="4"/>
      <c r="O119" s="4"/>
      <c r="P119" s="4"/>
      <c r="Q119" s="4"/>
      <c r="R119" s="4"/>
      <c r="S119" s="4"/>
      <c r="T119" s="4"/>
      <c r="U119" s="4"/>
      <c r="V119" s="4"/>
      <c r="W119" s="4"/>
    </row>
    <row r="120" spans="1:23" ht="16.5" customHeight="1">
      <c r="A120" s="4"/>
      <c r="B120" s="11"/>
      <c r="C120" s="11"/>
      <c r="D120" s="11"/>
      <c r="E120" s="14"/>
      <c r="F120" s="4"/>
      <c r="G120" s="8">
        <v>117</v>
      </c>
      <c r="H120" s="13"/>
      <c r="I120" s="4"/>
      <c r="J120" s="11"/>
      <c r="K120" s="11"/>
      <c r="L120" s="4"/>
      <c r="M120" s="4"/>
      <c r="N120" s="4"/>
      <c r="O120" s="4"/>
      <c r="P120" s="4"/>
      <c r="Q120" s="4"/>
      <c r="R120" s="4"/>
      <c r="S120" s="4"/>
      <c r="T120" s="4"/>
      <c r="U120" s="4"/>
      <c r="V120" s="4"/>
      <c r="W120" s="4"/>
    </row>
    <row r="121" spans="1:23" ht="16.5" customHeight="1">
      <c r="A121" s="4"/>
      <c r="B121" s="11"/>
      <c r="C121" s="11"/>
      <c r="D121" s="11"/>
      <c r="E121" s="14"/>
      <c r="F121" s="4"/>
      <c r="G121" s="8">
        <v>118</v>
      </c>
      <c r="H121" s="13"/>
      <c r="I121" s="4"/>
      <c r="J121" s="11"/>
      <c r="K121" s="11"/>
      <c r="L121" s="4"/>
      <c r="M121" s="4"/>
      <c r="N121" s="4"/>
      <c r="O121" s="4"/>
      <c r="P121" s="4"/>
      <c r="Q121" s="4"/>
      <c r="R121" s="4"/>
      <c r="S121" s="4"/>
      <c r="T121" s="4"/>
      <c r="U121" s="4"/>
      <c r="V121" s="4"/>
      <c r="W121" s="4"/>
    </row>
    <row r="122" spans="1:23" ht="16.5" customHeight="1">
      <c r="A122" s="4"/>
      <c r="B122" s="11"/>
      <c r="C122" s="11"/>
      <c r="D122" s="11"/>
      <c r="E122" s="14"/>
      <c r="F122" s="4"/>
      <c r="G122" s="8">
        <v>119</v>
      </c>
      <c r="H122" s="13"/>
      <c r="I122" s="4"/>
      <c r="J122" s="11"/>
      <c r="K122" s="11"/>
      <c r="L122" s="4"/>
      <c r="M122" s="4"/>
      <c r="N122" s="4"/>
      <c r="O122" s="4"/>
      <c r="P122" s="4"/>
      <c r="Q122" s="4"/>
      <c r="R122" s="4"/>
      <c r="S122" s="4"/>
      <c r="T122" s="4"/>
      <c r="U122" s="4"/>
      <c r="V122" s="4"/>
      <c r="W122" s="4"/>
    </row>
    <row r="123" spans="1:23" ht="16.5" customHeight="1">
      <c r="A123" s="4"/>
      <c r="B123" s="11"/>
      <c r="C123" s="11"/>
      <c r="D123" s="11"/>
      <c r="E123" s="14"/>
      <c r="F123" s="4"/>
      <c r="G123" s="8">
        <v>120</v>
      </c>
      <c r="H123" s="13"/>
      <c r="I123" s="4"/>
      <c r="J123" s="11"/>
      <c r="K123" s="11"/>
      <c r="L123" s="4"/>
      <c r="M123" s="4"/>
      <c r="N123" s="4"/>
      <c r="O123" s="4"/>
      <c r="P123" s="4"/>
      <c r="Q123" s="4"/>
      <c r="R123" s="4"/>
      <c r="S123" s="4"/>
      <c r="T123" s="4"/>
      <c r="U123" s="4"/>
      <c r="V123" s="4"/>
      <c r="W123" s="4"/>
    </row>
    <row r="124" spans="1:23" ht="16.5" customHeight="1">
      <c r="A124" s="4"/>
      <c r="B124" s="11"/>
      <c r="C124" s="11"/>
      <c r="D124" s="11"/>
      <c r="E124" s="14"/>
      <c r="F124" s="4"/>
      <c r="G124" s="8">
        <v>121</v>
      </c>
      <c r="H124" s="13"/>
      <c r="I124" s="4"/>
      <c r="J124" s="11"/>
      <c r="K124" s="11"/>
      <c r="L124" s="4"/>
      <c r="M124" s="4"/>
      <c r="N124" s="4"/>
      <c r="O124" s="4"/>
      <c r="P124" s="4"/>
      <c r="Q124" s="4"/>
      <c r="R124" s="4"/>
      <c r="S124" s="4"/>
      <c r="T124" s="4"/>
      <c r="U124" s="4"/>
      <c r="V124" s="4"/>
      <c r="W124" s="4"/>
    </row>
    <row r="125" spans="1:23" ht="16.5" customHeight="1">
      <c r="A125" s="4"/>
      <c r="B125" s="11"/>
      <c r="C125" s="11"/>
      <c r="D125" s="11"/>
      <c r="E125" s="14"/>
      <c r="F125" s="4"/>
      <c r="G125" s="8">
        <v>122</v>
      </c>
      <c r="H125" s="13"/>
      <c r="I125" s="4"/>
      <c r="J125" s="11"/>
      <c r="K125" s="11"/>
      <c r="L125" s="4"/>
      <c r="M125" s="4"/>
      <c r="N125" s="4"/>
      <c r="O125" s="4"/>
      <c r="P125" s="4"/>
      <c r="Q125" s="4"/>
      <c r="R125" s="4"/>
      <c r="S125" s="4"/>
      <c r="T125" s="4"/>
      <c r="U125" s="4"/>
      <c r="V125" s="4"/>
      <c r="W125" s="4"/>
    </row>
    <row r="126" spans="1:23" ht="16.5" customHeight="1">
      <c r="A126" s="4"/>
      <c r="B126" s="11"/>
      <c r="C126" s="11"/>
      <c r="D126" s="11"/>
      <c r="E126" s="14"/>
      <c r="F126" s="4"/>
      <c r="G126" s="8">
        <v>123</v>
      </c>
      <c r="H126" s="13"/>
      <c r="I126" s="4"/>
      <c r="J126" s="11"/>
      <c r="K126" s="11"/>
      <c r="L126" s="4"/>
      <c r="M126" s="4"/>
      <c r="N126" s="4"/>
      <c r="O126" s="4"/>
      <c r="P126" s="4"/>
      <c r="Q126" s="4"/>
      <c r="R126" s="4"/>
      <c r="S126" s="4"/>
      <c r="T126" s="4"/>
      <c r="U126" s="4"/>
      <c r="V126" s="4"/>
      <c r="W126" s="4"/>
    </row>
    <row r="127" spans="1:23" ht="16.5" customHeight="1">
      <c r="A127" s="4"/>
      <c r="B127" s="11"/>
      <c r="C127" s="11"/>
      <c r="D127" s="11"/>
      <c r="E127" s="14"/>
      <c r="F127" s="4"/>
      <c r="G127" s="8">
        <v>124</v>
      </c>
      <c r="H127" s="13"/>
      <c r="I127" s="4"/>
      <c r="J127" s="11"/>
      <c r="K127" s="11"/>
      <c r="L127" s="4"/>
      <c r="M127" s="4"/>
      <c r="N127" s="4"/>
      <c r="O127" s="4"/>
      <c r="P127" s="4"/>
      <c r="Q127" s="4"/>
      <c r="R127" s="4"/>
      <c r="S127" s="4"/>
      <c r="T127" s="4"/>
      <c r="U127" s="4"/>
      <c r="V127" s="4"/>
      <c r="W127" s="4"/>
    </row>
    <row r="128" spans="1:23" ht="16.5" customHeight="1">
      <c r="A128" s="4"/>
      <c r="B128" s="11"/>
      <c r="C128" s="11"/>
      <c r="D128" s="11"/>
      <c r="E128" s="14"/>
      <c r="F128" s="4"/>
      <c r="G128" s="8">
        <v>125</v>
      </c>
      <c r="H128" s="13"/>
      <c r="I128" s="4"/>
      <c r="J128" s="11"/>
      <c r="K128" s="11"/>
      <c r="L128" s="4"/>
      <c r="M128" s="4"/>
      <c r="N128" s="4"/>
      <c r="O128" s="4"/>
      <c r="P128" s="4"/>
      <c r="Q128" s="4"/>
      <c r="R128" s="4"/>
      <c r="S128" s="4"/>
      <c r="T128" s="4"/>
      <c r="U128" s="4"/>
      <c r="V128" s="4"/>
      <c r="W128" s="4"/>
    </row>
    <row r="129" spans="1:23" ht="16.5" customHeight="1">
      <c r="A129" s="4"/>
      <c r="B129" s="11"/>
      <c r="C129" s="11"/>
      <c r="D129" s="11"/>
      <c r="E129" s="14"/>
      <c r="F129" s="4"/>
      <c r="G129" s="8">
        <v>126</v>
      </c>
      <c r="H129" s="13"/>
      <c r="I129" s="4"/>
      <c r="J129" s="11"/>
      <c r="K129" s="11"/>
      <c r="L129" s="4"/>
      <c r="M129" s="4"/>
      <c r="N129" s="4"/>
      <c r="O129" s="4"/>
      <c r="P129" s="4"/>
      <c r="Q129" s="4"/>
      <c r="R129" s="4"/>
      <c r="S129" s="4"/>
      <c r="T129" s="4"/>
      <c r="U129" s="4"/>
      <c r="V129" s="4"/>
      <c r="W129" s="4"/>
    </row>
    <row r="130" spans="1:23" ht="16.5" customHeight="1">
      <c r="A130" s="4"/>
      <c r="B130" s="11"/>
      <c r="C130" s="11"/>
      <c r="D130" s="11"/>
      <c r="E130" s="14"/>
      <c r="F130" s="4"/>
      <c r="G130" s="8">
        <v>127</v>
      </c>
      <c r="H130" s="13"/>
      <c r="I130" s="4"/>
      <c r="J130" s="11"/>
      <c r="K130" s="11"/>
      <c r="L130" s="4"/>
      <c r="M130" s="4"/>
      <c r="N130" s="4"/>
      <c r="O130" s="4"/>
      <c r="P130" s="4"/>
      <c r="Q130" s="4"/>
      <c r="R130" s="4"/>
      <c r="S130" s="4"/>
      <c r="T130" s="4"/>
      <c r="U130" s="4"/>
      <c r="V130" s="4"/>
      <c r="W130" s="4"/>
    </row>
    <row r="131" spans="1:23" ht="16.5" customHeight="1">
      <c r="A131" s="4"/>
      <c r="B131" s="11"/>
      <c r="C131" s="11"/>
      <c r="D131" s="11"/>
      <c r="E131" s="14"/>
      <c r="F131" s="4"/>
      <c r="G131" s="8">
        <v>128</v>
      </c>
      <c r="H131" s="13"/>
      <c r="I131" s="4"/>
      <c r="J131" s="11"/>
      <c r="K131" s="11"/>
      <c r="L131" s="4"/>
      <c r="M131" s="4"/>
      <c r="N131" s="4"/>
      <c r="O131" s="4"/>
      <c r="P131" s="4"/>
      <c r="Q131" s="4"/>
      <c r="R131" s="4"/>
      <c r="S131" s="4"/>
      <c r="T131" s="4"/>
      <c r="U131" s="4"/>
      <c r="V131" s="4"/>
      <c r="W131" s="4"/>
    </row>
    <row r="132" spans="1:23" ht="16.5" customHeight="1">
      <c r="A132" s="4"/>
      <c r="B132" s="11"/>
      <c r="C132" s="11"/>
      <c r="D132" s="11"/>
      <c r="E132" s="14"/>
      <c r="F132" s="4"/>
      <c r="G132" s="8">
        <v>129</v>
      </c>
      <c r="H132" s="13"/>
      <c r="I132" s="4"/>
      <c r="J132" s="11"/>
      <c r="K132" s="11"/>
      <c r="L132" s="4"/>
      <c r="M132" s="4"/>
      <c r="N132" s="4"/>
      <c r="O132" s="4"/>
      <c r="P132" s="4"/>
      <c r="Q132" s="4"/>
      <c r="R132" s="4"/>
      <c r="S132" s="4"/>
      <c r="T132" s="4"/>
      <c r="U132" s="4"/>
      <c r="V132" s="4"/>
      <c r="W132" s="4"/>
    </row>
    <row r="133" spans="1:23" ht="16.5" customHeight="1">
      <c r="A133" s="4"/>
      <c r="B133" s="11"/>
      <c r="C133" s="11"/>
      <c r="D133" s="11"/>
      <c r="E133" s="14"/>
      <c r="F133" s="4"/>
      <c r="G133" s="8">
        <v>130</v>
      </c>
      <c r="H133" s="13"/>
      <c r="I133" s="4"/>
      <c r="J133" s="11"/>
      <c r="K133" s="11"/>
      <c r="L133" s="4"/>
      <c r="M133" s="4"/>
      <c r="N133" s="4"/>
      <c r="O133" s="4"/>
      <c r="P133" s="4"/>
      <c r="Q133" s="4"/>
      <c r="R133" s="4"/>
      <c r="S133" s="4"/>
      <c r="T133" s="4"/>
      <c r="U133" s="4"/>
      <c r="V133" s="4"/>
      <c r="W133" s="4"/>
    </row>
    <row r="134" spans="1:23" ht="16.5" customHeight="1">
      <c r="A134" s="4"/>
      <c r="B134" s="11"/>
      <c r="C134" s="11"/>
      <c r="D134" s="11"/>
      <c r="E134" s="14"/>
      <c r="F134" s="4"/>
      <c r="G134" s="8">
        <v>131</v>
      </c>
      <c r="H134" s="13"/>
      <c r="I134" s="4"/>
      <c r="J134" s="11"/>
      <c r="K134" s="11"/>
      <c r="L134" s="4"/>
      <c r="M134" s="4"/>
      <c r="N134" s="4"/>
      <c r="O134" s="4"/>
      <c r="P134" s="4"/>
      <c r="Q134" s="4"/>
      <c r="R134" s="4"/>
      <c r="S134" s="4"/>
      <c r="T134" s="4"/>
      <c r="U134" s="4"/>
      <c r="V134" s="4"/>
      <c r="W134" s="4"/>
    </row>
    <row r="135" spans="1:23" ht="16.5" customHeight="1">
      <c r="A135" s="4"/>
      <c r="B135" s="11"/>
      <c r="C135" s="11"/>
      <c r="D135" s="11"/>
      <c r="E135" s="14"/>
      <c r="F135" s="4"/>
      <c r="G135" s="8">
        <v>132</v>
      </c>
      <c r="H135" s="13"/>
      <c r="I135" s="4"/>
      <c r="J135" s="11"/>
      <c r="K135" s="11"/>
      <c r="L135" s="4"/>
      <c r="M135" s="4"/>
      <c r="N135" s="4"/>
      <c r="O135" s="4"/>
      <c r="P135" s="4"/>
      <c r="Q135" s="4"/>
      <c r="R135" s="4"/>
      <c r="S135" s="4"/>
      <c r="T135" s="4"/>
      <c r="U135" s="4"/>
      <c r="V135" s="4"/>
      <c r="W135" s="4"/>
    </row>
    <row r="136" spans="1:23" ht="16.5" customHeight="1">
      <c r="A136" s="4"/>
      <c r="B136" s="11"/>
      <c r="C136" s="11"/>
      <c r="D136" s="11"/>
      <c r="E136" s="14"/>
      <c r="F136" s="4"/>
      <c r="G136" s="8">
        <v>133</v>
      </c>
      <c r="H136" s="13"/>
      <c r="I136" s="4"/>
      <c r="J136" s="11"/>
      <c r="K136" s="11"/>
      <c r="L136" s="4"/>
      <c r="M136" s="4"/>
      <c r="N136" s="4"/>
      <c r="O136" s="4"/>
      <c r="P136" s="4"/>
      <c r="Q136" s="4"/>
      <c r="R136" s="4"/>
      <c r="S136" s="4"/>
      <c r="T136" s="4"/>
      <c r="U136" s="4"/>
      <c r="V136" s="4"/>
      <c r="W136" s="4"/>
    </row>
    <row r="137" spans="1:23" ht="16.5" customHeight="1">
      <c r="A137" s="4"/>
      <c r="B137" s="11"/>
      <c r="C137" s="11"/>
      <c r="D137" s="11"/>
      <c r="E137" s="14"/>
      <c r="F137" s="4"/>
      <c r="G137" s="8">
        <v>134</v>
      </c>
      <c r="H137" s="13"/>
      <c r="I137" s="4"/>
      <c r="J137" s="11"/>
      <c r="K137" s="11"/>
      <c r="L137" s="4"/>
      <c r="M137" s="4"/>
      <c r="N137" s="4"/>
      <c r="O137" s="4"/>
      <c r="P137" s="4"/>
      <c r="Q137" s="4"/>
      <c r="R137" s="4"/>
      <c r="S137" s="4"/>
      <c r="T137" s="4"/>
      <c r="U137" s="4"/>
      <c r="V137" s="4"/>
      <c r="W137" s="4"/>
    </row>
    <row r="138" spans="1:23" ht="16.5" customHeight="1">
      <c r="A138" s="4"/>
      <c r="B138" s="11"/>
      <c r="C138" s="11"/>
      <c r="D138" s="11"/>
      <c r="E138" s="14"/>
      <c r="F138" s="4"/>
      <c r="G138" s="8">
        <v>135</v>
      </c>
      <c r="H138" s="13"/>
      <c r="I138" s="4"/>
      <c r="J138" s="11"/>
      <c r="K138" s="11"/>
      <c r="L138" s="4"/>
      <c r="M138" s="4"/>
      <c r="N138" s="4"/>
      <c r="O138" s="4"/>
      <c r="P138" s="4"/>
      <c r="Q138" s="4"/>
      <c r="R138" s="4"/>
      <c r="S138" s="4"/>
      <c r="T138" s="4"/>
      <c r="U138" s="4"/>
      <c r="V138" s="4"/>
      <c r="W138" s="4"/>
    </row>
    <row r="139" spans="1:23" ht="16.5" customHeight="1">
      <c r="A139" s="4"/>
      <c r="B139" s="11"/>
      <c r="C139" s="11"/>
      <c r="D139" s="11"/>
      <c r="E139" s="14"/>
      <c r="F139" s="4"/>
      <c r="G139" s="8">
        <v>136</v>
      </c>
      <c r="H139" s="13"/>
      <c r="I139" s="4"/>
      <c r="J139" s="11"/>
      <c r="K139" s="11"/>
      <c r="L139" s="4"/>
      <c r="M139" s="4"/>
      <c r="N139" s="4"/>
      <c r="O139" s="4"/>
      <c r="P139" s="4"/>
      <c r="Q139" s="4"/>
      <c r="R139" s="4"/>
      <c r="S139" s="4"/>
      <c r="T139" s="4"/>
      <c r="U139" s="4"/>
      <c r="V139" s="4"/>
      <c r="W139" s="4"/>
    </row>
    <row r="140" spans="1:23" ht="16.5" customHeight="1">
      <c r="A140" s="4"/>
      <c r="B140" s="11"/>
      <c r="C140" s="11"/>
      <c r="D140" s="11"/>
      <c r="E140" s="14"/>
      <c r="F140" s="4"/>
      <c r="G140" s="8">
        <v>137</v>
      </c>
      <c r="H140" s="13"/>
      <c r="I140" s="4"/>
      <c r="J140" s="11"/>
      <c r="K140" s="11"/>
      <c r="L140" s="4"/>
      <c r="M140" s="4"/>
      <c r="N140" s="4"/>
      <c r="O140" s="4"/>
      <c r="P140" s="4"/>
      <c r="Q140" s="4"/>
      <c r="R140" s="4"/>
      <c r="S140" s="4"/>
      <c r="T140" s="4"/>
      <c r="U140" s="4"/>
      <c r="V140" s="4"/>
      <c r="W140" s="4"/>
    </row>
    <row r="141" spans="1:23" ht="16.5" customHeight="1">
      <c r="A141" s="4"/>
      <c r="B141" s="11"/>
      <c r="C141" s="11"/>
      <c r="D141" s="11"/>
      <c r="E141" s="14"/>
      <c r="F141" s="4"/>
      <c r="G141" s="8">
        <v>138</v>
      </c>
      <c r="H141" s="13"/>
      <c r="I141" s="4"/>
      <c r="J141" s="11"/>
      <c r="K141" s="11"/>
      <c r="L141" s="4"/>
      <c r="M141" s="4"/>
      <c r="N141" s="4"/>
      <c r="O141" s="4"/>
      <c r="P141" s="4"/>
      <c r="Q141" s="4"/>
      <c r="R141" s="4"/>
      <c r="S141" s="4"/>
      <c r="T141" s="4"/>
      <c r="U141" s="4"/>
      <c r="V141" s="4"/>
      <c r="W141" s="4"/>
    </row>
    <row r="142" spans="1:23" ht="16.5" customHeight="1">
      <c r="A142" s="4"/>
      <c r="B142" s="11"/>
      <c r="C142" s="11"/>
      <c r="D142" s="11"/>
      <c r="E142" s="14"/>
      <c r="F142" s="4"/>
      <c r="G142" s="8">
        <v>139</v>
      </c>
      <c r="H142" s="13"/>
      <c r="I142" s="4"/>
      <c r="J142" s="11"/>
      <c r="K142" s="11"/>
      <c r="L142" s="4"/>
      <c r="M142" s="4"/>
      <c r="N142" s="4"/>
      <c r="O142" s="4"/>
      <c r="P142" s="4"/>
      <c r="Q142" s="4"/>
      <c r="R142" s="4"/>
      <c r="S142" s="4"/>
      <c r="T142" s="4"/>
      <c r="U142" s="4"/>
      <c r="V142" s="4"/>
      <c r="W142" s="4"/>
    </row>
    <row r="143" spans="1:23" ht="16.5" customHeight="1">
      <c r="A143" s="4"/>
      <c r="B143" s="11"/>
      <c r="C143" s="11"/>
      <c r="D143" s="11"/>
      <c r="E143" s="14"/>
      <c r="F143" s="4"/>
      <c r="G143" s="8">
        <v>140</v>
      </c>
      <c r="H143" s="13"/>
      <c r="I143" s="4"/>
      <c r="J143" s="11"/>
      <c r="K143" s="11"/>
      <c r="L143" s="4"/>
      <c r="M143" s="4"/>
      <c r="N143" s="4"/>
      <c r="O143" s="4"/>
      <c r="P143" s="4"/>
      <c r="Q143" s="4"/>
      <c r="R143" s="4"/>
      <c r="S143" s="4"/>
      <c r="T143" s="4"/>
      <c r="U143" s="4"/>
      <c r="V143" s="4"/>
      <c r="W143" s="4"/>
    </row>
    <row r="144" spans="1:23" ht="16.5" customHeight="1">
      <c r="A144" s="4"/>
      <c r="B144" s="11"/>
      <c r="C144" s="11"/>
      <c r="D144" s="11"/>
      <c r="E144" s="14"/>
      <c r="F144" s="4"/>
      <c r="G144" s="8">
        <v>141</v>
      </c>
      <c r="H144" s="13"/>
      <c r="I144" s="4"/>
      <c r="J144" s="11"/>
      <c r="K144" s="11"/>
      <c r="L144" s="4"/>
      <c r="M144" s="4"/>
      <c r="N144" s="4"/>
      <c r="O144" s="4"/>
      <c r="P144" s="4"/>
      <c r="Q144" s="4"/>
      <c r="R144" s="4"/>
      <c r="S144" s="4"/>
      <c r="T144" s="4"/>
      <c r="U144" s="4"/>
      <c r="V144" s="4"/>
      <c r="W144" s="4"/>
    </row>
    <row r="145" spans="1:23" ht="16.5" customHeight="1">
      <c r="A145" s="4"/>
      <c r="B145" s="11"/>
      <c r="C145" s="11"/>
      <c r="D145" s="11"/>
      <c r="E145" s="14"/>
      <c r="F145" s="4"/>
      <c r="G145" s="8">
        <v>142</v>
      </c>
      <c r="H145" s="13"/>
      <c r="I145" s="4"/>
      <c r="J145" s="11"/>
      <c r="K145" s="11"/>
      <c r="L145" s="4"/>
      <c r="M145" s="4"/>
      <c r="N145" s="4"/>
      <c r="O145" s="4"/>
      <c r="P145" s="4"/>
      <c r="Q145" s="4"/>
      <c r="R145" s="4"/>
      <c r="S145" s="4"/>
      <c r="T145" s="4"/>
      <c r="U145" s="4"/>
      <c r="V145" s="4"/>
      <c r="W145" s="4"/>
    </row>
    <row r="146" spans="1:23" ht="16.5" customHeight="1">
      <c r="A146" s="4"/>
      <c r="B146" s="11"/>
      <c r="C146" s="11"/>
      <c r="D146" s="11"/>
      <c r="E146" s="14"/>
      <c r="F146" s="4"/>
      <c r="G146" s="8">
        <v>143</v>
      </c>
      <c r="H146" s="13"/>
      <c r="I146" s="4"/>
      <c r="J146" s="11"/>
      <c r="K146" s="11"/>
      <c r="L146" s="4"/>
      <c r="M146" s="4"/>
      <c r="N146" s="4"/>
      <c r="O146" s="4"/>
      <c r="P146" s="4"/>
      <c r="Q146" s="4"/>
      <c r="R146" s="4"/>
      <c r="S146" s="4"/>
      <c r="T146" s="4"/>
      <c r="U146" s="4"/>
      <c r="V146" s="4"/>
      <c r="W146" s="4"/>
    </row>
    <row r="147" spans="1:23" ht="16.5" customHeight="1">
      <c r="A147" s="4"/>
      <c r="B147" s="11"/>
      <c r="C147" s="11"/>
      <c r="D147" s="11"/>
      <c r="E147" s="14"/>
      <c r="F147" s="4"/>
      <c r="G147" s="8">
        <v>144</v>
      </c>
      <c r="H147" s="13"/>
      <c r="I147" s="4"/>
      <c r="J147" s="11"/>
      <c r="K147" s="11"/>
      <c r="L147" s="4"/>
      <c r="M147" s="4"/>
      <c r="N147" s="4"/>
      <c r="O147" s="4"/>
      <c r="P147" s="4"/>
      <c r="Q147" s="4"/>
      <c r="R147" s="4"/>
      <c r="S147" s="4"/>
      <c r="T147" s="4"/>
      <c r="U147" s="4"/>
      <c r="V147" s="4"/>
      <c r="W147" s="4"/>
    </row>
    <row r="148" spans="1:23" ht="16.5" customHeight="1">
      <c r="A148" s="4"/>
      <c r="B148" s="11"/>
      <c r="C148" s="11"/>
      <c r="D148" s="11"/>
      <c r="E148" s="14"/>
      <c r="F148" s="4"/>
      <c r="G148" s="8">
        <v>145</v>
      </c>
      <c r="H148" s="13"/>
      <c r="I148" s="4"/>
      <c r="J148" s="11"/>
      <c r="K148" s="11"/>
      <c r="L148" s="4"/>
      <c r="M148" s="4"/>
      <c r="N148" s="4"/>
      <c r="O148" s="4"/>
      <c r="P148" s="4"/>
      <c r="Q148" s="4"/>
      <c r="R148" s="4"/>
      <c r="S148" s="4"/>
      <c r="T148" s="4"/>
      <c r="U148" s="4"/>
      <c r="V148" s="4"/>
      <c r="W148" s="4"/>
    </row>
    <row r="149" spans="1:23" ht="16.5" customHeight="1">
      <c r="A149" s="4"/>
      <c r="B149" s="11"/>
      <c r="C149" s="11"/>
      <c r="D149" s="11"/>
      <c r="E149" s="14"/>
      <c r="F149" s="4"/>
      <c r="G149" s="8">
        <v>146</v>
      </c>
      <c r="H149" s="13"/>
      <c r="I149" s="4"/>
      <c r="J149" s="11"/>
      <c r="K149" s="11"/>
      <c r="L149" s="4"/>
      <c r="M149" s="4"/>
      <c r="N149" s="4"/>
      <c r="O149" s="4"/>
      <c r="P149" s="4"/>
      <c r="Q149" s="4"/>
      <c r="R149" s="4"/>
      <c r="S149" s="4"/>
      <c r="T149" s="4"/>
      <c r="U149" s="4"/>
      <c r="V149" s="4"/>
      <c r="W149" s="4"/>
    </row>
    <row r="150" spans="1:23" ht="16.5" customHeight="1">
      <c r="A150" s="4"/>
      <c r="B150" s="11"/>
      <c r="C150" s="11"/>
      <c r="D150" s="11"/>
      <c r="E150" s="14"/>
      <c r="F150" s="4"/>
      <c r="G150" s="8">
        <v>147</v>
      </c>
      <c r="H150" s="13"/>
      <c r="I150" s="4"/>
      <c r="J150" s="11"/>
      <c r="K150" s="11"/>
      <c r="L150" s="4"/>
      <c r="M150" s="4"/>
      <c r="N150" s="4"/>
      <c r="O150" s="4"/>
      <c r="P150" s="4"/>
      <c r="Q150" s="4"/>
      <c r="R150" s="4"/>
      <c r="S150" s="4"/>
      <c r="T150" s="4"/>
      <c r="U150" s="4"/>
      <c r="V150" s="4"/>
      <c r="W150" s="4"/>
    </row>
    <row r="151" spans="1:23" ht="16.5" customHeight="1">
      <c r="A151" s="4"/>
      <c r="B151" s="11"/>
      <c r="C151" s="11"/>
      <c r="D151" s="11"/>
      <c r="E151" s="14"/>
      <c r="F151" s="4"/>
      <c r="G151" s="8">
        <v>148</v>
      </c>
      <c r="H151" s="13"/>
      <c r="I151" s="4"/>
      <c r="J151" s="11"/>
      <c r="K151" s="11"/>
      <c r="L151" s="4"/>
      <c r="M151" s="4"/>
      <c r="N151" s="4"/>
      <c r="O151" s="4"/>
      <c r="P151" s="4"/>
      <c r="Q151" s="4"/>
      <c r="R151" s="4"/>
      <c r="S151" s="4"/>
      <c r="T151" s="4"/>
      <c r="U151" s="4"/>
      <c r="V151" s="4"/>
      <c r="W151" s="4"/>
    </row>
    <row r="152" spans="1:23" ht="16.5" customHeight="1">
      <c r="A152" s="4"/>
      <c r="B152" s="11"/>
      <c r="C152" s="11"/>
      <c r="D152" s="11"/>
      <c r="E152" s="14"/>
      <c r="F152" s="4"/>
      <c r="G152" s="8">
        <v>149</v>
      </c>
      <c r="H152" s="13"/>
      <c r="I152" s="4"/>
      <c r="J152" s="11"/>
      <c r="K152" s="11"/>
      <c r="L152" s="4"/>
      <c r="M152" s="4"/>
      <c r="N152" s="4"/>
      <c r="O152" s="4"/>
      <c r="P152" s="4"/>
      <c r="Q152" s="4"/>
      <c r="R152" s="4"/>
      <c r="S152" s="4"/>
      <c r="T152" s="4"/>
      <c r="U152" s="4"/>
      <c r="V152" s="4"/>
      <c r="W152" s="4"/>
    </row>
    <row r="153" spans="1:23" ht="16.5" customHeight="1">
      <c r="A153" s="4"/>
      <c r="B153" s="11"/>
      <c r="C153" s="11"/>
      <c r="D153" s="11"/>
      <c r="E153" s="14"/>
      <c r="F153" s="4"/>
      <c r="G153" s="8">
        <v>150</v>
      </c>
      <c r="H153" s="13"/>
      <c r="I153" s="4"/>
      <c r="J153" s="11"/>
      <c r="K153" s="11"/>
      <c r="L153" s="4"/>
      <c r="M153" s="4"/>
      <c r="N153" s="4"/>
      <c r="O153" s="4"/>
      <c r="P153" s="4"/>
      <c r="Q153" s="4"/>
      <c r="R153" s="4"/>
      <c r="S153" s="4"/>
      <c r="T153" s="4"/>
      <c r="U153" s="4"/>
      <c r="V153" s="4"/>
      <c r="W153" s="4"/>
    </row>
    <row r="154" spans="1:23" ht="16.5" customHeight="1">
      <c r="A154" s="4"/>
      <c r="B154" s="11"/>
      <c r="C154" s="11"/>
      <c r="D154" s="11"/>
      <c r="E154" s="14"/>
      <c r="F154" s="4"/>
      <c r="G154" s="14"/>
      <c r="H154" s="22"/>
      <c r="I154" s="4"/>
      <c r="J154" s="11"/>
      <c r="K154" s="11"/>
      <c r="L154" s="4"/>
      <c r="M154" s="4"/>
      <c r="N154" s="4"/>
      <c r="O154" s="4"/>
      <c r="P154" s="4"/>
      <c r="Q154" s="4"/>
      <c r="R154" s="4"/>
      <c r="S154" s="4"/>
      <c r="T154" s="4"/>
      <c r="U154" s="4"/>
      <c r="V154" s="4"/>
      <c r="W154" s="4"/>
    </row>
    <row r="155" spans="1:23" ht="16.5" customHeight="1">
      <c r="A155" s="4"/>
      <c r="B155" s="11"/>
      <c r="C155" s="11"/>
      <c r="D155" s="11"/>
      <c r="E155" s="14"/>
      <c r="F155" s="4"/>
      <c r="G155" s="14"/>
      <c r="H155" s="22"/>
      <c r="I155" s="4"/>
      <c r="J155" s="11"/>
      <c r="K155" s="11"/>
      <c r="L155" s="4"/>
      <c r="M155" s="4"/>
      <c r="N155" s="4"/>
      <c r="O155" s="4"/>
      <c r="P155" s="4"/>
      <c r="Q155" s="4"/>
      <c r="R155" s="4"/>
      <c r="S155" s="4"/>
      <c r="T155" s="4"/>
      <c r="U155" s="4"/>
      <c r="V155" s="4"/>
      <c r="W155" s="4"/>
    </row>
    <row r="156" spans="1:23" ht="16.5" customHeight="1">
      <c r="A156" s="4"/>
      <c r="B156" s="11"/>
      <c r="C156" s="11"/>
      <c r="D156" s="11"/>
      <c r="E156" s="14"/>
      <c r="F156" s="4"/>
      <c r="G156" s="14"/>
      <c r="H156" s="22"/>
      <c r="I156" s="4"/>
      <c r="J156" s="11"/>
      <c r="K156" s="11"/>
      <c r="L156" s="4"/>
      <c r="M156" s="4"/>
      <c r="N156" s="4"/>
      <c r="O156" s="4"/>
      <c r="P156" s="4"/>
      <c r="Q156" s="4"/>
      <c r="R156" s="4"/>
      <c r="S156" s="4"/>
      <c r="T156" s="4"/>
      <c r="U156" s="4"/>
      <c r="V156" s="4"/>
      <c r="W156" s="4"/>
    </row>
    <row r="157" spans="1:23" ht="16.5" customHeight="1">
      <c r="A157" s="4"/>
      <c r="B157" s="11"/>
      <c r="C157" s="11"/>
      <c r="D157" s="11"/>
      <c r="E157" s="14"/>
      <c r="F157" s="4"/>
      <c r="G157" s="14"/>
      <c r="H157" s="22"/>
      <c r="I157" s="4"/>
      <c r="J157" s="11"/>
      <c r="K157" s="11"/>
      <c r="L157" s="4"/>
      <c r="M157" s="4"/>
      <c r="N157" s="4"/>
      <c r="O157" s="4"/>
      <c r="P157" s="4"/>
      <c r="Q157" s="4"/>
      <c r="R157" s="4"/>
      <c r="S157" s="4"/>
      <c r="T157" s="4"/>
      <c r="U157" s="4"/>
      <c r="V157" s="4"/>
      <c r="W157" s="4"/>
    </row>
    <row r="158" spans="1:23" ht="16.5" customHeight="1">
      <c r="A158" s="4"/>
      <c r="B158" s="11"/>
      <c r="C158" s="11"/>
      <c r="D158" s="11"/>
      <c r="E158" s="14"/>
      <c r="F158" s="4"/>
      <c r="G158" s="14"/>
      <c r="H158" s="22"/>
      <c r="I158" s="4"/>
      <c r="J158" s="11"/>
      <c r="K158" s="11"/>
      <c r="L158" s="4"/>
      <c r="M158" s="4"/>
      <c r="N158" s="4"/>
      <c r="O158" s="4"/>
      <c r="P158" s="4"/>
      <c r="Q158" s="4"/>
      <c r="R158" s="4"/>
      <c r="S158" s="4"/>
      <c r="T158" s="4"/>
      <c r="U158" s="4"/>
      <c r="V158" s="4"/>
      <c r="W158" s="4"/>
    </row>
    <row r="159" spans="1:23" ht="16.5" customHeight="1">
      <c r="A159" s="4"/>
      <c r="B159" s="11"/>
      <c r="C159" s="11"/>
      <c r="D159" s="11"/>
      <c r="E159" s="14"/>
      <c r="F159" s="4"/>
      <c r="G159" s="14"/>
      <c r="H159" s="22"/>
      <c r="I159" s="4"/>
      <c r="J159" s="11"/>
      <c r="K159" s="11"/>
      <c r="L159" s="4"/>
      <c r="M159" s="4"/>
      <c r="N159" s="4"/>
      <c r="O159" s="4"/>
      <c r="P159" s="4"/>
      <c r="Q159" s="4"/>
      <c r="R159" s="4"/>
      <c r="S159" s="4"/>
      <c r="T159" s="4"/>
      <c r="U159" s="4"/>
      <c r="V159" s="4"/>
      <c r="W159" s="4"/>
    </row>
    <row r="160" spans="1:23" ht="16.5" customHeight="1">
      <c r="A160" s="4"/>
      <c r="B160" s="11"/>
      <c r="C160" s="11"/>
      <c r="D160" s="11"/>
      <c r="E160" s="14"/>
      <c r="F160" s="4"/>
      <c r="G160" s="14"/>
      <c r="H160" s="22"/>
      <c r="I160" s="4"/>
      <c r="J160" s="11"/>
      <c r="K160" s="11"/>
      <c r="L160" s="4"/>
      <c r="M160" s="4"/>
      <c r="N160" s="4"/>
      <c r="O160" s="4"/>
      <c r="P160" s="4"/>
      <c r="Q160" s="4"/>
      <c r="R160" s="4"/>
      <c r="S160" s="4"/>
      <c r="T160" s="4"/>
      <c r="U160" s="4"/>
      <c r="V160" s="4"/>
      <c r="W160" s="4"/>
    </row>
    <row r="161" spans="1:23" ht="16.5" customHeight="1">
      <c r="A161" s="4"/>
      <c r="B161" s="11"/>
      <c r="C161" s="11"/>
      <c r="D161" s="11"/>
      <c r="E161" s="14"/>
      <c r="F161" s="4"/>
      <c r="G161" s="14"/>
      <c r="H161" s="22"/>
      <c r="I161" s="4"/>
      <c r="J161" s="11"/>
      <c r="K161" s="11"/>
      <c r="L161" s="4"/>
      <c r="M161" s="4"/>
      <c r="N161" s="4"/>
      <c r="O161" s="4"/>
      <c r="P161" s="4"/>
      <c r="Q161" s="4"/>
      <c r="R161" s="4"/>
      <c r="S161" s="4"/>
      <c r="T161" s="4"/>
      <c r="U161" s="4"/>
      <c r="V161" s="4"/>
      <c r="W161" s="4"/>
    </row>
    <row r="162" spans="1:23" ht="16.5" customHeight="1">
      <c r="A162" s="4"/>
      <c r="B162" s="11"/>
      <c r="C162" s="11"/>
      <c r="D162" s="11"/>
      <c r="E162" s="14"/>
      <c r="F162" s="4"/>
      <c r="G162" s="14"/>
      <c r="H162" s="22"/>
      <c r="I162" s="4"/>
      <c r="J162" s="11"/>
      <c r="K162" s="11"/>
      <c r="L162" s="4"/>
      <c r="M162" s="4"/>
      <c r="N162" s="4"/>
      <c r="O162" s="4"/>
      <c r="P162" s="4"/>
      <c r="Q162" s="4"/>
      <c r="R162" s="4"/>
      <c r="S162" s="4"/>
      <c r="T162" s="4"/>
      <c r="U162" s="4"/>
      <c r="V162" s="4"/>
      <c r="W162" s="4"/>
    </row>
    <row r="163" spans="1:23" ht="16.5" customHeight="1">
      <c r="A163" s="4"/>
      <c r="B163" s="11"/>
      <c r="C163" s="11"/>
      <c r="D163" s="11"/>
      <c r="E163" s="14"/>
      <c r="F163" s="4"/>
      <c r="G163" s="14"/>
      <c r="H163" s="22"/>
      <c r="I163" s="4"/>
      <c r="J163" s="11"/>
      <c r="K163" s="11"/>
      <c r="L163" s="4"/>
      <c r="M163" s="4"/>
      <c r="N163" s="4"/>
      <c r="O163" s="4"/>
      <c r="P163" s="4"/>
      <c r="Q163" s="4"/>
      <c r="R163" s="4"/>
      <c r="S163" s="4"/>
      <c r="T163" s="4"/>
      <c r="U163" s="4"/>
      <c r="V163" s="4"/>
      <c r="W163" s="4"/>
    </row>
    <row r="164" spans="1:23" ht="16.5" customHeight="1">
      <c r="A164" s="4"/>
      <c r="B164" s="11"/>
      <c r="C164" s="11"/>
      <c r="D164" s="11"/>
      <c r="E164" s="14"/>
      <c r="F164" s="4"/>
      <c r="G164" s="14"/>
      <c r="H164" s="22"/>
      <c r="I164" s="4"/>
      <c r="J164" s="11"/>
      <c r="K164" s="11"/>
      <c r="L164" s="4"/>
      <c r="M164" s="4"/>
      <c r="N164" s="4"/>
      <c r="O164" s="4"/>
      <c r="P164" s="4"/>
      <c r="Q164" s="4"/>
      <c r="R164" s="4"/>
      <c r="S164" s="4"/>
      <c r="T164" s="4"/>
      <c r="U164" s="4"/>
      <c r="V164" s="4"/>
      <c r="W164" s="4"/>
    </row>
    <row r="165" spans="1:23" ht="16.5" customHeight="1">
      <c r="A165" s="4"/>
      <c r="B165" s="11"/>
      <c r="C165" s="11"/>
      <c r="D165" s="11"/>
      <c r="E165" s="14"/>
      <c r="F165" s="4"/>
      <c r="G165" s="14"/>
      <c r="H165" s="22"/>
      <c r="I165" s="4"/>
      <c r="J165" s="11"/>
      <c r="K165" s="11"/>
      <c r="L165" s="4"/>
      <c r="M165" s="4"/>
      <c r="N165" s="4"/>
      <c r="O165" s="4"/>
      <c r="P165" s="4"/>
      <c r="Q165" s="4"/>
      <c r="R165" s="4"/>
      <c r="S165" s="4"/>
      <c r="T165" s="4"/>
      <c r="U165" s="4"/>
      <c r="V165" s="4"/>
      <c r="W165" s="4"/>
    </row>
    <row r="166" spans="1:23" ht="16.5" customHeight="1">
      <c r="A166" s="4"/>
      <c r="B166" s="11"/>
      <c r="C166" s="11"/>
      <c r="D166" s="11"/>
      <c r="E166" s="14"/>
      <c r="F166" s="4"/>
      <c r="G166" s="14"/>
      <c r="H166" s="22"/>
      <c r="I166" s="4"/>
      <c r="J166" s="11"/>
      <c r="K166" s="11"/>
      <c r="L166" s="4"/>
      <c r="M166" s="4"/>
      <c r="N166" s="4"/>
      <c r="O166" s="4"/>
      <c r="P166" s="4"/>
      <c r="Q166" s="4"/>
      <c r="R166" s="4"/>
      <c r="S166" s="4"/>
      <c r="T166" s="4"/>
      <c r="U166" s="4"/>
      <c r="V166" s="4"/>
      <c r="W166" s="4"/>
    </row>
    <row r="167" spans="1:23" ht="16.5" customHeight="1">
      <c r="A167" s="4"/>
      <c r="B167" s="11"/>
      <c r="C167" s="11"/>
      <c r="D167" s="11"/>
      <c r="E167" s="14"/>
      <c r="F167" s="4"/>
      <c r="G167" s="14"/>
      <c r="H167" s="22"/>
      <c r="I167" s="4"/>
      <c r="J167" s="11"/>
      <c r="K167" s="11"/>
      <c r="L167" s="4"/>
      <c r="M167" s="4"/>
      <c r="N167" s="4"/>
      <c r="O167" s="4"/>
      <c r="P167" s="4"/>
      <c r="Q167" s="4"/>
      <c r="R167" s="4"/>
      <c r="S167" s="4"/>
      <c r="T167" s="4"/>
      <c r="U167" s="4"/>
      <c r="V167" s="4"/>
      <c r="W167" s="4"/>
    </row>
    <row r="168" spans="1:23" ht="16.5" customHeight="1">
      <c r="A168" s="4"/>
      <c r="B168" s="11"/>
      <c r="C168" s="11"/>
      <c r="D168" s="11"/>
      <c r="E168" s="14"/>
      <c r="F168" s="4"/>
      <c r="G168" s="14"/>
      <c r="H168" s="22"/>
      <c r="I168" s="4"/>
      <c r="J168" s="11"/>
      <c r="K168" s="11"/>
      <c r="L168" s="4"/>
      <c r="M168" s="4"/>
      <c r="N168" s="4"/>
      <c r="O168" s="4"/>
      <c r="P168" s="4"/>
      <c r="Q168" s="4"/>
      <c r="R168" s="4"/>
      <c r="S168" s="4"/>
      <c r="T168" s="4"/>
      <c r="U168" s="4"/>
      <c r="V168" s="4"/>
      <c r="W168" s="4"/>
    </row>
    <row r="169" spans="1:23" ht="16.5" customHeight="1">
      <c r="A169" s="4"/>
      <c r="B169" s="11"/>
      <c r="C169" s="11"/>
      <c r="D169" s="11"/>
      <c r="E169" s="14"/>
      <c r="F169" s="4"/>
      <c r="G169" s="14"/>
      <c r="H169" s="22"/>
      <c r="I169" s="4"/>
      <c r="J169" s="11"/>
      <c r="K169" s="11"/>
      <c r="L169" s="4"/>
      <c r="M169" s="4"/>
      <c r="N169" s="4"/>
      <c r="O169" s="4"/>
      <c r="P169" s="4"/>
      <c r="Q169" s="4"/>
      <c r="R169" s="4"/>
      <c r="S169" s="4"/>
      <c r="T169" s="4"/>
      <c r="U169" s="4"/>
      <c r="V169" s="4"/>
      <c r="W169" s="4"/>
    </row>
    <row r="170" spans="1:23" ht="16.5" customHeight="1">
      <c r="A170" s="4"/>
      <c r="B170" s="11"/>
      <c r="C170" s="11"/>
      <c r="D170" s="11"/>
      <c r="E170" s="14"/>
      <c r="F170" s="4"/>
      <c r="G170" s="14"/>
      <c r="H170" s="22"/>
      <c r="I170" s="4"/>
      <c r="J170" s="11"/>
      <c r="K170" s="11"/>
      <c r="L170" s="4"/>
      <c r="M170" s="4"/>
      <c r="N170" s="4"/>
      <c r="O170" s="4"/>
      <c r="P170" s="4"/>
      <c r="Q170" s="4"/>
      <c r="R170" s="4"/>
      <c r="S170" s="4"/>
      <c r="T170" s="4"/>
      <c r="U170" s="4"/>
      <c r="V170" s="4"/>
      <c r="W170" s="4"/>
    </row>
    <row r="171" spans="1:23" ht="16.5" customHeight="1">
      <c r="A171" s="4"/>
      <c r="B171" s="11"/>
      <c r="C171" s="11"/>
      <c r="D171" s="11"/>
      <c r="E171" s="14"/>
      <c r="F171" s="4"/>
      <c r="G171" s="14"/>
      <c r="H171" s="22"/>
      <c r="I171" s="4"/>
      <c r="J171" s="11"/>
      <c r="K171" s="11"/>
      <c r="L171" s="4"/>
      <c r="M171" s="4"/>
      <c r="N171" s="4"/>
      <c r="O171" s="4"/>
      <c r="P171" s="4"/>
      <c r="Q171" s="4"/>
      <c r="R171" s="4"/>
      <c r="S171" s="4"/>
      <c r="T171" s="4"/>
      <c r="U171" s="4"/>
      <c r="V171" s="4"/>
      <c r="W171" s="4"/>
    </row>
    <row r="172" spans="1:23" ht="16.5" customHeight="1">
      <c r="A172" s="4"/>
      <c r="B172" s="11"/>
      <c r="C172" s="11"/>
      <c r="D172" s="11"/>
      <c r="E172" s="14"/>
      <c r="F172" s="4"/>
      <c r="G172" s="14"/>
      <c r="H172" s="22"/>
      <c r="I172" s="4"/>
      <c r="J172" s="11"/>
      <c r="K172" s="11"/>
      <c r="L172" s="4"/>
      <c r="M172" s="4"/>
      <c r="N172" s="4"/>
      <c r="O172" s="4"/>
      <c r="P172" s="4"/>
      <c r="Q172" s="4"/>
      <c r="R172" s="4"/>
      <c r="S172" s="4"/>
      <c r="T172" s="4"/>
      <c r="U172" s="4"/>
      <c r="V172" s="4"/>
      <c r="W172" s="4"/>
    </row>
    <row r="173" spans="1:23" ht="16.5" customHeight="1">
      <c r="A173" s="4"/>
      <c r="B173" s="11"/>
      <c r="C173" s="11"/>
      <c r="D173" s="11"/>
      <c r="E173" s="14"/>
      <c r="F173" s="4"/>
      <c r="G173" s="14"/>
      <c r="H173" s="22"/>
      <c r="I173" s="4"/>
      <c r="J173" s="11"/>
      <c r="K173" s="11"/>
      <c r="L173" s="4"/>
      <c r="M173" s="4"/>
      <c r="N173" s="4"/>
      <c r="O173" s="4"/>
      <c r="P173" s="4"/>
      <c r="Q173" s="4"/>
      <c r="R173" s="4"/>
      <c r="S173" s="4"/>
      <c r="T173" s="4"/>
      <c r="U173" s="4"/>
      <c r="V173" s="4"/>
      <c r="W173" s="4"/>
    </row>
    <row r="174" spans="1:23" ht="16.5" customHeight="1">
      <c r="A174" s="4"/>
      <c r="B174" s="11"/>
      <c r="C174" s="11"/>
      <c r="D174" s="11"/>
      <c r="E174" s="14"/>
      <c r="F174" s="4"/>
      <c r="G174" s="14"/>
      <c r="H174" s="22"/>
      <c r="I174" s="4"/>
      <c r="J174" s="11"/>
      <c r="K174" s="11"/>
      <c r="L174" s="4"/>
      <c r="M174" s="4"/>
      <c r="N174" s="4"/>
      <c r="O174" s="4"/>
      <c r="P174" s="4"/>
      <c r="Q174" s="4"/>
      <c r="R174" s="4"/>
      <c r="S174" s="4"/>
      <c r="T174" s="4"/>
      <c r="U174" s="4"/>
      <c r="V174" s="4"/>
      <c r="W174" s="4"/>
    </row>
    <row r="175" spans="1:23" ht="16.5" customHeight="1">
      <c r="A175" s="4"/>
      <c r="B175" s="11"/>
      <c r="C175" s="11"/>
      <c r="D175" s="11"/>
      <c r="E175" s="14"/>
      <c r="F175" s="4"/>
      <c r="G175" s="14"/>
      <c r="H175" s="22"/>
      <c r="I175" s="4"/>
      <c r="J175" s="11"/>
      <c r="K175" s="11"/>
      <c r="L175" s="4"/>
      <c r="M175" s="4"/>
      <c r="N175" s="4"/>
      <c r="O175" s="4"/>
      <c r="P175" s="4"/>
      <c r="Q175" s="4"/>
      <c r="R175" s="4"/>
      <c r="S175" s="4"/>
      <c r="T175" s="4"/>
      <c r="U175" s="4"/>
      <c r="V175" s="4"/>
      <c r="W175" s="4"/>
    </row>
    <row r="176" spans="1:23" ht="16.5" customHeight="1">
      <c r="A176" s="4"/>
      <c r="B176" s="11"/>
      <c r="C176" s="11"/>
      <c r="D176" s="11"/>
      <c r="E176" s="14"/>
      <c r="F176" s="4"/>
      <c r="G176" s="14"/>
      <c r="H176" s="22"/>
      <c r="I176" s="4"/>
      <c r="J176" s="11"/>
      <c r="K176" s="11"/>
      <c r="L176" s="4"/>
      <c r="M176" s="4"/>
      <c r="N176" s="4"/>
      <c r="O176" s="4"/>
      <c r="P176" s="4"/>
      <c r="Q176" s="4"/>
      <c r="R176" s="4"/>
      <c r="S176" s="4"/>
      <c r="T176" s="4"/>
      <c r="U176" s="4"/>
      <c r="V176" s="4"/>
      <c r="W176" s="4"/>
    </row>
    <row r="177" spans="1:23" ht="16.5" customHeight="1">
      <c r="A177" s="4"/>
      <c r="B177" s="11"/>
      <c r="C177" s="11"/>
      <c r="D177" s="11"/>
      <c r="E177" s="14"/>
      <c r="F177" s="4"/>
      <c r="G177" s="14"/>
      <c r="H177" s="22"/>
      <c r="I177" s="4"/>
      <c r="J177" s="11"/>
      <c r="K177" s="11"/>
      <c r="L177" s="4"/>
      <c r="M177" s="4"/>
      <c r="N177" s="4"/>
      <c r="O177" s="4"/>
      <c r="P177" s="4"/>
      <c r="Q177" s="4"/>
      <c r="R177" s="4"/>
      <c r="S177" s="4"/>
      <c r="T177" s="4"/>
      <c r="U177" s="4"/>
      <c r="V177" s="4"/>
      <c r="W177" s="4"/>
    </row>
    <row r="178" spans="1:23" ht="16.5" customHeight="1">
      <c r="A178" s="4"/>
      <c r="B178" s="11"/>
      <c r="C178" s="11"/>
      <c r="D178" s="11"/>
      <c r="E178" s="14"/>
      <c r="F178" s="4"/>
      <c r="G178" s="14"/>
      <c r="H178" s="22"/>
      <c r="I178" s="4"/>
      <c r="J178" s="11"/>
      <c r="K178" s="11"/>
      <c r="L178" s="4"/>
      <c r="M178" s="4"/>
      <c r="N178" s="4"/>
      <c r="O178" s="4"/>
      <c r="P178" s="4"/>
      <c r="Q178" s="4"/>
      <c r="R178" s="4"/>
      <c r="S178" s="4"/>
      <c r="T178" s="4"/>
      <c r="U178" s="4"/>
      <c r="V178" s="4"/>
      <c r="W178" s="4"/>
    </row>
    <row r="179" spans="1:23" ht="16.5" customHeight="1">
      <c r="A179" s="4"/>
      <c r="B179" s="11"/>
      <c r="C179" s="11"/>
      <c r="D179" s="11"/>
      <c r="E179" s="14"/>
      <c r="F179" s="4"/>
      <c r="G179" s="14"/>
      <c r="H179" s="22"/>
      <c r="I179" s="4"/>
      <c r="J179" s="11"/>
      <c r="K179" s="11"/>
      <c r="L179" s="4"/>
      <c r="M179" s="4"/>
      <c r="N179" s="4"/>
      <c r="O179" s="4"/>
      <c r="P179" s="4"/>
      <c r="Q179" s="4"/>
      <c r="R179" s="4"/>
      <c r="S179" s="4"/>
      <c r="T179" s="4"/>
      <c r="U179" s="4"/>
      <c r="V179" s="4"/>
      <c r="W179" s="4"/>
    </row>
    <row r="180" spans="1:23" ht="16.5" customHeight="1">
      <c r="A180" s="4"/>
      <c r="B180" s="11"/>
      <c r="C180" s="11"/>
      <c r="D180" s="11"/>
      <c r="E180" s="14"/>
      <c r="F180" s="4"/>
      <c r="G180" s="14"/>
      <c r="H180" s="22"/>
      <c r="I180" s="4"/>
      <c r="J180" s="11"/>
      <c r="K180" s="11"/>
      <c r="L180" s="4"/>
      <c r="M180" s="4"/>
      <c r="N180" s="4"/>
      <c r="O180" s="4"/>
      <c r="P180" s="4"/>
      <c r="Q180" s="4"/>
      <c r="R180" s="4"/>
      <c r="S180" s="4"/>
      <c r="T180" s="4"/>
      <c r="U180" s="4"/>
      <c r="V180" s="4"/>
      <c r="W180" s="4"/>
    </row>
    <row r="181" spans="1:23" ht="16.5" customHeight="1">
      <c r="A181" s="4"/>
      <c r="B181" s="11"/>
      <c r="C181" s="11"/>
      <c r="D181" s="11"/>
      <c r="E181" s="14"/>
      <c r="F181" s="4"/>
      <c r="G181" s="14"/>
      <c r="H181" s="22"/>
      <c r="I181" s="4"/>
      <c r="J181" s="11"/>
      <c r="K181" s="11"/>
      <c r="L181" s="4"/>
      <c r="M181" s="4"/>
      <c r="N181" s="4"/>
      <c r="O181" s="4"/>
      <c r="P181" s="4"/>
      <c r="Q181" s="4"/>
      <c r="R181" s="4"/>
      <c r="S181" s="4"/>
      <c r="T181" s="4"/>
      <c r="U181" s="4"/>
      <c r="V181" s="4"/>
      <c r="W181" s="4"/>
    </row>
    <row r="182" spans="1:23" ht="16.5" customHeight="1">
      <c r="A182" s="4"/>
      <c r="B182" s="11"/>
      <c r="C182" s="11"/>
      <c r="D182" s="11"/>
      <c r="E182" s="14"/>
      <c r="F182" s="4"/>
      <c r="G182" s="14"/>
      <c r="H182" s="22"/>
      <c r="I182" s="4"/>
      <c r="J182" s="11"/>
      <c r="K182" s="11"/>
      <c r="L182" s="4"/>
      <c r="M182" s="4"/>
      <c r="N182" s="4"/>
      <c r="O182" s="4"/>
      <c r="P182" s="4"/>
      <c r="Q182" s="4"/>
      <c r="R182" s="4"/>
      <c r="S182" s="4"/>
      <c r="T182" s="4"/>
      <c r="U182" s="4"/>
      <c r="V182" s="4"/>
      <c r="W182" s="4"/>
    </row>
    <row r="183" spans="1:23" ht="16.5" customHeight="1">
      <c r="A183" s="4"/>
      <c r="B183" s="11"/>
      <c r="C183" s="11"/>
      <c r="D183" s="11"/>
      <c r="E183" s="14"/>
      <c r="F183" s="4"/>
      <c r="G183" s="14"/>
      <c r="H183" s="22"/>
      <c r="I183" s="4"/>
      <c r="J183" s="11"/>
      <c r="K183" s="11"/>
      <c r="L183" s="4"/>
      <c r="M183" s="4"/>
      <c r="N183" s="4"/>
      <c r="O183" s="4"/>
      <c r="P183" s="4"/>
      <c r="Q183" s="4"/>
      <c r="R183" s="4"/>
      <c r="S183" s="4"/>
      <c r="T183" s="4"/>
      <c r="U183" s="4"/>
      <c r="V183" s="4"/>
      <c r="W183" s="4"/>
    </row>
    <row r="184" spans="1:23" ht="16.5" customHeight="1">
      <c r="A184" s="4"/>
      <c r="B184" s="11"/>
      <c r="C184" s="11"/>
      <c r="D184" s="11"/>
      <c r="E184" s="14"/>
      <c r="F184" s="4"/>
      <c r="G184" s="14"/>
      <c r="H184" s="22"/>
      <c r="I184" s="4"/>
      <c r="J184" s="11"/>
      <c r="K184" s="11"/>
      <c r="L184" s="4"/>
      <c r="M184" s="4"/>
      <c r="N184" s="4"/>
      <c r="O184" s="4"/>
      <c r="P184" s="4"/>
      <c r="Q184" s="4"/>
      <c r="R184" s="4"/>
      <c r="S184" s="4"/>
      <c r="T184" s="4"/>
      <c r="U184" s="4"/>
      <c r="V184" s="4"/>
      <c r="W184" s="4"/>
    </row>
    <row r="185" spans="1:23" ht="16.5" customHeight="1">
      <c r="A185" s="4"/>
      <c r="B185" s="11"/>
      <c r="C185" s="11"/>
      <c r="D185" s="11"/>
      <c r="E185" s="14"/>
      <c r="F185" s="4"/>
      <c r="G185" s="14"/>
      <c r="H185" s="22"/>
      <c r="I185" s="4"/>
      <c r="J185" s="11"/>
      <c r="K185" s="11"/>
      <c r="L185" s="4"/>
      <c r="M185" s="4"/>
      <c r="N185" s="4"/>
      <c r="O185" s="4"/>
      <c r="P185" s="4"/>
      <c r="Q185" s="4"/>
      <c r="R185" s="4"/>
      <c r="S185" s="4"/>
      <c r="T185" s="4"/>
      <c r="U185" s="4"/>
      <c r="V185" s="4"/>
      <c r="W185" s="4"/>
    </row>
    <row r="186" spans="1:23" ht="16.5" customHeight="1">
      <c r="A186" s="4"/>
      <c r="B186" s="11"/>
      <c r="C186" s="11"/>
      <c r="D186" s="11"/>
      <c r="E186" s="14"/>
      <c r="F186" s="4"/>
      <c r="G186" s="14"/>
      <c r="H186" s="22"/>
      <c r="I186" s="4"/>
      <c r="J186" s="11"/>
      <c r="K186" s="11"/>
      <c r="L186" s="4"/>
      <c r="M186" s="4"/>
      <c r="N186" s="4"/>
      <c r="O186" s="4"/>
      <c r="P186" s="4"/>
      <c r="Q186" s="4"/>
      <c r="R186" s="4"/>
      <c r="S186" s="4"/>
      <c r="T186" s="4"/>
      <c r="U186" s="4"/>
      <c r="V186" s="4"/>
      <c r="W186" s="4"/>
    </row>
    <row r="187" spans="1:23" ht="16.5" customHeight="1">
      <c r="A187" s="4"/>
      <c r="B187" s="11"/>
      <c r="C187" s="11"/>
      <c r="D187" s="11"/>
      <c r="E187" s="14"/>
      <c r="F187" s="4"/>
      <c r="G187" s="14"/>
      <c r="H187" s="22"/>
      <c r="I187" s="4"/>
      <c r="J187" s="11"/>
      <c r="K187" s="11"/>
      <c r="L187" s="4"/>
      <c r="M187" s="4"/>
      <c r="N187" s="4"/>
      <c r="O187" s="4"/>
      <c r="P187" s="4"/>
      <c r="Q187" s="4"/>
      <c r="R187" s="4"/>
      <c r="S187" s="4"/>
      <c r="T187" s="4"/>
      <c r="U187" s="4"/>
      <c r="V187" s="4"/>
      <c r="W187" s="4"/>
    </row>
    <row r="188" spans="1:23" ht="16.5" customHeight="1">
      <c r="A188" s="4"/>
      <c r="B188" s="11"/>
      <c r="C188" s="11"/>
      <c r="D188" s="11"/>
      <c r="E188" s="14"/>
      <c r="F188" s="4"/>
      <c r="G188" s="14"/>
      <c r="H188" s="22"/>
      <c r="I188" s="4"/>
      <c r="J188" s="11"/>
      <c r="K188" s="11"/>
      <c r="L188" s="4"/>
      <c r="M188" s="4"/>
      <c r="N188" s="4"/>
      <c r="O188" s="4"/>
      <c r="P188" s="4"/>
      <c r="Q188" s="4"/>
      <c r="R188" s="4"/>
      <c r="S188" s="4"/>
      <c r="T188" s="4"/>
      <c r="U188" s="4"/>
      <c r="V188" s="4"/>
      <c r="W188" s="4"/>
    </row>
    <row r="189" spans="1:23" ht="16.5" customHeight="1">
      <c r="A189" s="4"/>
      <c r="B189" s="11"/>
      <c r="C189" s="11"/>
      <c r="D189" s="11"/>
      <c r="E189" s="14"/>
      <c r="F189" s="4"/>
      <c r="G189" s="14"/>
      <c r="H189" s="22"/>
      <c r="I189" s="4"/>
      <c r="J189" s="11"/>
      <c r="K189" s="11"/>
      <c r="L189" s="4"/>
      <c r="M189" s="4"/>
      <c r="N189" s="4"/>
      <c r="O189" s="4"/>
      <c r="P189" s="4"/>
      <c r="Q189" s="4"/>
      <c r="R189" s="4"/>
      <c r="S189" s="4"/>
      <c r="T189" s="4"/>
      <c r="U189" s="4"/>
      <c r="V189" s="4"/>
      <c r="W189" s="4"/>
    </row>
    <row r="190" spans="1:23" ht="16.5" customHeight="1">
      <c r="A190" s="4"/>
      <c r="B190" s="11"/>
      <c r="C190" s="11"/>
      <c r="D190" s="11"/>
      <c r="E190" s="14"/>
      <c r="F190" s="4"/>
      <c r="G190" s="14"/>
      <c r="H190" s="22"/>
      <c r="I190" s="4"/>
      <c r="J190" s="11"/>
      <c r="K190" s="11"/>
      <c r="L190" s="4"/>
      <c r="M190" s="4"/>
      <c r="N190" s="4"/>
      <c r="O190" s="4"/>
      <c r="P190" s="4"/>
      <c r="Q190" s="4"/>
      <c r="R190" s="4"/>
      <c r="S190" s="4"/>
      <c r="T190" s="4"/>
      <c r="U190" s="4"/>
      <c r="V190" s="4"/>
      <c r="W190" s="4"/>
    </row>
    <row r="191" spans="1:23" ht="16.5" customHeight="1">
      <c r="A191" s="4"/>
      <c r="B191" s="11"/>
      <c r="C191" s="11"/>
      <c r="D191" s="11"/>
      <c r="E191" s="14"/>
      <c r="F191" s="4"/>
      <c r="G191" s="14"/>
      <c r="H191" s="22"/>
      <c r="I191" s="4"/>
      <c r="J191" s="11"/>
      <c r="K191" s="11"/>
      <c r="L191" s="4"/>
      <c r="M191" s="4"/>
      <c r="N191" s="4"/>
      <c r="O191" s="4"/>
      <c r="P191" s="4"/>
      <c r="Q191" s="4"/>
      <c r="R191" s="4"/>
      <c r="S191" s="4"/>
      <c r="T191" s="4"/>
      <c r="U191" s="4"/>
      <c r="V191" s="4"/>
      <c r="W191" s="4"/>
    </row>
    <row r="192" spans="1:23" ht="16.5" customHeight="1">
      <c r="A192" s="4"/>
      <c r="B192" s="11"/>
      <c r="C192" s="11"/>
      <c r="D192" s="11"/>
      <c r="E192" s="14"/>
      <c r="F192" s="4"/>
      <c r="G192" s="14"/>
      <c r="H192" s="22"/>
      <c r="I192" s="4"/>
      <c r="J192" s="11"/>
      <c r="K192" s="11"/>
      <c r="L192" s="4"/>
      <c r="M192" s="4"/>
      <c r="N192" s="4"/>
      <c r="O192" s="4"/>
      <c r="P192" s="4"/>
      <c r="Q192" s="4"/>
      <c r="R192" s="4"/>
      <c r="S192" s="4"/>
      <c r="T192" s="4"/>
      <c r="U192" s="4"/>
      <c r="V192" s="4"/>
      <c r="W192" s="4"/>
    </row>
    <row r="193" spans="1:23" ht="16.5" customHeight="1">
      <c r="A193" s="4"/>
      <c r="B193" s="11"/>
      <c r="C193" s="11"/>
      <c r="D193" s="11"/>
      <c r="E193" s="14"/>
      <c r="F193" s="4"/>
      <c r="G193" s="14"/>
      <c r="H193" s="22"/>
      <c r="I193" s="4"/>
      <c r="J193" s="11"/>
      <c r="K193" s="11"/>
      <c r="L193" s="4"/>
      <c r="M193" s="4"/>
      <c r="N193" s="4"/>
      <c r="O193" s="4"/>
      <c r="P193" s="4"/>
      <c r="Q193" s="4"/>
      <c r="R193" s="4"/>
      <c r="S193" s="4"/>
      <c r="T193" s="4"/>
      <c r="U193" s="4"/>
      <c r="V193" s="4"/>
      <c r="W193" s="4"/>
    </row>
    <row r="194" spans="1:23" ht="16.5" customHeight="1">
      <c r="A194" s="4"/>
      <c r="B194" s="11"/>
      <c r="C194" s="11"/>
      <c r="D194" s="11"/>
      <c r="E194" s="14"/>
      <c r="F194" s="4"/>
      <c r="G194" s="14"/>
      <c r="H194" s="22"/>
      <c r="I194" s="4"/>
      <c r="J194" s="11"/>
      <c r="K194" s="11"/>
      <c r="L194" s="4"/>
      <c r="M194" s="4"/>
      <c r="N194" s="4"/>
      <c r="O194" s="4"/>
      <c r="P194" s="4"/>
      <c r="Q194" s="4"/>
      <c r="R194" s="4"/>
      <c r="S194" s="4"/>
      <c r="T194" s="4"/>
      <c r="U194" s="4"/>
      <c r="V194" s="4"/>
      <c r="W194" s="4"/>
    </row>
    <row r="195" spans="1:23" ht="16.5" customHeight="1">
      <c r="A195" s="4"/>
      <c r="B195" s="11"/>
      <c r="C195" s="11"/>
      <c r="D195" s="11"/>
      <c r="E195" s="14"/>
      <c r="F195" s="4"/>
      <c r="G195" s="14"/>
      <c r="H195" s="22"/>
      <c r="I195" s="4"/>
      <c r="J195" s="11"/>
      <c r="K195" s="11"/>
      <c r="L195" s="4"/>
      <c r="M195" s="4"/>
      <c r="N195" s="4"/>
      <c r="O195" s="4"/>
      <c r="P195" s="4"/>
      <c r="Q195" s="4"/>
      <c r="R195" s="4"/>
      <c r="S195" s="4"/>
      <c r="T195" s="4"/>
      <c r="U195" s="4"/>
      <c r="V195" s="4"/>
      <c r="W195" s="4"/>
    </row>
    <row r="196" spans="1:23" ht="16.5" customHeight="1">
      <c r="A196" s="4"/>
      <c r="B196" s="11"/>
      <c r="C196" s="11"/>
      <c r="D196" s="11"/>
      <c r="E196" s="14"/>
      <c r="F196" s="4"/>
      <c r="G196" s="14"/>
      <c r="H196" s="22"/>
      <c r="I196" s="4"/>
      <c r="J196" s="11"/>
      <c r="K196" s="11"/>
      <c r="L196" s="4"/>
      <c r="M196" s="4"/>
      <c r="N196" s="4"/>
      <c r="O196" s="4"/>
      <c r="P196" s="4"/>
      <c r="Q196" s="4"/>
      <c r="R196" s="4"/>
      <c r="S196" s="4"/>
      <c r="T196" s="4"/>
      <c r="U196" s="4"/>
      <c r="V196" s="4"/>
      <c r="W196" s="4"/>
    </row>
    <row r="197" spans="1:23" ht="16.5" customHeight="1">
      <c r="A197" s="4"/>
      <c r="B197" s="11"/>
      <c r="C197" s="11"/>
      <c r="D197" s="11"/>
      <c r="E197" s="14"/>
      <c r="F197" s="4"/>
      <c r="G197" s="14"/>
      <c r="H197" s="22"/>
      <c r="I197" s="4"/>
      <c r="J197" s="11"/>
      <c r="K197" s="11"/>
      <c r="L197" s="4"/>
      <c r="M197" s="4"/>
      <c r="N197" s="4"/>
      <c r="O197" s="4"/>
      <c r="P197" s="4"/>
      <c r="Q197" s="4"/>
      <c r="R197" s="4"/>
      <c r="S197" s="4"/>
      <c r="T197" s="4"/>
      <c r="U197" s="4"/>
      <c r="V197" s="4"/>
      <c r="W197" s="4"/>
    </row>
    <row r="198" spans="1:23" ht="16.5" customHeight="1">
      <c r="A198" s="4"/>
      <c r="B198" s="11"/>
      <c r="C198" s="11"/>
      <c r="D198" s="11"/>
      <c r="E198" s="14"/>
      <c r="F198" s="4"/>
      <c r="G198" s="14"/>
      <c r="H198" s="22"/>
      <c r="I198" s="4"/>
      <c r="J198" s="11"/>
      <c r="K198" s="11"/>
      <c r="L198" s="4"/>
      <c r="M198" s="4"/>
      <c r="N198" s="4"/>
      <c r="O198" s="4"/>
      <c r="P198" s="4"/>
      <c r="Q198" s="4"/>
      <c r="R198" s="4"/>
      <c r="S198" s="4"/>
      <c r="T198" s="4"/>
      <c r="U198" s="4"/>
      <c r="V198" s="4"/>
      <c r="W198" s="4"/>
    </row>
    <row r="199" spans="1:23" ht="16.5" customHeight="1">
      <c r="A199" s="4"/>
      <c r="B199" s="11"/>
      <c r="C199" s="11"/>
      <c r="D199" s="11"/>
      <c r="E199" s="14"/>
      <c r="F199" s="4"/>
      <c r="G199" s="14"/>
      <c r="H199" s="22"/>
      <c r="I199" s="4"/>
      <c r="J199" s="11"/>
      <c r="K199" s="11"/>
      <c r="L199" s="4"/>
      <c r="M199" s="4"/>
      <c r="N199" s="4"/>
      <c r="O199" s="4"/>
      <c r="P199" s="4"/>
      <c r="Q199" s="4"/>
      <c r="R199" s="4"/>
      <c r="S199" s="4"/>
      <c r="T199" s="4"/>
      <c r="U199" s="4"/>
      <c r="V199" s="4"/>
      <c r="W199" s="4"/>
    </row>
    <row r="200" spans="1:23" ht="16.5" customHeight="1">
      <c r="A200" s="4"/>
      <c r="B200" s="11"/>
      <c r="C200" s="11"/>
      <c r="D200" s="11"/>
      <c r="E200" s="14"/>
      <c r="F200" s="4"/>
      <c r="G200" s="14"/>
      <c r="H200" s="22"/>
      <c r="I200" s="4"/>
      <c r="J200" s="11"/>
      <c r="K200" s="11"/>
      <c r="L200" s="4"/>
      <c r="M200" s="4"/>
      <c r="N200" s="4"/>
      <c r="O200" s="4"/>
      <c r="P200" s="4"/>
      <c r="Q200" s="4"/>
      <c r="R200" s="4"/>
      <c r="S200" s="4"/>
      <c r="T200" s="4"/>
      <c r="U200" s="4"/>
      <c r="V200" s="4"/>
      <c r="W200" s="4"/>
    </row>
    <row r="201" spans="1:23" ht="16.5" customHeight="1">
      <c r="A201" s="4"/>
      <c r="B201" s="11"/>
      <c r="C201" s="11"/>
      <c r="D201" s="11"/>
      <c r="E201" s="14"/>
      <c r="F201" s="4"/>
      <c r="G201" s="14"/>
      <c r="H201" s="22"/>
      <c r="I201" s="4"/>
      <c r="J201" s="11"/>
      <c r="K201" s="11"/>
      <c r="L201" s="4"/>
      <c r="M201" s="4"/>
      <c r="N201" s="4"/>
      <c r="O201" s="4"/>
      <c r="P201" s="4"/>
      <c r="Q201" s="4"/>
      <c r="R201" s="4"/>
      <c r="S201" s="4"/>
      <c r="T201" s="4"/>
      <c r="U201" s="4"/>
      <c r="V201" s="4"/>
      <c r="W201" s="4"/>
    </row>
    <row r="202" spans="1:23" ht="16.5" customHeight="1">
      <c r="A202" s="4"/>
      <c r="B202" s="11"/>
      <c r="C202" s="11"/>
      <c r="D202" s="11"/>
      <c r="E202" s="14"/>
      <c r="F202" s="4"/>
      <c r="G202" s="14"/>
      <c r="H202" s="22"/>
      <c r="I202" s="4"/>
      <c r="J202" s="11"/>
      <c r="K202" s="11"/>
      <c r="L202" s="4"/>
      <c r="M202" s="4"/>
      <c r="N202" s="4"/>
      <c r="O202" s="4"/>
      <c r="P202" s="4"/>
      <c r="Q202" s="4"/>
      <c r="R202" s="4"/>
      <c r="S202" s="4"/>
      <c r="T202" s="4"/>
      <c r="U202" s="4"/>
      <c r="V202" s="4"/>
      <c r="W202" s="4"/>
    </row>
    <row r="203" spans="1:23" ht="16.5" customHeight="1">
      <c r="A203" s="4"/>
      <c r="B203" s="11"/>
      <c r="C203" s="11"/>
      <c r="D203" s="11"/>
      <c r="E203" s="14"/>
      <c r="F203" s="4"/>
      <c r="G203" s="14"/>
      <c r="H203" s="22"/>
      <c r="I203" s="4"/>
      <c r="J203" s="11"/>
      <c r="K203" s="11"/>
      <c r="L203" s="4"/>
      <c r="M203" s="4"/>
      <c r="N203" s="4"/>
      <c r="O203" s="4"/>
      <c r="P203" s="4"/>
      <c r="Q203" s="4"/>
      <c r="R203" s="4"/>
      <c r="S203" s="4"/>
      <c r="T203" s="4"/>
      <c r="U203" s="4"/>
      <c r="V203" s="4"/>
      <c r="W203" s="4"/>
    </row>
    <row r="204" spans="1:23" ht="16.5" customHeight="1">
      <c r="A204" s="4"/>
      <c r="B204" s="11"/>
      <c r="C204" s="11"/>
      <c r="D204" s="11"/>
      <c r="E204" s="14"/>
      <c r="F204" s="4"/>
      <c r="G204" s="14"/>
      <c r="H204" s="22"/>
      <c r="I204" s="4"/>
      <c r="J204" s="11"/>
      <c r="K204" s="11"/>
      <c r="L204" s="4"/>
      <c r="M204" s="4"/>
      <c r="N204" s="4"/>
      <c r="O204" s="4"/>
      <c r="P204" s="4"/>
      <c r="Q204" s="4"/>
      <c r="R204" s="4"/>
      <c r="S204" s="4"/>
      <c r="T204" s="4"/>
      <c r="U204" s="4"/>
      <c r="V204" s="4"/>
      <c r="W204" s="4"/>
    </row>
    <row r="205" spans="1:23" ht="16.5" customHeight="1">
      <c r="A205" s="4"/>
      <c r="B205" s="11"/>
      <c r="C205" s="11"/>
      <c r="D205" s="11"/>
      <c r="E205" s="14"/>
      <c r="F205" s="4"/>
      <c r="G205" s="14"/>
      <c r="H205" s="22"/>
      <c r="I205" s="4"/>
      <c r="J205" s="11"/>
      <c r="K205" s="11"/>
      <c r="L205" s="4"/>
      <c r="M205" s="4"/>
      <c r="N205" s="4"/>
      <c r="O205" s="4"/>
      <c r="P205" s="4"/>
      <c r="Q205" s="4"/>
      <c r="R205" s="4"/>
      <c r="S205" s="4"/>
      <c r="T205" s="4"/>
      <c r="U205" s="4"/>
      <c r="V205" s="4"/>
      <c r="W205" s="4"/>
    </row>
    <row r="206" spans="1:23" ht="16.5" customHeight="1">
      <c r="A206" s="4"/>
      <c r="B206" s="11"/>
      <c r="C206" s="11"/>
      <c r="D206" s="11"/>
      <c r="E206" s="14"/>
      <c r="F206" s="4"/>
      <c r="G206" s="14"/>
      <c r="H206" s="22"/>
      <c r="I206" s="4"/>
      <c r="J206" s="11"/>
      <c r="K206" s="11"/>
      <c r="L206" s="4"/>
      <c r="M206" s="4"/>
      <c r="N206" s="4"/>
      <c r="O206" s="4"/>
      <c r="P206" s="4"/>
      <c r="Q206" s="4"/>
      <c r="R206" s="4"/>
      <c r="S206" s="4"/>
      <c r="T206" s="4"/>
      <c r="U206" s="4"/>
      <c r="V206" s="4"/>
      <c r="W206" s="4"/>
    </row>
    <row r="207" spans="1:23" ht="16.5" customHeight="1">
      <c r="A207" s="4"/>
      <c r="B207" s="11"/>
      <c r="C207" s="11"/>
      <c r="D207" s="11"/>
      <c r="E207" s="14"/>
      <c r="F207" s="4"/>
      <c r="G207" s="14"/>
      <c r="H207" s="22"/>
      <c r="I207" s="4"/>
      <c r="J207" s="11"/>
      <c r="K207" s="11"/>
      <c r="L207" s="4"/>
      <c r="M207" s="4"/>
      <c r="N207" s="4"/>
      <c r="O207" s="4"/>
      <c r="P207" s="4"/>
      <c r="Q207" s="4"/>
      <c r="R207" s="4"/>
      <c r="S207" s="4"/>
      <c r="T207" s="4"/>
      <c r="U207" s="4"/>
      <c r="V207" s="4"/>
      <c r="W207" s="4"/>
    </row>
    <row r="208" spans="1:23" ht="16.5" customHeight="1">
      <c r="A208" s="4"/>
      <c r="B208" s="11"/>
      <c r="C208" s="11"/>
      <c r="D208" s="11"/>
      <c r="E208" s="14"/>
      <c r="F208" s="4"/>
      <c r="G208" s="14"/>
      <c r="H208" s="22"/>
      <c r="I208" s="4"/>
      <c r="J208" s="11"/>
      <c r="K208" s="11"/>
      <c r="L208" s="4"/>
      <c r="M208" s="4"/>
      <c r="N208" s="4"/>
      <c r="O208" s="4"/>
      <c r="P208" s="4"/>
      <c r="Q208" s="4"/>
      <c r="R208" s="4"/>
      <c r="S208" s="4"/>
      <c r="T208" s="4"/>
      <c r="U208" s="4"/>
      <c r="V208" s="4"/>
      <c r="W208" s="4"/>
    </row>
    <row r="209" spans="1:23" ht="16.5" customHeight="1">
      <c r="A209" s="4"/>
      <c r="B209" s="11"/>
      <c r="C209" s="11"/>
      <c r="D209" s="11"/>
      <c r="E209" s="14"/>
      <c r="F209" s="4"/>
      <c r="G209" s="14"/>
      <c r="H209" s="22"/>
      <c r="I209" s="4"/>
      <c r="J209" s="11"/>
      <c r="K209" s="11"/>
      <c r="L209" s="4"/>
      <c r="M209" s="4"/>
      <c r="N209" s="4"/>
      <c r="O209" s="4"/>
      <c r="P209" s="4"/>
      <c r="Q209" s="4"/>
      <c r="R209" s="4"/>
      <c r="S209" s="4"/>
      <c r="T209" s="4"/>
      <c r="U209" s="4"/>
      <c r="V209" s="4"/>
      <c r="W209" s="4"/>
    </row>
    <row r="210" spans="1:23" ht="16.5" customHeight="1">
      <c r="A210" s="4"/>
      <c r="B210" s="11"/>
      <c r="C210" s="11"/>
      <c r="D210" s="11"/>
      <c r="E210" s="14"/>
      <c r="F210" s="4"/>
      <c r="G210" s="14"/>
      <c r="H210" s="22"/>
      <c r="I210" s="4"/>
      <c r="J210" s="11"/>
      <c r="K210" s="11"/>
      <c r="L210" s="4"/>
      <c r="M210" s="4"/>
      <c r="N210" s="4"/>
      <c r="O210" s="4"/>
      <c r="P210" s="4"/>
      <c r="Q210" s="4"/>
      <c r="R210" s="4"/>
      <c r="S210" s="4"/>
      <c r="T210" s="4"/>
      <c r="U210" s="4"/>
      <c r="V210" s="4"/>
      <c r="W210" s="4"/>
    </row>
    <row r="211" spans="1:23" ht="16.5" customHeight="1">
      <c r="A211" s="4"/>
      <c r="B211" s="11"/>
      <c r="C211" s="11"/>
      <c r="D211" s="11"/>
      <c r="E211" s="14"/>
      <c r="F211" s="4"/>
      <c r="G211" s="14"/>
      <c r="H211" s="22"/>
      <c r="I211" s="4"/>
      <c r="J211" s="11"/>
      <c r="K211" s="11"/>
      <c r="L211" s="4"/>
      <c r="M211" s="4"/>
      <c r="N211" s="4"/>
      <c r="O211" s="4"/>
      <c r="P211" s="4"/>
      <c r="Q211" s="4"/>
      <c r="R211" s="4"/>
      <c r="S211" s="4"/>
      <c r="T211" s="4"/>
      <c r="U211" s="4"/>
      <c r="V211" s="4"/>
      <c r="W211" s="4"/>
    </row>
    <row r="212" spans="1:23" ht="16.5" customHeight="1">
      <c r="A212" s="4"/>
      <c r="B212" s="11"/>
      <c r="C212" s="11"/>
      <c r="D212" s="11"/>
      <c r="E212" s="14"/>
      <c r="F212" s="4"/>
      <c r="G212" s="14"/>
      <c r="H212" s="22"/>
      <c r="I212" s="4"/>
      <c r="J212" s="11"/>
      <c r="K212" s="11"/>
      <c r="L212" s="4"/>
      <c r="M212" s="4"/>
      <c r="N212" s="4"/>
      <c r="O212" s="4"/>
      <c r="P212" s="4"/>
      <c r="Q212" s="4"/>
      <c r="R212" s="4"/>
      <c r="S212" s="4"/>
      <c r="T212" s="4"/>
      <c r="U212" s="4"/>
      <c r="V212" s="4"/>
      <c r="W212" s="4"/>
    </row>
    <row r="213" spans="1:23" ht="16.5" customHeight="1">
      <c r="A213" s="4"/>
      <c r="B213" s="11"/>
      <c r="C213" s="11"/>
      <c r="D213" s="11"/>
      <c r="E213" s="14"/>
      <c r="F213" s="4"/>
      <c r="G213" s="14"/>
      <c r="H213" s="22"/>
      <c r="I213" s="4"/>
      <c r="J213" s="11"/>
      <c r="K213" s="11"/>
      <c r="L213" s="4"/>
      <c r="M213" s="4"/>
      <c r="N213" s="4"/>
      <c r="O213" s="4"/>
      <c r="P213" s="4"/>
      <c r="Q213" s="4"/>
      <c r="R213" s="4"/>
      <c r="S213" s="4"/>
      <c r="T213" s="4"/>
      <c r="U213" s="4"/>
      <c r="V213" s="4"/>
      <c r="W213" s="4"/>
    </row>
    <row r="214" spans="1:23" ht="16.5" customHeight="1">
      <c r="A214" s="4"/>
      <c r="B214" s="11"/>
      <c r="C214" s="11"/>
      <c r="D214" s="11"/>
      <c r="E214" s="14"/>
      <c r="F214" s="4"/>
      <c r="G214" s="14"/>
      <c r="H214" s="22"/>
      <c r="I214" s="4"/>
      <c r="J214" s="11"/>
      <c r="K214" s="11"/>
      <c r="L214" s="4"/>
      <c r="M214" s="4"/>
      <c r="N214" s="4"/>
      <c r="O214" s="4"/>
      <c r="P214" s="4"/>
      <c r="Q214" s="4"/>
      <c r="R214" s="4"/>
      <c r="S214" s="4"/>
      <c r="T214" s="4"/>
      <c r="U214" s="4"/>
      <c r="V214" s="4"/>
      <c r="W214" s="4"/>
    </row>
    <row r="215" spans="1:23" ht="16.5" customHeight="1">
      <c r="A215" s="4"/>
      <c r="B215" s="11"/>
      <c r="C215" s="11"/>
      <c r="D215" s="11"/>
      <c r="E215" s="14"/>
      <c r="F215" s="4"/>
      <c r="G215" s="14"/>
      <c r="H215" s="22"/>
      <c r="I215" s="4"/>
      <c r="J215" s="11"/>
      <c r="K215" s="11"/>
      <c r="L215" s="4"/>
      <c r="M215" s="4"/>
      <c r="N215" s="4"/>
      <c r="O215" s="4"/>
      <c r="P215" s="4"/>
      <c r="Q215" s="4"/>
      <c r="R215" s="4"/>
      <c r="S215" s="4"/>
      <c r="T215" s="4"/>
      <c r="U215" s="4"/>
      <c r="V215" s="4"/>
      <c r="W215" s="4"/>
    </row>
    <row r="216" spans="1:23" ht="16.5" customHeight="1">
      <c r="A216" s="4"/>
      <c r="B216" s="11"/>
      <c r="C216" s="11"/>
      <c r="D216" s="11"/>
      <c r="E216" s="14"/>
      <c r="F216" s="4"/>
      <c r="G216" s="14"/>
      <c r="H216" s="22"/>
      <c r="I216" s="4"/>
      <c r="J216" s="11"/>
      <c r="K216" s="11"/>
      <c r="L216" s="4"/>
      <c r="M216" s="4"/>
      <c r="N216" s="4"/>
      <c r="O216" s="4"/>
      <c r="P216" s="4"/>
      <c r="Q216" s="4"/>
      <c r="R216" s="4"/>
      <c r="S216" s="4"/>
      <c r="T216" s="4"/>
      <c r="U216" s="4"/>
      <c r="V216" s="4"/>
      <c r="W216" s="4"/>
    </row>
    <row r="217" spans="1:23" ht="16.5" customHeight="1">
      <c r="A217" s="4"/>
      <c r="B217" s="11"/>
      <c r="C217" s="11"/>
      <c r="D217" s="11"/>
      <c r="E217" s="14"/>
      <c r="F217" s="4"/>
      <c r="G217" s="14"/>
      <c r="H217" s="22"/>
      <c r="I217" s="4"/>
      <c r="J217" s="11"/>
      <c r="K217" s="11"/>
      <c r="L217" s="4"/>
      <c r="M217" s="4"/>
      <c r="N217" s="4"/>
      <c r="O217" s="4"/>
      <c r="P217" s="4"/>
      <c r="Q217" s="4"/>
      <c r="R217" s="4"/>
      <c r="S217" s="4"/>
      <c r="T217" s="4"/>
      <c r="U217" s="4"/>
      <c r="V217" s="4"/>
      <c r="W217" s="4"/>
    </row>
    <row r="218" spans="1:23" ht="16.5" customHeight="1">
      <c r="A218" s="4"/>
      <c r="B218" s="11"/>
      <c r="C218" s="11"/>
      <c r="D218" s="11"/>
      <c r="E218" s="14"/>
      <c r="F218" s="4"/>
      <c r="G218" s="14"/>
      <c r="H218" s="22"/>
      <c r="I218" s="4"/>
      <c r="J218" s="11"/>
      <c r="K218" s="11"/>
      <c r="L218" s="4"/>
      <c r="M218" s="4"/>
      <c r="N218" s="4"/>
      <c r="O218" s="4"/>
      <c r="P218" s="4"/>
      <c r="Q218" s="4"/>
      <c r="R218" s="4"/>
      <c r="S218" s="4"/>
      <c r="T218" s="4"/>
      <c r="U218" s="4"/>
      <c r="V218" s="4"/>
      <c r="W218" s="4"/>
    </row>
    <row r="219" spans="1:23" ht="16.5" customHeight="1">
      <c r="A219" s="4"/>
      <c r="B219" s="11"/>
      <c r="C219" s="11"/>
      <c r="D219" s="11"/>
      <c r="E219" s="14"/>
      <c r="F219" s="4"/>
      <c r="G219" s="14"/>
      <c r="H219" s="22"/>
      <c r="I219" s="4"/>
      <c r="J219" s="11"/>
      <c r="K219" s="11"/>
      <c r="L219" s="4"/>
      <c r="M219" s="4"/>
      <c r="N219" s="4"/>
      <c r="O219" s="4"/>
      <c r="P219" s="4"/>
      <c r="Q219" s="4"/>
      <c r="R219" s="4"/>
      <c r="S219" s="4"/>
      <c r="T219" s="4"/>
      <c r="U219" s="4"/>
      <c r="V219" s="4"/>
      <c r="W219" s="4"/>
    </row>
    <row r="220" spans="1:23" ht="16.5" customHeight="1">
      <c r="A220" s="4"/>
      <c r="B220" s="11"/>
      <c r="C220" s="11"/>
      <c r="D220" s="11"/>
      <c r="E220" s="14"/>
      <c r="F220" s="4"/>
      <c r="G220" s="14"/>
      <c r="H220" s="22"/>
      <c r="I220" s="4"/>
      <c r="J220" s="11"/>
      <c r="K220" s="11"/>
      <c r="L220" s="4"/>
      <c r="M220" s="4"/>
      <c r="N220" s="4"/>
      <c r="O220" s="4"/>
      <c r="P220" s="4"/>
      <c r="Q220" s="4"/>
      <c r="R220" s="4"/>
      <c r="S220" s="4"/>
      <c r="T220" s="4"/>
      <c r="U220" s="4"/>
      <c r="V220" s="4"/>
      <c r="W220" s="4"/>
    </row>
    <row r="221" spans="1:23" ht="16.5" customHeight="1">
      <c r="A221" s="4"/>
      <c r="B221" s="11"/>
      <c r="C221" s="11"/>
      <c r="D221" s="11"/>
      <c r="E221" s="14"/>
      <c r="F221" s="4"/>
      <c r="G221" s="14"/>
      <c r="H221" s="22"/>
      <c r="I221" s="4"/>
      <c r="J221" s="11"/>
      <c r="K221" s="11"/>
      <c r="L221" s="4"/>
      <c r="M221" s="4"/>
      <c r="N221" s="4"/>
      <c r="O221" s="4"/>
      <c r="P221" s="4"/>
      <c r="Q221" s="4"/>
      <c r="R221" s="4"/>
      <c r="S221" s="4"/>
      <c r="T221" s="4"/>
      <c r="U221" s="4"/>
      <c r="V221" s="4"/>
      <c r="W221" s="4"/>
    </row>
    <row r="222" spans="1:23" ht="16.5" customHeight="1">
      <c r="A222" s="4"/>
      <c r="B222" s="11"/>
      <c r="C222" s="11"/>
      <c r="D222" s="11"/>
      <c r="E222" s="14"/>
      <c r="F222" s="4"/>
      <c r="G222" s="14"/>
      <c r="H222" s="22"/>
      <c r="I222" s="4"/>
      <c r="J222" s="11"/>
      <c r="K222" s="11"/>
      <c r="L222" s="4"/>
      <c r="M222" s="4"/>
      <c r="N222" s="4"/>
      <c r="O222" s="4"/>
      <c r="P222" s="4"/>
      <c r="Q222" s="4"/>
      <c r="R222" s="4"/>
      <c r="S222" s="4"/>
      <c r="T222" s="4"/>
      <c r="U222" s="4"/>
      <c r="V222" s="4"/>
      <c r="W222" s="4"/>
    </row>
    <row r="223" spans="1:23" ht="16.5" customHeight="1">
      <c r="A223" s="4"/>
      <c r="B223" s="11"/>
      <c r="C223" s="11"/>
      <c r="D223" s="11"/>
      <c r="E223" s="14"/>
      <c r="F223" s="4"/>
      <c r="G223" s="14"/>
      <c r="H223" s="22"/>
      <c r="I223" s="4"/>
      <c r="J223" s="11"/>
      <c r="K223" s="11"/>
      <c r="L223" s="4"/>
      <c r="M223" s="4"/>
      <c r="N223" s="4"/>
      <c r="O223" s="4"/>
      <c r="P223" s="4"/>
      <c r="Q223" s="4"/>
      <c r="R223" s="4"/>
      <c r="S223" s="4"/>
      <c r="T223" s="4"/>
      <c r="U223" s="4"/>
      <c r="V223" s="4"/>
      <c r="W223" s="4"/>
    </row>
    <row r="224" spans="1:23" ht="16.5" customHeight="1">
      <c r="A224" s="4"/>
      <c r="B224" s="11"/>
      <c r="C224" s="11"/>
      <c r="D224" s="11"/>
      <c r="E224" s="14"/>
      <c r="F224" s="4"/>
      <c r="G224" s="14"/>
      <c r="H224" s="22"/>
      <c r="I224" s="4"/>
      <c r="J224" s="11"/>
      <c r="K224" s="11"/>
      <c r="L224" s="4"/>
      <c r="M224" s="4"/>
      <c r="N224" s="4"/>
      <c r="O224" s="4"/>
      <c r="P224" s="4"/>
      <c r="Q224" s="4"/>
      <c r="R224" s="4"/>
      <c r="S224" s="4"/>
      <c r="T224" s="4"/>
      <c r="U224" s="4"/>
      <c r="V224" s="4"/>
      <c r="W224" s="4"/>
    </row>
    <row r="225" spans="1:23" ht="16.5" customHeight="1">
      <c r="A225" s="4"/>
      <c r="B225" s="11"/>
      <c r="C225" s="11"/>
      <c r="D225" s="11"/>
      <c r="E225" s="14"/>
      <c r="F225" s="4"/>
      <c r="G225" s="14"/>
      <c r="H225" s="22"/>
      <c r="I225" s="4"/>
      <c r="J225" s="11"/>
      <c r="K225" s="11"/>
      <c r="L225" s="4"/>
      <c r="M225" s="4"/>
      <c r="N225" s="4"/>
      <c r="O225" s="4"/>
      <c r="P225" s="4"/>
      <c r="Q225" s="4"/>
      <c r="R225" s="4"/>
      <c r="S225" s="4"/>
      <c r="T225" s="4"/>
      <c r="U225" s="4"/>
      <c r="V225" s="4"/>
      <c r="W225" s="4"/>
    </row>
    <row r="226" spans="1:23" ht="16.5" customHeight="1">
      <c r="A226" s="4"/>
      <c r="B226" s="11"/>
      <c r="C226" s="11"/>
      <c r="D226" s="11"/>
      <c r="E226" s="14"/>
      <c r="F226" s="4"/>
      <c r="G226" s="14"/>
      <c r="H226" s="22"/>
      <c r="I226" s="4"/>
      <c r="J226" s="11"/>
      <c r="K226" s="11"/>
      <c r="L226" s="4"/>
      <c r="M226" s="4"/>
      <c r="N226" s="4"/>
      <c r="O226" s="4"/>
      <c r="P226" s="4"/>
      <c r="Q226" s="4"/>
      <c r="R226" s="4"/>
      <c r="S226" s="4"/>
      <c r="T226" s="4"/>
      <c r="U226" s="4"/>
      <c r="V226" s="4"/>
      <c r="W226" s="4"/>
    </row>
    <row r="227" spans="1:23" ht="16.5" customHeight="1">
      <c r="A227" s="4"/>
      <c r="B227" s="11"/>
      <c r="C227" s="11"/>
      <c r="D227" s="11"/>
      <c r="E227" s="14"/>
      <c r="F227" s="4"/>
      <c r="G227" s="14"/>
      <c r="H227" s="22"/>
      <c r="I227" s="4"/>
      <c r="J227" s="11"/>
      <c r="K227" s="11"/>
      <c r="L227" s="4"/>
      <c r="M227" s="4"/>
      <c r="N227" s="4"/>
      <c r="O227" s="4"/>
      <c r="P227" s="4"/>
      <c r="Q227" s="4"/>
      <c r="R227" s="4"/>
      <c r="S227" s="4"/>
      <c r="T227" s="4"/>
      <c r="U227" s="4"/>
      <c r="V227" s="4"/>
      <c r="W227" s="4"/>
    </row>
    <row r="228" spans="1:23" ht="16.5" customHeight="1">
      <c r="A228" s="4"/>
      <c r="B228" s="11"/>
      <c r="C228" s="11"/>
      <c r="D228" s="11"/>
      <c r="E228" s="14"/>
      <c r="F228" s="4"/>
      <c r="G228" s="14"/>
      <c r="H228" s="22"/>
      <c r="I228" s="4"/>
      <c r="J228" s="11"/>
      <c r="K228" s="11"/>
      <c r="L228" s="4"/>
      <c r="M228" s="4"/>
      <c r="N228" s="4"/>
      <c r="O228" s="4"/>
      <c r="P228" s="4"/>
      <c r="Q228" s="4"/>
      <c r="R228" s="4"/>
      <c r="S228" s="4"/>
      <c r="T228" s="4"/>
      <c r="U228" s="4"/>
      <c r="V228" s="4"/>
      <c r="W228" s="4"/>
    </row>
    <row r="229" spans="1:23" ht="16.5" customHeight="1">
      <c r="A229" s="4"/>
      <c r="B229" s="11"/>
      <c r="C229" s="11"/>
      <c r="D229" s="11"/>
      <c r="E229" s="14"/>
      <c r="F229" s="4"/>
      <c r="G229" s="14"/>
      <c r="H229" s="22"/>
      <c r="I229" s="4"/>
      <c r="J229" s="11"/>
      <c r="K229" s="11"/>
      <c r="L229" s="4"/>
      <c r="M229" s="4"/>
      <c r="N229" s="4"/>
      <c r="O229" s="4"/>
      <c r="P229" s="4"/>
      <c r="Q229" s="4"/>
      <c r="R229" s="4"/>
      <c r="S229" s="4"/>
      <c r="T229" s="4"/>
      <c r="U229" s="4"/>
      <c r="V229" s="4"/>
      <c r="W229" s="4"/>
    </row>
    <row r="230" spans="1:23" ht="16.5" customHeight="1">
      <c r="A230" s="4"/>
      <c r="B230" s="11"/>
      <c r="C230" s="11"/>
      <c r="D230" s="11"/>
      <c r="E230" s="14"/>
      <c r="F230" s="4"/>
      <c r="G230" s="14"/>
      <c r="H230" s="22"/>
      <c r="I230" s="4"/>
      <c r="J230" s="11"/>
      <c r="K230" s="11"/>
      <c r="L230" s="4"/>
      <c r="M230" s="4"/>
      <c r="N230" s="4"/>
      <c r="O230" s="4"/>
      <c r="P230" s="4"/>
      <c r="Q230" s="4"/>
      <c r="R230" s="4"/>
      <c r="S230" s="4"/>
      <c r="T230" s="4"/>
      <c r="U230" s="4"/>
      <c r="V230" s="4"/>
      <c r="W230" s="4"/>
    </row>
    <row r="231" spans="1:23" ht="16.5" customHeight="1">
      <c r="A231" s="4"/>
      <c r="B231" s="11"/>
      <c r="C231" s="11"/>
      <c r="D231" s="11"/>
      <c r="E231" s="14"/>
      <c r="F231" s="4"/>
      <c r="G231" s="14"/>
      <c r="H231" s="22"/>
      <c r="I231" s="4"/>
      <c r="J231" s="11"/>
      <c r="K231" s="11"/>
      <c r="L231" s="4"/>
      <c r="M231" s="4"/>
      <c r="N231" s="4"/>
      <c r="O231" s="4"/>
      <c r="P231" s="4"/>
      <c r="Q231" s="4"/>
      <c r="R231" s="4"/>
      <c r="S231" s="4"/>
      <c r="T231" s="4"/>
      <c r="U231" s="4"/>
      <c r="V231" s="4"/>
      <c r="W231" s="4"/>
    </row>
    <row r="232" spans="1:23" ht="16.5" customHeight="1">
      <c r="A232" s="4"/>
      <c r="B232" s="11"/>
      <c r="C232" s="11"/>
      <c r="D232" s="11"/>
      <c r="E232" s="14"/>
      <c r="F232" s="4"/>
      <c r="G232" s="14"/>
      <c r="H232" s="22"/>
      <c r="I232" s="4"/>
      <c r="J232" s="11"/>
      <c r="K232" s="11"/>
      <c r="L232" s="4"/>
      <c r="M232" s="4"/>
      <c r="N232" s="4"/>
      <c r="O232" s="4"/>
      <c r="P232" s="4"/>
      <c r="Q232" s="4"/>
      <c r="R232" s="4"/>
      <c r="S232" s="4"/>
      <c r="T232" s="4"/>
      <c r="U232" s="4"/>
      <c r="V232" s="4"/>
      <c r="W232" s="4"/>
    </row>
    <row r="233" spans="1:23" ht="16.5" customHeight="1">
      <c r="A233" s="4"/>
      <c r="B233" s="11"/>
      <c r="C233" s="11"/>
      <c r="D233" s="11"/>
      <c r="E233" s="14"/>
      <c r="F233" s="4"/>
      <c r="G233" s="14"/>
      <c r="H233" s="22"/>
      <c r="I233" s="4"/>
      <c r="J233" s="11"/>
      <c r="K233" s="11"/>
      <c r="L233" s="4"/>
      <c r="M233" s="4"/>
      <c r="N233" s="4"/>
      <c r="O233" s="4"/>
      <c r="P233" s="4"/>
      <c r="Q233" s="4"/>
      <c r="R233" s="4"/>
      <c r="S233" s="4"/>
      <c r="T233" s="4"/>
      <c r="U233" s="4"/>
      <c r="V233" s="4"/>
      <c r="W233" s="4"/>
    </row>
    <row r="234" spans="1:23" ht="16.5" customHeight="1">
      <c r="A234" s="4"/>
      <c r="B234" s="11"/>
      <c r="C234" s="11"/>
      <c r="D234" s="11"/>
      <c r="E234" s="14"/>
      <c r="F234" s="4"/>
      <c r="G234" s="14"/>
      <c r="H234" s="22"/>
      <c r="I234" s="4"/>
      <c r="J234" s="11"/>
      <c r="K234" s="11"/>
      <c r="L234" s="4"/>
      <c r="M234" s="4"/>
      <c r="N234" s="4"/>
      <c r="O234" s="4"/>
      <c r="P234" s="4"/>
      <c r="Q234" s="4"/>
      <c r="R234" s="4"/>
      <c r="S234" s="4"/>
      <c r="T234" s="4"/>
      <c r="U234" s="4"/>
      <c r="V234" s="4"/>
      <c r="W234" s="4"/>
    </row>
    <row r="235" spans="1:23" ht="16.5" customHeight="1">
      <c r="A235" s="4"/>
      <c r="B235" s="11"/>
      <c r="C235" s="11"/>
      <c r="D235" s="11"/>
      <c r="E235" s="14"/>
      <c r="F235" s="4"/>
      <c r="G235" s="14"/>
      <c r="H235" s="22"/>
      <c r="I235" s="4"/>
      <c r="J235" s="11"/>
      <c r="K235" s="11"/>
      <c r="L235" s="4"/>
      <c r="M235" s="4"/>
      <c r="N235" s="4"/>
      <c r="O235" s="4"/>
      <c r="P235" s="4"/>
      <c r="Q235" s="4"/>
      <c r="R235" s="4"/>
      <c r="S235" s="4"/>
      <c r="T235" s="4"/>
      <c r="U235" s="4"/>
      <c r="V235" s="4"/>
      <c r="W235" s="4"/>
    </row>
    <row r="236" spans="1:23" ht="16.5" customHeight="1">
      <c r="A236" s="4"/>
      <c r="B236" s="11"/>
      <c r="C236" s="11"/>
      <c r="D236" s="11"/>
      <c r="E236" s="14"/>
      <c r="F236" s="4"/>
      <c r="G236" s="14"/>
      <c r="H236" s="22"/>
      <c r="I236" s="4"/>
      <c r="J236" s="11"/>
      <c r="K236" s="11"/>
      <c r="L236" s="4"/>
      <c r="M236" s="4"/>
      <c r="N236" s="4"/>
      <c r="O236" s="4"/>
      <c r="P236" s="4"/>
      <c r="Q236" s="4"/>
      <c r="R236" s="4"/>
      <c r="S236" s="4"/>
      <c r="T236" s="4"/>
      <c r="U236" s="4"/>
      <c r="V236" s="4"/>
      <c r="W236" s="4"/>
    </row>
    <row r="237" spans="1:23" ht="16.5" customHeight="1">
      <c r="A237" s="4"/>
      <c r="B237" s="11"/>
      <c r="C237" s="11"/>
      <c r="D237" s="11"/>
      <c r="E237" s="14"/>
      <c r="F237" s="4"/>
      <c r="G237" s="14"/>
      <c r="H237" s="22"/>
      <c r="I237" s="4"/>
      <c r="J237" s="11"/>
      <c r="K237" s="11"/>
      <c r="L237" s="4"/>
      <c r="M237" s="4"/>
      <c r="N237" s="4"/>
      <c r="O237" s="4"/>
      <c r="P237" s="4"/>
      <c r="Q237" s="4"/>
      <c r="R237" s="4"/>
      <c r="S237" s="4"/>
      <c r="T237" s="4"/>
      <c r="U237" s="4"/>
      <c r="V237" s="4"/>
      <c r="W237" s="4"/>
    </row>
    <row r="238" spans="1:23" ht="16.5" customHeight="1">
      <c r="A238" s="4"/>
      <c r="B238" s="11"/>
      <c r="C238" s="11"/>
      <c r="D238" s="11"/>
      <c r="E238" s="14"/>
      <c r="F238" s="4"/>
      <c r="G238" s="14"/>
      <c r="H238" s="22"/>
      <c r="I238" s="4"/>
      <c r="J238" s="11"/>
      <c r="K238" s="11"/>
      <c r="L238" s="4"/>
      <c r="M238" s="4"/>
      <c r="N238" s="4"/>
      <c r="O238" s="4"/>
      <c r="P238" s="4"/>
      <c r="Q238" s="4"/>
      <c r="R238" s="4"/>
      <c r="S238" s="4"/>
      <c r="T238" s="4"/>
      <c r="U238" s="4"/>
      <c r="V238" s="4"/>
      <c r="W238" s="4"/>
    </row>
    <row r="239" spans="1:23" ht="16.5" customHeight="1">
      <c r="A239" s="4"/>
      <c r="B239" s="11"/>
      <c r="C239" s="11"/>
      <c r="D239" s="11"/>
      <c r="E239" s="14"/>
      <c r="F239" s="4"/>
      <c r="G239" s="14"/>
      <c r="H239" s="22"/>
      <c r="I239" s="4"/>
      <c r="J239" s="11"/>
      <c r="K239" s="11"/>
      <c r="L239" s="4"/>
      <c r="M239" s="4"/>
      <c r="N239" s="4"/>
      <c r="O239" s="4"/>
      <c r="P239" s="4"/>
      <c r="Q239" s="4"/>
      <c r="R239" s="4"/>
      <c r="S239" s="4"/>
      <c r="T239" s="4"/>
      <c r="U239" s="4"/>
      <c r="V239" s="4"/>
      <c r="W239" s="4"/>
    </row>
    <row r="240" spans="1:23" ht="16.5" customHeight="1">
      <c r="A240" s="4"/>
      <c r="B240" s="11"/>
      <c r="C240" s="11"/>
      <c r="D240" s="11"/>
      <c r="E240" s="14"/>
      <c r="F240" s="4"/>
      <c r="G240" s="14"/>
      <c r="H240" s="22"/>
      <c r="I240" s="4"/>
      <c r="J240" s="11"/>
      <c r="K240" s="11"/>
      <c r="L240" s="4"/>
      <c r="M240" s="4"/>
      <c r="N240" s="4"/>
      <c r="O240" s="4"/>
      <c r="P240" s="4"/>
      <c r="Q240" s="4"/>
      <c r="R240" s="4"/>
      <c r="S240" s="4"/>
      <c r="T240" s="4"/>
      <c r="U240" s="4"/>
      <c r="V240" s="4"/>
      <c r="W240" s="4"/>
    </row>
    <row r="241" spans="1:23" ht="16.5" customHeight="1">
      <c r="A241" s="4"/>
      <c r="B241" s="11"/>
      <c r="C241" s="11"/>
      <c r="D241" s="11"/>
      <c r="E241" s="14"/>
      <c r="F241" s="4"/>
      <c r="G241" s="14"/>
      <c r="H241" s="22"/>
      <c r="I241" s="4"/>
      <c r="J241" s="11"/>
      <c r="K241" s="11"/>
      <c r="L241" s="4"/>
      <c r="M241" s="4"/>
      <c r="N241" s="4"/>
      <c r="O241" s="4"/>
      <c r="P241" s="4"/>
      <c r="Q241" s="4"/>
      <c r="R241" s="4"/>
      <c r="S241" s="4"/>
      <c r="T241" s="4"/>
      <c r="U241" s="4"/>
      <c r="V241" s="4"/>
      <c r="W241" s="4"/>
    </row>
    <row r="242" spans="1:23" ht="16.5" customHeight="1">
      <c r="A242" s="4"/>
      <c r="B242" s="11"/>
      <c r="C242" s="11"/>
      <c r="D242" s="11"/>
      <c r="E242" s="14"/>
      <c r="F242" s="4"/>
      <c r="G242" s="14"/>
      <c r="H242" s="22"/>
      <c r="I242" s="4"/>
      <c r="J242" s="11"/>
      <c r="K242" s="11"/>
      <c r="L242" s="4"/>
      <c r="M242" s="4"/>
      <c r="N242" s="4"/>
      <c r="O242" s="4"/>
      <c r="P242" s="4"/>
      <c r="Q242" s="4"/>
      <c r="R242" s="4"/>
      <c r="S242" s="4"/>
      <c r="T242" s="4"/>
      <c r="U242" s="4"/>
      <c r="V242" s="4"/>
      <c r="W242" s="4"/>
    </row>
    <row r="243" spans="1:23" ht="16.5" customHeight="1">
      <c r="A243" s="4"/>
      <c r="B243" s="11"/>
      <c r="C243" s="11"/>
      <c r="D243" s="11"/>
      <c r="E243" s="14"/>
      <c r="F243" s="4"/>
      <c r="G243" s="14"/>
      <c r="H243" s="22"/>
      <c r="I243" s="4"/>
      <c r="J243" s="11"/>
      <c r="K243" s="11"/>
      <c r="L243" s="4"/>
      <c r="M243" s="4"/>
      <c r="N243" s="4"/>
      <c r="O243" s="4"/>
      <c r="P243" s="4"/>
      <c r="Q243" s="4"/>
      <c r="R243" s="4"/>
      <c r="S243" s="4"/>
      <c r="T243" s="4"/>
      <c r="U243" s="4"/>
      <c r="V243" s="4"/>
      <c r="W243" s="4"/>
    </row>
    <row r="244" spans="1:23" ht="16.5" customHeight="1">
      <c r="A244" s="4"/>
      <c r="B244" s="11"/>
      <c r="C244" s="11"/>
      <c r="D244" s="11"/>
      <c r="E244" s="14"/>
      <c r="F244" s="4"/>
      <c r="G244" s="14"/>
      <c r="H244" s="22"/>
      <c r="I244" s="4"/>
      <c r="J244" s="11"/>
      <c r="K244" s="11"/>
      <c r="L244" s="4"/>
      <c r="M244" s="4"/>
      <c r="N244" s="4"/>
      <c r="O244" s="4"/>
      <c r="P244" s="4"/>
      <c r="Q244" s="4"/>
      <c r="R244" s="4"/>
      <c r="S244" s="4"/>
      <c r="T244" s="4"/>
      <c r="U244" s="4"/>
      <c r="V244" s="4"/>
      <c r="W244" s="4"/>
    </row>
    <row r="245" spans="1:23" ht="16.5" customHeight="1">
      <c r="A245" s="4"/>
      <c r="B245" s="11"/>
      <c r="C245" s="11"/>
      <c r="D245" s="11"/>
      <c r="E245" s="14"/>
      <c r="F245" s="4"/>
      <c r="G245" s="14"/>
      <c r="H245" s="22"/>
      <c r="I245" s="4"/>
      <c r="J245" s="11"/>
      <c r="K245" s="11"/>
      <c r="L245" s="4"/>
      <c r="M245" s="4"/>
      <c r="N245" s="4"/>
      <c r="O245" s="4"/>
      <c r="P245" s="4"/>
      <c r="Q245" s="4"/>
      <c r="R245" s="4"/>
      <c r="S245" s="4"/>
      <c r="T245" s="4"/>
      <c r="U245" s="4"/>
      <c r="V245" s="4"/>
      <c r="W245" s="4"/>
    </row>
    <row r="246" spans="1:23" ht="16.5" customHeight="1">
      <c r="A246" s="4"/>
      <c r="B246" s="11"/>
      <c r="C246" s="11"/>
      <c r="D246" s="11"/>
      <c r="E246" s="14"/>
      <c r="F246" s="4"/>
      <c r="G246" s="14"/>
      <c r="H246" s="22"/>
      <c r="I246" s="4"/>
      <c r="J246" s="11"/>
      <c r="K246" s="11"/>
      <c r="L246" s="4"/>
      <c r="M246" s="4"/>
      <c r="N246" s="4"/>
      <c r="O246" s="4"/>
      <c r="P246" s="4"/>
      <c r="Q246" s="4"/>
      <c r="R246" s="4"/>
      <c r="S246" s="4"/>
      <c r="T246" s="4"/>
      <c r="U246" s="4"/>
      <c r="V246" s="4"/>
      <c r="W246" s="4"/>
    </row>
    <row r="247" spans="1:23" ht="16.5" customHeight="1">
      <c r="A247" s="4"/>
      <c r="B247" s="11"/>
      <c r="C247" s="11"/>
      <c r="D247" s="11"/>
      <c r="E247" s="14"/>
      <c r="F247" s="4"/>
      <c r="G247" s="14"/>
      <c r="H247" s="22"/>
      <c r="I247" s="4"/>
      <c r="J247" s="11"/>
      <c r="K247" s="11"/>
      <c r="L247" s="4"/>
      <c r="M247" s="4"/>
      <c r="N247" s="4"/>
      <c r="O247" s="4"/>
      <c r="P247" s="4"/>
      <c r="Q247" s="4"/>
      <c r="R247" s="4"/>
      <c r="S247" s="4"/>
      <c r="T247" s="4"/>
      <c r="U247" s="4"/>
      <c r="V247" s="4"/>
      <c r="W247" s="4"/>
    </row>
    <row r="248" spans="1:23" ht="16.5" customHeight="1">
      <c r="A248" s="4"/>
      <c r="B248" s="11"/>
      <c r="C248" s="11"/>
      <c r="D248" s="11"/>
      <c r="E248" s="14"/>
      <c r="F248" s="4"/>
      <c r="G248" s="14"/>
      <c r="H248" s="22"/>
      <c r="I248" s="4"/>
      <c r="J248" s="11"/>
      <c r="K248" s="11"/>
      <c r="L248" s="4"/>
      <c r="M248" s="4"/>
      <c r="N248" s="4"/>
      <c r="O248" s="4"/>
      <c r="P248" s="4"/>
      <c r="Q248" s="4"/>
      <c r="R248" s="4"/>
      <c r="S248" s="4"/>
      <c r="T248" s="4"/>
      <c r="U248" s="4"/>
      <c r="V248" s="4"/>
      <c r="W248" s="4"/>
    </row>
    <row r="249" spans="1:23" ht="16.5" customHeight="1">
      <c r="A249" s="4"/>
      <c r="B249" s="11"/>
      <c r="C249" s="11"/>
      <c r="D249" s="11"/>
      <c r="E249" s="14"/>
      <c r="F249" s="4"/>
      <c r="G249" s="14"/>
      <c r="H249" s="22"/>
      <c r="I249" s="4"/>
      <c r="J249" s="11"/>
      <c r="K249" s="11"/>
      <c r="L249" s="4"/>
      <c r="M249" s="4"/>
      <c r="N249" s="4"/>
      <c r="O249" s="4"/>
      <c r="P249" s="4"/>
      <c r="Q249" s="4"/>
      <c r="R249" s="4"/>
      <c r="S249" s="4"/>
      <c r="T249" s="4"/>
      <c r="U249" s="4"/>
      <c r="V249" s="4"/>
      <c r="W249" s="4"/>
    </row>
    <row r="250" spans="1:23" ht="16.5" customHeight="1">
      <c r="A250" s="4"/>
      <c r="B250" s="11"/>
      <c r="C250" s="11"/>
      <c r="D250" s="11"/>
      <c r="E250" s="14"/>
      <c r="F250" s="4"/>
      <c r="G250" s="14"/>
      <c r="H250" s="22"/>
      <c r="I250" s="4"/>
      <c r="J250" s="11"/>
      <c r="K250" s="11"/>
      <c r="L250" s="4"/>
      <c r="M250" s="4"/>
      <c r="N250" s="4"/>
      <c r="O250" s="4"/>
      <c r="P250" s="4"/>
      <c r="Q250" s="4"/>
      <c r="R250" s="4"/>
      <c r="S250" s="4"/>
      <c r="T250" s="4"/>
      <c r="U250" s="4"/>
      <c r="V250" s="4"/>
      <c r="W250" s="4"/>
    </row>
    <row r="251" spans="1:23" ht="16.5" customHeight="1">
      <c r="A251" s="4"/>
      <c r="B251" s="11"/>
      <c r="C251" s="11"/>
      <c r="D251" s="11"/>
      <c r="E251" s="14"/>
      <c r="F251" s="4"/>
      <c r="G251" s="14"/>
      <c r="H251" s="22"/>
      <c r="I251" s="4"/>
      <c r="J251" s="11"/>
      <c r="K251" s="11"/>
      <c r="L251" s="4"/>
      <c r="M251" s="4"/>
      <c r="N251" s="4"/>
      <c r="O251" s="4"/>
      <c r="P251" s="4"/>
      <c r="Q251" s="4"/>
      <c r="R251" s="4"/>
      <c r="S251" s="4"/>
      <c r="T251" s="4"/>
      <c r="U251" s="4"/>
      <c r="V251" s="4"/>
      <c r="W251" s="4"/>
    </row>
    <row r="252" spans="1:23" ht="16.5" customHeight="1">
      <c r="A252" s="4"/>
      <c r="B252" s="11"/>
      <c r="C252" s="11"/>
      <c r="D252" s="11"/>
      <c r="E252" s="14"/>
      <c r="F252" s="4"/>
      <c r="G252" s="14"/>
      <c r="H252" s="22"/>
      <c r="I252" s="4"/>
      <c r="J252" s="11"/>
      <c r="K252" s="11"/>
      <c r="L252" s="4"/>
      <c r="M252" s="4"/>
      <c r="N252" s="4"/>
      <c r="O252" s="4"/>
      <c r="P252" s="4"/>
      <c r="Q252" s="4"/>
      <c r="R252" s="4"/>
      <c r="S252" s="4"/>
      <c r="T252" s="4"/>
      <c r="U252" s="4"/>
      <c r="V252" s="4"/>
      <c r="W252" s="4"/>
    </row>
    <row r="253" spans="1:23" ht="16.5" customHeight="1">
      <c r="A253" s="4"/>
      <c r="B253" s="11"/>
      <c r="C253" s="11"/>
      <c r="D253" s="11"/>
      <c r="E253" s="14"/>
      <c r="F253" s="4"/>
      <c r="G253" s="14"/>
      <c r="H253" s="22"/>
      <c r="I253" s="4"/>
      <c r="J253" s="11"/>
      <c r="K253" s="11"/>
      <c r="L253" s="4"/>
      <c r="M253" s="4"/>
      <c r="N253" s="4"/>
      <c r="O253" s="4"/>
      <c r="P253" s="4"/>
      <c r="Q253" s="4"/>
      <c r="R253" s="4"/>
      <c r="S253" s="4"/>
      <c r="T253" s="4"/>
      <c r="U253" s="4"/>
      <c r="V253" s="4"/>
      <c r="W253" s="4"/>
    </row>
    <row r="254" spans="1:23" ht="16.5" customHeight="1">
      <c r="A254" s="4"/>
      <c r="B254" s="11"/>
      <c r="C254" s="11"/>
      <c r="D254" s="11"/>
      <c r="E254" s="14"/>
      <c r="F254" s="4"/>
      <c r="G254" s="14"/>
      <c r="H254" s="22"/>
      <c r="I254" s="4"/>
      <c r="J254" s="11"/>
      <c r="K254" s="11"/>
      <c r="L254" s="4"/>
      <c r="M254" s="4"/>
      <c r="N254" s="4"/>
      <c r="O254" s="4"/>
      <c r="P254" s="4"/>
      <c r="Q254" s="4"/>
      <c r="R254" s="4"/>
      <c r="S254" s="4"/>
      <c r="T254" s="4"/>
      <c r="U254" s="4"/>
      <c r="V254" s="4"/>
      <c r="W254" s="4"/>
    </row>
    <row r="255" spans="1:23" ht="16.5" customHeight="1">
      <c r="A255" s="4"/>
      <c r="B255" s="11"/>
      <c r="C255" s="11"/>
      <c r="D255" s="11"/>
      <c r="E255" s="14"/>
      <c r="F255" s="4"/>
      <c r="G255" s="14"/>
      <c r="H255" s="22"/>
      <c r="I255" s="4"/>
      <c r="J255" s="11"/>
      <c r="K255" s="11"/>
      <c r="L255" s="4"/>
      <c r="M255" s="4"/>
      <c r="N255" s="4"/>
      <c r="O255" s="4"/>
      <c r="P255" s="4"/>
      <c r="Q255" s="4"/>
      <c r="R255" s="4"/>
      <c r="S255" s="4"/>
      <c r="T255" s="4"/>
      <c r="U255" s="4"/>
      <c r="V255" s="4"/>
      <c r="W255" s="4"/>
    </row>
    <row r="256" spans="1:23" ht="16.5" customHeight="1">
      <c r="A256" s="4"/>
      <c r="B256" s="11"/>
      <c r="C256" s="11"/>
      <c r="D256" s="11"/>
      <c r="E256" s="14"/>
      <c r="F256" s="4"/>
      <c r="G256" s="14"/>
      <c r="H256" s="22"/>
      <c r="I256" s="4"/>
      <c r="J256" s="11"/>
      <c r="K256" s="11"/>
      <c r="L256" s="4"/>
      <c r="M256" s="4"/>
      <c r="N256" s="4"/>
      <c r="O256" s="4"/>
      <c r="P256" s="4"/>
      <c r="Q256" s="4"/>
      <c r="R256" s="4"/>
      <c r="S256" s="4"/>
      <c r="T256" s="4"/>
      <c r="U256" s="4"/>
      <c r="V256" s="4"/>
      <c r="W256" s="4"/>
    </row>
    <row r="257" spans="1:23" ht="16.5" customHeight="1">
      <c r="A257" s="4"/>
      <c r="B257" s="11"/>
      <c r="C257" s="11"/>
      <c r="D257" s="11"/>
      <c r="E257" s="14"/>
      <c r="F257" s="4"/>
      <c r="G257" s="14"/>
      <c r="H257" s="22"/>
      <c r="I257" s="4"/>
      <c r="J257" s="11"/>
      <c r="K257" s="11"/>
      <c r="L257" s="4"/>
      <c r="M257" s="4"/>
      <c r="N257" s="4"/>
      <c r="O257" s="4"/>
      <c r="P257" s="4"/>
      <c r="Q257" s="4"/>
      <c r="R257" s="4"/>
      <c r="S257" s="4"/>
      <c r="T257" s="4"/>
      <c r="U257" s="4"/>
      <c r="V257" s="4"/>
      <c r="W257" s="4"/>
    </row>
    <row r="258" spans="1:23" ht="16.5" customHeight="1">
      <c r="A258" s="4"/>
      <c r="B258" s="11"/>
      <c r="C258" s="11"/>
      <c r="D258" s="11"/>
      <c r="E258" s="14"/>
      <c r="F258" s="4"/>
      <c r="G258" s="14"/>
      <c r="H258" s="22"/>
      <c r="I258" s="4"/>
      <c r="J258" s="11"/>
      <c r="K258" s="11"/>
      <c r="L258" s="4"/>
      <c r="M258" s="4"/>
      <c r="N258" s="4"/>
      <c r="O258" s="4"/>
      <c r="P258" s="4"/>
      <c r="Q258" s="4"/>
      <c r="R258" s="4"/>
      <c r="S258" s="4"/>
      <c r="T258" s="4"/>
      <c r="U258" s="4"/>
      <c r="V258" s="4"/>
      <c r="W258" s="4"/>
    </row>
    <row r="259" spans="1:23" ht="16.5" customHeight="1">
      <c r="A259" s="4"/>
      <c r="B259" s="11"/>
      <c r="C259" s="11"/>
      <c r="D259" s="11"/>
      <c r="E259" s="14"/>
      <c r="F259" s="4"/>
      <c r="G259" s="14"/>
      <c r="H259" s="22"/>
      <c r="I259" s="4"/>
      <c r="J259" s="11"/>
      <c r="K259" s="11"/>
      <c r="L259" s="4"/>
      <c r="M259" s="4"/>
      <c r="N259" s="4"/>
      <c r="O259" s="4"/>
      <c r="P259" s="4"/>
      <c r="Q259" s="4"/>
      <c r="R259" s="4"/>
      <c r="S259" s="4"/>
      <c r="T259" s="4"/>
      <c r="U259" s="4"/>
      <c r="V259" s="4"/>
      <c r="W259" s="4"/>
    </row>
    <row r="260" spans="1:23" ht="16.5" customHeight="1">
      <c r="A260" s="4"/>
      <c r="B260" s="11"/>
      <c r="C260" s="11"/>
      <c r="D260" s="11"/>
      <c r="E260" s="14"/>
      <c r="F260" s="4"/>
      <c r="G260" s="14"/>
      <c r="H260" s="22"/>
      <c r="I260" s="4"/>
      <c r="J260" s="11"/>
      <c r="K260" s="11"/>
      <c r="L260" s="4"/>
      <c r="M260" s="4"/>
      <c r="N260" s="4"/>
      <c r="O260" s="4"/>
      <c r="P260" s="4"/>
      <c r="Q260" s="4"/>
      <c r="R260" s="4"/>
      <c r="S260" s="4"/>
      <c r="T260" s="4"/>
      <c r="U260" s="4"/>
      <c r="V260" s="4"/>
      <c r="W260" s="4"/>
    </row>
    <row r="261" spans="1:23" ht="16.5" customHeight="1">
      <c r="A261" s="4"/>
      <c r="B261" s="11"/>
      <c r="C261" s="11"/>
      <c r="D261" s="11"/>
      <c r="E261" s="14"/>
      <c r="F261" s="4"/>
      <c r="G261" s="14"/>
      <c r="H261" s="22"/>
      <c r="I261" s="4"/>
      <c r="J261" s="11"/>
      <c r="K261" s="11"/>
      <c r="L261" s="4"/>
      <c r="M261" s="4"/>
      <c r="N261" s="4"/>
      <c r="O261" s="4"/>
      <c r="P261" s="4"/>
      <c r="Q261" s="4"/>
      <c r="R261" s="4"/>
      <c r="S261" s="4"/>
      <c r="T261" s="4"/>
      <c r="U261" s="4"/>
      <c r="V261" s="4"/>
      <c r="W261" s="4"/>
    </row>
    <row r="262" spans="1:23" ht="16.5" customHeight="1">
      <c r="A262" s="4"/>
      <c r="B262" s="11"/>
      <c r="C262" s="11"/>
      <c r="D262" s="11"/>
      <c r="E262" s="14"/>
      <c r="F262" s="4"/>
      <c r="G262" s="14"/>
      <c r="H262" s="22"/>
      <c r="I262" s="4"/>
      <c r="J262" s="11"/>
      <c r="K262" s="11"/>
      <c r="L262" s="4"/>
      <c r="M262" s="4"/>
      <c r="N262" s="4"/>
      <c r="O262" s="4"/>
      <c r="P262" s="4"/>
      <c r="Q262" s="4"/>
      <c r="R262" s="4"/>
      <c r="S262" s="4"/>
      <c r="T262" s="4"/>
      <c r="U262" s="4"/>
      <c r="V262" s="4"/>
      <c r="W262" s="4"/>
    </row>
    <row r="263" spans="1:23" ht="16.5" customHeight="1">
      <c r="A263" s="4"/>
      <c r="B263" s="11"/>
      <c r="C263" s="11"/>
      <c r="D263" s="11"/>
      <c r="E263" s="14"/>
      <c r="F263" s="4"/>
      <c r="G263" s="14"/>
      <c r="H263" s="22"/>
      <c r="I263" s="4"/>
      <c r="J263" s="11"/>
      <c r="K263" s="11"/>
      <c r="L263" s="4"/>
      <c r="M263" s="4"/>
      <c r="N263" s="4"/>
      <c r="O263" s="4"/>
      <c r="P263" s="4"/>
      <c r="Q263" s="4"/>
      <c r="R263" s="4"/>
      <c r="S263" s="4"/>
      <c r="T263" s="4"/>
      <c r="U263" s="4"/>
      <c r="V263" s="4"/>
      <c r="W263" s="4"/>
    </row>
    <row r="264" spans="1:23" ht="16.5" customHeight="1">
      <c r="A264" s="4"/>
      <c r="B264" s="11"/>
      <c r="C264" s="11"/>
      <c r="D264" s="11"/>
      <c r="E264" s="14"/>
      <c r="F264" s="4"/>
      <c r="G264" s="14"/>
      <c r="H264" s="22"/>
      <c r="I264" s="4"/>
      <c r="J264" s="11"/>
      <c r="K264" s="11"/>
      <c r="L264" s="4"/>
      <c r="M264" s="4"/>
      <c r="N264" s="4"/>
      <c r="O264" s="4"/>
      <c r="P264" s="4"/>
      <c r="Q264" s="4"/>
      <c r="R264" s="4"/>
      <c r="S264" s="4"/>
      <c r="T264" s="4"/>
      <c r="U264" s="4"/>
      <c r="V264" s="4"/>
      <c r="W264" s="4"/>
    </row>
    <row r="265" spans="1:23" ht="16.5" customHeight="1">
      <c r="A265" s="4"/>
      <c r="B265" s="11"/>
      <c r="C265" s="11"/>
      <c r="D265" s="11"/>
      <c r="E265" s="14"/>
      <c r="F265" s="4"/>
      <c r="G265" s="14"/>
      <c r="H265" s="22"/>
      <c r="I265" s="4"/>
      <c r="J265" s="11"/>
      <c r="K265" s="11"/>
      <c r="L265" s="4"/>
      <c r="M265" s="4"/>
      <c r="N265" s="4"/>
      <c r="O265" s="4"/>
      <c r="P265" s="4"/>
      <c r="Q265" s="4"/>
      <c r="R265" s="4"/>
      <c r="S265" s="4"/>
      <c r="T265" s="4"/>
      <c r="U265" s="4"/>
      <c r="V265" s="4"/>
      <c r="W265" s="4"/>
    </row>
    <row r="266" spans="1:23" ht="16.5" customHeight="1">
      <c r="A266" s="4"/>
      <c r="B266" s="11"/>
      <c r="C266" s="11"/>
      <c r="D266" s="11"/>
      <c r="E266" s="14"/>
      <c r="F266" s="4"/>
      <c r="G266" s="14"/>
      <c r="H266" s="22"/>
      <c r="I266" s="4"/>
      <c r="J266" s="11"/>
      <c r="K266" s="11"/>
      <c r="L266" s="4"/>
      <c r="M266" s="4"/>
      <c r="N266" s="4"/>
      <c r="O266" s="4"/>
      <c r="P266" s="4"/>
      <c r="Q266" s="4"/>
      <c r="R266" s="4"/>
      <c r="S266" s="4"/>
      <c r="T266" s="4"/>
      <c r="U266" s="4"/>
      <c r="V266" s="4"/>
      <c r="W266" s="4"/>
    </row>
    <row r="267" spans="1:23" ht="16.5" customHeight="1">
      <c r="A267" s="4"/>
      <c r="B267" s="11"/>
      <c r="C267" s="11"/>
      <c r="D267" s="11"/>
      <c r="E267" s="14"/>
      <c r="F267" s="4"/>
      <c r="G267" s="14"/>
      <c r="H267" s="22"/>
      <c r="I267" s="4"/>
      <c r="J267" s="11"/>
      <c r="K267" s="11"/>
      <c r="L267" s="4"/>
      <c r="M267" s="4"/>
      <c r="N267" s="4"/>
      <c r="O267" s="4"/>
      <c r="P267" s="4"/>
      <c r="Q267" s="4"/>
      <c r="R267" s="4"/>
      <c r="S267" s="4"/>
      <c r="T267" s="4"/>
      <c r="U267" s="4"/>
      <c r="V267" s="4"/>
      <c r="W267" s="4"/>
    </row>
    <row r="268" spans="1:23" ht="16.5" customHeight="1">
      <c r="A268" s="4"/>
      <c r="B268" s="11"/>
      <c r="C268" s="11"/>
      <c r="D268" s="11"/>
      <c r="E268" s="14"/>
      <c r="F268" s="4"/>
      <c r="G268" s="14"/>
      <c r="H268" s="22"/>
      <c r="I268" s="4"/>
      <c r="J268" s="11"/>
      <c r="K268" s="11"/>
      <c r="L268" s="4"/>
      <c r="M268" s="4"/>
      <c r="N268" s="4"/>
      <c r="O268" s="4"/>
      <c r="P268" s="4"/>
      <c r="Q268" s="4"/>
      <c r="R268" s="4"/>
      <c r="S268" s="4"/>
      <c r="T268" s="4"/>
      <c r="U268" s="4"/>
      <c r="V268" s="4"/>
      <c r="W268" s="4"/>
    </row>
    <row r="269" spans="1:23" ht="16.5" customHeight="1">
      <c r="A269" s="4"/>
      <c r="B269" s="11"/>
      <c r="C269" s="11"/>
      <c r="D269" s="11"/>
      <c r="E269" s="14"/>
      <c r="F269" s="4"/>
      <c r="G269" s="14"/>
      <c r="H269" s="22"/>
      <c r="I269" s="4"/>
      <c r="J269" s="11"/>
      <c r="K269" s="11"/>
      <c r="L269" s="4"/>
      <c r="M269" s="4"/>
      <c r="N269" s="4"/>
      <c r="O269" s="4"/>
      <c r="P269" s="4"/>
      <c r="Q269" s="4"/>
      <c r="R269" s="4"/>
      <c r="S269" s="4"/>
      <c r="T269" s="4"/>
      <c r="U269" s="4"/>
      <c r="V269" s="4"/>
      <c r="W269" s="4"/>
    </row>
    <row r="270" spans="1:23" ht="16.5" customHeight="1">
      <c r="A270" s="4"/>
      <c r="B270" s="11"/>
      <c r="C270" s="11"/>
      <c r="D270" s="11"/>
      <c r="E270" s="14"/>
      <c r="F270" s="4"/>
      <c r="G270" s="14"/>
      <c r="H270" s="22"/>
      <c r="I270" s="4"/>
      <c r="J270" s="11"/>
      <c r="K270" s="11"/>
      <c r="L270" s="4"/>
      <c r="M270" s="4"/>
      <c r="N270" s="4"/>
      <c r="O270" s="4"/>
      <c r="P270" s="4"/>
      <c r="Q270" s="4"/>
      <c r="R270" s="4"/>
      <c r="S270" s="4"/>
      <c r="T270" s="4"/>
      <c r="U270" s="4"/>
      <c r="V270" s="4"/>
      <c r="W270" s="4"/>
    </row>
    <row r="271" spans="1:23" ht="16.5" customHeight="1">
      <c r="A271" s="4"/>
      <c r="B271" s="11"/>
      <c r="C271" s="11"/>
      <c r="D271" s="11"/>
      <c r="E271" s="14"/>
      <c r="F271" s="4"/>
      <c r="G271" s="14"/>
      <c r="H271" s="22"/>
      <c r="I271" s="4"/>
      <c r="J271" s="11"/>
      <c r="K271" s="11"/>
      <c r="L271" s="4"/>
      <c r="M271" s="4"/>
      <c r="N271" s="4"/>
      <c r="O271" s="4"/>
      <c r="P271" s="4"/>
      <c r="Q271" s="4"/>
      <c r="R271" s="4"/>
      <c r="S271" s="4"/>
      <c r="T271" s="4"/>
      <c r="U271" s="4"/>
      <c r="V271" s="4"/>
      <c r="W271" s="4"/>
    </row>
    <row r="272" spans="1:23" ht="16.5" customHeight="1">
      <c r="A272" s="4"/>
      <c r="B272" s="11"/>
      <c r="C272" s="11"/>
      <c r="D272" s="11"/>
      <c r="E272" s="14"/>
      <c r="F272" s="4"/>
      <c r="G272" s="14"/>
      <c r="H272" s="22"/>
      <c r="I272" s="4"/>
      <c r="J272" s="11"/>
      <c r="K272" s="11"/>
      <c r="L272" s="4"/>
      <c r="M272" s="4"/>
      <c r="N272" s="4"/>
      <c r="O272" s="4"/>
      <c r="P272" s="4"/>
      <c r="Q272" s="4"/>
      <c r="R272" s="4"/>
      <c r="S272" s="4"/>
      <c r="T272" s="4"/>
      <c r="U272" s="4"/>
      <c r="V272" s="4"/>
      <c r="W272" s="4"/>
    </row>
    <row r="273" spans="1:23" ht="16.5" customHeight="1">
      <c r="A273" s="4"/>
      <c r="B273" s="11"/>
      <c r="C273" s="11"/>
      <c r="D273" s="11"/>
      <c r="E273" s="14"/>
      <c r="F273" s="4"/>
      <c r="G273" s="14"/>
      <c r="H273" s="22"/>
      <c r="I273" s="4"/>
      <c r="J273" s="11"/>
      <c r="K273" s="11"/>
      <c r="L273" s="4"/>
      <c r="M273" s="4"/>
      <c r="N273" s="4"/>
      <c r="O273" s="4"/>
      <c r="P273" s="4"/>
      <c r="Q273" s="4"/>
      <c r="R273" s="4"/>
      <c r="S273" s="4"/>
      <c r="T273" s="4"/>
      <c r="U273" s="4"/>
      <c r="V273" s="4"/>
      <c r="W273" s="4"/>
    </row>
    <row r="274" spans="1:23" ht="16.5" customHeight="1">
      <c r="A274" s="4"/>
      <c r="B274" s="11"/>
      <c r="C274" s="11"/>
      <c r="D274" s="11"/>
      <c r="E274" s="14"/>
      <c r="F274" s="4"/>
      <c r="G274" s="14"/>
      <c r="H274" s="22"/>
      <c r="I274" s="4"/>
      <c r="J274" s="11"/>
      <c r="K274" s="11"/>
      <c r="L274" s="4"/>
      <c r="M274" s="4"/>
      <c r="N274" s="4"/>
      <c r="O274" s="4"/>
      <c r="P274" s="4"/>
      <c r="Q274" s="4"/>
      <c r="R274" s="4"/>
      <c r="S274" s="4"/>
      <c r="T274" s="4"/>
      <c r="U274" s="4"/>
      <c r="V274" s="4"/>
      <c r="W274" s="4"/>
    </row>
    <row r="275" spans="1:23" ht="16.5" customHeight="1">
      <c r="A275" s="4"/>
      <c r="B275" s="11"/>
      <c r="C275" s="11"/>
      <c r="D275" s="11"/>
      <c r="E275" s="14"/>
      <c r="F275" s="4"/>
      <c r="G275" s="14"/>
      <c r="H275" s="22"/>
      <c r="I275" s="4"/>
      <c r="J275" s="11"/>
      <c r="K275" s="11"/>
      <c r="L275" s="4"/>
      <c r="M275" s="4"/>
      <c r="N275" s="4"/>
      <c r="O275" s="4"/>
      <c r="P275" s="4"/>
      <c r="Q275" s="4"/>
      <c r="R275" s="4"/>
      <c r="S275" s="4"/>
      <c r="T275" s="4"/>
      <c r="U275" s="4"/>
      <c r="V275" s="4"/>
      <c r="W275" s="4"/>
    </row>
    <row r="276" spans="1:23" ht="16.5" customHeight="1">
      <c r="A276" s="4"/>
      <c r="B276" s="11"/>
      <c r="C276" s="11"/>
      <c r="D276" s="11"/>
      <c r="E276" s="14"/>
      <c r="F276" s="4"/>
      <c r="G276" s="14"/>
      <c r="H276" s="22"/>
      <c r="I276" s="4"/>
      <c r="J276" s="11"/>
      <c r="K276" s="11"/>
      <c r="L276" s="4"/>
      <c r="M276" s="4"/>
      <c r="N276" s="4"/>
      <c r="O276" s="4"/>
      <c r="P276" s="4"/>
      <c r="Q276" s="4"/>
      <c r="R276" s="4"/>
      <c r="S276" s="4"/>
      <c r="T276" s="4"/>
      <c r="U276" s="4"/>
      <c r="V276" s="4"/>
      <c r="W276" s="4"/>
    </row>
    <row r="277" spans="1:23" ht="16.5" customHeight="1">
      <c r="A277" s="4"/>
      <c r="B277" s="11"/>
      <c r="C277" s="11"/>
      <c r="D277" s="11"/>
      <c r="E277" s="14"/>
      <c r="F277" s="4"/>
      <c r="G277" s="14"/>
      <c r="H277" s="22"/>
      <c r="I277" s="4"/>
      <c r="J277" s="11"/>
      <c r="K277" s="11"/>
      <c r="L277" s="4"/>
      <c r="M277" s="4"/>
      <c r="N277" s="4"/>
      <c r="O277" s="4"/>
      <c r="P277" s="4"/>
      <c r="Q277" s="4"/>
      <c r="R277" s="4"/>
      <c r="S277" s="4"/>
      <c r="T277" s="4"/>
      <c r="U277" s="4"/>
      <c r="V277" s="4"/>
      <c r="W277" s="4"/>
    </row>
    <row r="278" spans="1:23" ht="16.5" customHeight="1">
      <c r="A278" s="4"/>
      <c r="B278" s="11"/>
      <c r="C278" s="11"/>
      <c r="D278" s="11"/>
      <c r="E278" s="14"/>
      <c r="F278" s="4"/>
      <c r="G278" s="14"/>
      <c r="H278" s="22"/>
      <c r="I278" s="4"/>
      <c r="J278" s="11"/>
      <c r="K278" s="11"/>
      <c r="L278" s="4"/>
      <c r="M278" s="4"/>
      <c r="N278" s="4"/>
      <c r="O278" s="4"/>
      <c r="P278" s="4"/>
      <c r="Q278" s="4"/>
      <c r="R278" s="4"/>
      <c r="S278" s="4"/>
      <c r="T278" s="4"/>
      <c r="U278" s="4"/>
      <c r="V278" s="4"/>
      <c r="W278" s="4"/>
    </row>
    <row r="279" spans="1:23" ht="16.5" customHeight="1">
      <c r="A279" s="4"/>
      <c r="B279" s="11"/>
      <c r="C279" s="11"/>
      <c r="D279" s="11"/>
      <c r="E279" s="14"/>
      <c r="F279" s="4"/>
      <c r="G279" s="14"/>
      <c r="H279" s="22"/>
      <c r="I279" s="4"/>
      <c r="J279" s="11"/>
      <c r="K279" s="11"/>
      <c r="L279" s="4"/>
      <c r="M279" s="4"/>
      <c r="N279" s="4"/>
      <c r="O279" s="4"/>
      <c r="P279" s="4"/>
      <c r="Q279" s="4"/>
      <c r="R279" s="4"/>
      <c r="S279" s="4"/>
      <c r="T279" s="4"/>
      <c r="U279" s="4"/>
      <c r="V279" s="4"/>
      <c r="W279" s="4"/>
    </row>
    <row r="280" spans="1:23" ht="16.5" customHeight="1">
      <c r="A280" s="4"/>
      <c r="B280" s="11"/>
      <c r="C280" s="11"/>
      <c r="D280" s="11"/>
      <c r="E280" s="14"/>
      <c r="F280" s="4"/>
      <c r="G280" s="14"/>
      <c r="H280" s="22"/>
      <c r="I280" s="4"/>
      <c r="J280" s="11"/>
      <c r="K280" s="11"/>
      <c r="L280" s="4"/>
      <c r="M280" s="4"/>
      <c r="N280" s="4"/>
      <c r="O280" s="4"/>
      <c r="P280" s="4"/>
      <c r="Q280" s="4"/>
      <c r="R280" s="4"/>
      <c r="S280" s="4"/>
      <c r="T280" s="4"/>
      <c r="U280" s="4"/>
      <c r="V280" s="4"/>
      <c r="W280" s="4"/>
    </row>
    <row r="281" spans="1:23" ht="16.5" customHeight="1">
      <c r="A281" s="4"/>
      <c r="B281" s="11"/>
      <c r="C281" s="11"/>
      <c r="D281" s="11"/>
      <c r="E281" s="14"/>
      <c r="F281" s="4"/>
      <c r="G281" s="14"/>
      <c r="H281" s="22"/>
      <c r="I281" s="4"/>
      <c r="J281" s="11"/>
      <c r="K281" s="11"/>
      <c r="L281" s="4"/>
      <c r="M281" s="4"/>
      <c r="N281" s="4"/>
      <c r="O281" s="4"/>
      <c r="P281" s="4"/>
      <c r="Q281" s="4"/>
      <c r="R281" s="4"/>
      <c r="S281" s="4"/>
      <c r="T281" s="4"/>
      <c r="U281" s="4"/>
      <c r="V281" s="4"/>
      <c r="W281" s="4"/>
    </row>
    <row r="282" spans="1:23" ht="16.5" customHeight="1">
      <c r="A282" s="4"/>
      <c r="B282" s="11"/>
      <c r="C282" s="11"/>
      <c r="D282" s="11"/>
      <c r="E282" s="14"/>
      <c r="F282" s="4"/>
      <c r="G282" s="14"/>
      <c r="H282" s="22"/>
      <c r="I282" s="4"/>
      <c r="J282" s="11"/>
      <c r="K282" s="11"/>
      <c r="L282" s="4"/>
      <c r="M282" s="4"/>
      <c r="N282" s="4"/>
      <c r="O282" s="4"/>
      <c r="P282" s="4"/>
      <c r="Q282" s="4"/>
      <c r="R282" s="4"/>
      <c r="S282" s="4"/>
      <c r="T282" s="4"/>
      <c r="U282" s="4"/>
      <c r="V282" s="4"/>
      <c r="W282" s="4"/>
    </row>
    <row r="283" spans="1:23" ht="16.5" customHeight="1">
      <c r="A283" s="4"/>
      <c r="B283" s="11"/>
      <c r="C283" s="11"/>
      <c r="D283" s="11"/>
      <c r="E283" s="14"/>
      <c r="F283" s="4"/>
      <c r="G283" s="14"/>
      <c r="H283" s="22"/>
      <c r="I283" s="4"/>
      <c r="J283" s="11"/>
      <c r="K283" s="11"/>
      <c r="L283" s="4"/>
      <c r="M283" s="4"/>
      <c r="N283" s="4"/>
      <c r="O283" s="4"/>
      <c r="P283" s="4"/>
      <c r="Q283" s="4"/>
      <c r="R283" s="4"/>
      <c r="S283" s="4"/>
      <c r="T283" s="4"/>
      <c r="U283" s="4"/>
      <c r="V283" s="4"/>
      <c r="W283" s="4"/>
    </row>
    <row r="284" spans="1:23" ht="16.5" customHeight="1">
      <c r="A284" s="4"/>
      <c r="B284" s="11"/>
      <c r="C284" s="11"/>
      <c r="D284" s="11"/>
      <c r="E284" s="14"/>
      <c r="F284" s="4"/>
      <c r="G284" s="14"/>
      <c r="H284" s="22"/>
      <c r="I284" s="4"/>
      <c r="J284" s="11"/>
      <c r="K284" s="11"/>
      <c r="L284" s="4"/>
      <c r="M284" s="4"/>
      <c r="N284" s="4"/>
      <c r="O284" s="4"/>
      <c r="P284" s="4"/>
      <c r="Q284" s="4"/>
      <c r="R284" s="4"/>
      <c r="S284" s="4"/>
      <c r="T284" s="4"/>
      <c r="U284" s="4"/>
      <c r="V284" s="4"/>
      <c r="W284" s="4"/>
    </row>
    <row r="285" spans="1:23" ht="16.5" customHeight="1">
      <c r="A285" s="4"/>
      <c r="B285" s="11"/>
      <c r="C285" s="11"/>
      <c r="D285" s="11"/>
      <c r="E285" s="14"/>
      <c r="F285" s="4"/>
      <c r="G285" s="14"/>
      <c r="H285" s="22"/>
      <c r="I285" s="4"/>
      <c r="J285" s="11"/>
      <c r="K285" s="11"/>
      <c r="L285" s="4"/>
      <c r="M285" s="4"/>
      <c r="N285" s="4"/>
      <c r="O285" s="4"/>
      <c r="P285" s="4"/>
      <c r="Q285" s="4"/>
      <c r="R285" s="4"/>
      <c r="S285" s="4"/>
      <c r="T285" s="4"/>
      <c r="U285" s="4"/>
      <c r="V285" s="4"/>
      <c r="W285" s="4"/>
    </row>
    <row r="286" spans="1:23" ht="16.5" customHeight="1">
      <c r="A286" s="4"/>
      <c r="B286" s="11"/>
      <c r="C286" s="11"/>
      <c r="D286" s="11"/>
      <c r="E286" s="14"/>
      <c r="F286" s="4"/>
      <c r="G286" s="14"/>
      <c r="H286" s="22"/>
      <c r="I286" s="4"/>
      <c r="J286" s="11"/>
      <c r="K286" s="11"/>
      <c r="L286" s="4"/>
      <c r="M286" s="4"/>
      <c r="N286" s="4"/>
      <c r="O286" s="4"/>
      <c r="P286" s="4"/>
      <c r="Q286" s="4"/>
      <c r="R286" s="4"/>
      <c r="S286" s="4"/>
      <c r="T286" s="4"/>
      <c r="U286" s="4"/>
      <c r="V286" s="4"/>
      <c r="W286" s="4"/>
    </row>
    <row r="287" spans="1:23" ht="16.5" customHeight="1">
      <c r="A287" s="4"/>
      <c r="B287" s="11"/>
      <c r="C287" s="11"/>
      <c r="D287" s="11"/>
      <c r="E287" s="14"/>
      <c r="F287" s="4"/>
      <c r="G287" s="14"/>
      <c r="H287" s="22"/>
      <c r="I287" s="4"/>
      <c r="J287" s="11"/>
      <c r="K287" s="11"/>
      <c r="L287" s="4"/>
      <c r="M287" s="4"/>
      <c r="N287" s="4"/>
      <c r="O287" s="4"/>
      <c r="P287" s="4"/>
      <c r="Q287" s="4"/>
      <c r="R287" s="4"/>
      <c r="S287" s="4"/>
      <c r="T287" s="4"/>
      <c r="U287" s="4"/>
      <c r="V287" s="4"/>
      <c r="W287" s="4"/>
    </row>
    <row r="288" spans="1:23" ht="16.5" customHeight="1">
      <c r="A288" s="4"/>
      <c r="B288" s="11"/>
      <c r="C288" s="11"/>
      <c r="D288" s="11"/>
      <c r="E288" s="14"/>
      <c r="F288" s="4"/>
      <c r="G288" s="14"/>
      <c r="H288" s="22"/>
      <c r="I288" s="4"/>
      <c r="J288" s="11"/>
      <c r="K288" s="11"/>
      <c r="L288" s="4"/>
      <c r="M288" s="4"/>
      <c r="N288" s="4"/>
      <c r="O288" s="4"/>
      <c r="P288" s="4"/>
      <c r="Q288" s="4"/>
      <c r="R288" s="4"/>
      <c r="S288" s="4"/>
      <c r="T288" s="4"/>
      <c r="U288" s="4"/>
      <c r="V288" s="4"/>
      <c r="W288" s="4"/>
    </row>
    <row r="289" spans="1:23" ht="16.5" customHeight="1">
      <c r="A289" s="4"/>
      <c r="B289" s="11"/>
      <c r="C289" s="11"/>
      <c r="D289" s="11"/>
      <c r="E289" s="14"/>
      <c r="F289" s="4"/>
      <c r="G289" s="14"/>
      <c r="H289" s="22"/>
      <c r="I289" s="4"/>
      <c r="J289" s="11"/>
      <c r="K289" s="11"/>
      <c r="L289" s="4"/>
      <c r="M289" s="4"/>
      <c r="N289" s="4"/>
      <c r="O289" s="4"/>
      <c r="P289" s="4"/>
      <c r="Q289" s="4"/>
      <c r="R289" s="4"/>
      <c r="S289" s="4"/>
      <c r="T289" s="4"/>
      <c r="U289" s="4"/>
      <c r="V289" s="4"/>
      <c r="W289" s="4"/>
    </row>
    <row r="290" spans="1:23" ht="16.5" customHeight="1">
      <c r="A290" s="4"/>
      <c r="B290" s="11"/>
      <c r="C290" s="11"/>
      <c r="D290" s="11"/>
      <c r="E290" s="14"/>
      <c r="F290" s="4"/>
      <c r="G290" s="14"/>
      <c r="H290" s="22"/>
      <c r="I290" s="4"/>
      <c r="J290" s="11"/>
      <c r="K290" s="11"/>
      <c r="L290" s="4"/>
      <c r="M290" s="4"/>
      <c r="N290" s="4"/>
      <c r="O290" s="4"/>
      <c r="P290" s="4"/>
      <c r="Q290" s="4"/>
      <c r="R290" s="4"/>
      <c r="S290" s="4"/>
      <c r="T290" s="4"/>
      <c r="U290" s="4"/>
      <c r="V290" s="4"/>
      <c r="W290" s="4"/>
    </row>
    <row r="291" spans="1:23" ht="16.5" customHeight="1">
      <c r="A291" s="4"/>
      <c r="B291" s="11"/>
      <c r="C291" s="11"/>
      <c r="D291" s="11"/>
      <c r="E291" s="14"/>
      <c r="F291" s="4"/>
      <c r="G291" s="14"/>
      <c r="H291" s="22"/>
      <c r="I291" s="4"/>
      <c r="J291" s="11"/>
      <c r="K291" s="11"/>
      <c r="L291" s="4"/>
      <c r="M291" s="4"/>
      <c r="N291" s="4"/>
      <c r="O291" s="4"/>
      <c r="P291" s="4"/>
      <c r="Q291" s="4"/>
      <c r="R291" s="4"/>
      <c r="S291" s="4"/>
      <c r="T291" s="4"/>
      <c r="U291" s="4"/>
      <c r="V291" s="4"/>
      <c r="W291" s="4"/>
    </row>
    <row r="292" spans="1:23" ht="16.5" customHeight="1">
      <c r="A292" s="4"/>
      <c r="B292" s="11"/>
      <c r="C292" s="11"/>
      <c r="D292" s="11"/>
      <c r="E292" s="14"/>
      <c r="F292" s="4"/>
      <c r="G292" s="14"/>
      <c r="H292" s="22"/>
      <c r="I292" s="4"/>
      <c r="J292" s="11"/>
      <c r="K292" s="11"/>
      <c r="L292" s="4"/>
      <c r="M292" s="4"/>
      <c r="N292" s="4"/>
      <c r="O292" s="4"/>
      <c r="P292" s="4"/>
      <c r="Q292" s="4"/>
      <c r="R292" s="4"/>
      <c r="S292" s="4"/>
      <c r="T292" s="4"/>
      <c r="U292" s="4"/>
      <c r="V292" s="4"/>
      <c r="W292" s="4"/>
    </row>
    <row r="293" spans="1:23" ht="16.5" customHeight="1">
      <c r="A293" s="4"/>
      <c r="B293" s="11"/>
      <c r="C293" s="11"/>
      <c r="D293" s="11"/>
      <c r="E293" s="14"/>
      <c r="F293" s="4"/>
      <c r="G293" s="14"/>
      <c r="H293" s="22"/>
      <c r="I293" s="4"/>
      <c r="J293" s="11"/>
      <c r="K293" s="11"/>
      <c r="L293" s="4"/>
      <c r="M293" s="4"/>
      <c r="N293" s="4"/>
      <c r="O293" s="4"/>
      <c r="P293" s="4"/>
      <c r="Q293" s="4"/>
      <c r="R293" s="4"/>
      <c r="S293" s="4"/>
      <c r="T293" s="4"/>
      <c r="U293" s="4"/>
      <c r="V293" s="4"/>
      <c r="W293" s="4"/>
    </row>
    <row r="294" spans="1:23" ht="16.5" customHeight="1">
      <c r="A294" s="4"/>
      <c r="B294" s="11"/>
      <c r="C294" s="11"/>
      <c r="D294" s="11"/>
      <c r="E294" s="14"/>
      <c r="F294" s="4"/>
      <c r="G294" s="14"/>
      <c r="H294" s="22"/>
      <c r="I294" s="4"/>
      <c r="J294" s="11"/>
      <c r="K294" s="11"/>
      <c r="L294" s="4"/>
      <c r="M294" s="4"/>
      <c r="N294" s="4"/>
      <c r="O294" s="4"/>
      <c r="P294" s="4"/>
      <c r="Q294" s="4"/>
      <c r="R294" s="4"/>
      <c r="S294" s="4"/>
      <c r="T294" s="4"/>
      <c r="U294" s="4"/>
      <c r="V294" s="4"/>
      <c r="W294" s="4"/>
    </row>
    <row r="295" spans="1:23" ht="16.5" customHeight="1">
      <c r="A295" s="4"/>
      <c r="B295" s="11"/>
      <c r="C295" s="11"/>
      <c r="D295" s="11"/>
      <c r="E295" s="14"/>
      <c r="F295" s="4"/>
      <c r="G295" s="14"/>
      <c r="H295" s="22"/>
      <c r="I295" s="4"/>
      <c r="J295" s="11"/>
      <c r="K295" s="11"/>
      <c r="L295" s="4"/>
      <c r="M295" s="4"/>
      <c r="N295" s="4"/>
      <c r="O295" s="4"/>
      <c r="P295" s="4"/>
      <c r="Q295" s="4"/>
      <c r="R295" s="4"/>
      <c r="S295" s="4"/>
      <c r="T295" s="4"/>
      <c r="U295" s="4"/>
      <c r="V295" s="4"/>
      <c r="W295" s="4"/>
    </row>
    <row r="296" spans="1:23" ht="16.5" customHeight="1">
      <c r="A296" s="4"/>
      <c r="B296" s="11"/>
      <c r="C296" s="11"/>
      <c r="D296" s="11"/>
      <c r="E296" s="14"/>
      <c r="F296" s="4"/>
      <c r="G296" s="14"/>
      <c r="H296" s="22"/>
      <c r="I296" s="4"/>
      <c r="J296" s="11"/>
      <c r="K296" s="11"/>
      <c r="L296" s="4"/>
      <c r="M296" s="4"/>
      <c r="N296" s="4"/>
      <c r="O296" s="4"/>
      <c r="P296" s="4"/>
      <c r="Q296" s="4"/>
      <c r="R296" s="4"/>
      <c r="S296" s="4"/>
      <c r="T296" s="4"/>
      <c r="U296" s="4"/>
      <c r="V296" s="4"/>
      <c r="W296" s="4"/>
    </row>
    <row r="297" spans="1:23" ht="16.5" customHeight="1">
      <c r="A297" s="4"/>
      <c r="B297" s="11"/>
      <c r="C297" s="11"/>
      <c r="D297" s="11"/>
      <c r="E297" s="14"/>
      <c r="F297" s="4"/>
      <c r="G297" s="14"/>
      <c r="H297" s="22"/>
      <c r="I297" s="4"/>
      <c r="J297" s="11"/>
      <c r="K297" s="11"/>
      <c r="L297" s="4"/>
      <c r="M297" s="4"/>
      <c r="N297" s="4"/>
      <c r="O297" s="4"/>
      <c r="P297" s="4"/>
      <c r="Q297" s="4"/>
      <c r="R297" s="4"/>
      <c r="S297" s="4"/>
      <c r="T297" s="4"/>
      <c r="U297" s="4"/>
      <c r="V297" s="4"/>
      <c r="W297" s="4"/>
    </row>
    <row r="298" spans="1:23" ht="16.5" customHeight="1">
      <c r="A298" s="4"/>
      <c r="B298" s="11"/>
      <c r="C298" s="11"/>
      <c r="D298" s="11"/>
      <c r="E298" s="14"/>
      <c r="F298" s="4"/>
      <c r="G298" s="14"/>
      <c r="H298" s="22"/>
      <c r="I298" s="4"/>
      <c r="J298" s="11"/>
      <c r="K298" s="11"/>
      <c r="L298" s="4"/>
      <c r="M298" s="4"/>
      <c r="N298" s="4"/>
      <c r="O298" s="4"/>
      <c r="P298" s="4"/>
      <c r="Q298" s="4"/>
      <c r="R298" s="4"/>
      <c r="S298" s="4"/>
      <c r="T298" s="4"/>
      <c r="U298" s="4"/>
      <c r="V298" s="4"/>
      <c r="W298" s="4"/>
    </row>
    <row r="299" spans="1:23" ht="16.5" customHeight="1">
      <c r="A299" s="4"/>
      <c r="B299" s="11"/>
      <c r="C299" s="11"/>
      <c r="D299" s="11"/>
      <c r="E299" s="14"/>
      <c r="F299" s="4"/>
      <c r="G299" s="14"/>
      <c r="H299" s="22"/>
      <c r="I299" s="4"/>
      <c r="J299" s="11"/>
      <c r="K299" s="11"/>
      <c r="L299" s="4"/>
      <c r="M299" s="4"/>
      <c r="N299" s="4"/>
      <c r="O299" s="4"/>
      <c r="P299" s="4"/>
      <c r="Q299" s="4"/>
      <c r="R299" s="4"/>
      <c r="S299" s="4"/>
      <c r="T299" s="4"/>
      <c r="U299" s="4"/>
      <c r="V299" s="4"/>
      <c r="W299" s="4"/>
    </row>
    <row r="300" spans="1:23" ht="16.5" customHeight="1">
      <c r="A300" s="4"/>
      <c r="B300" s="11"/>
      <c r="C300" s="11"/>
      <c r="D300" s="11"/>
      <c r="E300" s="14"/>
      <c r="F300" s="4"/>
      <c r="G300" s="14"/>
      <c r="H300" s="22"/>
      <c r="I300" s="4"/>
      <c r="J300" s="11"/>
      <c r="K300" s="11"/>
      <c r="L300" s="4"/>
      <c r="M300" s="4"/>
      <c r="N300" s="4"/>
      <c r="O300" s="4"/>
      <c r="P300" s="4"/>
      <c r="Q300" s="4"/>
      <c r="R300" s="4"/>
      <c r="S300" s="4"/>
      <c r="T300" s="4"/>
      <c r="U300" s="4"/>
      <c r="V300" s="4"/>
      <c r="W300" s="4"/>
    </row>
    <row r="301" spans="1:23" ht="16.5" customHeight="1">
      <c r="A301" s="4"/>
      <c r="B301" s="11"/>
      <c r="C301" s="11"/>
      <c r="D301" s="11"/>
      <c r="E301" s="14"/>
      <c r="F301" s="4"/>
      <c r="G301" s="14"/>
      <c r="H301" s="22"/>
      <c r="I301" s="4"/>
      <c r="J301" s="11"/>
      <c r="K301" s="11"/>
      <c r="L301" s="4"/>
      <c r="M301" s="4"/>
      <c r="N301" s="4"/>
      <c r="O301" s="4"/>
      <c r="P301" s="4"/>
      <c r="Q301" s="4"/>
      <c r="R301" s="4"/>
      <c r="S301" s="4"/>
      <c r="T301" s="4"/>
      <c r="U301" s="4"/>
      <c r="V301" s="4"/>
      <c r="W301" s="4"/>
    </row>
    <row r="302" spans="1:23" ht="16.5" customHeight="1">
      <c r="A302" s="4"/>
      <c r="B302" s="11"/>
      <c r="C302" s="11"/>
      <c r="D302" s="11"/>
      <c r="E302" s="14"/>
      <c r="F302" s="4"/>
      <c r="G302" s="14"/>
      <c r="H302" s="22"/>
      <c r="I302" s="4"/>
      <c r="J302" s="11"/>
      <c r="K302" s="11"/>
      <c r="L302" s="4"/>
      <c r="M302" s="4"/>
      <c r="N302" s="4"/>
      <c r="O302" s="4"/>
      <c r="P302" s="4"/>
      <c r="Q302" s="4"/>
      <c r="R302" s="4"/>
      <c r="S302" s="4"/>
      <c r="T302" s="4"/>
      <c r="U302" s="4"/>
      <c r="V302" s="4"/>
      <c r="W302" s="4"/>
    </row>
    <row r="303" spans="1:23" ht="16.5" customHeight="1">
      <c r="A303" s="4"/>
      <c r="B303" s="11"/>
      <c r="C303" s="11"/>
      <c r="D303" s="11"/>
      <c r="E303" s="14"/>
      <c r="F303" s="4"/>
      <c r="G303" s="14"/>
      <c r="H303" s="22"/>
      <c r="I303" s="4"/>
      <c r="J303" s="11"/>
      <c r="K303" s="11"/>
      <c r="L303" s="4"/>
      <c r="M303" s="4"/>
      <c r="N303" s="4"/>
      <c r="O303" s="4"/>
      <c r="P303" s="4"/>
      <c r="Q303" s="4"/>
      <c r="R303" s="4"/>
      <c r="S303" s="4"/>
      <c r="T303" s="4"/>
      <c r="U303" s="4"/>
      <c r="V303" s="4"/>
      <c r="W303" s="4"/>
    </row>
    <row r="304" spans="1:23" ht="16.5" customHeight="1">
      <c r="A304" s="4"/>
      <c r="B304" s="11"/>
      <c r="C304" s="11"/>
      <c r="D304" s="11"/>
      <c r="E304" s="14"/>
      <c r="F304" s="4"/>
      <c r="G304" s="14"/>
      <c r="H304" s="22"/>
      <c r="I304" s="4"/>
      <c r="J304" s="11"/>
      <c r="K304" s="11"/>
      <c r="L304" s="4"/>
      <c r="M304" s="4"/>
      <c r="N304" s="4"/>
      <c r="O304" s="4"/>
      <c r="P304" s="4"/>
      <c r="Q304" s="4"/>
      <c r="R304" s="4"/>
      <c r="S304" s="4"/>
      <c r="T304" s="4"/>
      <c r="U304" s="4"/>
      <c r="V304" s="4"/>
      <c r="W304" s="4"/>
    </row>
    <row r="305" spans="1:23" ht="16.5" customHeight="1">
      <c r="A305" s="4"/>
      <c r="B305" s="11"/>
      <c r="C305" s="11"/>
      <c r="D305" s="11"/>
      <c r="E305" s="14"/>
      <c r="F305" s="4"/>
      <c r="G305" s="14"/>
      <c r="H305" s="22"/>
      <c r="I305" s="4"/>
      <c r="J305" s="11"/>
      <c r="K305" s="11"/>
      <c r="L305" s="4"/>
      <c r="M305" s="4"/>
      <c r="N305" s="4"/>
      <c r="O305" s="4"/>
      <c r="P305" s="4"/>
      <c r="Q305" s="4"/>
      <c r="R305" s="4"/>
      <c r="S305" s="4"/>
      <c r="T305" s="4"/>
      <c r="U305" s="4"/>
      <c r="V305" s="4"/>
      <c r="W305" s="4"/>
    </row>
    <row r="306" spans="1:23" ht="16.5" customHeight="1">
      <c r="A306" s="4"/>
      <c r="B306" s="11"/>
      <c r="C306" s="11"/>
      <c r="D306" s="11"/>
      <c r="E306" s="14"/>
      <c r="F306" s="4"/>
      <c r="G306" s="14"/>
      <c r="H306" s="22"/>
      <c r="I306" s="4"/>
      <c r="J306" s="11"/>
      <c r="K306" s="11"/>
      <c r="L306" s="4"/>
      <c r="M306" s="4"/>
      <c r="N306" s="4"/>
      <c r="O306" s="4"/>
      <c r="P306" s="4"/>
      <c r="Q306" s="4"/>
      <c r="R306" s="4"/>
      <c r="S306" s="4"/>
      <c r="T306" s="4"/>
      <c r="U306" s="4"/>
      <c r="V306" s="4"/>
      <c r="W306" s="4"/>
    </row>
    <row r="307" spans="1:23" ht="16.5" customHeight="1">
      <c r="A307" s="4"/>
      <c r="B307" s="11"/>
      <c r="C307" s="11"/>
      <c r="D307" s="11"/>
      <c r="E307" s="14"/>
      <c r="F307" s="4"/>
      <c r="G307" s="14"/>
      <c r="H307" s="22"/>
      <c r="I307" s="4"/>
      <c r="J307" s="11"/>
      <c r="K307" s="11"/>
      <c r="L307" s="4"/>
      <c r="M307" s="4"/>
      <c r="N307" s="4"/>
      <c r="O307" s="4"/>
      <c r="P307" s="4"/>
      <c r="Q307" s="4"/>
      <c r="R307" s="4"/>
      <c r="S307" s="4"/>
      <c r="T307" s="4"/>
      <c r="U307" s="4"/>
      <c r="V307" s="4"/>
      <c r="W307" s="4"/>
    </row>
    <row r="308" spans="1:23" ht="16.5" customHeight="1">
      <c r="A308" s="4"/>
      <c r="B308" s="11"/>
      <c r="C308" s="11"/>
      <c r="D308" s="11"/>
      <c r="E308" s="14"/>
      <c r="F308" s="4"/>
      <c r="G308" s="14"/>
      <c r="H308" s="22"/>
      <c r="I308" s="4"/>
      <c r="J308" s="11"/>
      <c r="K308" s="11"/>
      <c r="L308" s="4"/>
      <c r="M308" s="4"/>
      <c r="N308" s="4"/>
      <c r="O308" s="4"/>
      <c r="P308" s="4"/>
      <c r="Q308" s="4"/>
      <c r="R308" s="4"/>
      <c r="S308" s="4"/>
      <c r="T308" s="4"/>
      <c r="U308" s="4"/>
      <c r="V308" s="4"/>
      <c r="W308" s="4"/>
    </row>
    <row r="309" spans="1:23" ht="16.5" customHeight="1">
      <c r="A309" s="4"/>
      <c r="B309" s="11"/>
      <c r="C309" s="11"/>
      <c r="D309" s="11"/>
      <c r="E309" s="14"/>
      <c r="F309" s="4"/>
      <c r="G309" s="14"/>
      <c r="H309" s="22"/>
      <c r="I309" s="4"/>
      <c r="J309" s="11"/>
      <c r="K309" s="11"/>
      <c r="L309" s="4"/>
      <c r="M309" s="4"/>
      <c r="N309" s="4"/>
      <c r="O309" s="4"/>
      <c r="P309" s="4"/>
      <c r="Q309" s="4"/>
      <c r="R309" s="4"/>
      <c r="S309" s="4"/>
      <c r="T309" s="4"/>
      <c r="U309" s="4"/>
      <c r="V309" s="4"/>
      <c r="W309" s="4"/>
    </row>
    <row r="310" spans="1:23" ht="16.5" customHeight="1">
      <c r="A310" s="4"/>
      <c r="B310" s="11"/>
      <c r="C310" s="11"/>
      <c r="D310" s="11"/>
      <c r="E310" s="14"/>
      <c r="F310" s="4"/>
      <c r="G310" s="14"/>
      <c r="H310" s="22"/>
      <c r="I310" s="4"/>
      <c r="J310" s="11"/>
      <c r="K310" s="11"/>
      <c r="L310" s="4"/>
      <c r="M310" s="4"/>
      <c r="N310" s="4"/>
      <c r="O310" s="4"/>
      <c r="P310" s="4"/>
      <c r="Q310" s="4"/>
      <c r="R310" s="4"/>
      <c r="S310" s="4"/>
      <c r="T310" s="4"/>
      <c r="U310" s="4"/>
      <c r="V310" s="4"/>
      <c r="W310" s="4"/>
    </row>
    <row r="311" spans="1:23" ht="16.5" customHeight="1">
      <c r="A311" s="4"/>
      <c r="B311" s="11"/>
      <c r="C311" s="11"/>
      <c r="D311" s="11"/>
      <c r="E311" s="14"/>
      <c r="F311" s="4"/>
      <c r="G311" s="14"/>
      <c r="H311" s="22"/>
      <c r="I311" s="4"/>
      <c r="J311" s="11"/>
      <c r="K311" s="11"/>
      <c r="L311" s="4"/>
      <c r="M311" s="4"/>
      <c r="N311" s="4"/>
      <c r="O311" s="4"/>
      <c r="P311" s="4"/>
      <c r="Q311" s="4"/>
      <c r="R311" s="4"/>
      <c r="S311" s="4"/>
      <c r="T311" s="4"/>
      <c r="U311" s="4"/>
      <c r="V311" s="4"/>
      <c r="W311" s="4"/>
    </row>
    <row r="312" spans="1:23" ht="16.5" customHeight="1">
      <c r="A312" s="4"/>
      <c r="B312" s="11"/>
      <c r="C312" s="11"/>
      <c r="D312" s="11"/>
      <c r="E312" s="14"/>
      <c r="F312" s="4"/>
      <c r="G312" s="14"/>
      <c r="H312" s="22"/>
      <c r="I312" s="4"/>
      <c r="J312" s="11"/>
      <c r="K312" s="11"/>
      <c r="L312" s="4"/>
      <c r="M312" s="4"/>
      <c r="N312" s="4"/>
      <c r="O312" s="4"/>
      <c r="P312" s="4"/>
      <c r="Q312" s="4"/>
      <c r="R312" s="4"/>
      <c r="S312" s="4"/>
      <c r="T312" s="4"/>
      <c r="U312" s="4"/>
      <c r="V312" s="4"/>
      <c r="W312" s="4"/>
    </row>
    <row r="313" spans="1:23" ht="16.5" customHeight="1">
      <c r="A313" s="4"/>
      <c r="B313" s="11"/>
      <c r="C313" s="11"/>
      <c r="D313" s="11"/>
      <c r="E313" s="14"/>
      <c r="F313" s="4"/>
      <c r="G313" s="14"/>
      <c r="H313" s="22"/>
      <c r="I313" s="4"/>
      <c r="J313" s="11"/>
      <c r="K313" s="11"/>
      <c r="L313" s="4"/>
      <c r="M313" s="4"/>
      <c r="N313" s="4"/>
      <c r="O313" s="4"/>
      <c r="P313" s="4"/>
      <c r="Q313" s="4"/>
      <c r="R313" s="4"/>
      <c r="S313" s="4"/>
      <c r="T313" s="4"/>
      <c r="U313" s="4"/>
      <c r="V313" s="4"/>
      <c r="W313" s="4"/>
    </row>
    <row r="314" spans="1:23" ht="16.5" customHeight="1">
      <c r="A314" s="4"/>
      <c r="B314" s="11"/>
      <c r="C314" s="11"/>
      <c r="D314" s="11"/>
      <c r="E314" s="14"/>
      <c r="F314" s="4"/>
      <c r="G314" s="14"/>
      <c r="H314" s="22"/>
      <c r="I314" s="4"/>
      <c r="J314" s="11"/>
      <c r="K314" s="11"/>
      <c r="L314" s="4"/>
      <c r="M314" s="4"/>
      <c r="N314" s="4"/>
      <c r="O314" s="4"/>
      <c r="P314" s="4"/>
      <c r="Q314" s="4"/>
      <c r="R314" s="4"/>
      <c r="S314" s="4"/>
      <c r="T314" s="4"/>
      <c r="U314" s="4"/>
      <c r="V314" s="4"/>
      <c r="W314" s="4"/>
    </row>
    <row r="315" spans="1:23" ht="16.5" customHeight="1">
      <c r="A315" s="4"/>
      <c r="B315" s="11"/>
      <c r="C315" s="11"/>
      <c r="D315" s="11"/>
      <c r="E315" s="14"/>
      <c r="F315" s="4"/>
      <c r="G315" s="14"/>
      <c r="H315" s="22"/>
      <c r="I315" s="4"/>
      <c r="J315" s="11"/>
      <c r="K315" s="11"/>
      <c r="L315" s="4"/>
      <c r="M315" s="4"/>
      <c r="N315" s="4"/>
      <c r="O315" s="4"/>
      <c r="P315" s="4"/>
      <c r="Q315" s="4"/>
      <c r="R315" s="4"/>
      <c r="S315" s="4"/>
      <c r="T315" s="4"/>
      <c r="U315" s="4"/>
      <c r="V315" s="4"/>
      <c r="W315" s="4"/>
    </row>
    <row r="316" spans="1:23" ht="16.5" customHeight="1">
      <c r="A316" s="4"/>
      <c r="B316" s="11"/>
      <c r="C316" s="11"/>
      <c r="D316" s="11"/>
      <c r="E316" s="14"/>
      <c r="F316" s="4"/>
      <c r="G316" s="14"/>
      <c r="H316" s="22"/>
      <c r="I316" s="4"/>
      <c r="J316" s="11"/>
      <c r="K316" s="11"/>
      <c r="L316" s="4"/>
      <c r="M316" s="4"/>
      <c r="N316" s="4"/>
      <c r="O316" s="4"/>
      <c r="P316" s="4"/>
      <c r="Q316" s="4"/>
      <c r="R316" s="4"/>
      <c r="S316" s="4"/>
      <c r="T316" s="4"/>
      <c r="U316" s="4"/>
      <c r="V316" s="4"/>
      <c r="W316" s="4"/>
    </row>
    <row r="317" spans="1:23" ht="16.5" customHeight="1">
      <c r="A317" s="4"/>
      <c r="B317" s="11"/>
      <c r="C317" s="11"/>
      <c r="D317" s="11"/>
      <c r="E317" s="14"/>
      <c r="F317" s="4"/>
      <c r="G317" s="14"/>
      <c r="H317" s="22"/>
      <c r="I317" s="4"/>
      <c r="J317" s="11"/>
      <c r="K317" s="11"/>
      <c r="L317" s="4"/>
      <c r="M317" s="4"/>
      <c r="N317" s="4"/>
      <c r="O317" s="4"/>
      <c r="P317" s="4"/>
      <c r="Q317" s="4"/>
      <c r="R317" s="4"/>
      <c r="S317" s="4"/>
      <c r="T317" s="4"/>
      <c r="U317" s="4"/>
      <c r="V317" s="4"/>
      <c r="W317" s="4"/>
    </row>
    <row r="318" spans="1:23" ht="16.5" customHeight="1">
      <c r="A318" s="4"/>
      <c r="B318" s="11"/>
      <c r="C318" s="11"/>
      <c r="D318" s="11"/>
      <c r="E318" s="14"/>
      <c r="F318" s="4"/>
      <c r="G318" s="14"/>
      <c r="H318" s="22"/>
      <c r="I318" s="4"/>
      <c r="J318" s="11"/>
      <c r="K318" s="11"/>
      <c r="L318" s="4"/>
      <c r="M318" s="4"/>
      <c r="N318" s="4"/>
      <c r="O318" s="4"/>
      <c r="P318" s="4"/>
      <c r="Q318" s="4"/>
      <c r="R318" s="4"/>
      <c r="S318" s="4"/>
      <c r="T318" s="4"/>
      <c r="U318" s="4"/>
      <c r="V318" s="4"/>
      <c r="W318" s="4"/>
    </row>
    <row r="319" spans="1:23" ht="16.5" customHeight="1">
      <c r="A319" s="4"/>
      <c r="B319" s="11"/>
      <c r="C319" s="11"/>
      <c r="D319" s="11"/>
      <c r="E319" s="14"/>
      <c r="F319" s="4"/>
      <c r="G319" s="14"/>
      <c r="H319" s="22"/>
      <c r="I319" s="4"/>
      <c r="J319" s="11"/>
      <c r="K319" s="11"/>
      <c r="L319" s="4"/>
      <c r="M319" s="4"/>
      <c r="N319" s="4"/>
      <c r="O319" s="4"/>
      <c r="P319" s="4"/>
      <c r="Q319" s="4"/>
      <c r="R319" s="4"/>
      <c r="S319" s="4"/>
      <c r="T319" s="4"/>
      <c r="U319" s="4"/>
      <c r="V319" s="4"/>
      <c r="W319" s="4"/>
    </row>
    <row r="320" spans="1:23" ht="16.5" customHeight="1">
      <c r="A320" s="4"/>
      <c r="B320" s="11"/>
      <c r="C320" s="11"/>
      <c r="D320" s="11"/>
      <c r="E320" s="14"/>
      <c r="F320" s="4"/>
      <c r="G320" s="14"/>
      <c r="H320" s="22"/>
      <c r="I320" s="4"/>
      <c r="J320" s="11"/>
      <c r="K320" s="11"/>
      <c r="L320" s="4"/>
      <c r="M320" s="4"/>
      <c r="N320" s="4"/>
      <c r="O320" s="4"/>
      <c r="P320" s="4"/>
      <c r="Q320" s="4"/>
      <c r="R320" s="4"/>
      <c r="S320" s="4"/>
      <c r="T320" s="4"/>
      <c r="U320" s="4"/>
      <c r="V320" s="4"/>
      <c r="W320" s="4"/>
    </row>
    <row r="321" spans="1:23" ht="16.5" customHeight="1">
      <c r="A321" s="4"/>
      <c r="B321" s="11"/>
      <c r="C321" s="11"/>
      <c r="D321" s="11"/>
      <c r="E321" s="14"/>
      <c r="F321" s="4"/>
      <c r="G321" s="14"/>
      <c r="H321" s="22"/>
      <c r="I321" s="4"/>
      <c r="J321" s="11"/>
      <c r="K321" s="11"/>
      <c r="L321" s="4"/>
      <c r="M321" s="4"/>
      <c r="N321" s="4"/>
      <c r="O321" s="4"/>
      <c r="P321" s="4"/>
      <c r="Q321" s="4"/>
      <c r="R321" s="4"/>
      <c r="S321" s="4"/>
      <c r="T321" s="4"/>
      <c r="U321" s="4"/>
      <c r="V321" s="4"/>
      <c r="W321" s="4"/>
    </row>
    <row r="322" spans="1:23" ht="16.5" customHeight="1">
      <c r="A322" s="4"/>
      <c r="B322" s="11"/>
      <c r="C322" s="11"/>
      <c r="D322" s="11"/>
      <c r="E322" s="14"/>
      <c r="F322" s="4"/>
      <c r="G322" s="14"/>
      <c r="H322" s="22"/>
      <c r="I322" s="4"/>
      <c r="J322" s="11"/>
      <c r="K322" s="11"/>
      <c r="L322" s="4"/>
      <c r="M322" s="4"/>
      <c r="N322" s="4"/>
      <c r="O322" s="4"/>
      <c r="P322" s="4"/>
      <c r="Q322" s="4"/>
      <c r="R322" s="4"/>
      <c r="S322" s="4"/>
      <c r="T322" s="4"/>
      <c r="U322" s="4"/>
      <c r="V322" s="4"/>
      <c r="W322" s="4"/>
    </row>
    <row r="323" spans="1:23" ht="16.5" customHeight="1">
      <c r="A323" s="4"/>
      <c r="B323" s="11"/>
      <c r="C323" s="11"/>
      <c r="D323" s="11"/>
      <c r="E323" s="14"/>
      <c r="F323" s="4"/>
      <c r="G323" s="14"/>
      <c r="H323" s="22"/>
      <c r="I323" s="4"/>
      <c r="J323" s="11"/>
      <c r="K323" s="11"/>
      <c r="L323" s="4"/>
      <c r="M323" s="4"/>
      <c r="N323" s="4"/>
      <c r="O323" s="4"/>
      <c r="P323" s="4"/>
      <c r="Q323" s="4"/>
      <c r="R323" s="4"/>
      <c r="S323" s="4"/>
      <c r="T323" s="4"/>
      <c r="U323" s="4"/>
      <c r="V323" s="4"/>
      <c r="W323" s="4"/>
    </row>
    <row r="324" spans="1:23" ht="16.5" customHeight="1">
      <c r="A324" s="4"/>
      <c r="B324" s="11"/>
      <c r="C324" s="11"/>
      <c r="D324" s="11"/>
      <c r="E324" s="14"/>
      <c r="F324" s="4"/>
      <c r="G324" s="14"/>
      <c r="H324" s="22"/>
      <c r="I324" s="4"/>
      <c r="J324" s="11"/>
      <c r="K324" s="11"/>
      <c r="L324" s="4"/>
      <c r="M324" s="4"/>
      <c r="N324" s="4"/>
      <c r="O324" s="4"/>
      <c r="P324" s="4"/>
      <c r="Q324" s="4"/>
      <c r="R324" s="4"/>
      <c r="S324" s="4"/>
      <c r="T324" s="4"/>
      <c r="U324" s="4"/>
      <c r="V324" s="4"/>
      <c r="W324" s="4"/>
    </row>
    <row r="325" spans="1:23" ht="16.5" customHeight="1">
      <c r="A325" s="4"/>
      <c r="B325" s="11"/>
      <c r="C325" s="11"/>
      <c r="D325" s="11"/>
      <c r="E325" s="14"/>
      <c r="F325" s="4"/>
      <c r="G325" s="14"/>
      <c r="H325" s="22"/>
      <c r="I325" s="4"/>
      <c r="J325" s="11"/>
      <c r="K325" s="11"/>
      <c r="L325" s="4"/>
      <c r="M325" s="4"/>
      <c r="N325" s="4"/>
      <c r="O325" s="4"/>
      <c r="P325" s="4"/>
      <c r="Q325" s="4"/>
      <c r="R325" s="4"/>
      <c r="S325" s="4"/>
      <c r="T325" s="4"/>
      <c r="U325" s="4"/>
      <c r="V325" s="4"/>
      <c r="W325" s="4"/>
    </row>
    <row r="326" spans="1:23" ht="16.5" customHeight="1">
      <c r="A326" s="4"/>
      <c r="B326" s="11"/>
      <c r="C326" s="11"/>
      <c r="D326" s="11"/>
      <c r="E326" s="14"/>
      <c r="F326" s="4"/>
      <c r="G326" s="14"/>
      <c r="H326" s="22"/>
      <c r="I326" s="4"/>
      <c r="J326" s="11"/>
      <c r="K326" s="11"/>
      <c r="L326" s="4"/>
      <c r="M326" s="4"/>
      <c r="N326" s="4"/>
      <c r="O326" s="4"/>
      <c r="P326" s="4"/>
      <c r="Q326" s="4"/>
      <c r="R326" s="4"/>
      <c r="S326" s="4"/>
      <c r="T326" s="4"/>
      <c r="U326" s="4"/>
      <c r="V326" s="4"/>
      <c r="W326" s="4"/>
    </row>
    <row r="327" spans="1:23" ht="16.5" customHeight="1">
      <c r="A327" s="4"/>
      <c r="B327" s="11"/>
      <c r="C327" s="11"/>
      <c r="D327" s="11"/>
      <c r="E327" s="14"/>
      <c r="F327" s="4"/>
      <c r="G327" s="14"/>
      <c r="H327" s="22"/>
      <c r="I327" s="4"/>
      <c r="J327" s="11"/>
      <c r="K327" s="11"/>
      <c r="L327" s="4"/>
      <c r="M327" s="4"/>
      <c r="N327" s="4"/>
      <c r="O327" s="4"/>
      <c r="P327" s="4"/>
      <c r="Q327" s="4"/>
      <c r="R327" s="4"/>
      <c r="S327" s="4"/>
      <c r="T327" s="4"/>
      <c r="U327" s="4"/>
      <c r="V327" s="4"/>
      <c r="W327" s="4"/>
    </row>
    <row r="328" spans="1:23" ht="16.5" customHeight="1">
      <c r="A328" s="4"/>
      <c r="B328" s="11"/>
      <c r="C328" s="11"/>
      <c r="D328" s="11"/>
      <c r="E328" s="14"/>
      <c r="F328" s="4"/>
      <c r="G328" s="14"/>
      <c r="H328" s="22"/>
      <c r="I328" s="4"/>
      <c r="J328" s="11"/>
      <c r="K328" s="11"/>
      <c r="L328" s="4"/>
      <c r="M328" s="4"/>
      <c r="N328" s="4"/>
      <c r="O328" s="4"/>
      <c r="P328" s="4"/>
      <c r="Q328" s="4"/>
      <c r="R328" s="4"/>
      <c r="S328" s="4"/>
      <c r="T328" s="4"/>
      <c r="U328" s="4"/>
      <c r="V328" s="4"/>
      <c r="W328" s="4"/>
    </row>
    <row r="329" spans="1:23" ht="16.5" customHeight="1">
      <c r="A329" s="4"/>
      <c r="B329" s="11"/>
      <c r="C329" s="11"/>
      <c r="D329" s="11"/>
      <c r="E329" s="14"/>
      <c r="F329" s="4"/>
      <c r="G329" s="14"/>
      <c r="H329" s="22"/>
      <c r="I329" s="4"/>
      <c r="J329" s="11"/>
      <c r="K329" s="11"/>
      <c r="L329" s="4"/>
      <c r="M329" s="4"/>
      <c r="N329" s="4"/>
      <c r="O329" s="4"/>
      <c r="P329" s="4"/>
      <c r="Q329" s="4"/>
      <c r="R329" s="4"/>
      <c r="S329" s="4"/>
      <c r="T329" s="4"/>
      <c r="U329" s="4"/>
      <c r="V329" s="4"/>
      <c r="W329" s="4"/>
    </row>
    <row r="330" spans="1:23" ht="16.5" customHeight="1">
      <c r="A330" s="4"/>
      <c r="B330" s="11"/>
      <c r="C330" s="11"/>
      <c r="D330" s="11"/>
      <c r="E330" s="14"/>
      <c r="F330" s="4"/>
      <c r="G330" s="14"/>
      <c r="H330" s="22"/>
      <c r="I330" s="4"/>
      <c r="J330" s="11"/>
      <c r="K330" s="11"/>
      <c r="L330" s="4"/>
      <c r="M330" s="4"/>
      <c r="N330" s="4"/>
      <c r="O330" s="4"/>
      <c r="P330" s="4"/>
      <c r="Q330" s="4"/>
      <c r="R330" s="4"/>
      <c r="S330" s="4"/>
      <c r="T330" s="4"/>
      <c r="U330" s="4"/>
      <c r="V330" s="4"/>
      <c r="W330" s="4"/>
    </row>
    <row r="331" spans="1:23" ht="16.5" customHeight="1">
      <c r="A331" s="4"/>
      <c r="B331" s="11"/>
      <c r="C331" s="11"/>
      <c r="D331" s="11"/>
      <c r="E331" s="14"/>
      <c r="F331" s="4"/>
      <c r="G331" s="14"/>
      <c r="H331" s="22"/>
      <c r="I331" s="4"/>
      <c r="J331" s="11"/>
      <c r="K331" s="11"/>
      <c r="L331" s="4"/>
      <c r="M331" s="4"/>
      <c r="N331" s="4"/>
      <c r="O331" s="4"/>
      <c r="P331" s="4"/>
      <c r="Q331" s="4"/>
      <c r="R331" s="4"/>
      <c r="S331" s="4"/>
      <c r="T331" s="4"/>
      <c r="U331" s="4"/>
      <c r="V331" s="4"/>
      <c r="W331" s="4"/>
    </row>
    <row r="332" spans="1:23" ht="16.5" customHeight="1">
      <c r="A332" s="4"/>
      <c r="B332" s="11"/>
      <c r="C332" s="11"/>
      <c r="D332" s="11"/>
      <c r="E332" s="14"/>
      <c r="F332" s="4"/>
      <c r="G332" s="14"/>
      <c r="H332" s="22"/>
      <c r="I332" s="4"/>
      <c r="J332" s="11"/>
      <c r="K332" s="11"/>
      <c r="L332" s="4"/>
      <c r="M332" s="4"/>
      <c r="N332" s="4"/>
      <c r="O332" s="4"/>
      <c r="P332" s="4"/>
      <c r="Q332" s="4"/>
      <c r="R332" s="4"/>
      <c r="S332" s="4"/>
      <c r="T332" s="4"/>
      <c r="U332" s="4"/>
      <c r="V332" s="4"/>
      <c r="W332" s="4"/>
    </row>
    <row r="333" spans="1:23" ht="16.5" customHeight="1">
      <c r="A333" s="4"/>
      <c r="B333" s="11"/>
      <c r="C333" s="11"/>
      <c r="D333" s="11"/>
      <c r="E333" s="14"/>
      <c r="F333" s="4"/>
      <c r="G333" s="14"/>
      <c r="H333" s="22"/>
      <c r="I333" s="4"/>
      <c r="J333" s="11"/>
      <c r="K333" s="11"/>
      <c r="L333" s="4"/>
      <c r="M333" s="4"/>
      <c r="N333" s="4"/>
      <c r="O333" s="4"/>
      <c r="P333" s="4"/>
      <c r="Q333" s="4"/>
      <c r="R333" s="4"/>
      <c r="S333" s="4"/>
      <c r="T333" s="4"/>
      <c r="U333" s="4"/>
      <c r="V333" s="4"/>
      <c r="W333" s="4"/>
    </row>
    <row r="334" spans="1:23" ht="16.5" customHeight="1">
      <c r="A334" s="4"/>
      <c r="B334" s="11"/>
      <c r="C334" s="11"/>
      <c r="D334" s="11"/>
      <c r="E334" s="14"/>
      <c r="F334" s="4"/>
      <c r="G334" s="14"/>
      <c r="H334" s="22"/>
      <c r="I334" s="4"/>
      <c r="J334" s="11"/>
      <c r="K334" s="11"/>
      <c r="L334" s="4"/>
      <c r="M334" s="4"/>
      <c r="N334" s="4"/>
      <c r="O334" s="4"/>
      <c r="P334" s="4"/>
      <c r="Q334" s="4"/>
      <c r="R334" s="4"/>
      <c r="S334" s="4"/>
      <c r="T334" s="4"/>
      <c r="U334" s="4"/>
      <c r="V334" s="4"/>
      <c r="W334" s="4"/>
    </row>
    <row r="335" spans="1:23" ht="16.5" customHeight="1">
      <c r="A335" s="4"/>
      <c r="B335" s="11"/>
      <c r="C335" s="11"/>
      <c r="D335" s="11"/>
      <c r="E335" s="14"/>
      <c r="F335" s="4"/>
      <c r="G335" s="14"/>
      <c r="H335" s="22"/>
      <c r="I335" s="4"/>
      <c r="J335" s="11"/>
      <c r="K335" s="11"/>
      <c r="L335" s="4"/>
      <c r="M335" s="4"/>
      <c r="N335" s="4"/>
      <c r="O335" s="4"/>
      <c r="P335" s="4"/>
      <c r="Q335" s="4"/>
      <c r="R335" s="4"/>
      <c r="S335" s="4"/>
      <c r="T335" s="4"/>
      <c r="U335" s="4"/>
      <c r="V335" s="4"/>
      <c r="W335" s="4"/>
    </row>
    <row r="336" spans="1:23" ht="16.5" customHeight="1">
      <c r="A336" s="4"/>
      <c r="B336" s="11"/>
      <c r="C336" s="11"/>
      <c r="D336" s="11"/>
      <c r="E336" s="14"/>
      <c r="F336" s="4"/>
      <c r="G336" s="14"/>
      <c r="H336" s="22"/>
      <c r="I336" s="4"/>
      <c r="J336" s="11"/>
      <c r="K336" s="11"/>
      <c r="L336" s="4"/>
      <c r="M336" s="4"/>
      <c r="N336" s="4"/>
      <c r="O336" s="4"/>
      <c r="P336" s="4"/>
      <c r="Q336" s="4"/>
      <c r="R336" s="4"/>
      <c r="S336" s="4"/>
      <c r="T336" s="4"/>
      <c r="U336" s="4"/>
      <c r="V336" s="4"/>
      <c r="W336" s="4"/>
    </row>
    <row r="337" spans="1:23" ht="16.5" customHeight="1">
      <c r="A337" s="4"/>
      <c r="B337" s="11"/>
      <c r="C337" s="11"/>
      <c r="D337" s="11"/>
      <c r="E337" s="14"/>
      <c r="F337" s="4"/>
      <c r="G337" s="14"/>
      <c r="H337" s="22"/>
      <c r="I337" s="4"/>
      <c r="J337" s="11"/>
      <c r="K337" s="11"/>
      <c r="L337" s="4"/>
      <c r="M337" s="4"/>
      <c r="N337" s="4"/>
      <c r="O337" s="4"/>
      <c r="P337" s="4"/>
      <c r="Q337" s="4"/>
      <c r="R337" s="4"/>
      <c r="S337" s="4"/>
      <c r="T337" s="4"/>
      <c r="U337" s="4"/>
      <c r="V337" s="4"/>
      <c r="W337" s="4"/>
    </row>
    <row r="338" spans="1:23" ht="16.5" customHeight="1">
      <c r="A338" s="4"/>
      <c r="B338" s="11"/>
      <c r="C338" s="11"/>
      <c r="D338" s="11"/>
      <c r="E338" s="14"/>
      <c r="F338" s="4"/>
      <c r="G338" s="14"/>
      <c r="H338" s="22"/>
      <c r="I338" s="4"/>
      <c r="J338" s="11"/>
      <c r="K338" s="11"/>
      <c r="L338" s="4"/>
      <c r="M338" s="4"/>
      <c r="N338" s="4"/>
      <c r="O338" s="4"/>
      <c r="P338" s="4"/>
      <c r="Q338" s="4"/>
      <c r="R338" s="4"/>
      <c r="S338" s="4"/>
      <c r="T338" s="4"/>
      <c r="U338" s="4"/>
      <c r="V338" s="4"/>
      <c r="W338" s="4"/>
    </row>
    <row r="339" spans="1:23" ht="16.5" customHeight="1">
      <c r="A339" s="4"/>
      <c r="B339" s="11"/>
      <c r="C339" s="11"/>
      <c r="D339" s="11"/>
      <c r="E339" s="14"/>
      <c r="F339" s="4"/>
      <c r="G339" s="14"/>
      <c r="H339" s="22"/>
      <c r="I339" s="4"/>
      <c r="J339" s="11"/>
      <c r="K339" s="11"/>
      <c r="L339" s="4"/>
      <c r="M339" s="4"/>
      <c r="N339" s="4"/>
      <c r="O339" s="4"/>
      <c r="P339" s="4"/>
      <c r="Q339" s="4"/>
      <c r="R339" s="4"/>
      <c r="S339" s="4"/>
      <c r="T339" s="4"/>
      <c r="U339" s="4"/>
      <c r="V339" s="4"/>
      <c r="W339" s="4"/>
    </row>
    <row r="340" spans="1:23" ht="16.5" customHeight="1">
      <c r="A340" s="4"/>
      <c r="B340" s="11"/>
      <c r="C340" s="11"/>
      <c r="D340" s="11"/>
      <c r="E340" s="14"/>
      <c r="F340" s="4"/>
      <c r="G340" s="14"/>
      <c r="H340" s="22"/>
      <c r="I340" s="4"/>
      <c r="J340" s="11"/>
      <c r="K340" s="11"/>
      <c r="L340" s="4"/>
      <c r="M340" s="4"/>
      <c r="N340" s="4"/>
      <c r="O340" s="4"/>
      <c r="P340" s="4"/>
      <c r="Q340" s="4"/>
      <c r="R340" s="4"/>
      <c r="S340" s="4"/>
      <c r="T340" s="4"/>
      <c r="U340" s="4"/>
      <c r="V340" s="4"/>
      <c r="W340" s="4"/>
    </row>
    <row r="341" spans="1:23" ht="16.5" customHeight="1">
      <c r="A341" s="4"/>
      <c r="B341" s="11"/>
      <c r="C341" s="11"/>
      <c r="D341" s="11"/>
      <c r="E341" s="14"/>
      <c r="F341" s="4"/>
      <c r="G341" s="14"/>
      <c r="H341" s="22"/>
      <c r="I341" s="4"/>
      <c r="J341" s="11"/>
      <c r="K341" s="11"/>
      <c r="L341" s="4"/>
      <c r="M341" s="4"/>
      <c r="N341" s="4"/>
      <c r="O341" s="4"/>
      <c r="P341" s="4"/>
      <c r="Q341" s="4"/>
      <c r="R341" s="4"/>
      <c r="S341" s="4"/>
      <c r="T341" s="4"/>
      <c r="U341" s="4"/>
      <c r="V341" s="4"/>
      <c r="W341" s="4"/>
    </row>
    <row r="342" spans="1:23" ht="16.5" customHeight="1">
      <c r="A342" s="4"/>
      <c r="B342" s="11"/>
      <c r="C342" s="11"/>
      <c r="D342" s="11"/>
      <c r="E342" s="14"/>
      <c r="F342" s="4"/>
      <c r="G342" s="14"/>
      <c r="H342" s="22"/>
      <c r="I342" s="4"/>
      <c r="J342" s="11"/>
      <c r="K342" s="11"/>
      <c r="L342" s="4"/>
      <c r="M342" s="4"/>
      <c r="N342" s="4"/>
      <c r="O342" s="4"/>
      <c r="P342" s="4"/>
      <c r="Q342" s="4"/>
      <c r="R342" s="4"/>
      <c r="S342" s="4"/>
      <c r="T342" s="4"/>
      <c r="U342" s="4"/>
      <c r="V342" s="4"/>
      <c r="W342" s="4"/>
    </row>
    <row r="343" spans="1:23" ht="16.5" customHeight="1">
      <c r="A343" s="4"/>
      <c r="B343" s="11"/>
      <c r="C343" s="11"/>
      <c r="D343" s="11"/>
      <c r="E343" s="14"/>
      <c r="F343" s="4"/>
      <c r="G343" s="14"/>
      <c r="H343" s="22"/>
      <c r="I343" s="4"/>
      <c r="J343" s="11"/>
      <c r="K343" s="11"/>
      <c r="L343" s="4"/>
      <c r="M343" s="4"/>
      <c r="N343" s="4"/>
      <c r="O343" s="4"/>
      <c r="P343" s="4"/>
      <c r="Q343" s="4"/>
      <c r="R343" s="4"/>
      <c r="S343" s="4"/>
      <c r="T343" s="4"/>
      <c r="U343" s="4"/>
      <c r="V343" s="4"/>
      <c r="W343" s="4"/>
    </row>
    <row r="344" spans="1:23" ht="16.5" customHeight="1">
      <c r="A344" s="4"/>
      <c r="B344" s="11"/>
      <c r="C344" s="11"/>
      <c r="D344" s="11"/>
      <c r="E344" s="14"/>
      <c r="F344" s="4"/>
      <c r="G344" s="14"/>
      <c r="H344" s="22"/>
      <c r="I344" s="4"/>
      <c r="J344" s="11"/>
      <c r="K344" s="11"/>
      <c r="L344" s="4"/>
      <c r="M344" s="4"/>
      <c r="N344" s="4"/>
      <c r="O344" s="4"/>
      <c r="P344" s="4"/>
      <c r="Q344" s="4"/>
      <c r="R344" s="4"/>
      <c r="S344" s="4"/>
      <c r="T344" s="4"/>
      <c r="U344" s="4"/>
      <c r="V344" s="4"/>
      <c r="W344" s="4"/>
    </row>
    <row r="345" spans="1:23" ht="16.5" customHeight="1">
      <c r="A345" s="4"/>
      <c r="B345" s="11"/>
      <c r="C345" s="11"/>
      <c r="D345" s="11"/>
      <c r="E345" s="14"/>
      <c r="F345" s="4"/>
      <c r="G345" s="14"/>
      <c r="H345" s="22"/>
      <c r="I345" s="4"/>
      <c r="J345" s="11"/>
      <c r="K345" s="11"/>
      <c r="L345" s="4"/>
      <c r="M345" s="4"/>
      <c r="N345" s="4"/>
      <c r="O345" s="4"/>
      <c r="P345" s="4"/>
      <c r="Q345" s="4"/>
      <c r="R345" s="4"/>
      <c r="S345" s="4"/>
      <c r="T345" s="4"/>
      <c r="U345" s="4"/>
      <c r="V345" s="4"/>
      <c r="W345" s="4"/>
    </row>
    <row r="346" spans="1:23" ht="16.5" customHeight="1">
      <c r="A346" s="4"/>
      <c r="B346" s="11"/>
      <c r="C346" s="11"/>
      <c r="D346" s="11"/>
      <c r="E346" s="14"/>
      <c r="F346" s="4"/>
      <c r="G346" s="14"/>
      <c r="H346" s="22"/>
      <c r="I346" s="4"/>
      <c r="J346" s="11"/>
      <c r="K346" s="11"/>
      <c r="L346" s="4"/>
      <c r="M346" s="4"/>
      <c r="N346" s="4"/>
      <c r="O346" s="4"/>
      <c r="P346" s="4"/>
      <c r="Q346" s="4"/>
      <c r="R346" s="4"/>
      <c r="S346" s="4"/>
      <c r="T346" s="4"/>
      <c r="U346" s="4"/>
      <c r="V346" s="4"/>
      <c r="W346" s="4"/>
    </row>
    <row r="347" spans="1:23" ht="16.5" customHeight="1">
      <c r="A347" s="4"/>
      <c r="B347" s="11"/>
      <c r="C347" s="11"/>
      <c r="D347" s="11"/>
      <c r="E347" s="14"/>
      <c r="F347" s="4"/>
      <c r="G347" s="14"/>
      <c r="H347" s="22"/>
      <c r="I347" s="4"/>
      <c r="J347" s="11"/>
      <c r="K347" s="11"/>
      <c r="L347" s="4"/>
      <c r="M347" s="4"/>
      <c r="N347" s="4"/>
      <c r="O347" s="4"/>
      <c r="P347" s="4"/>
      <c r="Q347" s="4"/>
      <c r="R347" s="4"/>
      <c r="S347" s="4"/>
      <c r="T347" s="4"/>
      <c r="U347" s="4"/>
      <c r="V347" s="4"/>
      <c r="W347" s="4"/>
    </row>
    <row r="348" spans="1:23" ht="16.5" customHeight="1">
      <c r="A348" s="4"/>
      <c r="B348" s="11"/>
      <c r="C348" s="11"/>
      <c r="D348" s="11"/>
      <c r="E348" s="14"/>
      <c r="F348" s="4"/>
      <c r="G348" s="14"/>
      <c r="H348" s="22"/>
      <c r="I348" s="4"/>
      <c r="J348" s="11"/>
      <c r="K348" s="11"/>
      <c r="L348" s="4"/>
      <c r="M348" s="4"/>
      <c r="N348" s="4"/>
      <c r="O348" s="4"/>
      <c r="P348" s="4"/>
      <c r="Q348" s="4"/>
      <c r="R348" s="4"/>
      <c r="S348" s="4"/>
      <c r="T348" s="4"/>
      <c r="U348" s="4"/>
      <c r="V348" s="4"/>
      <c r="W348" s="4"/>
    </row>
    <row r="349" spans="1:23" ht="16.5" customHeight="1">
      <c r="A349" s="4"/>
      <c r="B349" s="11"/>
      <c r="C349" s="11"/>
      <c r="D349" s="11"/>
      <c r="E349" s="14"/>
      <c r="F349" s="4"/>
      <c r="G349" s="14"/>
      <c r="H349" s="22"/>
      <c r="I349" s="4"/>
      <c r="J349" s="11"/>
      <c r="K349" s="11"/>
      <c r="L349" s="4"/>
      <c r="M349" s="4"/>
      <c r="N349" s="4"/>
      <c r="O349" s="4"/>
      <c r="P349" s="4"/>
      <c r="Q349" s="4"/>
      <c r="R349" s="4"/>
      <c r="S349" s="4"/>
      <c r="T349" s="4"/>
      <c r="U349" s="4"/>
      <c r="V349" s="4"/>
      <c r="W349" s="4"/>
    </row>
    <row r="350" spans="1:23" ht="16.5" customHeight="1">
      <c r="A350" s="4"/>
      <c r="B350" s="11"/>
      <c r="C350" s="11"/>
      <c r="D350" s="11"/>
      <c r="E350" s="14"/>
      <c r="F350" s="4"/>
      <c r="G350" s="14"/>
      <c r="H350" s="22"/>
      <c r="I350" s="4"/>
      <c r="J350" s="11"/>
      <c r="K350" s="11"/>
      <c r="L350" s="4"/>
      <c r="M350" s="4"/>
      <c r="N350" s="4"/>
      <c r="O350" s="4"/>
      <c r="P350" s="4"/>
      <c r="Q350" s="4"/>
      <c r="R350" s="4"/>
      <c r="S350" s="4"/>
      <c r="T350" s="4"/>
      <c r="U350" s="4"/>
      <c r="V350" s="4"/>
      <c r="W350" s="4"/>
    </row>
    <row r="351" spans="1:23" ht="16.5" customHeight="1">
      <c r="A351" s="4"/>
      <c r="B351" s="11"/>
      <c r="C351" s="11"/>
      <c r="D351" s="11"/>
      <c r="E351" s="14"/>
      <c r="F351" s="4"/>
      <c r="G351" s="14"/>
      <c r="H351" s="22"/>
      <c r="I351" s="4"/>
      <c r="J351" s="11"/>
      <c r="K351" s="11"/>
      <c r="L351" s="4"/>
      <c r="M351" s="4"/>
      <c r="N351" s="4"/>
      <c r="O351" s="4"/>
      <c r="P351" s="4"/>
      <c r="Q351" s="4"/>
      <c r="R351" s="4"/>
      <c r="S351" s="4"/>
      <c r="T351" s="4"/>
      <c r="U351" s="4"/>
      <c r="V351" s="4"/>
      <c r="W351" s="4"/>
    </row>
    <row r="352" spans="1:23" ht="16.5" customHeight="1">
      <c r="A352" s="4"/>
      <c r="B352" s="11"/>
      <c r="C352" s="11"/>
      <c r="D352" s="11"/>
      <c r="E352" s="14"/>
      <c r="F352" s="4"/>
      <c r="G352" s="14"/>
      <c r="H352" s="22"/>
      <c r="I352" s="4"/>
      <c r="J352" s="11"/>
      <c r="K352" s="11"/>
      <c r="L352" s="4"/>
      <c r="M352" s="4"/>
      <c r="N352" s="4"/>
      <c r="O352" s="4"/>
      <c r="P352" s="4"/>
      <c r="Q352" s="4"/>
      <c r="R352" s="4"/>
      <c r="S352" s="4"/>
      <c r="T352" s="4"/>
      <c r="U352" s="4"/>
      <c r="V352" s="4"/>
      <c r="W352" s="4"/>
    </row>
    <row r="353" spans="1:23" ht="16.5" customHeight="1">
      <c r="A353" s="4"/>
      <c r="B353" s="11"/>
      <c r="C353" s="11"/>
      <c r="D353" s="11"/>
      <c r="E353" s="14"/>
      <c r="F353" s="4"/>
      <c r="G353" s="14"/>
      <c r="H353" s="22"/>
      <c r="I353" s="4"/>
      <c r="J353" s="11"/>
      <c r="K353" s="11"/>
      <c r="L353" s="4"/>
      <c r="M353" s="4"/>
      <c r="N353" s="4"/>
      <c r="O353" s="4"/>
      <c r="P353" s="4"/>
      <c r="Q353" s="4"/>
      <c r="R353" s="4"/>
      <c r="S353" s="4"/>
      <c r="T353" s="4"/>
      <c r="U353" s="4"/>
      <c r="V353" s="4"/>
      <c r="W353" s="4"/>
    </row>
    <row r="354" spans="1:23" ht="16.5" customHeight="1">
      <c r="A354" s="4"/>
      <c r="B354" s="11"/>
      <c r="C354" s="11"/>
      <c r="D354" s="11"/>
      <c r="E354" s="14"/>
      <c r="F354" s="4"/>
      <c r="G354" s="14"/>
      <c r="H354" s="22"/>
      <c r="I354" s="4"/>
      <c r="J354" s="11"/>
      <c r="K354" s="11"/>
      <c r="L354" s="4"/>
      <c r="M354" s="4"/>
      <c r="N354" s="4"/>
      <c r="O354" s="4"/>
      <c r="P354" s="4"/>
      <c r="Q354" s="4"/>
      <c r="R354" s="4"/>
      <c r="S354" s="4"/>
      <c r="T354" s="4"/>
      <c r="U354" s="4"/>
      <c r="V354" s="4"/>
      <c r="W354" s="4"/>
    </row>
    <row r="355" spans="1:23" ht="16.5" customHeight="1">
      <c r="A355" s="4"/>
      <c r="B355" s="11"/>
      <c r="C355" s="11"/>
      <c r="D355" s="11"/>
      <c r="E355" s="14"/>
      <c r="F355" s="4"/>
      <c r="G355" s="14"/>
      <c r="H355" s="22"/>
      <c r="I355" s="4"/>
      <c r="J355" s="11"/>
      <c r="K355" s="11"/>
      <c r="L355" s="4"/>
      <c r="M355" s="4"/>
      <c r="N355" s="4"/>
      <c r="O355" s="4"/>
      <c r="P355" s="4"/>
      <c r="Q355" s="4"/>
      <c r="R355" s="4"/>
      <c r="S355" s="4"/>
      <c r="T355" s="4"/>
      <c r="U355" s="4"/>
      <c r="V355" s="4"/>
      <c r="W355" s="4"/>
    </row>
    <row r="356" spans="1:23" ht="16.5" customHeight="1">
      <c r="A356" s="4"/>
      <c r="B356" s="11"/>
      <c r="C356" s="11"/>
      <c r="D356" s="11"/>
      <c r="E356" s="14"/>
      <c r="F356" s="4"/>
      <c r="G356" s="14"/>
      <c r="H356" s="22"/>
      <c r="I356" s="4"/>
      <c r="J356" s="11"/>
      <c r="K356" s="11"/>
      <c r="L356" s="4"/>
      <c r="M356" s="4"/>
      <c r="N356" s="4"/>
      <c r="O356" s="4"/>
      <c r="P356" s="4"/>
      <c r="Q356" s="4"/>
      <c r="R356" s="4"/>
      <c r="S356" s="4"/>
      <c r="T356" s="4"/>
      <c r="U356" s="4"/>
      <c r="V356" s="4"/>
      <c r="W356" s="4"/>
    </row>
    <row r="357" spans="1:23" ht="16.5" customHeight="1">
      <c r="A357" s="4"/>
      <c r="B357" s="11"/>
      <c r="C357" s="11"/>
      <c r="D357" s="11"/>
      <c r="E357" s="14"/>
      <c r="F357" s="4"/>
      <c r="G357" s="14"/>
      <c r="H357" s="22"/>
      <c r="I357" s="4"/>
      <c r="J357" s="11"/>
      <c r="K357" s="11"/>
      <c r="L357" s="4"/>
      <c r="M357" s="4"/>
      <c r="N357" s="4"/>
      <c r="O357" s="4"/>
      <c r="P357" s="4"/>
      <c r="Q357" s="4"/>
      <c r="R357" s="4"/>
      <c r="S357" s="4"/>
      <c r="T357" s="4"/>
      <c r="U357" s="4"/>
      <c r="V357" s="4"/>
      <c r="W357" s="4"/>
    </row>
    <row r="358" spans="1:23" ht="16.5" customHeight="1">
      <c r="A358" s="4"/>
      <c r="B358" s="11"/>
      <c r="C358" s="11"/>
      <c r="D358" s="11"/>
      <c r="E358" s="14"/>
      <c r="F358" s="4"/>
      <c r="G358" s="14"/>
      <c r="H358" s="22"/>
      <c r="I358" s="4"/>
      <c r="J358" s="11"/>
      <c r="K358" s="11"/>
      <c r="L358" s="4"/>
      <c r="M358" s="4"/>
      <c r="N358" s="4"/>
      <c r="O358" s="4"/>
      <c r="P358" s="4"/>
      <c r="Q358" s="4"/>
      <c r="R358" s="4"/>
      <c r="S358" s="4"/>
      <c r="T358" s="4"/>
      <c r="U358" s="4"/>
      <c r="V358" s="4"/>
      <c r="W358" s="4"/>
    </row>
    <row r="359" spans="1:23" ht="16.5" customHeight="1">
      <c r="A359" s="4"/>
      <c r="B359" s="11"/>
      <c r="C359" s="11"/>
      <c r="D359" s="11"/>
      <c r="E359" s="14"/>
      <c r="F359" s="4"/>
      <c r="G359" s="14"/>
      <c r="H359" s="22"/>
      <c r="I359" s="4"/>
      <c r="J359" s="11"/>
      <c r="K359" s="11"/>
      <c r="L359" s="4"/>
      <c r="M359" s="4"/>
      <c r="N359" s="4"/>
      <c r="O359" s="4"/>
      <c r="P359" s="4"/>
      <c r="Q359" s="4"/>
      <c r="R359" s="4"/>
      <c r="S359" s="4"/>
      <c r="T359" s="4"/>
      <c r="U359" s="4"/>
      <c r="V359" s="4"/>
      <c r="W359" s="4"/>
    </row>
    <row r="360" spans="1:23" ht="16.5" customHeight="1">
      <c r="A360" s="4"/>
      <c r="B360" s="11"/>
      <c r="C360" s="11"/>
      <c r="D360" s="11"/>
      <c r="E360" s="14"/>
      <c r="F360" s="4"/>
      <c r="G360" s="14"/>
      <c r="H360" s="22"/>
      <c r="I360" s="4"/>
      <c r="J360" s="11"/>
      <c r="K360" s="11"/>
      <c r="L360" s="4"/>
      <c r="M360" s="4"/>
      <c r="N360" s="4"/>
      <c r="O360" s="4"/>
      <c r="P360" s="4"/>
      <c r="Q360" s="4"/>
      <c r="R360" s="4"/>
      <c r="S360" s="4"/>
      <c r="T360" s="4"/>
      <c r="U360" s="4"/>
      <c r="V360" s="4"/>
      <c r="W360" s="4"/>
    </row>
    <row r="361" spans="1:23" ht="16.5" customHeight="1">
      <c r="A361" s="4"/>
      <c r="B361" s="11"/>
      <c r="C361" s="11"/>
      <c r="D361" s="11"/>
      <c r="E361" s="14"/>
      <c r="F361" s="4"/>
      <c r="G361" s="14"/>
      <c r="H361" s="22"/>
      <c r="I361" s="4"/>
      <c r="J361" s="11"/>
      <c r="K361" s="11"/>
      <c r="L361" s="4"/>
      <c r="M361" s="4"/>
      <c r="N361" s="4"/>
      <c r="O361" s="4"/>
      <c r="P361" s="4"/>
      <c r="Q361" s="4"/>
      <c r="R361" s="4"/>
      <c r="S361" s="4"/>
      <c r="T361" s="4"/>
      <c r="U361" s="4"/>
      <c r="V361" s="4"/>
      <c r="W361" s="4"/>
    </row>
    <row r="362" spans="1:23" ht="16.5" customHeight="1">
      <c r="A362" s="4"/>
      <c r="B362" s="11"/>
      <c r="C362" s="11"/>
      <c r="D362" s="11"/>
      <c r="E362" s="14"/>
      <c r="F362" s="4"/>
      <c r="G362" s="14"/>
      <c r="H362" s="22"/>
      <c r="I362" s="4"/>
      <c r="J362" s="11"/>
      <c r="K362" s="11"/>
      <c r="L362" s="4"/>
      <c r="M362" s="4"/>
      <c r="N362" s="4"/>
      <c r="O362" s="4"/>
      <c r="P362" s="4"/>
      <c r="Q362" s="4"/>
      <c r="R362" s="4"/>
      <c r="S362" s="4"/>
      <c r="T362" s="4"/>
      <c r="U362" s="4"/>
      <c r="V362" s="4"/>
      <c r="W362" s="4"/>
    </row>
    <row r="363" spans="1:23" ht="16.5" customHeight="1">
      <c r="A363" s="4"/>
      <c r="B363" s="11"/>
      <c r="C363" s="11"/>
      <c r="D363" s="11"/>
      <c r="E363" s="14"/>
      <c r="F363" s="4"/>
      <c r="G363" s="14"/>
      <c r="H363" s="22"/>
      <c r="I363" s="4"/>
      <c r="J363" s="11"/>
      <c r="K363" s="11"/>
      <c r="L363" s="4"/>
      <c r="M363" s="4"/>
      <c r="N363" s="4"/>
      <c r="O363" s="4"/>
      <c r="P363" s="4"/>
      <c r="Q363" s="4"/>
      <c r="R363" s="4"/>
      <c r="S363" s="4"/>
      <c r="T363" s="4"/>
      <c r="U363" s="4"/>
      <c r="V363" s="4"/>
      <c r="W363" s="4"/>
    </row>
    <row r="364" spans="1:23" ht="16.5" customHeight="1">
      <c r="A364" s="4"/>
      <c r="B364" s="11"/>
      <c r="C364" s="11"/>
      <c r="D364" s="11"/>
      <c r="E364" s="14"/>
      <c r="F364" s="4"/>
      <c r="G364" s="14"/>
      <c r="H364" s="22"/>
      <c r="I364" s="4"/>
      <c r="J364" s="11"/>
      <c r="K364" s="11"/>
      <c r="L364" s="4"/>
      <c r="M364" s="4"/>
      <c r="N364" s="4"/>
      <c r="O364" s="4"/>
      <c r="P364" s="4"/>
      <c r="Q364" s="4"/>
      <c r="R364" s="4"/>
      <c r="S364" s="4"/>
      <c r="T364" s="4"/>
      <c r="U364" s="4"/>
      <c r="V364" s="4"/>
      <c r="W364" s="4"/>
    </row>
    <row r="365" spans="1:23" ht="16.5" customHeight="1">
      <c r="A365" s="4"/>
      <c r="B365" s="11"/>
      <c r="C365" s="11"/>
      <c r="D365" s="11"/>
      <c r="E365" s="14"/>
      <c r="F365" s="4"/>
      <c r="G365" s="14"/>
      <c r="H365" s="22"/>
      <c r="I365" s="4"/>
      <c r="J365" s="11"/>
      <c r="K365" s="11"/>
      <c r="L365" s="4"/>
      <c r="M365" s="4"/>
      <c r="N365" s="4"/>
      <c r="O365" s="4"/>
      <c r="P365" s="4"/>
      <c r="Q365" s="4"/>
      <c r="R365" s="4"/>
      <c r="S365" s="4"/>
      <c r="T365" s="4"/>
      <c r="U365" s="4"/>
      <c r="V365" s="4"/>
      <c r="W365" s="4"/>
    </row>
    <row r="366" spans="1:23" ht="16.5" customHeight="1">
      <c r="A366" s="4"/>
      <c r="B366" s="11"/>
      <c r="C366" s="11"/>
      <c r="D366" s="11"/>
      <c r="E366" s="14"/>
      <c r="F366" s="4"/>
      <c r="G366" s="14"/>
      <c r="H366" s="22"/>
      <c r="I366" s="4"/>
      <c r="J366" s="11"/>
      <c r="K366" s="11"/>
      <c r="L366" s="4"/>
      <c r="M366" s="4"/>
      <c r="N366" s="4"/>
      <c r="O366" s="4"/>
      <c r="P366" s="4"/>
      <c r="Q366" s="4"/>
      <c r="R366" s="4"/>
      <c r="S366" s="4"/>
      <c r="T366" s="4"/>
      <c r="U366" s="4"/>
      <c r="V366" s="4"/>
      <c r="W366" s="4"/>
    </row>
    <row r="367" spans="1:23" ht="16.5" customHeight="1">
      <c r="A367" s="4"/>
      <c r="B367" s="11"/>
      <c r="C367" s="11"/>
      <c r="D367" s="11"/>
      <c r="E367" s="14"/>
      <c r="F367" s="4"/>
      <c r="G367" s="14"/>
      <c r="H367" s="22"/>
      <c r="I367" s="4"/>
      <c r="J367" s="11"/>
      <c r="K367" s="11"/>
      <c r="L367" s="4"/>
      <c r="M367" s="4"/>
      <c r="N367" s="4"/>
      <c r="O367" s="4"/>
      <c r="P367" s="4"/>
      <c r="Q367" s="4"/>
      <c r="R367" s="4"/>
      <c r="S367" s="4"/>
      <c r="T367" s="4"/>
      <c r="U367" s="4"/>
      <c r="V367" s="4"/>
      <c r="W367" s="4"/>
    </row>
    <row r="368" spans="1:23" ht="16.5" customHeight="1">
      <c r="A368" s="4"/>
      <c r="B368" s="11"/>
      <c r="C368" s="11"/>
      <c r="D368" s="11"/>
      <c r="E368" s="14"/>
      <c r="F368" s="4"/>
      <c r="G368" s="14"/>
      <c r="H368" s="22"/>
      <c r="I368" s="4"/>
      <c r="J368" s="11"/>
      <c r="K368" s="11"/>
      <c r="L368" s="4"/>
      <c r="M368" s="4"/>
      <c r="N368" s="4"/>
      <c r="O368" s="4"/>
      <c r="P368" s="4"/>
      <c r="Q368" s="4"/>
      <c r="R368" s="4"/>
      <c r="S368" s="4"/>
      <c r="T368" s="4"/>
      <c r="U368" s="4"/>
      <c r="V368" s="4"/>
      <c r="W368" s="4"/>
    </row>
    <row r="369" spans="1:23" ht="16.5" customHeight="1">
      <c r="A369" s="4"/>
      <c r="B369" s="11"/>
      <c r="C369" s="11"/>
      <c r="D369" s="11"/>
      <c r="E369" s="14"/>
      <c r="F369" s="4"/>
      <c r="G369" s="14"/>
      <c r="H369" s="22"/>
      <c r="I369" s="4"/>
      <c r="J369" s="11"/>
      <c r="K369" s="11"/>
      <c r="L369" s="4"/>
      <c r="M369" s="4"/>
      <c r="N369" s="4"/>
      <c r="O369" s="4"/>
      <c r="P369" s="4"/>
      <c r="Q369" s="4"/>
      <c r="R369" s="4"/>
      <c r="S369" s="4"/>
      <c r="T369" s="4"/>
      <c r="U369" s="4"/>
      <c r="V369" s="4"/>
      <c r="W369" s="4"/>
    </row>
    <row r="370" spans="1:23" ht="16.5" customHeight="1">
      <c r="A370" s="4"/>
      <c r="B370" s="11"/>
      <c r="C370" s="11"/>
      <c r="D370" s="11"/>
      <c r="E370" s="14"/>
      <c r="F370" s="4"/>
      <c r="G370" s="14"/>
      <c r="H370" s="22"/>
      <c r="I370" s="4"/>
      <c r="J370" s="11"/>
      <c r="K370" s="11"/>
      <c r="L370" s="4"/>
      <c r="M370" s="4"/>
      <c r="N370" s="4"/>
      <c r="O370" s="4"/>
      <c r="P370" s="4"/>
      <c r="Q370" s="4"/>
      <c r="R370" s="4"/>
      <c r="S370" s="4"/>
      <c r="T370" s="4"/>
      <c r="U370" s="4"/>
      <c r="V370" s="4"/>
      <c r="W370" s="4"/>
    </row>
    <row r="371" spans="1:23" ht="16.5" customHeight="1">
      <c r="A371" s="4"/>
      <c r="B371" s="11"/>
      <c r="C371" s="11"/>
      <c r="D371" s="11"/>
      <c r="E371" s="14"/>
      <c r="F371" s="4"/>
      <c r="G371" s="14"/>
      <c r="H371" s="22"/>
      <c r="I371" s="4"/>
      <c r="J371" s="11"/>
      <c r="K371" s="11"/>
      <c r="L371" s="4"/>
      <c r="M371" s="4"/>
      <c r="N371" s="4"/>
      <c r="O371" s="4"/>
      <c r="P371" s="4"/>
      <c r="Q371" s="4"/>
      <c r="R371" s="4"/>
      <c r="S371" s="4"/>
      <c r="T371" s="4"/>
      <c r="U371" s="4"/>
      <c r="V371" s="4"/>
      <c r="W371" s="4"/>
    </row>
    <row r="372" spans="1:23" ht="16.5" customHeight="1">
      <c r="A372" s="4"/>
      <c r="B372" s="11"/>
      <c r="C372" s="11"/>
      <c r="D372" s="11"/>
      <c r="E372" s="14"/>
      <c r="F372" s="4"/>
      <c r="G372" s="14"/>
      <c r="H372" s="22"/>
      <c r="I372" s="4"/>
      <c r="J372" s="11"/>
      <c r="K372" s="11"/>
      <c r="L372" s="4"/>
      <c r="M372" s="4"/>
      <c r="N372" s="4"/>
      <c r="O372" s="4"/>
      <c r="P372" s="4"/>
      <c r="Q372" s="4"/>
      <c r="R372" s="4"/>
      <c r="S372" s="4"/>
      <c r="T372" s="4"/>
      <c r="U372" s="4"/>
      <c r="V372" s="4"/>
      <c r="W372" s="4"/>
    </row>
    <row r="373" spans="1:23" ht="16.5" customHeight="1">
      <c r="A373" s="4"/>
      <c r="B373" s="11"/>
      <c r="C373" s="11"/>
      <c r="D373" s="11"/>
      <c r="E373" s="14"/>
      <c r="F373" s="4"/>
      <c r="G373" s="14"/>
      <c r="H373" s="22"/>
      <c r="I373" s="4"/>
      <c r="J373" s="11"/>
      <c r="K373" s="11"/>
      <c r="L373" s="4"/>
      <c r="M373" s="4"/>
      <c r="N373" s="4"/>
      <c r="O373" s="4"/>
      <c r="P373" s="4"/>
      <c r="Q373" s="4"/>
      <c r="R373" s="4"/>
      <c r="S373" s="4"/>
      <c r="T373" s="4"/>
      <c r="U373" s="4"/>
      <c r="V373" s="4"/>
      <c r="W373" s="4"/>
    </row>
    <row r="374" spans="1:23" ht="16.5" customHeight="1">
      <c r="A374" s="4"/>
      <c r="B374" s="11"/>
      <c r="C374" s="11"/>
      <c r="D374" s="11"/>
      <c r="E374" s="14"/>
      <c r="F374" s="4"/>
      <c r="G374" s="14"/>
      <c r="H374" s="22"/>
      <c r="I374" s="4"/>
      <c r="J374" s="11"/>
      <c r="K374" s="11"/>
      <c r="L374" s="4"/>
      <c r="M374" s="4"/>
      <c r="N374" s="4"/>
      <c r="O374" s="4"/>
      <c r="P374" s="4"/>
      <c r="Q374" s="4"/>
      <c r="R374" s="4"/>
      <c r="S374" s="4"/>
      <c r="T374" s="4"/>
      <c r="U374" s="4"/>
      <c r="V374" s="4"/>
      <c r="W374" s="4"/>
    </row>
    <row r="375" spans="1:23" ht="16.5" customHeight="1">
      <c r="A375" s="4"/>
      <c r="B375" s="11"/>
      <c r="C375" s="11"/>
      <c r="D375" s="11"/>
      <c r="E375" s="14"/>
      <c r="F375" s="4"/>
      <c r="G375" s="14"/>
      <c r="H375" s="22"/>
      <c r="I375" s="4"/>
      <c r="J375" s="11"/>
      <c r="K375" s="11"/>
      <c r="L375" s="4"/>
      <c r="M375" s="4"/>
      <c r="N375" s="4"/>
      <c r="O375" s="4"/>
      <c r="P375" s="4"/>
      <c r="Q375" s="4"/>
      <c r="R375" s="4"/>
      <c r="S375" s="4"/>
      <c r="T375" s="4"/>
      <c r="U375" s="4"/>
      <c r="V375" s="4"/>
      <c r="W375" s="4"/>
    </row>
    <row r="376" spans="1:23" ht="16.5" customHeight="1">
      <c r="A376" s="4"/>
      <c r="B376" s="11"/>
      <c r="C376" s="11"/>
      <c r="D376" s="11"/>
      <c r="E376" s="14"/>
      <c r="F376" s="4"/>
      <c r="G376" s="14"/>
      <c r="H376" s="22"/>
      <c r="I376" s="4"/>
      <c r="J376" s="11"/>
      <c r="K376" s="11"/>
      <c r="L376" s="4"/>
      <c r="M376" s="4"/>
      <c r="N376" s="4"/>
      <c r="O376" s="4"/>
      <c r="P376" s="4"/>
      <c r="Q376" s="4"/>
      <c r="R376" s="4"/>
      <c r="S376" s="4"/>
      <c r="T376" s="4"/>
      <c r="U376" s="4"/>
      <c r="V376" s="4"/>
      <c r="W376" s="4"/>
    </row>
    <row r="377" spans="1:23" ht="16.5" customHeight="1">
      <c r="A377" s="4"/>
      <c r="B377" s="11"/>
      <c r="C377" s="11"/>
      <c r="D377" s="11"/>
      <c r="E377" s="14"/>
      <c r="F377" s="4"/>
      <c r="G377" s="14"/>
      <c r="H377" s="22"/>
      <c r="I377" s="4"/>
      <c r="J377" s="11"/>
      <c r="K377" s="11"/>
      <c r="L377" s="4"/>
      <c r="M377" s="4"/>
      <c r="N377" s="4"/>
      <c r="O377" s="4"/>
      <c r="P377" s="4"/>
      <c r="Q377" s="4"/>
      <c r="R377" s="4"/>
      <c r="S377" s="4"/>
      <c r="T377" s="4"/>
      <c r="U377" s="4"/>
      <c r="V377" s="4"/>
      <c r="W377" s="4"/>
    </row>
    <row r="378" spans="1:23" ht="16.5" customHeight="1">
      <c r="A378" s="4"/>
      <c r="B378" s="11"/>
      <c r="C378" s="11"/>
      <c r="D378" s="11"/>
      <c r="E378" s="14"/>
      <c r="F378" s="4"/>
      <c r="G378" s="14"/>
      <c r="H378" s="22"/>
      <c r="I378" s="4"/>
      <c r="J378" s="11"/>
      <c r="K378" s="11"/>
      <c r="L378" s="4"/>
      <c r="M378" s="4"/>
      <c r="N378" s="4"/>
      <c r="O378" s="4"/>
      <c r="P378" s="4"/>
      <c r="Q378" s="4"/>
      <c r="R378" s="4"/>
      <c r="S378" s="4"/>
      <c r="T378" s="4"/>
      <c r="U378" s="4"/>
      <c r="V378" s="4"/>
      <c r="W378" s="4"/>
    </row>
    <row r="379" spans="1:23" ht="16.5" customHeight="1">
      <c r="A379" s="4"/>
      <c r="B379" s="11"/>
      <c r="C379" s="11"/>
      <c r="D379" s="11"/>
      <c r="E379" s="14"/>
      <c r="F379" s="4"/>
      <c r="G379" s="14"/>
      <c r="H379" s="22"/>
      <c r="I379" s="4"/>
      <c r="J379" s="11"/>
      <c r="K379" s="11"/>
      <c r="L379" s="4"/>
      <c r="M379" s="4"/>
      <c r="N379" s="4"/>
      <c r="O379" s="4"/>
      <c r="P379" s="4"/>
      <c r="Q379" s="4"/>
      <c r="R379" s="4"/>
      <c r="S379" s="4"/>
      <c r="T379" s="4"/>
      <c r="U379" s="4"/>
      <c r="V379" s="4"/>
      <c r="W379" s="4"/>
    </row>
    <row r="380" spans="1:23" ht="16.5" customHeight="1">
      <c r="A380" s="4"/>
      <c r="B380" s="11"/>
      <c r="C380" s="11"/>
      <c r="D380" s="11"/>
      <c r="E380" s="14"/>
      <c r="F380" s="4"/>
      <c r="G380" s="14"/>
      <c r="H380" s="22"/>
      <c r="I380" s="4"/>
      <c r="J380" s="11"/>
      <c r="K380" s="11"/>
      <c r="L380" s="4"/>
      <c r="M380" s="4"/>
      <c r="N380" s="4"/>
      <c r="O380" s="4"/>
      <c r="P380" s="4"/>
      <c r="Q380" s="4"/>
      <c r="R380" s="4"/>
      <c r="S380" s="4"/>
      <c r="T380" s="4"/>
      <c r="U380" s="4"/>
      <c r="V380" s="4"/>
      <c r="W380" s="4"/>
    </row>
    <row r="381" spans="1:23" ht="16.5" customHeight="1">
      <c r="A381" s="4"/>
      <c r="B381" s="11"/>
      <c r="C381" s="11"/>
      <c r="D381" s="11"/>
      <c r="E381" s="14"/>
      <c r="F381" s="4"/>
      <c r="G381" s="14"/>
      <c r="H381" s="22"/>
      <c r="I381" s="4"/>
      <c r="J381" s="11"/>
      <c r="K381" s="11"/>
      <c r="L381" s="4"/>
      <c r="M381" s="4"/>
      <c r="N381" s="4"/>
      <c r="O381" s="4"/>
      <c r="P381" s="4"/>
      <c r="Q381" s="4"/>
      <c r="R381" s="4"/>
      <c r="S381" s="4"/>
      <c r="T381" s="4"/>
      <c r="U381" s="4"/>
      <c r="V381" s="4"/>
      <c r="W381" s="4"/>
    </row>
    <row r="382" spans="1:23" ht="16.5" customHeight="1">
      <c r="A382" s="4"/>
      <c r="B382" s="11"/>
      <c r="C382" s="11"/>
      <c r="D382" s="11"/>
      <c r="E382" s="14"/>
      <c r="F382" s="4"/>
      <c r="G382" s="14"/>
      <c r="H382" s="22"/>
      <c r="I382" s="4"/>
      <c r="J382" s="11"/>
      <c r="K382" s="11"/>
      <c r="L382" s="4"/>
      <c r="M382" s="4"/>
      <c r="N382" s="4"/>
      <c r="O382" s="4"/>
      <c r="P382" s="4"/>
      <c r="Q382" s="4"/>
      <c r="R382" s="4"/>
      <c r="S382" s="4"/>
      <c r="T382" s="4"/>
      <c r="U382" s="4"/>
      <c r="V382" s="4"/>
      <c r="W382" s="4"/>
    </row>
    <row r="383" spans="1:23" ht="16.5" customHeight="1">
      <c r="A383" s="4"/>
      <c r="B383" s="11"/>
      <c r="C383" s="11"/>
      <c r="D383" s="11"/>
      <c r="E383" s="14"/>
      <c r="F383" s="4"/>
      <c r="G383" s="14"/>
      <c r="H383" s="22"/>
      <c r="I383" s="4"/>
      <c r="J383" s="11"/>
      <c r="K383" s="11"/>
      <c r="L383" s="4"/>
      <c r="M383" s="4"/>
      <c r="N383" s="4"/>
      <c r="O383" s="4"/>
      <c r="P383" s="4"/>
      <c r="Q383" s="4"/>
      <c r="R383" s="4"/>
      <c r="S383" s="4"/>
      <c r="T383" s="4"/>
      <c r="U383" s="4"/>
      <c r="V383" s="4"/>
      <c r="W383" s="4"/>
    </row>
    <row r="384" spans="1:23" ht="16.5" customHeight="1">
      <c r="A384" s="4"/>
      <c r="B384" s="11"/>
      <c r="C384" s="11"/>
      <c r="D384" s="11"/>
      <c r="E384" s="14"/>
      <c r="F384" s="4"/>
      <c r="G384" s="14"/>
      <c r="H384" s="22"/>
      <c r="I384" s="4"/>
      <c r="J384" s="11"/>
      <c r="K384" s="11"/>
      <c r="L384" s="4"/>
      <c r="M384" s="4"/>
      <c r="N384" s="4"/>
      <c r="O384" s="4"/>
      <c r="P384" s="4"/>
      <c r="Q384" s="4"/>
      <c r="R384" s="4"/>
      <c r="S384" s="4"/>
      <c r="T384" s="4"/>
      <c r="U384" s="4"/>
      <c r="V384" s="4"/>
      <c r="W384" s="4"/>
    </row>
    <row r="385" spans="1:23" ht="16.5" customHeight="1">
      <c r="A385" s="4"/>
      <c r="B385" s="11"/>
      <c r="C385" s="11"/>
      <c r="D385" s="11"/>
      <c r="E385" s="14"/>
      <c r="F385" s="4"/>
      <c r="G385" s="14"/>
      <c r="H385" s="22"/>
      <c r="I385" s="4"/>
      <c r="J385" s="11"/>
      <c r="K385" s="11"/>
      <c r="L385" s="4"/>
      <c r="M385" s="4"/>
      <c r="N385" s="4"/>
      <c r="O385" s="4"/>
      <c r="P385" s="4"/>
      <c r="Q385" s="4"/>
      <c r="R385" s="4"/>
      <c r="S385" s="4"/>
      <c r="T385" s="4"/>
      <c r="U385" s="4"/>
      <c r="V385" s="4"/>
      <c r="W385" s="4"/>
    </row>
    <row r="386" spans="1:23" ht="16.5" customHeight="1">
      <c r="A386" s="4"/>
      <c r="B386" s="11"/>
      <c r="C386" s="11"/>
      <c r="D386" s="11"/>
      <c r="E386" s="14"/>
      <c r="F386" s="4"/>
      <c r="G386" s="14"/>
      <c r="H386" s="22"/>
      <c r="I386" s="4"/>
      <c r="J386" s="11"/>
      <c r="K386" s="11"/>
      <c r="L386" s="4"/>
      <c r="M386" s="4"/>
      <c r="N386" s="4"/>
      <c r="O386" s="4"/>
      <c r="P386" s="4"/>
      <c r="Q386" s="4"/>
      <c r="R386" s="4"/>
      <c r="S386" s="4"/>
      <c r="T386" s="4"/>
      <c r="U386" s="4"/>
      <c r="V386" s="4"/>
      <c r="W386" s="4"/>
    </row>
    <row r="387" spans="1:23" ht="16.5" customHeight="1">
      <c r="A387" s="4"/>
      <c r="B387" s="11"/>
      <c r="C387" s="11"/>
      <c r="D387" s="11"/>
      <c r="E387" s="14"/>
      <c r="F387" s="4"/>
      <c r="G387" s="14"/>
      <c r="H387" s="22"/>
      <c r="I387" s="4"/>
      <c r="J387" s="11"/>
      <c r="K387" s="11"/>
      <c r="L387" s="4"/>
      <c r="M387" s="4"/>
      <c r="N387" s="4"/>
      <c r="O387" s="4"/>
      <c r="P387" s="4"/>
      <c r="Q387" s="4"/>
      <c r="R387" s="4"/>
      <c r="S387" s="4"/>
      <c r="T387" s="4"/>
      <c r="U387" s="4"/>
      <c r="V387" s="4"/>
      <c r="W387" s="4"/>
    </row>
    <row r="388" spans="1:23" ht="16.5" customHeight="1">
      <c r="A388" s="4"/>
      <c r="B388" s="11"/>
      <c r="C388" s="11"/>
      <c r="D388" s="11"/>
      <c r="E388" s="14"/>
      <c r="F388" s="4"/>
      <c r="G388" s="14"/>
      <c r="H388" s="22"/>
      <c r="I388" s="4"/>
      <c r="J388" s="11"/>
      <c r="K388" s="11"/>
      <c r="L388" s="4"/>
      <c r="M388" s="4"/>
      <c r="N388" s="4"/>
      <c r="O388" s="4"/>
      <c r="P388" s="4"/>
      <c r="Q388" s="4"/>
      <c r="R388" s="4"/>
      <c r="S388" s="4"/>
      <c r="T388" s="4"/>
      <c r="U388" s="4"/>
      <c r="V388" s="4"/>
      <c r="W388" s="4"/>
    </row>
    <row r="389" spans="1:23" ht="16.5" customHeight="1">
      <c r="A389" s="4"/>
      <c r="B389" s="11"/>
      <c r="C389" s="11"/>
      <c r="D389" s="11"/>
      <c r="E389" s="14"/>
      <c r="F389" s="4"/>
      <c r="G389" s="14"/>
      <c r="H389" s="22"/>
      <c r="I389" s="4"/>
      <c r="J389" s="11"/>
      <c r="K389" s="11"/>
      <c r="L389" s="4"/>
      <c r="M389" s="4"/>
      <c r="N389" s="4"/>
      <c r="O389" s="4"/>
      <c r="P389" s="4"/>
      <c r="Q389" s="4"/>
      <c r="R389" s="4"/>
      <c r="S389" s="4"/>
      <c r="T389" s="4"/>
      <c r="U389" s="4"/>
      <c r="V389" s="4"/>
      <c r="W389" s="4"/>
    </row>
    <row r="390" spans="1:23" ht="16.5" customHeight="1">
      <c r="A390" s="4"/>
      <c r="B390" s="11"/>
      <c r="C390" s="11"/>
      <c r="D390" s="11"/>
      <c r="E390" s="14"/>
      <c r="F390" s="4"/>
      <c r="G390" s="14"/>
      <c r="H390" s="22"/>
      <c r="I390" s="4"/>
      <c r="J390" s="11"/>
      <c r="K390" s="11"/>
      <c r="L390" s="4"/>
      <c r="M390" s="4"/>
      <c r="N390" s="4"/>
      <c r="O390" s="4"/>
      <c r="P390" s="4"/>
      <c r="Q390" s="4"/>
      <c r="R390" s="4"/>
      <c r="S390" s="4"/>
      <c r="T390" s="4"/>
      <c r="U390" s="4"/>
      <c r="V390" s="4"/>
      <c r="W390" s="4"/>
    </row>
    <row r="391" spans="1:23" ht="16.5" customHeight="1">
      <c r="A391" s="4"/>
      <c r="B391" s="11"/>
      <c r="C391" s="11"/>
      <c r="D391" s="11"/>
      <c r="E391" s="14"/>
      <c r="F391" s="4"/>
      <c r="G391" s="14"/>
      <c r="H391" s="22"/>
      <c r="I391" s="4"/>
      <c r="J391" s="11"/>
      <c r="K391" s="11"/>
      <c r="L391" s="4"/>
      <c r="M391" s="4"/>
      <c r="N391" s="4"/>
      <c r="O391" s="4"/>
      <c r="P391" s="4"/>
      <c r="Q391" s="4"/>
      <c r="R391" s="4"/>
      <c r="S391" s="4"/>
      <c r="T391" s="4"/>
      <c r="U391" s="4"/>
      <c r="V391" s="4"/>
      <c r="W391" s="4"/>
    </row>
    <row r="392" spans="1:23" ht="16.5" customHeight="1">
      <c r="A392" s="4"/>
      <c r="B392" s="11"/>
      <c r="C392" s="11"/>
      <c r="D392" s="11"/>
      <c r="E392" s="14"/>
      <c r="F392" s="4"/>
      <c r="G392" s="14"/>
      <c r="H392" s="22"/>
      <c r="I392" s="4"/>
      <c r="J392" s="11"/>
      <c r="K392" s="11"/>
      <c r="L392" s="4"/>
      <c r="M392" s="4"/>
      <c r="N392" s="4"/>
      <c r="O392" s="4"/>
      <c r="P392" s="4"/>
      <c r="Q392" s="4"/>
      <c r="R392" s="4"/>
      <c r="S392" s="4"/>
      <c r="T392" s="4"/>
      <c r="U392" s="4"/>
      <c r="V392" s="4"/>
      <c r="W392" s="4"/>
    </row>
    <row r="393" spans="1:23" ht="16.5" customHeight="1">
      <c r="A393" s="4"/>
      <c r="B393" s="11"/>
      <c r="C393" s="11"/>
      <c r="D393" s="11"/>
      <c r="E393" s="14"/>
      <c r="F393" s="4"/>
      <c r="G393" s="14"/>
      <c r="H393" s="22"/>
      <c r="I393" s="4"/>
      <c r="J393" s="11"/>
      <c r="K393" s="11"/>
      <c r="L393" s="4"/>
      <c r="M393" s="4"/>
      <c r="N393" s="4"/>
      <c r="O393" s="4"/>
      <c r="P393" s="4"/>
      <c r="Q393" s="4"/>
      <c r="R393" s="4"/>
      <c r="S393" s="4"/>
      <c r="T393" s="4"/>
      <c r="U393" s="4"/>
      <c r="V393" s="4"/>
      <c r="W393" s="4"/>
    </row>
    <row r="394" spans="1:23" ht="16.5" customHeight="1">
      <c r="A394" s="4"/>
      <c r="B394" s="11"/>
      <c r="C394" s="11"/>
      <c r="D394" s="11"/>
      <c r="E394" s="14"/>
      <c r="F394" s="4"/>
      <c r="G394" s="14"/>
      <c r="H394" s="22"/>
      <c r="I394" s="4"/>
      <c r="J394" s="11"/>
      <c r="K394" s="11"/>
      <c r="L394" s="4"/>
      <c r="M394" s="4"/>
      <c r="N394" s="4"/>
      <c r="O394" s="4"/>
      <c r="P394" s="4"/>
      <c r="Q394" s="4"/>
      <c r="R394" s="4"/>
      <c r="S394" s="4"/>
      <c r="T394" s="4"/>
      <c r="U394" s="4"/>
      <c r="V394" s="4"/>
      <c r="W394" s="4"/>
    </row>
    <row r="395" spans="1:23" ht="16.5" customHeight="1">
      <c r="A395" s="4"/>
      <c r="B395" s="11"/>
      <c r="C395" s="11"/>
      <c r="D395" s="11"/>
      <c r="E395" s="14"/>
      <c r="F395" s="4"/>
      <c r="G395" s="14"/>
      <c r="H395" s="22"/>
      <c r="I395" s="4"/>
      <c r="J395" s="11"/>
      <c r="K395" s="11"/>
      <c r="L395" s="4"/>
      <c r="M395" s="4"/>
      <c r="N395" s="4"/>
      <c r="O395" s="4"/>
      <c r="P395" s="4"/>
      <c r="Q395" s="4"/>
      <c r="R395" s="4"/>
      <c r="S395" s="4"/>
      <c r="T395" s="4"/>
      <c r="U395" s="4"/>
      <c r="V395" s="4"/>
      <c r="W395" s="4"/>
    </row>
    <row r="396" spans="1:23" ht="16.5" customHeight="1">
      <c r="A396" s="4"/>
      <c r="B396" s="11"/>
      <c r="C396" s="11"/>
      <c r="D396" s="11"/>
      <c r="E396" s="14"/>
      <c r="F396" s="4"/>
      <c r="G396" s="14"/>
      <c r="H396" s="22"/>
      <c r="I396" s="4"/>
      <c r="J396" s="11"/>
      <c r="K396" s="11"/>
      <c r="L396" s="4"/>
      <c r="M396" s="4"/>
      <c r="N396" s="4"/>
      <c r="O396" s="4"/>
      <c r="P396" s="4"/>
      <c r="Q396" s="4"/>
      <c r="R396" s="4"/>
      <c r="S396" s="4"/>
      <c r="T396" s="4"/>
      <c r="U396" s="4"/>
      <c r="V396" s="4"/>
      <c r="W396" s="4"/>
    </row>
    <row r="397" spans="1:23" ht="16.5" customHeight="1">
      <c r="A397" s="4"/>
      <c r="B397" s="11"/>
      <c r="C397" s="11"/>
      <c r="D397" s="11"/>
      <c r="E397" s="14"/>
      <c r="F397" s="4"/>
      <c r="G397" s="14"/>
      <c r="H397" s="22"/>
      <c r="I397" s="4"/>
      <c r="J397" s="11"/>
      <c r="K397" s="11"/>
      <c r="L397" s="4"/>
      <c r="M397" s="4"/>
      <c r="N397" s="4"/>
      <c r="O397" s="4"/>
      <c r="P397" s="4"/>
      <c r="Q397" s="4"/>
      <c r="R397" s="4"/>
      <c r="S397" s="4"/>
      <c r="T397" s="4"/>
      <c r="U397" s="4"/>
      <c r="V397" s="4"/>
      <c r="W397" s="4"/>
    </row>
    <row r="398" spans="1:23" ht="16.5" customHeight="1">
      <c r="A398" s="4"/>
      <c r="B398" s="11"/>
      <c r="C398" s="11"/>
      <c r="D398" s="11"/>
      <c r="E398" s="14"/>
      <c r="F398" s="4"/>
      <c r="G398" s="14"/>
      <c r="H398" s="22"/>
      <c r="I398" s="4"/>
      <c r="J398" s="11"/>
      <c r="K398" s="11"/>
      <c r="L398" s="4"/>
      <c r="M398" s="4"/>
      <c r="N398" s="4"/>
      <c r="O398" s="4"/>
      <c r="P398" s="4"/>
      <c r="Q398" s="4"/>
      <c r="R398" s="4"/>
      <c r="S398" s="4"/>
      <c r="T398" s="4"/>
      <c r="U398" s="4"/>
      <c r="V398" s="4"/>
      <c r="W398" s="4"/>
    </row>
    <row r="399" spans="1:23" ht="16.5" customHeight="1">
      <c r="A399" s="4"/>
      <c r="B399" s="11"/>
      <c r="C399" s="11"/>
      <c r="D399" s="11"/>
      <c r="E399" s="14"/>
      <c r="F399" s="4"/>
      <c r="G399" s="14"/>
      <c r="H399" s="22"/>
      <c r="I399" s="4"/>
      <c r="J399" s="11"/>
      <c r="K399" s="11"/>
      <c r="L399" s="4"/>
      <c r="M399" s="4"/>
      <c r="N399" s="4"/>
      <c r="O399" s="4"/>
      <c r="P399" s="4"/>
      <c r="Q399" s="4"/>
      <c r="R399" s="4"/>
      <c r="S399" s="4"/>
      <c r="T399" s="4"/>
      <c r="U399" s="4"/>
      <c r="V399" s="4"/>
      <c r="W399" s="4"/>
    </row>
    <row r="400" spans="1:23" ht="16.5" customHeight="1">
      <c r="A400" s="4"/>
      <c r="B400" s="11"/>
      <c r="C400" s="11"/>
      <c r="D400" s="11"/>
      <c r="E400" s="14"/>
      <c r="F400" s="4"/>
      <c r="G400" s="14"/>
      <c r="H400" s="22"/>
      <c r="I400" s="4"/>
      <c r="J400" s="11"/>
      <c r="K400" s="11"/>
      <c r="L400" s="4"/>
      <c r="M400" s="4"/>
      <c r="N400" s="4"/>
      <c r="O400" s="4"/>
      <c r="P400" s="4"/>
      <c r="Q400" s="4"/>
      <c r="R400" s="4"/>
      <c r="S400" s="4"/>
      <c r="T400" s="4"/>
      <c r="U400" s="4"/>
      <c r="V400" s="4"/>
      <c r="W400" s="4"/>
    </row>
    <row r="401" spans="1:23" ht="16.5" customHeight="1">
      <c r="A401" s="4"/>
      <c r="B401" s="11"/>
      <c r="C401" s="11"/>
      <c r="D401" s="11"/>
      <c r="E401" s="14"/>
      <c r="F401" s="4"/>
      <c r="G401" s="14"/>
      <c r="H401" s="22"/>
      <c r="I401" s="4"/>
      <c r="J401" s="11"/>
      <c r="K401" s="11"/>
      <c r="L401" s="4"/>
      <c r="M401" s="4"/>
      <c r="N401" s="4"/>
      <c r="O401" s="4"/>
      <c r="P401" s="4"/>
      <c r="Q401" s="4"/>
      <c r="R401" s="4"/>
      <c r="S401" s="4"/>
      <c r="T401" s="4"/>
      <c r="U401" s="4"/>
      <c r="V401" s="4"/>
      <c r="W401" s="4"/>
    </row>
    <row r="402" spans="1:23" ht="16.5" customHeight="1">
      <c r="A402" s="4"/>
      <c r="B402" s="11"/>
      <c r="C402" s="11"/>
      <c r="D402" s="11"/>
      <c r="E402" s="14"/>
      <c r="F402" s="4"/>
      <c r="G402" s="14"/>
      <c r="H402" s="22"/>
      <c r="I402" s="4"/>
      <c r="J402" s="11"/>
      <c r="K402" s="11"/>
      <c r="L402" s="4"/>
      <c r="M402" s="4"/>
      <c r="N402" s="4"/>
      <c r="O402" s="4"/>
      <c r="P402" s="4"/>
      <c r="Q402" s="4"/>
      <c r="R402" s="4"/>
      <c r="S402" s="4"/>
      <c r="T402" s="4"/>
      <c r="U402" s="4"/>
      <c r="V402" s="4"/>
      <c r="W402" s="4"/>
    </row>
    <row r="403" spans="1:23" ht="16.5" customHeight="1">
      <c r="A403" s="4"/>
      <c r="B403" s="11"/>
      <c r="C403" s="11"/>
      <c r="D403" s="11"/>
      <c r="E403" s="14"/>
      <c r="F403" s="4"/>
      <c r="G403" s="14"/>
      <c r="H403" s="22"/>
      <c r="I403" s="4"/>
      <c r="J403" s="11"/>
      <c r="K403" s="11"/>
      <c r="L403" s="4"/>
      <c r="M403" s="4"/>
      <c r="N403" s="4"/>
      <c r="O403" s="4"/>
      <c r="P403" s="4"/>
      <c r="Q403" s="4"/>
      <c r="R403" s="4"/>
      <c r="S403" s="4"/>
      <c r="T403" s="4"/>
      <c r="U403" s="4"/>
      <c r="V403" s="4"/>
      <c r="W403" s="4"/>
    </row>
    <row r="404" spans="1:23" ht="16.5" customHeight="1">
      <c r="A404" s="4"/>
      <c r="B404" s="11"/>
      <c r="C404" s="11"/>
      <c r="D404" s="11"/>
      <c r="E404" s="14"/>
      <c r="F404" s="4"/>
      <c r="G404" s="14"/>
      <c r="H404" s="22"/>
      <c r="I404" s="4"/>
      <c r="J404" s="11"/>
      <c r="K404" s="11"/>
      <c r="L404" s="4"/>
      <c r="M404" s="4"/>
      <c r="N404" s="4"/>
      <c r="O404" s="4"/>
      <c r="P404" s="4"/>
      <c r="Q404" s="4"/>
      <c r="R404" s="4"/>
      <c r="S404" s="4"/>
      <c r="T404" s="4"/>
      <c r="U404" s="4"/>
      <c r="V404" s="4"/>
      <c r="W404" s="4"/>
    </row>
    <row r="405" spans="1:23" ht="16.5" customHeight="1">
      <c r="A405" s="4"/>
      <c r="B405" s="11"/>
      <c r="C405" s="11"/>
      <c r="D405" s="11"/>
      <c r="E405" s="14"/>
      <c r="F405" s="4"/>
      <c r="G405" s="14"/>
      <c r="H405" s="22"/>
      <c r="I405" s="4"/>
      <c r="J405" s="11"/>
      <c r="K405" s="11"/>
      <c r="L405" s="4"/>
      <c r="M405" s="4"/>
      <c r="N405" s="4"/>
      <c r="O405" s="4"/>
      <c r="P405" s="4"/>
      <c r="Q405" s="4"/>
      <c r="R405" s="4"/>
      <c r="S405" s="4"/>
      <c r="T405" s="4"/>
      <c r="U405" s="4"/>
      <c r="V405" s="4"/>
      <c r="W405" s="4"/>
    </row>
    <row r="406" spans="1:23" ht="16.5" customHeight="1">
      <c r="A406" s="4"/>
      <c r="B406" s="11"/>
      <c r="C406" s="11"/>
      <c r="D406" s="11"/>
      <c r="E406" s="14"/>
      <c r="F406" s="4"/>
      <c r="G406" s="14"/>
      <c r="H406" s="22"/>
      <c r="I406" s="4"/>
      <c r="J406" s="11"/>
      <c r="K406" s="11"/>
      <c r="L406" s="4"/>
      <c r="M406" s="4"/>
      <c r="N406" s="4"/>
      <c r="O406" s="4"/>
      <c r="P406" s="4"/>
      <c r="Q406" s="4"/>
      <c r="R406" s="4"/>
      <c r="S406" s="4"/>
      <c r="T406" s="4"/>
      <c r="U406" s="4"/>
      <c r="V406" s="4"/>
      <c r="W406" s="4"/>
    </row>
    <row r="407" spans="1:23" ht="16.5" customHeight="1">
      <c r="A407" s="4"/>
      <c r="B407" s="11"/>
      <c r="C407" s="11"/>
      <c r="D407" s="11"/>
      <c r="E407" s="14"/>
      <c r="F407" s="4"/>
      <c r="G407" s="14"/>
      <c r="H407" s="22"/>
      <c r="I407" s="4"/>
      <c r="J407" s="11"/>
      <c r="K407" s="11"/>
      <c r="L407" s="4"/>
      <c r="M407" s="4"/>
      <c r="N407" s="4"/>
      <c r="O407" s="4"/>
      <c r="P407" s="4"/>
      <c r="Q407" s="4"/>
      <c r="R407" s="4"/>
      <c r="S407" s="4"/>
      <c r="T407" s="4"/>
      <c r="U407" s="4"/>
      <c r="V407" s="4"/>
      <c r="W407" s="4"/>
    </row>
    <row r="408" spans="1:23" ht="16.5" customHeight="1">
      <c r="A408" s="4"/>
      <c r="B408" s="11"/>
      <c r="C408" s="11"/>
      <c r="D408" s="11"/>
      <c r="E408" s="14"/>
      <c r="F408" s="4"/>
      <c r="G408" s="14"/>
      <c r="H408" s="22"/>
      <c r="I408" s="4"/>
      <c r="J408" s="11"/>
      <c r="K408" s="11"/>
      <c r="L408" s="4"/>
      <c r="M408" s="4"/>
      <c r="N408" s="4"/>
      <c r="O408" s="4"/>
      <c r="P408" s="4"/>
      <c r="Q408" s="4"/>
      <c r="R408" s="4"/>
      <c r="S408" s="4"/>
      <c r="T408" s="4"/>
      <c r="U408" s="4"/>
      <c r="V408" s="4"/>
      <c r="W408" s="4"/>
    </row>
    <row r="409" spans="1:23" ht="16.5" customHeight="1">
      <c r="A409" s="4"/>
      <c r="B409" s="11"/>
      <c r="C409" s="11"/>
      <c r="D409" s="11"/>
      <c r="E409" s="14"/>
      <c r="F409" s="4"/>
      <c r="G409" s="14"/>
      <c r="H409" s="22"/>
      <c r="I409" s="4"/>
      <c r="J409" s="11"/>
      <c r="K409" s="11"/>
      <c r="L409" s="4"/>
      <c r="M409" s="4"/>
      <c r="N409" s="4"/>
      <c r="O409" s="4"/>
      <c r="P409" s="4"/>
      <c r="Q409" s="4"/>
      <c r="R409" s="4"/>
      <c r="S409" s="4"/>
      <c r="T409" s="4"/>
      <c r="U409" s="4"/>
      <c r="V409" s="4"/>
      <c r="W409" s="4"/>
    </row>
    <row r="410" spans="1:23" ht="16.5" customHeight="1">
      <c r="A410" s="4"/>
      <c r="B410" s="11"/>
      <c r="C410" s="11"/>
      <c r="D410" s="11"/>
      <c r="E410" s="14"/>
      <c r="F410" s="4"/>
      <c r="G410" s="14"/>
      <c r="H410" s="22"/>
      <c r="I410" s="4"/>
      <c r="J410" s="11"/>
      <c r="K410" s="11"/>
      <c r="L410" s="4"/>
      <c r="M410" s="4"/>
      <c r="N410" s="4"/>
      <c r="O410" s="4"/>
      <c r="P410" s="4"/>
      <c r="Q410" s="4"/>
      <c r="R410" s="4"/>
      <c r="S410" s="4"/>
      <c r="T410" s="4"/>
      <c r="U410" s="4"/>
      <c r="V410" s="4"/>
      <c r="W410" s="4"/>
    </row>
    <row r="411" spans="1:23" ht="16.5" customHeight="1">
      <c r="A411" s="4"/>
      <c r="B411" s="11"/>
      <c r="C411" s="11"/>
      <c r="D411" s="11"/>
      <c r="E411" s="14"/>
      <c r="F411" s="4"/>
      <c r="G411" s="14"/>
      <c r="H411" s="22"/>
      <c r="I411" s="4"/>
      <c r="J411" s="11"/>
      <c r="K411" s="11"/>
      <c r="L411" s="4"/>
      <c r="M411" s="4"/>
      <c r="N411" s="4"/>
      <c r="O411" s="4"/>
      <c r="P411" s="4"/>
      <c r="Q411" s="4"/>
      <c r="R411" s="4"/>
      <c r="S411" s="4"/>
      <c r="T411" s="4"/>
      <c r="U411" s="4"/>
      <c r="V411" s="4"/>
      <c r="W411" s="4"/>
    </row>
    <row r="412" spans="1:23" ht="16.5" customHeight="1">
      <c r="A412" s="4"/>
      <c r="B412" s="11"/>
      <c r="C412" s="11"/>
      <c r="D412" s="11"/>
      <c r="E412" s="14"/>
      <c r="F412" s="4"/>
      <c r="G412" s="14"/>
      <c r="H412" s="22"/>
      <c r="I412" s="4"/>
      <c r="J412" s="11"/>
      <c r="K412" s="11"/>
      <c r="L412" s="4"/>
      <c r="M412" s="4"/>
      <c r="N412" s="4"/>
      <c r="O412" s="4"/>
      <c r="P412" s="4"/>
      <c r="Q412" s="4"/>
      <c r="R412" s="4"/>
      <c r="S412" s="4"/>
      <c r="T412" s="4"/>
      <c r="U412" s="4"/>
      <c r="V412" s="4"/>
      <c r="W412" s="4"/>
    </row>
    <row r="413" spans="1:23" ht="16.5" customHeight="1">
      <c r="A413" s="4"/>
      <c r="B413" s="11"/>
      <c r="C413" s="11"/>
      <c r="D413" s="11"/>
      <c r="E413" s="14"/>
      <c r="F413" s="4"/>
      <c r="G413" s="14"/>
      <c r="H413" s="22"/>
      <c r="I413" s="4"/>
      <c r="J413" s="11"/>
      <c r="K413" s="11"/>
      <c r="L413" s="4"/>
      <c r="M413" s="4"/>
      <c r="N413" s="4"/>
      <c r="O413" s="4"/>
      <c r="P413" s="4"/>
      <c r="Q413" s="4"/>
      <c r="R413" s="4"/>
      <c r="S413" s="4"/>
      <c r="T413" s="4"/>
      <c r="U413" s="4"/>
      <c r="V413" s="4"/>
      <c r="W413" s="4"/>
    </row>
    <row r="414" spans="1:23" ht="16.5" customHeight="1">
      <c r="A414" s="4"/>
      <c r="B414" s="11"/>
      <c r="C414" s="11"/>
      <c r="D414" s="11"/>
      <c r="E414" s="14"/>
      <c r="F414" s="4"/>
      <c r="G414" s="14"/>
      <c r="H414" s="22"/>
      <c r="I414" s="4"/>
      <c r="J414" s="11"/>
      <c r="K414" s="11"/>
      <c r="L414" s="4"/>
      <c r="M414" s="4"/>
      <c r="N414" s="4"/>
      <c r="O414" s="4"/>
      <c r="P414" s="4"/>
      <c r="Q414" s="4"/>
      <c r="R414" s="4"/>
      <c r="S414" s="4"/>
      <c r="T414" s="4"/>
      <c r="U414" s="4"/>
      <c r="V414" s="4"/>
      <c r="W414" s="4"/>
    </row>
    <row r="415" spans="1:23" ht="16.5" customHeight="1">
      <c r="A415" s="4"/>
      <c r="B415" s="11"/>
      <c r="C415" s="11"/>
      <c r="D415" s="11"/>
      <c r="E415" s="14"/>
      <c r="F415" s="4"/>
      <c r="G415" s="14"/>
      <c r="H415" s="22"/>
      <c r="I415" s="4"/>
      <c r="J415" s="11"/>
      <c r="K415" s="11"/>
      <c r="L415" s="4"/>
      <c r="M415" s="4"/>
      <c r="N415" s="4"/>
      <c r="O415" s="4"/>
      <c r="P415" s="4"/>
      <c r="Q415" s="4"/>
      <c r="R415" s="4"/>
      <c r="S415" s="4"/>
      <c r="T415" s="4"/>
      <c r="U415" s="4"/>
      <c r="V415" s="4"/>
      <c r="W415" s="4"/>
    </row>
    <row r="416" spans="1:23" ht="16.5" customHeight="1">
      <c r="A416" s="4"/>
      <c r="B416" s="11"/>
      <c r="C416" s="11"/>
      <c r="D416" s="11"/>
      <c r="E416" s="14"/>
      <c r="F416" s="4"/>
      <c r="G416" s="14"/>
      <c r="H416" s="22"/>
      <c r="I416" s="4"/>
      <c r="J416" s="11"/>
      <c r="K416" s="11"/>
      <c r="L416" s="4"/>
      <c r="M416" s="4"/>
      <c r="N416" s="4"/>
      <c r="O416" s="4"/>
      <c r="P416" s="4"/>
      <c r="Q416" s="4"/>
      <c r="R416" s="4"/>
      <c r="S416" s="4"/>
      <c r="T416" s="4"/>
      <c r="U416" s="4"/>
      <c r="V416" s="4"/>
      <c r="W416" s="4"/>
    </row>
    <row r="417" spans="1:23" ht="16.5" customHeight="1">
      <c r="A417" s="4"/>
      <c r="B417" s="11"/>
      <c r="C417" s="11"/>
      <c r="D417" s="11"/>
      <c r="E417" s="14"/>
      <c r="F417" s="4"/>
      <c r="G417" s="14"/>
      <c r="H417" s="22"/>
      <c r="I417" s="4"/>
      <c r="J417" s="11"/>
      <c r="K417" s="11"/>
      <c r="L417" s="4"/>
      <c r="M417" s="4"/>
      <c r="N417" s="4"/>
      <c r="O417" s="4"/>
      <c r="P417" s="4"/>
      <c r="Q417" s="4"/>
      <c r="R417" s="4"/>
      <c r="S417" s="4"/>
      <c r="T417" s="4"/>
      <c r="U417" s="4"/>
      <c r="V417" s="4"/>
      <c r="W417" s="4"/>
    </row>
    <row r="418" spans="1:23" ht="16.5" customHeight="1">
      <c r="A418" s="4"/>
      <c r="B418" s="11"/>
      <c r="C418" s="11"/>
      <c r="D418" s="11"/>
      <c r="E418" s="14"/>
      <c r="F418" s="4"/>
      <c r="G418" s="14"/>
      <c r="H418" s="22"/>
      <c r="I418" s="4"/>
      <c r="J418" s="11"/>
      <c r="K418" s="11"/>
      <c r="L418" s="4"/>
      <c r="M418" s="4"/>
      <c r="N418" s="4"/>
      <c r="O418" s="4"/>
      <c r="P418" s="4"/>
      <c r="Q418" s="4"/>
      <c r="R418" s="4"/>
      <c r="S418" s="4"/>
      <c r="T418" s="4"/>
      <c r="U418" s="4"/>
      <c r="V418" s="4"/>
      <c r="W418" s="4"/>
    </row>
    <row r="419" spans="1:23" ht="16.5" customHeight="1">
      <c r="A419" s="4"/>
      <c r="B419" s="11"/>
      <c r="C419" s="11"/>
      <c r="D419" s="11"/>
      <c r="E419" s="14"/>
      <c r="F419" s="4"/>
      <c r="G419" s="14"/>
      <c r="H419" s="22"/>
      <c r="I419" s="4"/>
      <c r="J419" s="11"/>
      <c r="K419" s="11"/>
      <c r="L419" s="4"/>
      <c r="M419" s="4"/>
      <c r="N419" s="4"/>
      <c r="O419" s="4"/>
      <c r="P419" s="4"/>
      <c r="Q419" s="4"/>
      <c r="R419" s="4"/>
      <c r="S419" s="4"/>
      <c r="T419" s="4"/>
      <c r="U419" s="4"/>
      <c r="V419" s="4"/>
      <c r="W419" s="4"/>
    </row>
    <row r="420" spans="1:23" ht="16.5" customHeight="1">
      <c r="A420" s="4"/>
      <c r="B420" s="11"/>
      <c r="C420" s="11"/>
      <c r="D420" s="11"/>
      <c r="E420" s="14"/>
      <c r="F420" s="4"/>
      <c r="G420" s="14"/>
      <c r="H420" s="22"/>
      <c r="I420" s="4"/>
      <c r="J420" s="11"/>
      <c r="K420" s="11"/>
      <c r="L420" s="4"/>
      <c r="M420" s="4"/>
      <c r="N420" s="4"/>
      <c r="O420" s="4"/>
      <c r="P420" s="4"/>
      <c r="Q420" s="4"/>
      <c r="R420" s="4"/>
      <c r="S420" s="4"/>
      <c r="T420" s="4"/>
      <c r="U420" s="4"/>
      <c r="V420" s="4"/>
      <c r="W420" s="4"/>
    </row>
    <row r="421" spans="1:23" ht="16.5" customHeight="1">
      <c r="A421" s="4"/>
      <c r="B421" s="11"/>
      <c r="C421" s="11"/>
      <c r="D421" s="11"/>
      <c r="E421" s="14"/>
      <c r="F421" s="4"/>
      <c r="G421" s="14"/>
      <c r="H421" s="22"/>
      <c r="I421" s="4"/>
      <c r="J421" s="11"/>
      <c r="K421" s="11"/>
      <c r="L421" s="4"/>
      <c r="M421" s="4"/>
      <c r="N421" s="4"/>
      <c r="O421" s="4"/>
      <c r="P421" s="4"/>
      <c r="Q421" s="4"/>
      <c r="R421" s="4"/>
      <c r="S421" s="4"/>
      <c r="T421" s="4"/>
      <c r="U421" s="4"/>
      <c r="V421" s="4"/>
      <c r="W421" s="4"/>
    </row>
    <row r="422" spans="1:23" ht="16.5" customHeight="1">
      <c r="A422" s="4"/>
      <c r="B422" s="11"/>
      <c r="C422" s="11"/>
      <c r="D422" s="11"/>
      <c r="E422" s="14"/>
      <c r="F422" s="4"/>
      <c r="G422" s="14"/>
      <c r="H422" s="22"/>
      <c r="I422" s="4"/>
      <c r="J422" s="11"/>
      <c r="K422" s="11"/>
      <c r="L422" s="4"/>
      <c r="M422" s="4"/>
      <c r="N422" s="4"/>
      <c r="O422" s="4"/>
      <c r="P422" s="4"/>
      <c r="Q422" s="4"/>
      <c r="R422" s="4"/>
      <c r="S422" s="4"/>
      <c r="T422" s="4"/>
      <c r="U422" s="4"/>
      <c r="V422" s="4"/>
      <c r="W422" s="4"/>
    </row>
    <row r="423" spans="1:23" ht="16.5" customHeight="1">
      <c r="A423" s="4"/>
      <c r="B423" s="11"/>
      <c r="C423" s="11"/>
      <c r="D423" s="11"/>
      <c r="E423" s="14"/>
      <c r="F423" s="4"/>
      <c r="G423" s="14"/>
      <c r="H423" s="22"/>
      <c r="I423" s="4"/>
      <c r="J423" s="11"/>
      <c r="K423" s="11"/>
      <c r="L423" s="4"/>
      <c r="M423" s="4"/>
      <c r="N423" s="4"/>
      <c r="O423" s="4"/>
      <c r="P423" s="4"/>
      <c r="Q423" s="4"/>
      <c r="R423" s="4"/>
      <c r="S423" s="4"/>
      <c r="T423" s="4"/>
      <c r="U423" s="4"/>
      <c r="V423" s="4"/>
      <c r="W423" s="4"/>
    </row>
    <row r="424" spans="1:23" ht="16.5" customHeight="1">
      <c r="A424" s="4"/>
      <c r="B424" s="11"/>
      <c r="C424" s="11"/>
      <c r="D424" s="11"/>
      <c r="E424" s="14"/>
      <c r="F424" s="4"/>
      <c r="G424" s="14"/>
      <c r="H424" s="22"/>
      <c r="I424" s="4"/>
      <c r="J424" s="11"/>
      <c r="K424" s="11"/>
      <c r="L424" s="4"/>
      <c r="M424" s="4"/>
      <c r="N424" s="4"/>
      <c r="O424" s="4"/>
      <c r="P424" s="4"/>
      <c r="Q424" s="4"/>
      <c r="R424" s="4"/>
      <c r="S424" s="4"/>
      <c r="T424" s="4"/>
      <c r="U424" s="4"/>
      <c r="V424" s="4"/>
      <c r="W424" s="4"/>
    </row>
    <row r="425" spans="1:23" ht="16.5" customHeight="1">
      <c r="A425" s="4"/>
      <c r="B425" s="11"/>
      <c r="C425" s="11"/>
      <c r="D425" s="11"/>
      <c r="E425" s="14"/>
      <c r="F425" s="4"/>
      <c r="G425" s="14"/>
      <c r="H425" s="22"/>
      <c r="I425" s="4"/>
      <c r="J425" s="11"/>
      <c r="K425" s="11"/>
      <c r="L425" s="4"/>
      <c r="M425" s="4"/>
      <c r="N425" s="4"/>
      <c r="O425" s="4"/>
      <c r="P425" s="4"/>
      <c r="Q425" s="4"/>
      <c r="R425" s="4"/>
      <c r="S425" s="4"/>
      <c r="T425" s="4"/>
      <c r="U425" s="4"/>
      <c r="V425" s="4"/>
      <c r="W425" s="4"/>
    </row>
    <row r="426" spans="1:23" ht="16.5" customHeight="1">
      <c r="A426" s="4"/>
      <c r="B426" s="11"/>
      <c r="C426" s="11"/>
      <c r="D426" s="11"/>
      <c r="E426" s="14"/>
      <c r="F426" s="4"/>
      <c r="G426" s="14"/>
      <c r="H426" s="22"/>
      <c r="I426" s="4"/>
      <c r="J426" s="11"/>
      <c r="K426" s="11"/>
      <c r="L426" s="4"/>
      <c r="M426" s="4"/>
      <c r="N426" s="4"/>
      <c r="O426" s="4"/>
      <c r="P426" s="4"/>
      <c r="Q426" s="4"/>
      <c r="R426" s="4"/>
      <c r="S426" s="4"/>
      <c r="T426" s="4"/>
      <c r="U426" s="4"/>
      <c r="V426" s="4"/>
      <c r="W426" s="4"/>
    </row>
    <row r="427" spans="1:23" ht="16.5" customHeight="1">
      <c r="A427" s="4"/>
      <c r="B427" s="11"/>
      <c r="C427" s="11"/>
      <c r="D427" s="11"/>
      <c r="E427" s="14"/>
      <c r="F427" s="4"/>
      <c r="G427" s="14"/>
      <c r="H427" s="22"/>
      <c r="I427" s="4"/>
      <c r="J427" s="11"/>
      <c r="K427" s="11"/>
      <c r="L427" s="4"/>
      <c r="M427" s="4"/>
      <c r="N427" s="4"/>
      <c r="O427" s="4"/>
      <c r="P427" s="4"/>
      <c r="Q427" s="4"/>
      <c r="R427" s="4"/>
      <c r="S427" s="4"/>
      <c r="T427" s="4"/>
      <c r="U427" s="4"/>
      <c r="V427" s="4"/>
      <c r="W427" s="4"/>
    </row>
    <row r="428" spans="1:23" ht="16.5" customHeight="1">
      <c r="A428" s="4"/>
      <c r="B428" s="11"/>
      <c r="C428" s="11"/>
      <c r="D428" s="11"/>
      <c r="E428" s="14"/>
      <c r="F428" s="4"/>
      <c r="G428" s="14"/>
      <c r="H428" s="22"/>
      <c r="I428" s="4"/>
      <c r="J428" s="11"/>
      <c r="K428" s="11"/>
      <c r="L428" s="4"/>
      <c r="M428" s="4"/>
      <c r="N428" s="4"/>
      <c r="O428" s="4"/>
      <c r="P428" s="4"/>
      <c r="Q428" s="4"/>
      <c r="R428" s="4"/>
      <c r="S428" s="4"/>
      <c r="T428" s="4"/>
      <c r="U428" s="4"/>
      <c r="V428" s="4"/>
      <c r="W428" s="4"/>
    </row>
    <row r="429" spans="1:23" ht="16.5" customHeight="1">
      <c r="A429" s="4"/>
      <c r="B429" s="11"/>
      <c r="C429" s="11"/>
      <c r="D429" s="11"/>
      <c r="E429" s="14"/>
      <c r="F429" s="4"/>
      <c r="G429" s="14"/>
      <c r="H429" s="22"/>
      <c r="I429" s="4"/>
      <c r="J429" s="11"/>
      <c r="K429" s="11"/>
      <c r="L429" s="4"/>
      <c r="M429" s="4"/>
      <c r="N429" s="4"/>
      <c r="O429" s="4"/>
      <c r="P429" s="4"/>
      <c r="Q429" s="4"/>
      <c r="R429" s="4"/>
      <c r="S429" s="4"/>
      <c r="T429" s="4"/>
      <c r="U429" s="4"/>
      <c r="V429" s="4"/>
      <c r="W429" s="4"/>
    </row>
    <row r="430" spans="1:23" ht="16.5" customHeight="1">
      <c r="A430" s="4"/>
      <c r="B430" s="11"/>
      <c r="C430" s="11"/>
      <c r="D430" s="11"/>
      <c r="E430" s="14"/>
      <c r="F430" s="4"/>
      <c r="G430" s="14"/>
      <c r="H430" s="22"/>
      <c r="I430" s="4"/>
      <c r="J430" s="11"/>
      <c r="K430" s="11"/>
      <c r="L430" s="4"/>
      <c r="M430" s="4"/>
      <c r="N430" s="4"/>
      <c r="O430" s="4"/>
      <c r="P430" s="4"/>
      <c r="Q430" s="4"/>
      <c r="R430" s="4"/>
      <c r="S430" s="4"/>
      <c r="T430" s="4"/>
      <c r="U430" s="4"/>
      <c r="V430" s="4"/>
      <c r="W430" s="4"/>
    </row>
    <row r="431" spans="1:23" ht="16.5" customHeight="1">
      <c r="A431" s="4"/>
      <c r="B431" s="11"/>
      <c r="C431" s="11"/>
      <c r="D431" s="11"/>
      <c r="E431" s="14"/>
      <c r="F431" s="4"/>
      <c r="G431" s="14"/>
      <c r="H431" s="22"/>
      <c r="I431" s="4"/>
      <c r="J431" s="11"/>
      <c r="K431" s="11"/>
      <c r="L431" s="4"/>
      <c r="M431" s="4"/>
      <c r="N431" s="4"/>
      <c r="O431" s="4"/>
      <c r="P431" s="4"/>
      <c r="Q431" s="4"/>
      <c r="R431" s="4"/>
      <c r="S431" s="4"/>
      <c r="T431" s="4"/>
      <c r="U431" s="4"/>
      <c r="V431" s="4"/>
      <c r="W431" s="4"/>
    </row>
    <row r="432" spans="1:23" ht="16.5" customHeight="1">
      <c r="A432" s="4"/>
      <c r="B432" s="11"/>
      <c r="C432" s="11"/>
      <c r="D432" s="11"/>
      <c r="E432" s="14"/>
      <c r="F432" s="4"/>
      <c r="G432" s="14"/>
      <c r="H432" s="22"/>
      <c r="I432" s="4"/>
      <c r="J432" s="11"/>
      <c r="K432" s="11"/>
      <c r="L432" s="4"/>
      <c r="M432" s="4"/>
      <c r="N432" s="4"/>
      <c r="O432" s="4"/>
      <c r="P432" s="4"/>
      <c r="Q432" s="4"/>
      <c r="R432" s="4"/>
      <c r="S432" s="4"/>
      <c r="T432" s="4"/>
      <c r="U432" s="4"/>
      <c r="V432" s="4"/>
      <c r="W432" s="4"/>
    </row>
    <row r="433" spans="1:23" ht="16.5" customHeight="1">
      <c r="A433" s="4"/>
      <c r="B433" s="11"/>
      <c r="C433" s="11"/>
      <c r="D433" s="11"/>
      <c r="E433" s="14"/>
      <c r="F433" s="4"/>
      <c r="G433" s="14"/>
      <c r="H433" s="22"/>
      <c r="I433" s="4"/>
      <c r="J433" s="11"/>
      <c r="K433" s="11"/>
      <c r="L433" s="4"/>
      <c r="M433" s="4"/>
      <c r="N433" s="4"/>
      <c r="O433" s="4"/>
      <c r="P433" s="4"/>
      <c r="Q433" s="4"/>
      <c r="R433" s="4"/>
      <c r="S433" s="4"/>
      <c r="T433" s="4"/>
      <c r="U433" s="4"/>
      <c r="V433" s="4"/>
      <c r="W433" s="4"/>
    </row>
    <row r="434" spans="1:23" ht="16.5" customHeight="1">
      <c r="A434" s="4"/>
      <c r="B434" s="11"/>
      <c r="C434" s="11"/>
      <c r="D434" s="11"/>
      <c r="E434" s="14"/>
      <c r="F434" s="4"/>
      <c r="G434" s="14"/>
      <c r="H434" s="22"/>
      <c r="I434" s="4"/>
      <c r="J434" s="11"/>
      <c r="K434" s="11"/>
      <c r="L434" s="4"/>
      <c r="M434" s="4"/>
      <c r="N434" s="4"/>
      <c r="O434" s="4"/>
      <c r="P434" s="4"/>
      <c r="Q434" s="4"/>
      <c r="R434" s="4"/>
      <c r="S434" s="4"/>
      <c r="T434" s="4"/>
      <c r="U434" s="4"/>
      <c r="V434" s="4"/>
      <c r="W434" s="4"/>
    </row>
    <row r="435" spans="1:23" ht="16.5" customHeight="1">
      <c r="A435" s="4"/>
      <c r="B435" s="11"/>
      <c r="C435" s="11"/>
      <c r="D435" s="11"/>
      <c r="E435" s="14"/>
      <c r="F435" s="4"/>
      <c r="G435" s="14"/>
      <c r="H435" s="22"/>
      <c r="I435" s="4"/>
      <c r="J435" s="11"/>
      <c r="K435" s="11"/>
      <c r="L435" s="4"/>
      <c r="M435" s="4"/>
      <c r="N435" s="4"/>
      <c r="O435" s="4"/>
      <c r="P435" s="4"/>
      <c r="Q435" s="4"/>
      <c r="R435" s="4"/>
      <c r="S435" s="4"/>
      <c r="T435" s="4"/>
      <c r="U435" s="4"/>
      <c r="V435" s="4"/>
      <c r="W435" s="4"/>
    </row>
    <row r="436" spans="1:23" ht="16.5" customHeight="1">
      <c r="A436" s="4"/>
      <c r="B436" s="11"/>
      <c r="C436" s="11"/>
      <c r="D436" s="11"/>
      <c r="E436" s="14"/>
      <c r="F436" s="4"/>
      <c r="G436" s="14"/>
      <c r="H436" s="22"/>
      <c r="I436" s="4"/>
      <c r="J436" s="11"/>
      <c r="K436" s="11"/>
      <c r="L436" s="4"/>
      <c r="M436" s="4"/>
      <c r="N436" s="4"/>
      <c r="O436" s="4"/>
      <c r="P436" s="4"/>
      <c r="Q436" s="4"/>
      <c r="R436" s="4"/>
      <c r="S436" s="4"/>
      <c r="T436" s="4"/>
      <c r="U436" s="4"/>
      <c r="V436" s="4"/>
      <c r="W436" s="4"/>
    </row>
    <row r="437" spans="1:23" ht="16.5" customHeight="1">
      <c r="A437" s="4"/>
      <c r="B437" s="11"/>
      <c r="C437" s="11"/>
      <c r="D437" s="11"/>
      <c r="E437" s="14"/>
      <c r="F437" s="4"/>
      <c r="G437" s="14"/>
      <c r="H437" s="22"/>
      <c r="I437" s="4"/>
      <c r="J437" s="11"/>
      <c r="K437" s="11"/>
      <c r="L437" s="4"/>
      <c r="M437" s="4"/>
      <c r="N437" s="4"/>
      <c r="O437" s="4"/>
      <c r="P437" s="4"/>
      <c r="Q437" s="4"/>
      <c r="R437" s="4"/>
      <c r="S437" s="4"/>
      <c r="T437" s="4"/>
      <c r="U437" s="4"/>
      <c r="V437" s="4"/>
      <c r="W437" s="4"/>
    </row>
    <row r="438" spans="1:23" ht="16.5" customHeight="1">
      <c r="A438" s="4"/>
      <c r="B438" s="11"/>
      <c r="C438" s="11"/>
      <c r="D438" s="11"/>
      <c r="E438" s="14"/>
      <c r="F438" s="4"/>
      <c r="G438" s="14"/>
      <c r="H438" s="22"/>
      <c r="I438" s="4"/>
      <c r="J438" s="11"/>
      <c r="K438" s="11"/>
      <c r="L438" s="4"/>
      <c r="M438" s="4"/>
      <c r="N438" s="4"/>
      <c r="O438" s="4"/>
      <c r="P438" s="4"/>
      <c r="Q438" s="4"/>
      <c r="R438" s="4"/>
      <c r="S438" s="4"/>
      <c r="T438" s="4"/>
      <c r="U438" s="4"/>
      <c r="V438" s="4"/>
      <c r="W438" s="4"/>
    </row>
    <row r="439" spans="1:23" ht="16.5" customHeight="1">
      <c r="A439" s="4"/>
      <c r="B439" s="11"/>
      <c r="C439" s="11"/>
      <c r="D439" s="11"/>
      <c r="E439" s="14"/>
      <c r="F439" s="4"/>
      <c r="G439" s="14"/>
      <c r="H439" s="22"/>
      <c r="I439" s="4"/>
      <c r="J439" s="11"/>
      <c r="K439" s="11"/>
      <c r="L439" s="4"/>
      <c r="M439" s="4"/>
      <c r="N439" s="4"/>
      <c r="O439" s="4"/>
      <c r="P439" s="4"/>
      <c r="Q439" s="4"/>
      <c r="R439" s="4"/>
      <c r="S439" s="4"/>
      <c r="T439" s="4"/>
      <c r="U439" s="4"/>
      <c r="V439" s="4"/>
      <c r="W439" s="4"/>
    </row>
    <row r="440" spans="1:23" ht="16.5" customHeight="1">
      <c r="A440" s="4"/>
      <c r="B440" s="11"/>
      <c r="C440" s="11"/>
      <c r="D440" s="11"/>
      <c r="E440" s="14"/>
      <c r="F440" s="4"/>
      <c r="G440" s="14"/>
      <c r="H440" s="22"/>
      <c r="I440" s="4"/>
      <c r="J440" s="11"/>
      <c r="K440" s="11"/>
      <c r="L440" s="4"/>
      <c r="M440" s="4"/>
      <c r="N440" s="4"/>
      <c r="O440" s="4"/>
      <c r="P440" s="4"/>
      <c r="Q440" s="4"/>
      <c r="R440" s="4"/>
      <c r="S440" s="4"/>
      <c r="T440" s="4"/>
      <c r="U440" s="4"/>
      <c r="V440" s="4"/>
      <c r="W440" s="4"/>
    </row>
    <row r="441" spans="1:23" ht="16.5" customHeight="1">
      <c r="A441" s="4"/>
      <c r="B441" s="11"/>
      <c r="C441" s="11"/>
      <c r="D441" s="11"/>
      <c r="E441" s="14"/>
      <c r="F441" s="4"/>
      <c r="G441" s="14"/>
      <c r="H441" s="22"/>
      <c r="I441" s="4"/>
      <c r="J441" s="11"/>
      <c r="K441" s="11"/>
      <c r="L441" s="4"/>
      <c r="M441" s="4"/>
      <c r="N441" s="4"/>
      <c r="O441" s="4"/>
      <c r="P441" s="4"/>
      <c r="Q441" s="4"/>
      <c r="R441" s="4"/>
      <c r="S441" s="4"/>
      <c r="T441" s="4"/>
      <c r="U441" s="4"/>
      <c r="V441" s="4"/>
      <c r="W441" s="4"/>
    </row>
    <row r="442" spans="1:23" ht="16.5" customHeight="1">
      <c r="A442" s="4"/>
      <c r="B442" s="11"/>
      <c r="C442" s="11"/>
      <c r="D442" s="11"/>
      <c r="E442" s="14"/>
      <c r="F442" s="4"/>
      <c r="G442" s="14"/>
      <c r="H442" s="22"/>
      <c r="I442" s="4"/>
      <c r="J442" s="11"/>
      <c r="K442" s="11"/>
      <c r="L442" s="4"/>
      <c r="M442" s="4"/>
      <c r="N442" s="4"/>
      <c r="O442" s="4"/>
      <c r="P442" s="4"/>
      <c r="Q442" s="4"/>
      <c r="R442" s="4"/>
      <c r="S442" s="4"/>
      <c r="T442" s="4"/>
      <c r="U442" s="4"/>
      <c r="V442" s="4"/>
      <c r="W442" s="4"/>
    </row>
    <row r="443" spans="1:23" ht="16.5" customHeight="1">
      <c r="A443" s="4"/>
      <c r="B443" s="11"/>
      <c r="C443" s="11"/>
      <c r="D443" s="11"/>
      <c r="E443" s="14"/>
      <c r="F443" s="4"/>
      <c r="G443" s="14"/>
      <c r="H443" s="22"/>
      <c r="I443" s="4"/>
      <c r="J443" s="11"/>
      <c r="K443" s="11"/>
      <c r="L443" s="4"/>
      <c r="M443" s="4"/>
      <c r="N443" s="4"/>
      <c r="O443" s="4"/>
      <c r="P443" s="4"/>
      <c r="Q443" s="4"/>
      <c r="R443" s="4"/>
      <c r="S443" s="4"/>
      <c r="T443" s="4"/>
      <c r="U443" s="4"/>
      <c r="V443" s="4"/>
      <c r="W443" s="4"/>
    </row>
    <row r="444" spans="1:23" ht="16.5" customHeight="1">
      <c r="A444" s="4"/>
      <c r="B444" s="11"/>
      <c r="C444" s="11"/>
      <c r="D444" s="11"/>
      <c r="E444" s="14"/>
      <c r="F444" s="4"/>
      <c r="G444" s="14"/>
      <c r="H444" s="22"/>
      <c r="I444" s="4"/>
      <c r="J444" s="11"/>
      <c r="K444" s="11"/>
      <c r="L444" s="4"/>
      <c r="M444" s="4"/>
      <c r="N444" s="4"/>
      <c r="O444" s="4"/>
      <c r="P444" s="4"/>
      <c r="Q444" s="4"/>
      <c r="R444" s="4"/>
      <c r="S444" s="4"/>
      <c r="T444" s="4"/>
      <c r="U444" s="4"/>
      <c r="V444" s="4"/>
      <c r="W444" s="4"/>
    </row>
    <row r="445" spans="1:23" ht="16.5" customHeight="1">
      <c r="A445" s="4"/>
      <c r="B445" s="11"/>
      <c r="C445" s="11"/>
      <c r="D445" s="11"/>
      <c r="E445" s="14"/>
      <c r="F445" s="4"/>
      <c r="G445" s="14"/>
      <c r="H445" s="22"/>
      <c r="I445" s="4"/>
      <c r="J445" s="11"/>
      <c r="K445" s="11"/>
      <c r="L445" s="4"/>
      <c r="M445" s="4"/>
      <c r="N445" s="4"/>
      <c r="O445" s="4"/>
      <c r="P445" s="4"/>
      <c r="Q445" s="4"/>
      <c r="R445" s="4"/>
      <c r="S445" s="4"/>
      <c r="T445" s="4"/>
      <c r="U445" s="4"/>
      <c r="V445" s="4"/>
      <c r="W445" s="4"/>
    </row>
    <row r="446" spans="1:23" ht="16.5" customHeight="1">
      <c r="A446" s="4"/>
      <c r="B446" s="11"/>
      <c r="C446" s="11"/>
      <c r="D446" s="11"/>
      <c r="E446" s="14"/>
      <c r="F446" s="4"/>
      <c r="G446" s="14"/>
      <c r="H446" s="22"/>
      <c r="I446" s="4"/>
      <c r="J446" s="11"/>
      <c r="K446" s="11"/>
      <c r="L446" s="4"/>
      <c r="M446" s="4"/>
      <c r="N446" s="4"/>
      <c r="O446" s="4"/>
      <c r="P446" s="4"/>
      <c r="Q446" s="4"/>
      <c r="R446" s="4"/>
      <c r="S446" s="4"/>
      <c r="T446" s="4"/>
      <c r="U446" s="4"/>
      <c r="V446" s="4"/>
      <c r="W446" s="4"/>
    </row>
    <row r="447" spans="1:23" ht="16.5" customHeight="1">
      <c r="A447" s="4"/>
      <c r="B447" s="11"/>
      <c r="C447" s="11"/>
      <c r="D447" s="11"/>
      <c r="E447" s="14"/>
      <c r="F447" s="4"/>
      <c r="G447" s="14"/>
      <c r="H447" s="22"/>
      <c r="I447" s="4"/>
      <c r="J447" s="11"/>
      <c r="K447" s="11"/>
      <c r="L447" s="4"/>
      <c r="M447" s="4"/>
      <c r="N447" s="4"/>
      <c r="O447" s="4"/>
      <c r="P447" s="4"/>
      <c r="Q447" s="4"/>
      <c r="R447" s="4"/>
      <c r="S447" s="4"/>
      <c r="T447" s="4"/>
      <c r="U447" s="4"/>
      <c r="V447" s="4"/>
      <c r="W447" s="4"/>
    </row>
    <row r="448" spans="1:23" ht="16.5" customHeight="1">
      <c r="A448" s="4"/>
      <c r="B448" s="11"/>
      <c r="C448" s="11"/>
      <c r="D448" s="11"/>
      <c r="E448" s="14"/>
      <c r="F448" s="4"/>
      <c r="G448" s="14"/>
      <c r="H448" s="22"/>
      <c r="I448" s="4"/>
      <c r="J448" s="11"/>
      <c r="K448" s="11"/>
      <c r="L448" s="4"/>
      <c r="M448" s="4"/>
      <c r="N448" s="4"/>
      <c r="O448" s="4"/>
      <c r="P448" s="4"/>
      <c r="Q448" s="4"/>
      <c r="R448" s="4"/>
      <c r="S448" s="4"/>
      <c r="T448" s="4"/>
      <c r="U448" s="4"/>
      <c r="V448" s="4"/>
      <c r="W448" s="4"/>
    </row>
    <row r="449" spans="1:23" ht="16.5" customHeight="1">
      <c r="A449" s="4"/>
      <c r="B449" s="11"/>
      <c r="C449" s="11"/>
      <c r="D449" s="11"/>
      <c r="E449" s="14"/>
      <c r="F449" s="4"/>
      <c r="G449" s="14"/>
      <c r="H449" s="22"/>
      <c r="I449" s="4"/>
      <c r="J449" s="11"/>
      <c r="K449" s="11"/>
      <c r="L449" s="4"/>
      <c r="M449" s="4"/>
      <c r="N449" s="4"/>
      <c r="O449" s="4"/>
      <c r="P449" s="4"/>
      <c r="Q449" s="4"/>
      <c r="R449" s="4"/>
      <c r="S449" s="4"/>
      <c r="T449" s="4"/>
      <c r="U449" s="4"/>
      <c r="V449" s="4"/>
      <c r="W449" s="4"/>
    </row>
    <row r="450" spans="1:23" ht="16.5" customHeight="1">
      <c r="A450" s="4"/>
      <c r="B450" s="11"/>
      <c r="C450" s="11"/>
      <c r="D450" s="11"/>
      <c r="E450" s="14"/>
      <c r="F450" s="4"/>
      <c r="G450" s="14"/>
      <c r="H450" s="22"/>
      <c r="I450" s="4"/>
      <c r="J450" s="11"/>
      <c r="K450" s="11"/>
      <c r="L450" s="4"/>
      <c r="M450" s="4"/>
      <c r="N450" s="4"/>
      <c r="O450" s="4"/>
      <c r="P450" s="4"/>
      <c r="Q450" s="4"/>
      <c r="R450" s="4"/>
      <c r="S450" s="4"/>
      <c r="T450" s="4"/>
      <c r="U450" s="4"/>
      <c r="V450" s="4"/>
      <c r="W450" s="4"/>
    </row>
    <row r="451" spans="1:23" ht="16.5" customHeight="1">
      <c r="A451" s="4"/>
      <c r="B451" s="11"/>
      <c r="C451" s="11"/>
      <c r="D451" s="11"/>
      <c r="E451" s="14"/>
      <c r="F451" s="4"/>
      <c r="G451" s="14"/>
      <c r="H451" s="22"/>
      <c r="I451" s="4"/>
      <c r="J451" s="11"/>
      <c r="K451" s="11"/>
      <c r="L451" s="4"/>
      <c r="M451" s="4"/>
      <c r="N451" s="4"/>
      <c r="O451" s="4"/>
      <c r="P451" s="4"/>
      <c r="Q451" s="4"/>
      <c r="R451" s="4"/>
      <c r="S451" s="4"/>
      <c r="T451" s="4"/>
      <c r="U451" s="4"/>
      <c r="V451" s="4"/>
      <c r="W451" s="4"/>
    </row>
    <row r="452" spans="1:23" ht="16.5" customHeight="1">
      <c r="A452" s="4"/>
      <c r="B452" s="11"/>
      <c r="C452" s="11"/>
      <c r="D452" s="11"/>
      <c r="E452" s="14"/>
      <c r="F452" s="4"/>
      <c r="G452" s="14"/>
      <c r="H452" s="22"/>
      <c r="I452" s="4"/>
      <c r="J452" s="11"/>
      <c r="K452" s="11"/>
      <c r="L452" s="4"/>
      <c r="M452" s="4"/>
      <c r="N452" s="4"/>
      <c r="O452" s="4"/>
      <c r="P452" s="4"/>
      <c r="Q452" s="4"/>
      <c r="R452" s="4"/>
      <c r="S452" s="4"/>
      <c r="T452" s="4"/>
      <c r="U452" s="4"/>
      <c r="V452" s="4"/>
      <c r="W452" s="4"/>
    </row>
    <row r="453" spans="1:23" ht="16.5" customHeight="1">
      <c r="A453" s="4"/>
      <c r="B453" s="11"/>
      <c r="C453" s="11"/>
      <c r="D453" s="11"/>
      <c r="E453" s="14"/>
      <c r="F453" s="4"/>
      <c r="G453" s="14"/>
      <c r="H453" s="22"/>
      <c r="I453" s="4"/>
      <c r="J453" s="11"/>
      <c r="K453" s="11"/>
      <c r="L453" s="4"/>
      <c r="M453" s="4"/>
      <c r="N453" s="4"/>
      <c r="O453" s="4"/>
      <c r="P453" s="4"/>
      <c r="Q453" s="4"/>
      <c r="R453" s="4"/>
      <c r="S453" s="4"/>
      <c r="T453" s="4"/>
      <c r="U453" s="4"/>
      <c r="V453" s="4"/>
      <c r="W453" s="4"/>
    </row>
    <row r="454" spans="1:23" ht="16.5" customHeight="1">
      <c r="A454" s="4"/>
      <c r="B454" s="11"/>
      <c r="C454" s="11"/>
      <c r="D454" s="11"/>
      <c r="E454" s="14"/>
      <c r="F454" s="4"/>
      <c r="G454" s="14"/>
      <c r="H454" s="22"/>
      <c r="I454" s="4"/>
      <c r="J454" s="11"/>
      <c r="K454" s="11"/>
      <c r="L454" s="4"/>
      <c r="M454" s="4"/>
      <c r="N454" s="4"/>
      <c r="O454" s="4"/>
      <c r="P454" s="4"/>
      <c r="Q454" s="4"/>
      <c r="R454" s="4"/>
      <c r="S454" s="4"/>
      <c r="T454" s="4"/>
      <c r="U454" s="4"/>
      <c r="V454" s="4"/>
      <c r="W454" s="4"/>
    </row>
    <row r="455" spans="1:23" ht="16.5" customHeight="1">
      <c r="A455" s="4"/>
      <c r="B455" s="11"/>
      <c r="C455" s="11"/>
      <c r="D455" s="11"/>
      <c r="E455" s="14"/>
      <c r="F455" s="4"/>
      <c r="G455" s="14"/>
      <c r="H455" s="22"/>
      <c r="I455" s="4"/>
      <c r="J455" s="11"/>
      <c r="K455" s="11"/>
      <c r="L455" s="4"/>
      <c r="M455" s="4"/>
      <c r="N455" s="4"/>
      <c r="O455" s="4"/>
      <c r="P455" s="4"/>
      <c r="Q455" s="4"/>
      <c r="R455" s="4"/>
      <c r="S455" s="4"/>
      <c r="T455" s="4"/>
      <c r="U455" s="4"/>
      <c r="V455" s="4"/>
      <c r="W455" s="4"/>
    </row>
    <row r="456" spans="1:23" ht="16.5" customHeight="1">
      <c r="A456" s="4"/>
      <c r="B456" s="11"/>
      <c r="C456" s="11"/>
      <c r="D456" s="11"/>
      <c r="E456" s="14"/>
      <c r="F456" s="4"/>
      <c r="G456" s="14"/>
      <c r="H456" s="22"/>
      <c r="I456" s="4"/>
      <c r="J456" s="11"/>
      <c r="K456" s="11"/>
      <c r="L456" s="4"/>
      <c r="M456" s="4"/>
      <c r="N456" s="4"/>
      <c r="O456" s="4"/>
      <c r="P456" s="4"/>
      <c r="Q456" s="4"/>
      <c r="R456" s="4"/>
      <c r="S456" s="4"/>
      <c r="T456" s="4"/>
      <c r="U456" s="4"/>
      <c r="V456" s="4"/>
      <c r="W456" s="4"/>
    </row>
    <row r="457" spans="1:23" ht="16.5" customHeight="1">
      <c r="A457" s="4"/>
      <c r="B457" s="11"/>
      <c r="C457" s="11"/>
      <c r="D457" s="11"/>
      <c r="E457" s="14"/>
      <c r="F457" s="4"/>
      <c r="G457" s="14"/>
      <c r="H457" s="22"/>
      <c r="I457" s="4"/>
      <c r="J457" s="11"/>
      <c r="K457" s="11"/>
      <c r="L457" s="4"/>
      <c r="M457" s="4"/>
      <c r="N457" s="4"/>
      <c r="O457" s="4"/>
      <c r="P457" s="4"/>
      <c r="Q457" s="4"/>
      <c r="R457" s="4"/>
      <c r="S457" s="4"/>
      <c r="T457" s="4"/>
      <c r="U457" s="4"/>
      <c r="V457" s="4"/>
      <c r="W457" s="4"/>
    </row>
    <row r="458" spans="1:23" ht="16.5" customHeight="1">
      <c r="A458" s="4"/>
      <c r="B458" s="11"/>
      <c r="C458" s="11"/>
      <c r="D458" s="11"/>
      <c r="E458" s="14"/>
      <c r="F458" s="4"/>
      <c r="G458" s="14"/>
      <c r="H458" s="22"/>
      <c r="I458" s="4"/>
      <c r="J458" s="11"/>
      <c r="K458" s="11"/>
      <c r="L458" s="4"/>
      <c r="M458" s="4"/>
      <c r="N458" s="4"/>
      <c r="O458" s="4"/>
      <c r="P458" s="4"/>
      <c r="Q458" s="4"/>
      <c r="R458" s="4"/>
      <c r="S458" s="4"/>
      <c r="T458" s="4"/>
      <c r="U458" s="4"/>
      <c r="V458" s="4"/>
      <c r="W458" s="4"/>
    </row>
    <row r="459" spans="1:23" ht="16.5" customHeight="1">
      <c r="A459" s="4"/>
      <c r="B459" s="11"/>
      <c r="C459" s="11"/>
      <c r="D459" s="11"/>
      <c r="E459" s="14"/>
      <c r="F459" s="4"/>
      <c r="G459" s="14"/>
      <c r="H459" s="22"/>
      <c r="I459" s="4"/>
      <c r="J459" s="11"/>
      <c r="K459" s="11"/>
      <c r="L459" s="4"/>
      <c r="M459" s="4"/>
      <c r="N459" s="4"/>
      <c r="O459" s="4"/>
      <c r="P459" s="4"/>
      <c r="Q459" s="4"/>
      <c r="R459" s="4"/>
      <c r="S459" s="4"/>
      <c r="T459" s="4"/>
      <c r="U459" s="4"/>
      <c r="V459" s="4"/>
      <c r="W459" s="4"/>
    </row>
    <row r="460" spans="1:23" ht="16.5" customHeight="1">
      <c r="A460" s="4"/>
      <c r="B460" s="11"/>
      <c r="C460" s="11"/>
      <c r="D460" s="11"/>
      <c r="E460" s="14"/>
      <c r="F460" s="4"/>
      <c r="G460" s="14"/>
      <c r="H460" s="22"/>
      <c r="I460" s="4"/>
      <c r="J460" s="11"/>
      <c r="K460" s="11"/>
      <c r="L460" s="4"/>
      <c r="M460" s="4"/>
      <c r="N460" s="4"/>
      <c r="O460" s="4"/>
      <c r="P460" s="4"/>
      <c r="Q460" s="4"/>
      <c r="R460" s="4"/>
      <c r="S460" s="4"/>
      <c r="T460" s="4"/>
      <c r="U460" s="4"/>
      <c r="V460" s="4"/>
      <c r="W460" s="4"/>
    </row>
    <row r="461" spans="1:23" ht="16.5" customHeight="1">
      <c r="A461" s="4"/>
      <c r="B461" s="11"/>
      <c r="C461" s="11"/>
      <c r="D461" s="11"/>
      <c r="E461" s="14"/>
      <c r="F461" s="4"/>
      <c r="G461" s="14"/>
      <c r="H461" s="22"/>
      <c r="I461" s="4"/>
      <c r="J461" s="11"/>
      <c r="K461" s="11"/>
      <c r="L461" s="4"/>
      <c r="M461" s="4"/>
      <c r="N461" s="4"/>
      <c r="O461" s="4"/>
      <c r="P461" s="4"/>
      <c r="Q461" s="4"/>
      <c r="R461" s="4"/>
      <c r="S461" s="4"/>
      <c r="T461" s="4"/>
      <c r="U461" s="4"/>
      <c r="V461" s="4"/>
      <c r="W461" s="4"/>
    </row>
    <row r="462" spans="1:23" ht="16.5" customHeight="1">
      <c r="A462" s="4"/>
      <c r="B462" s="11"/>
      <c r="C462" s="11"/>
      <c r="D462" s="11"/>
      <c r="E462" s="14"/>
      <c r="F462" s="4"/>
      <c r="G462" s="14"/>
      <c r="H462" s="22"/>
      <c r="I462" s="4"/>
      <c r="J462" s="11"/>
      <c r="K462" s="11"/>
      <c r="L462" s="4"/>
      <c r="M462" s="4"/>
      <c r="N462" s="4"/>
      <c r="O462" s="4"/>
      <c r="P462" s="4"/>
      <c r="Q462" s="4"/>
      <c r="R462" s="4"/>
      <c r="S462" s="4"/>
      <c r="T462" s="4"/>
      <c r="U462" s="4"/>
      <c r="V462" s="4"/>
      <c r="W462" s="4"/>
    </row>
    <row r="463" spans="1:23" ht="16.5" customHeight="1">
      <c r="A463" s="4"/>
      <c r="B463" s="11"/>
      <c r="C463" s="11"/>
      <c r="D463" s="11"/>
      <c r="E463" s="14"/>
      <c r="F463" s="4"/>
      <c r="G463" s="14"/>
      <c r="H463" s="22"/>
      <c r="I463" s="4"/>
      <c r="J463" s="11"/>
      <c r="K463" s="11"/>
      <c r="L463" s="4"/>
      <c r="M463" s="4"/>
      <c r="N463" s="4"/>
      <c r="O463" s="4"/>
      <c r="P463" s="4"/>
      <c r="Q463" s="4"/>
      <c r="R463" s="4"/>
      <c r="S463" s="4"/>
      <c r="T463" s="4"/>
      <c r="U463" s="4"/>
      <c r="V463" s="4"/>
      <c r="W463" s="4"/>
    </row>
    <row r="464" spans="1:23" ht="16.5" customHeight="1">
      <c r="A464" s="4"/>
      <c r="B464" s="11"/>
      <c r="C464" s="11"/>
      <c r="D464" s="11"/>
      <c r="E464" s="14"/>
      <c r="F464" s="4"/>
      <c r="G464" s="14"/>
      <c r="H464" s="22"/>
      <c r="I464" s="4"/>
      <c r="J464" s="11"/>
      <c r="K464" s="11"/>
      <c r="L464" s="4"/>
      <c r="M464" s="4"/>
      <c r="N464" s="4"/>
      <c r="O464" s="4"/>
      <c r="P464" s="4"/>
      <c r="Q464" s="4"/>
      <c r="R464" s="4"/>
      <c r="S464" s="4"/>
      <c r="T464" s="4"/>
      <c r="U464" s="4"/>
      <c r="V464" s="4"/>
      <c r="W464" s="4"/>
    </row>
    <row r="465" spans="1:23" ht="16.5" customHeight="1">
      <c r="A465" s="4"/>
      <c r="B465" s="11"/>
      <c r="C465" s="11"/>
      <c r="D465" s="11"/>
      <c r="E465" s="14"/>
      <c r="F465" s="4"/>
      <c r="G465" s="14"/>
      <c r="H465" s="22"/>
      <c r="I465" s="4"/>
      <c r="J465" s="11"/>
      <c r="K465" s="11"/>
      <c r="L465" s="4"/>
      <c r="M465" s="4"/>
      <c r="N465" s="4"/>
      <c r="O465" s="4"/>
      <c r="P465" s="4"/>
      <c r="Q465" s="4"/>
      <c r="R465" s="4"/>
      <c r="S465" s="4"/>
      <c r="T465" s="4"/>
      <c r="U465" s="4"/>
      <c r="V465" s="4"/>
      <c r="W465" s="4"/>
    </row>
    <row r="466" spans="1:23" ht="16.5" customHeight="1">
      <c r="A466" s="4"/>
      <c r="B466" s="11"/>
      <c r="C466" s="11"/>
      <c r="D466" s="11"/>
      <c r="E466" s="14"/>
      <c r="F466" s="4"/>
      <c r="G466" s="14"/>
      <c r="H466" s="22"/>
      <c r="I466" s="4"/>
      <c r="J466" s="11"/>
      <c r="K466" s="11"/>
      <c r="L466" s="4"/>
      <c r="M466" s="4"/>
      <c r="N466" s="4"/>
      <c r="O466" s="4"/>
      <c r="P466" s="4"/>
      <c r="Q466" s="4"/>
      <c r="R466" s="4"/>
      <c r="S466" s="4"/>
      <c r="T466" s="4"/>
      <c r="U466" s="4"/>
      <c r="V466" s="4"/>
      <c r="W466" s="4"/>
    </row>
    <row r="467" spans="1:23" ht="16.5" customHeight="1">
      <c r="A467" s="4"/>
      <c r="B467" s="11"/>
      <c r="C467" s="11"/>
      <c r="D467" s="11"/>
      <c r="E467" s="14"/>
      <c r="F467" s="4"/>
      <c r="G467" s="14"/>
      <c r="H467" s="22"/>
      <c r="I467" s="4"/>
      <c r="J467" s="11"/>
      <c r="K467" s="11"/>
      <c r="L467" s="4"/>
      <c r="M467" s="4"/>
      <c r="N467" s="4"/>
      <c r="O467" s="4"/>
      <c r="P467" s="4"/>
      <c r="Q467" s="4"/>
      <c r="R467" s="4"/>
      <c r="S467" s="4"/>
      <c r="T467" s="4"/>
      <c r="U467" s="4"/>
      <c r="V467" s="4"/>
      <c r="W467" s="4"/>
    </row>
    <row r="468" spans="1:23" ht="16.5" customHeight="1">
      <c r="A468" s="4"/>
      <c r="B468" s="11"/>
      <c r="C468" s="11"/>
      <c r="D468" s="11"/>
      <c r="E468" s="14"/>
      <c r="F468" s="4"/>
      <c r="G468" s="14"/>
      <c r="H468" s="22"/>
      <c r="I468" s="4"/>
      <c r="J468" s="11"/>
      <c r="K468" s="11"/>
      <c r="L468" s="4"/>
      <c r="M468" s="4"/>
      <c r="N468" s="4"/>
      <c r="O468" s="4"/>
      <c r="P468" s="4"/>
      <c r="Q468" s="4"/>
      <c r="R468" s="4"/>
      <c r="S468" s="4"/>
      <c r="T468" s="4"/>
      <c r="U468" s="4"/>
      <c r="V468" s="4"/>
      <c r="W468" s="4"/>
    </row>
    <row r="469" spans="1:23" ht="16.5" customHeight="1">
      <c r="A469" s="4"/>
      <c r="B469" s="11"/>
      <c r="C469" s="11"/>
      <c r="D469" s="11"/>
      <c r="E469" s="14"/>
      <c r="F469" s="4"/>
      <c r="G469" s="14"/>
      <c r="H469" s="22"/>
      <c r="I469" s="4"/>
      <c r="J469" s="11"/>
      <c r="K469" s="11"/>
      <c r="L469" s="4"/>
      <c r="M469" s="4"/>
      <c r="N469" s="4"/>
      <c r="O469" s="4"/>
      <c r="P469" s="4"/>
      <c r="Q469" s="4"/>
      <c r="R469" s="4"/>
      <c r="S469" s="4"/>
      <c r="T469" s="4"/>
      <c r="U469" s="4"/>
      <c r="V469" s="4"/>
      <c r="W469" s="4"/>
    </row>
    <row r="470" spans="1:23" ht="16.5" customHeight="1">
      <c r="A470" s="4"/>
      <c r="B470" s="11"/>
      <c r="C470" s="11"/>
      <c r="D470" s="11"/>
      <c r="E470" s="14"/>
      <c r="F470" s="4"/>
      <c r="G470" s="14"/>
      <c r="H470" s="22"/>
      <c r="I470" s="4"/>
      <c r="J470" s="11"/>
      <c r="K470" s="11"/>
      <c r="L470" s="4"/>
      <c r="M470" s="4"/>
      <c r="N470" s="4"/>
      <c r="O470" s="4"/>
      <c r="P470" s="4"/>
      <c r="Q470" s="4"/>
      <c r="R470" s="4"/>
      <c r="S470" s="4"/>
      <c r="T470" s="4"/>
      <c r="U470" s="4"/>
      <c r="V470" s="4"/>
      <c r="W470" s="4"/>
    </row>
    <row r="471" spans="1:23" ht="16.5" customHeight="1">
      <c r="A471" s="4"/>
      <c r="B471" s="11"/>
      <c r="C471" s="11"/>
      <c r="D471" s="11"/>
      <c r="E471" s="14"/>
      <c r="F471" s="4"/>
      <c r="G471" s="14"/>
      <c r="H471" s="22"/>
      <c r="I471" s="4"/>
      <c r="J471" s="11"/>
      <c r="K471" s="11"/>
      <c r="L471" s="4"/>
      <c r="M471" s="4"/>
      <c r="N471" s="4"/>
      <c r="O471" s="4"/>
      <c r="P471" s="4"/>
      <c r="Q471" s="4"/>
      <c r="R471" s="4"/>
      <c r="S471" s="4"/>
      <c r="T471" s="4"/>
      <c r="U471" s="4"/>
      <c r="V471" s="4"/>
      <c r="W471" s="4"/>
    </row>
    <row r="472" spans="1:23" ht="16.5" customHeight="1">
      <c r="A472" s="4"/>
      <c r="B472" s="11"/>
      <c r="C472" s="11"/>
      <c r="D472" s="11"/>
      <c r="E472" s="14"/>
      <c r="F472" s="4"/>
      <c r="G472" s="14"/>
      <c r="H472" s="22"/>
      <c r="I472" s="4"/>
      <c r="J472" s="11"/>
      <c r="K472" s="11"/>
      <c r="L472" s="4"/>
      <c r="M472" s="4"/>
      <c r="N472" s="4"/>
      <c r="O472" s="4"/>
      <c r="P472" s="4"/>
      <c r="Q472" s="4"/>
      <c r="R472" s="4"/>
      <c r="S472" s="4"/>
      <c r="T472" s="4"/>
      <c r="U472" s="4"/>
      <c r="V472" s="4"/>
      <c r="W472" s="4"/>
    </row>
    <row r="473" spans="1:23" ht="16.5" customHeight="1">
      <c r="A473" s="4"/>
      <c r="B473" s="11"/>
      <c r="C473" s="11"/>
      <c r="D473" s="11"/>
      <c r="E473" s="14"/>
      <c r="F473" s="4"/>
      <c r="G473" s="14"/>
      <c r="H473" s="22"/>
      <c r="I473" s="4"/>
      <c r="J473" s="11"/>
      <c r="K473" s="11"/>
      <c r="L473" s="4"/>
      <c r="M473" s="4"/>
      <c r="N473" s="4"/>
      <c r="O473" s="4"/>
      <c r="P473" s="4"/>
      <c r="Q473" s="4"/>
      <c r="R473" s="4"/>
      <c r="S473" s="4"/>
      <c r="T473" s="4"/>
      <c r="U473" s="4"/>
      <c r="V473" s="4"/>
      <c r="W473" s="4"/>
    </row>
    <row r="474" spans="1:23" ht="16.5" customHeight="1">
      <c r="A474" s="4"/>
      <c r="B474" s="11"/>
      <c r="C474" s="11"/>
      <c r="D474" s="11"/>
      <c r="E474" s="14"/>
      <c r="F474" s="4"/>
      <c r="G474" s="14"/>
      <c r="H474" s="22"/>
      <c r="I474" s="4"/>
      <c r="J474" s="11"/>
      <c r="K474" s="11"/>
      <c r="L474" s="4"/>
      <c r="M474" s="4"/>
      <c r="N474" s="4"/>
      <c r="O474" s="4"/>
      <c r="P474" s="4"/>
      <c r="Q474" s="4"/>
      <c r="R474" s="4"/>
      <c r="S474" s="4"/>
      <c r="T474" s="4"/>
      <c r="U474" s="4"/>
      <c r="V474" s="4"/>
      <c r="W474" s="4"/>
    </row>
    <row r="475" spans="1:23" ht="16.5" customHeight="1">
      <c r="A475" s="4"/>
      <c r="B475" s="11"/>
      <c r="C475" s="11"/>
      <c r="D475" s="11"/>
      <c r="E475" s="14"/>
      <c r="F475" s="4"/>
      <c r="G475" s="14"/>
      <c r="H475" s="22"/>
      <c r="I475" s="4"/>
      <c r="J475" s="11"/>
      <c r="K475" s="11"/>
      <c r="L475" s="4"/>
      <c r="M475" s="4"/>
      <c r="N475" s="4"/>
      <c r="O475" s="4"/>
      <c r="P475" s="4"/>
      <c r="Q475" s="4"/>
      <c r="R475" s="4"/>
      <c r="S475" s="4"/>
      <c r="T475" s="4"/>
      <c r="U475" s="4"/>
      <c r="V475" s="4"/>
      <c r="W475" s="4"/>
    </row>
    <row r="476" spans="1:23" ht="16.5" customHeight="1">
      <c r="A476" s="4"/>
      <c r="B476" s="11"/>
      <c r="C476" s="11"/>
      <c r="D476" s="11"/>
      <c r="E476" s="14"/>
      <c r="F476" s="4"/>
      <c r="G476" s="14"/>
      <c r="H476" s="22"/>
      <c r="I476" s="4"/>
      <c r="J476" s="11"/>
      <c r="K476" s="11"/>
      <c r="L476" s="4"/>
      <c r="M476" s="4"/>
      <c r="N476" s="4"/>
      <c r="O476" s="4"/>
      <c r="P476" s="4"/>
      <c r="Q476" s="4"/>
      <c r="R476" s="4"/>
      <c r="S476" s="4"/>
      <c r="T476" s="4"/>
      <c r="U476" s="4"/>
      <c r="V476" s="4"/>
      <c r="W476" s="4"/>
    </row>
    <row r="477" spans="1:23" ht="16.5" customHeight="1">
      <c r="A477" s="4"/>
      <c r="B477" s="11"/>
      <c r="C477" s="11"/>
      <c r="D477" s="11"/>
      <c r="E477" s="14"/>
      <c r="F477" s="4"/>
      <c r="G477" s="14"/>
      <c r="H477" s="22"/>
      <c r="I477" s="4"/>
      <c r="J477" s="11"/>
      <c r="K477" s="11"/>
      <c r="L477" s="4"/>
      <c r="M477" s="4"/>
      <c r="N477" s="4"/>
      <c r="O477" s="4"/>
      <c r="P477" s="4"/>
      <c r="Q477" s="4"/>
      <c r="R477" s="4"/>
      <c r="S477" s="4"/>
      <c r="T477" s="4"/>
      <c r="U477" s="4"/>
      <c r="V477" s="4"/>
      <c r="W477" s="4"/>
    </row>
    <row r="478" spans="1:23" ht="16.5" customHeight="1">
      <c r="A478" s="4"/>
      <c r="B478" s="11"/>
      <c r="C478" s="11"/>
      <c r="D478" s="11"/>
      <c r="E478" s="14"/>
      <c r="F478" s="4"/>
      <c r="G478" s="14"/>
      <c r="H478" s="22"/>
      <c r="I478" s="4"/>
      <c r="J478" s="11"/>
      <c r="K478" s="11"/>
      <c r="L478" s="4"/>
      <c r="M478" s="4"/>
      <c r="N478" s="4"/>
      <c r="O478" s="4"/>
      <c r="P478" s="4"/>
      <c r="Q478" s="4"/>
      <c r="R478" s="4"/>
      <c r="S478" s="4"/>
      <c r="T478" s="4"/>
      <c r="U478" s="4"/>
      <c r="V478" s="4"/>
      <c r="W478" s="4"/>
    </row>
    <row r="479" spans="1:23" ht="16.5" customHeight="1">
      <c r="A479" s="4"/>
      <c r="B479" s="11"/>
      <c r="C479" s="11"/>
      <c r="D479" s="11"/>
      <c r="E479" s="14"/>
      <c r="F479" s="4"/>
      <c r="G479" s="14"/>
      <c r="H479" s="22"/>
      <c r="I479" s="4"/>
      <c r="J479" s="11"/>
      <c r="K479" s="11"/>
      <c r="L479" s="4"/>
      <c r="M479" s="4"/>
      <c r="N479" s="4"/>
      <c r="O479" s="4"/>
      <c r="P479" s="4"/>
      <c r="Q479" s="4"/>
      <c r="R479" s="4"/>
      <c r="S479" s="4"/>
      <c r="T479" s="4"/>
      <c r="U479" s="4"/>
      <c r="V479" s="4"/>
      <c r="W479" s="4"/>
    </row>
    <row r="480" spans="1:23" ht="16.5" customHeight="1">
      <c r="A480" s="4"/>
      <c r="B480" s="11"/>
      <c r="C480" s="11"/>
      <c r="D480" s="11"/>
      <c r="E480" s="14"/>
      <c r="F480" s="4"/>
      <c r="G480" s="14"/>
      <c r="H480" s="22"/>
      <c r="I480" s="4"/>
      <c r="J480" s="11"/>
      <c r="K480" s="11"/>
      <c r="L480" s="4"/>
      <c r="M480" s="4"/>
      <c r="N480" s="4"/>
      <c r="O480" s="4"/>
      <c r="P480" s="4"/>
      <c r="Q480" s="4"/>
      <c r="R480" s="4"/>
      <c r="S480" s="4"/>
      <c r="T480" s="4"/>
      <c r="U480" s="4"/>
      <c r="V480" s="4"/>
      <c r="W480" s="4"/>
    </row>
    <row r="481" spans="1:23" ht="16.5" customHeight="1">
      <c r="A481" s="4"/>
      <c r="B481" s="11"/>
      <c r="C481" s="11"/>
      <c r="D481" s="11"/>
      <c r="E481" s="14"/>
      <c r="F481" s="4"/>
      <c r="G481" s="14"/>
      <c r="H481" s="22"/>
      <c r="I481" s="4"/>
      <c r="J481" s="11"/>
      <c r="K481" s="11"/>
      <c r="L481" s="4"/>
      <c r="M481" s="4"/>
      <c r="N481" s="4"/>
      <c r="O481" s="4"/>
      <c r="P481" s="4"/>
      <c r="Q481" s="4"/>
      <c r="R481" s="4"/>
      <c r="S481" s="4"/>
      <c r="T481" s="4"/>
      <c r="U481" s="4"/>
      <c r="V481" s="4"/>
      <c r="W481" s="4"/>
    </row>
    <row r="482" spans="1:23" ht="16.5" customHeight="1">
      <c r="A482" s="4"/>
      <c r="B482" s="11"/>
      <c r="C482" s="11"/>
      <c r="D482" s="11"/>
      <c r="E482" s="14"/>
      <c r="F482" s="4"/>
      <c r="G482" s="14"/>
      <c r="H482" s="22"/>
      <c r="I482" s="4"/>
      <c r="J482" s="11"/>
      <c r="K482" s="11"/>
      <c r="L482" s="4"/>
      <c r="M482" s="4"/>
      <c r="N482" s="4"/>
      <c r="O482" s="4"/>
      <c r="P482" s="4"/>
      <c r="Q482" s="4"/>
      <c r="R482" s="4"/>
      <c r="S482" s="4"/>
      <c r="T482" s="4"/>
      <c r="U482" s="4"/>
      <c r="V482" s="4"/>
      <c r="W482" s="4"/>
    </row>
    <row r="483" spans="1:23" ht="16.5" customHeight="1">
      <c r="A483" s="4"/>
      <c r="B483" s="11"/>
      <c r="C483" s="11"/>
      <c r="D483" s="11"/>
      <c r="E483" s="14"/>
      <c r="F483" s="4"/>
      <c r="G483" s="14"/>
      <c r="H483" s="22"/>
      <c r="I483" s="4"/>
      <c r="J483" s="11"/>
      <c r="K483" s="11"/>
      <c r="L483" s="4"/>
      <c r="M483" s="4"/>
      <c r="N483" s="4"/>
      <c r="O483" s="4"/>
      <c r="P483" s="4"/>
      <c r="Q483" s="4"/>
      <c r="R483" s="4"/>
      <c r="S483" s="4"/>
      <c r="T483" s="4"/>
      <c r="U483" s="4"/>
      <c r="V483" s="4"/>
      <c r="W483" s="4"/>
    </row>
    <row r="484" spans="1:23" ht="16.5" customHeight="1">
      <c r="A484" s="4"/>
      <c r="B484" s="11"/>
      <c r="C484" s="11"/>
      <c r="D484" s="11"/>
      <c r="E484" s="14"/>
      <c r="F484" s="4"/>
      <c r="G484" s="14"/>
      <c r="H484" s="22"/>
      <c r="I484" s="4"/>
      <c r="J484" s="11"/>
      <c r="K484" s="11"/>
      <c r="L484" s="4"/>
      <c r="M484" s="4"/>
      <c r="N484" s="4"/>
      <c r="O484" s="4"/>
      <c r="P484" s="4"/>
      <c r="Q484" s="4"/>
      <c r="R484" s="4"/>
      <c r="S484" s="4"/>
      <c r="T484" s="4"/>
      <c r="U484" s="4"/>
      <c r="V484" s="4"/>
      <c r="W484" s="4"/>
    </row>
    <row r="485" spans="1:23" ht="16.5" customHeight="1">
      <c r="A485" s="4"/>
      <c r="B485" s="11"/>
      <c r="C485" s="11"/>
      <c r="D485" s="11"/>
      <c r="E485" s="14"/>
      <c r="F485" s="4"/>
      <c r="G485" s="14"/>
      <c r="H485" s="22"/>
      <c r="I485" s="4"/>
      <c r="J485" s="11"/>
      <c r="K485" s="11"/>
      <c r="L485" s="4"/>
      <c r="M485" s="4"/>
      <c r="N485" s="4"/>
      <c r="O485" s="4"/>
      <c r="P485" s="4"/>
      <c r="Q485" s="4"/>
      <c r="R485" s="4"/>
      <c r="S485" s="4"/>
      <c r="T485" s="4"/>
      <c r="U485" s="4"/>
      <c r="V485" s="4"/>
      <c r="W485" s="4"/>
    </row>
    <row r="486" spans="1:23" ht="16.5" customHeight="1">
      <c r="A486" s="4"/>
      <c r="B486" s="11"/>
      <c r="C486" s="11"/>
      <c r="D486" s="11"/>
      <c r="E486" s="14"/>
      <c r="F486" s="4"/>
      <c r="G486" s="14"/>
      <c r="H486" s="22"/>
      <c r="I486" s="4"/>
      <c r="J486" s="11"/>
      <c r="K486" s="11"/>
      <c r="L486" s="4"/>
      <c r="M486" s="4"/>
      <c r="N486" s="4"/>
      <c r="O486" s="4"/>
      <c r="P486" s="4"/>
      <c r="Q486" s="4"/>
      <c r="R486" s="4"/>
      <c r="S486" s="4"/>
      <c r="T486" s="4"/>
      <c r="U486" s="4"/>
      <c r="V486" s="4"/>
      <c r="W486" s="4"/>
    </row>
    <row r="487" spans="1:23" ht="16.5" customHeight="1">
      <c r="A487" s="4"/>
      <c r="B487" s="11"/>
      <c r="C487" s="11"/>
      <c r="D487" s="11"/>
      <c r="E487" s="14"/>
      <c r="F487" s="4"/>
      <c r="G487" s="14"/>
      <c r="H487" s="22"/>
      <c r="I487" s="4"/>
      <c r="J487" s="11"/>
      <c r="K487" s="11"/>
      <c r="L487" s="4"/>
      <c r="M487" s="4"/>
      <c r="N487" s="4"/>
      <c r="O487" s="4"/>
      <c r="P487" s="4"/>
      <c r="Q487" s="4"/>
      <c r="R487" s="4"/>
      <c r="S487" s="4"/>
      <c r="T487" s="4"/>
      <c r="U487" s="4"/>
      <c r="V487" s="4"/>
      <c r="W487" s="4"/>
    </row>
    <row r="488" spans="1:23" ht="16.5" customHeight="1">
      <c r="A488" s="4"/>
      <c r="B488" s="11"/>
      <c r="C488" s="11"/>
      <c r="D488" s="11"/>
      <c r="E488" s="14"/>
      <c r="F488" s="4"/>
      <c r="G488" s="14"/>
      <c r="H488" s="22"/>
      <c r="I488" s="4"/>
      <c r="J488" s="11"/>
      <c r="K488" s="11"/>
      <c r="L488" s="4"/>
      <c r="M488" s="4"/>
      <c r="N488" s="4"/>
      <c r="O488" s="4"/>
      <c r="P488" s="4"/>
      <c r="Q488" s="4"/>
      <c r="R488" s="4"/>
      <c r="S488" s="4"/>
      <c r="T488" s="4"/>
      <c r="U488" s="4"/>
      <c r="V488" s="4"/>
      <c r="W488" s="4"/>
    </row>
    <row r="489" spans="1:23" ht="16.5" customHeight="1">
      <c r="A489" s="4"/>
      <c r="B489" s="11"/>
      <c r="C489" s="11"/>
      <c r="D489" s="11"/>
      <c r="E489" s="14"/>
      <c r="F489" s="4"/>
      <c r="G489" s="14"/>
      <c r="H489" s="22"/>
      <c r="I489" s="4"/>
      <c r="J489" s="11"/>
      <c r="K489" s="11"/>
      <c r="L489" s="4"/>
      <c r="M489" s="4"/>
      <c r="N489" s="4"/>
      <c r="O489" s="4"/>
      <c r="P489" s="4"/>
      <c r="Q489" s="4"/>
      <c r="R489" s="4"/>
      <c r="S489" s="4"/>
      <c r="T489" s="4"/>
      <c r="U489" s="4"/>
      <c r="V489" s="4"/>
      <c r="W489" s="4"/>
    </row>
    <row r="490" spans="1:23" ht="16.5" customHeight="1">
      <c r="A490" s="4"/>
      <c r="B490" s="11"/>
      <c r="C490" s="11"/>
      <c r="D490" s="11"/>
      <c r="E490" s="14"/>
      <c r="F490" s="4"/>
      <c r="G490" s="14"/>
      <c r="H490" s="22"/>
      <c r="I490" s="4"/>
      <c r="J490" s="11"/>
      <c r="K490" s="11"/>
      <c r="L490" s="4"/>
      <c r="M490" s="4"/>
      <c r="N490" s="4"/>
      <c r="O490" s="4"/>
      <c r="P490" s="4"/>
      <c r="Q490" s="4"/>
      <c r="R490" s="4"/>
      <c r="S490" s="4"/>
      <c r="T490" s="4"/>
      <c r="U490" s="4"/>
      <c r="V490" s="4"/>
      <c r="W490" s="4"/>
    </row>
    <row r="491" spans="1:23" ht="16.5" customHeight="1">
      <c r="A491" s="4"/>
      <c r="B491" s="11"/>
      <c r="C491" s="11"/>
      <c r="D491" s="11"/>
      <c r="E491" s="14"/>
      <c r="F491" s="4"/>
      <c r="G491" s="14"/>
      <c r="H491" s="22"/>
      <c r="I491" s="4"/>
      <c r="J491" s="11"/>
      <c r="K491" s="11"/>
      <c r="L491" s="4"/>
      <c r="M491" s="4"/>
      <c r="N491" s="4"/>
      <c r="O491" s="4"/>
      <c r="P491" s="4"/>
      <c r="Q491" s="4"/>
      <c r="R491" s="4"/>
      <c r="S491" s="4"/>
      <c r="T491" s="4"/>
      <c r="U491" s="4"/>
      <c r="V491" s="4"/>
      <c r="W491" s="4"/>
    </row>
    <row r="492" spans="1:23" ht="16.5" customHeight="1">
      <c r="A492" s="4"/>
      <c r="B492" s="11"/>
      <c r="C492" s="11"/>
      <c r="D492" s="11"/>
      <c r="E492" s="14"/>
      <c r="F492" s="4"/>
      <c r="G492" s="14"/>
      <c r="H492" s="22"/>
      <c r="I492" s="4"/>
      <c r="J492" s="11"/>
      <c r="K492" s="11"/>
      <c r="L492" s="4"/>
      <c r="M492" s="4"/>
      <c r="N492" s="4"/>
      <c r="O492" s="4"/>
      <c r="P492" s="4"/>
      <c r="Q492" s="4"/>
      <c r="R492" s="4"/>
      <c r="S492" s="4"/>
      <c r="T492" s="4"/>
      <c r="U492" s="4"/>
      <c r="V492" s="4"/>
      <c r="W492" s="4"/>
    </row>
    <row r="493" spans="1:23" ht="16.5" customHeight="1">
      <c r="A493" s="4"/>
      <c r="B493" s="11"/>
      <c r="C493" s="11"/>
      <c r="D493" s="11"/>
      <c r="E493" s="14"/>
      <c r="F493" s="4"/>
      <c r="G493" s="14"/>
      <c r="H493" s="22"/>
      <c r="I493" s="4"/>
      <c r="J493" s="11"/>
      <c r="K493" s="11"/>
      <c r="L493" s="4"/>
      <c r="M493" s="4"/>
      <c r="N493" s="4"/>
      <c r="O493" s="4"/>
      <c r="P493" s="4"/>
      <c r="Q493" s="4"/>
      <c r="R493" s="4"/>
      <c r="S493" s="4"/>
      <c r="T493" s="4"/>
      <c r="U493" s="4"/>
      <c r="V493" s="4"/>
      <c r="W493" s="4"/>
    </row>
    <row r="494" spans="1:23" ht="16.5" customHeight="1">
      <c r="A494" s="4"/>
      <c r="B494" s="11"/>
      <c r="C494" s="11"/>
      <c r="D494" s="11"/>
      <c r="E494" s="14"/>
      <c r="F494" s="4"/>
      <c r="G494" s="14"/>
      <c r="H494" s="22"/>
      <c r="I494" s="4"/>
      <c r="J494" s="11"/>
      <c r="K494" s="11"/>
      <c r="L494" s="4"/>
      <c r="M494" s="4"/>
      <c r="N494" s="4"/>
      <c r="O494" s="4"/>
      <c r="P494" s="4"/>
      <c r="Q494" s="4"/>
      <c r="R494" s="4"/>
      <c r="S494" s="4"/>
      <c r="T494" s="4"/>
      <c r="U494" s="4"/>
      <c r="V494" s="4"/>
      <c r="W494" s="4"/>
    </row>
    <row r="495" spans="1:23" ht="16.5" customHeight="1">
      <c r="A495" s="4"/>
      <c r="B495" s="11"/>
      <c r="C495" s="11"/>
      <c r="D495" s="11"/>
      <c r="E495" s="14"/>
      <c r="F495" s="4"/>
      <c r="G495" s="14"/>
      <c r="H495" s="22"/>
      <c r="I495" s="4"/>
      <c r="J495" s="11"/>
      <c r="K495" s="11"/>
      <c r="L495" s="4"/>
      <c r="M495" s="4"/>
      <c r="N495" s="4"/>
      <c r="O495" s="4"/>
      <c r="P495" s="4"/>
      <c r="Q495" s="4"/>
      <c r="R495" s="4"/>
      <c r="S495" s="4"/>
      <c r="T495" s="4"/>
      <c r="U495" s="4"/>
      <c r="V495" s="4"/>
      <c r="W495" s="4"/>
    </row>
    <row r="496" spans="1:23" ht="16.5" customHeight="1">
      <c r="A496" s="4"/>
      <c r="B496" s="11"/>
      <c r="C496" s="11"/>
      <c r="D496" s="11"/>
      <c r="E496" s="14"/>
      <c r="F496" s="4"/>
      <c r="G496" s="14"/>
      <c r="H496" s="22"/>
      <c r="I496" s="4"/>
      <c r="J496" s="11"/>
      <c r="K496" s="11"/>
      <c r="L496" s="4"/>
      <c r="M496" s="4"/>
      <c r="N496" s="4"/>
      <c r="O496" s="4"/>
      <c r="P496" s="4"/>
      <c r="Q496" s="4"/>
      <c r="R496" s="4"/>
      <c r="S496" s="4"/>
      <c r="T496" s="4"/>
      <c r="U496" s="4"/>
      <c r="V496" s="4"/>
      <c r="W496" s="4"/>
    </row>
    <row r="497" spans="1:23" ht="16.5" customHeight="1">
      <c r="A497" s="4"/>
      <c r="B497" s="11"/>
      <c r="C497" s="11"/>
      <c r="D497" s="11"/>
      <c r="E497" s="14"/>
      <c r="F497" s="4"/>
      <c r="G497" s="14"/>
      <c r="H497" s="22"/>
      <c r="I497" s="4"/>
      <c r="J497" s="11"/>
      <c r="K497" s="11"/>
      <c r="L497" s="4"/>
      <c r="M497" s="4"/>
      <c r="N497" s="4"/>
      <c r="O497" s="4"/>
      <c r="P497" s="4"/>
      <c r="Q497" s="4"/>
      <c r="R497" s="4"/>
      <c r="S497" s="4"/>
      <c r="T497" s="4"/>
      <c r="U497" s="4"/>
      <c r="V497" s="4"/>
      <c r="W497" s="4"/>
    </row>
    <row r="498" spans="1:23" ht="16.5" customHeight="1">
      <c r="A498" s="4"/>
      <c r="B498" s="11"/>
      <c r="C498" s="11"/>
      <c r="D498" s="11"/>
      <c r="E498" s="14"/>
      <c r="F498" s="4"/>
      <c r="G498" s="14"/>
      <c r="H498" s="22"/>
      <c r="I498" s="4"/>
      <c r="J498" s="11"/>
      <c r="K498" s="11"/>
      <c r="L498" s="4"/>
      <c r="M498" s="4"/>
      <c r="N498" s="4"/>
      <c r="O498" s="4"/>
      <c r="P498" s="4"/>
      <c r="Q498" s="4"/>
      <c r="R498" s="4"/>
      <c r="S498" s="4"/>
      <c r="T498" s="4"/>
      <c r="U498" s="4"/>
      <c r="V498" s="4"/>
      <c r="W498" s="4"/>
    </row>
    <row r="499" spans="1:23" ht="16.5" customHeight="1">
      <c r="A499" s="4"/>
      <c r="B499" s="11"/>
      <c r="C499" s="11"/>
      <c r="D499" s="11"/>
      <c r="E499" s="14"/>
      <c r="F499" s="4"/>
      <c r="G499" s="14"/>
      <c r="H499" s="22"/>
      <c r="I499" s="4"/>
      <c r="J499" s="11"/>
      <c r="K499" s="11"/>
      <c r="L499" s="4"/>
      <c r="M499" s="4"/>
      <c r="N499" s="4"/>
      <c r="O499" s="4"/>
      <c r="P499" s="4"/>
      <c r="Q499" s="4"/>
      <c r="R499" s="4"/>
      <c r="S499" s="4"/>
      <c r="T499" s="4"/>
      <c r="U499" s="4"/>
      <c r="V499" s="4"/>
      <c r="W499" s="4"/>
    </row>
    <row r="500" spans="1:23" ht="16.5" customHeight="1">
      <c r="A500" s="4"/>
      <c r="B500" s="11"/>
      <c r="C500" s="11"/>
      <c r="D500" s="11"/>
      <c r="E500" s="14"/>
      <c r="F500" s="4"/>
      <c r="G500" s="14"/>
      <c r="H500" s="22"/>
      <c r="I500" s="4"/>
      <c r="J500" s="11"/>
      <c r="K500" s="11"/>
      <c r="L500" s="4"/>
      <c r="M500" s="4"/>
      <c r="N500" s="4"/>
      <c r="O500" s="4"/>
      <c r="P500" s="4"/>
      <c r="Q500" s="4"/>
      <c r="R500" s="4"/>
      <c r="S500" s="4"/>
      <c r="T500" s="4"/>
      <c r="U500" s="4"/>
      <c r="V500" s="4"/>
      <c r="W500" s="4"/>
    </row>
  </sheetData>
  <mergeCells count="11">
    <mergeCell ref="J1:W1"/>
    <mergeCell ref="B1:H1"/>
    <mergeCell ref="B2:E2"/>
    <mergeCell ref="L2:M2"/>
    <mergeCell ref="N2:O2"/>
    <mergeCell ref="R2:S2"/>
    <mergeCell ref="T2:U2"/>
    <mergeCell ref="J2:J3"/>
    <mergeCell ref="K2:K3"/>
    <mergeCell ref="V2:W2"/>
    <mergeCell ref="P2:Q2"/>
  </mergeCells>
  <phoneticPr fontId="24"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workbookViewId="0">
      <pane xSplit="3" ySplit="3" topLeftCell="D4" activePane="bottomRight" state="frozen"/>
      <selection pane="topRight" activeCell="D1" sqref="D1"/>
      <selection pane="bottomLeft" activeCell="A4" sqref="A4"/>
      <selection pane="bottomRight" activeCell="H16" sqref="H16"/>
    </sheetView>
  </sheetViews>
  <sheetFormatPr defaultColWidth="17.25" defaultRowHeight="15" customHeight="1"/>
  <cols>
    <col min="1" max="1" width="1.375" customWidth="1"/>
    <col min="2" max="2" width="4.375" customWidth="1"/>
    <col min="3" max="3" width="9" customWidth="1"/>
    <col min="4" max="4" width="6.75" customWidth="1"/>
    <col min="5" max="5" width="68.625" customWidth="1"/>
    <col min="6" max="6" width="2" customWidth="1"/>
    <col min="7" max="7" width="7.125" customWidth="1"/>
    <col min="8" max="8" width="68.875" customWidth="1"/>
    <col min="9" max="13" width="8.75" customWidth="1"/>
  </cols>
  <sheetData>
    <row r="1" spans="1:13" ht="30" customHeight="1">
      <c r="A1" s="4"/>
      <c r="B1" s="67" t="s">
        <v>1</v>
      </c>
      <c r="C1" s="68"/>
      <c r="D1" s="68"/>
      <c r="E1" s="68"/>
      <c r="F1" s="68"/>
      <c r="G1" s="68"/>
      <c r="H1" s="68"/>
      <c r="I1" s="4"/>
      <c r="J1" s="4"/>
      <c r="K1" s="4"/>
      <c r="L1" s="4"/>
      <c r="M1" s="4"/>
    </row>
    <row r="2" spans="1:13" ht="27.75" customHeight="1">
      <c r="A2" s="4"/>
      <c r="B2" s="69" t="s">
        <v>164</v>
      </c>
      <c r="C2" s="66"/>
      <c r="D2" s="66"/>
      <c r="E2" s="66"/>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김권위</v>
      </c>
      <c r="D4" s="23"/>
      <c r="E4" s="12" t="str">
        <f>IF(IF(D4=0,"",VLOOKUP(D4,$G$4:$H$153,2,FALSE))=0,"(창의성)"&amp;종합의견!$F$1,(IF(D4=0,"",VLOOKUP(D4,$G$4:$H$153,2,FALSE))))</f>
        <v/>
      </c>
      <c r="F4" s="9"/>
      <c r="G4" s="8">
        <v>1</v>
      </c>
      <c r="H4" s="13" t="s">
        <v>165</v>
      </c>
      <c r="I4" s="4"/>
      <c r="J4" s="4"/>
      <c r="K4" s="4"/>
      <c r="L4" s="4"/>
      <c r="M4" s="4"/>
    </row>
    <row r="5" spans="1:13" ht="27">
      <c r="A5" s="4"/>
      <c r="B5" s="6">
        <f>IF(인성!B5&gt;0,인성!B5,"")</f>
        <v>2</v>
      </c>
      <c r="C5" s="6" t="str">
        <f>IF(인성!C5&gt;0,인성!C5,"")</f>
        <v>김상현</v>
      </c>
      <c r="D5" s="2"/>
      <c r="E5" s="12" t="str">
        <f>IF(IF(D5=0,"",VLOOKUP(D5,$G$4:$H$153,2,FALSE))=0,"(창의성)"&amp;종합의견!$F$1,(IF(D5=0,"",VLOOKUP(D5,$G$4:$H$153,2,FALSE))))</f>
        <v/>
      </c>
      <c r="F5" s="9"/>
      <c r="G5" s="8">
        <v>2</v>
      </c>
      <c r="H5" s="13" t="s">
        <v>565</v>
      </c>
      <c r="I5" s="4"/>
      <c r="J5" s="4"/>
      <c r="K5" s="4"/>
      <c r="L5" s="4"/>
      <c r="M5" s="4"/>
    </row>
    <row r="6" spans="1:13" ht="27">
      <c r="A6" s="4"/>
      <c r="B6" s="6">
        <f>IF(인성!B6&gt;0,인성!B6,"")</f>
        <v>3</v>
      </c>
      <c r="C6" s="6" t="str">
        <f>IF(인성!C6&gt;0,인성!C6,"")</f>
        <v>김승길</v>
      </c>
      <c r="D6" s="2"/>
      <c r="E6" s="12" t="str">
        <f>IF(IF(D6=0,"",VLOOKUP(D6,$G$4:$H$153,2,FALSE))=0,"(창의성)"&amp;종합의견!$F$1,(IF(D6=0,"",VLOOKUP(D6,$G$4:$H$153,2,FALSE))))</f>
        <v/>
      </c>
      <c r="F6" s="9"/>
      <c r="G6" s="8">
        <v>3</v>
      </c>
      <c r="H6" s="13" t="s">
        <v>564</v>
      </c>
      <c r="I6" s="4"/>
      <c r="J6" s="4"/>
      <c r="K6" s="4"/>
      <c r="L6" s="4"/>
      <c r="M6" s="4"/>
    </row>
    <row r="7" spans="1:13" ht="54">
      <c r="A7" s="4"/>
      <c r="B7" s="6">
        <f>IF(인성!B7&gt;0,인성!B7,"")</f>
        <v>4</v>
      </c>
      <c r="C7" s="6" t="str">
        <f>IF(인성!C7&gt;0,인성!C7,"")</f>
        <v>김하얀</v>
      </c>
      <c r="D7" s="2"/>
      <c r="E7" s="12" t="str">
        <f>IF(IF(D7=0,"",VLOOKUP(D7,$G$4:$H$153,2,FALSE))=0,"(창의성)"&amp;종합의견!$F$1,(IF(D7=0,"",VLOOKUP(D7,$G$4:$H$153,2,FALSE))))</f>
        <v/>
      </c>
      <c r="F7" s="9"/>
      <c r="G7" s="8">
        <v>4</v>
      </c>
      <c r="H7" s="49" t="s">
        <v>566</v>
      </c>
      <c r="I7" s="4"/>
      <c r="J7" s="4"/>
      <c r="K7" s="4"/>
      <c r="L7" s="4"/>
      <c r="M7" s="4"/>
    </row>
    <row r="8" spans="1:13" ht="16.5" customHeight="1">
      <c r="A8" s="4"/>
      <c r="B8" s="6">
        <f>IF(인성!B8&gt;0,인성!B8,"")</f>
        <v>5</v>
      </c>
      <c r="C8" s="6" t="str">
        <f>IF(인성!C8&gt;0,인성!C8,"")</f>
        <v>김호찬</v>
      </c>
      <c r="D8" s="2"/>
      <c r="E8" s="12" t="str">
        <f>IF(IF(D8=0,"",VLOOKUP(D8,$G$4:$H$153,2,FALSE))=0,"(창의성)"&amp;종합의견!$F$1,(IF(D8=0,"",VLOOKUP(D8,$G$4:$H$153,2,FALSE))))</f>
        <v/>
      </c>
      <c r="F8" s="9"/>
      <c r="G8" s="8">
        <v>5</v>
      </c>
      <c r="H8" s="13" t="s">
        <v>595</v>
      </c>
      <c r="I8" s="4"/>
      <c r="J8" s="4"/>
      <c r="K8" s="4"/>
      <c r="L8" s="4"/>
      <c r="M8" s="4"/>
    </row>
    <row r="9" spans="1:13" ht="27">
      <c r="A9" s="4"/>
      <c r="B9" s="6">
        <f>IF(인성!B9&gt;0,인성!B9,"")</f>
        <v>6</v>
      </c>
      <c r="C9" s="6" t="str">
        <f>IF(인성!C9&gt;0,인성!C9,"")</f>
        <v>노지형</v>
      </c>
      <c r="D9" s="2"/>
      <c r="E9" s="12" t="str">
        <f>IF(IF(D9=0,"",VLOOKUP(D9,$G$4:$H$153,2,FALSE))=0,"(창의성)"&amp;종합의견!$F$1,(IF(D9=0,"",VLOOKUP(D9,$G$4:$H$153,2,FALSE))))</f>
        <v/>
      </c>
      <c r="F9" s="9"/>
      <c r="G9" s="8">
        <v>6</v>
      </c>
      <c r="H9" s="13" t="s">
        <v>596</v>
      </c>
      <c r="I9" s="4"/>
      <c r="J9" s="4"/>
      <c r="K9" s="4"/>
      <c r="L9" s="4"/>
      <c r="M9" s="4"/>
    </row>
    <row r="10" spans="1:13" ht="16.5">
      <c r="A10" s="4"/>
      <c r="B10" s="6">
        <f>IF(인성!B10&gt;0,인성!B10,"")</f>
        <v>7</v>
      </c>
      <c r="C10" s="6" t="str">
        <f>IF(인성!C10&gt;0,인성!C10,"")</f>
        <v>류나경</v>
      </c>
      <c r="D10" s="2"/>
      <c r="E10" s="12" t="str">
        <f>IF(IF(D10=0,"",VLOOKUP(D10,$G$4:$H$153,2,FALSE))=0,"(창의성)"&amp;종합의견!$F$1,(IF(D10=0,"",VLOOKUP(D10,$G$4:$H$153,2,FALSE))))</f>
        <v/>
      </c>
      <c r="F10" s="9"/>
      <c r="G10" s="8">
        <v>7</v>
      </c>
      <c r="H10" s="13" t="s">
        <v>597</v>
      </c>
      <c r="I10" s="4"/>
      <c r="J10" s="4"/>
      <c r="K10" s="4"/>
      <c r="L10" s="4"/>
      <c r="M10" s="4"/>
    </row>
    <row r="11" spans="1:13" ht="16.5" customHeight="1">
      <c r="A11" s="4"/>
      <c r="B11" s="6">
        <f>IF(인성!B11&gt;0,인성!B11,"")</f>
        <v>8</v>
      </c>
      <c r="C11" s="6" t="str">
        <f>IF(인성!C11&gt;0,인성!C11,"")</f>
        <v>박건하</v>
      </c>
      <c r="D11" s="2"/>
      <c r="E11" s="12" t="str">
        <f>IF(IF(D11=0,"",VLOOKUP(D11,$G$4:$H$153,2,FALSE))=0,"(창의성)"&amp;종합의견!$F$1,(IF(D11=0,"",VLOOKUP(D11,$G$4:$H$153,2,FALSE))))</f>
        <v/>
      </c>
      <c r="F11" s="9"/>
      <c r="G11" s="8">
        <v>8</v>
      </c>
      <c r="H11" s="13" t="s">
        <v>598</v>
      </c>
      <c r="I11" s="4"/>
      <c r="J11" s="4"/>
      <c r="K11" s="4"/>
      <c r="L11" s="4"/>
      <c r="M11" s="4"/>
    </row>
    <row r="12" spans="1:13" ht="27">
      <c r="A12" s="4"/>
      <c r="B12" s="6">
        <f>IF(인성!B12&gt;0,인성!B12,"")</f>
        <v>9</v>
      </c>
      <c r="C12" s="6" t="str">
        <f>IF(인성!C12&gt;0,인성!C12,"")</f>
        <v>서형찬</v>
      </c>
      <c r="D12" s="2">
        <v>7</v>
      </c>
      <c r="E12" s="12" t="str">
        <f>IF(IF(D12=0,"",VLOOKUP(D12,$G$4:$H$153,2,FALSE))=0,"(창의성)"&amp;종합의견!$F$1,(IF(D12=0,"",VLOOKUP(D12,$G$4:$H$153,2,FALSE))))</f>
        <v>제시된 방법이 아닌 자신만의 독창적인 방법으로 문제를 해결하는 능력이 탁월함.</v>
      </c>
      <c r="F12" s="9"/>
      <c r="G12" s="8">
        <v>9</v>
      </c>
      <c r="H12" s="13" t="s">
        <v>699</v>
      </c>
      <c r="I12" s="4"/>
      <c r="J12" s="4"/>
      <c r="K12" s="4"/>
      <c r="L12" s="4"/>
      <c r="M12" s="4"/>
    </row>
    <row r="13" spans="1:13" ht="16.5" customHeight="1">
      <c r="A13" s="4"/>
      <c r="B13" s="6">
        <f>IF(인성!B13&gt;0,인성!B13,"")</f>
        <v>10</v>
      </c>
      <c r="C13" s="6" t="str">
        <f>IF(인성!C13&gt;0,인성!C13,"")</f>
        <v>손우진</v>
      </c>
      <c r="D13" s="2"/>
      <c r="E13" s="12" t="str">
        <f>IF(IF(D13=0,"",VLOOKUP(D13,$G$4:$H$153,2,FALSE))=0,"(창의성)"&amp;종합의견!$F$1,(IF(D13=0,"",VLOOKUP(D13,$G$4:$H$153,2,FALSE))))</f>
        <v/>
      </c>
      <c r="F13" s="9"/>
      <c r="G13" s="8">
        <v>10</v>
      </c>
      <c r="H13" s="13" t="s">
        <v>595</v>
      </c>
      <c r="I13" s="4"/>
      <c r="J13" s="4"/>
      <c r="K13" s="4"/>
      <c r="L13" s="4"/>
      <c r="M13" s="4"/>
    </row>
    <row r="14" spans="1:13" ht="16.5" customHeight="1">
      <c r="A14" s="4"/>
      <c r="B14" s="6">
        <f>IF(인성!B14&gt;0,인성!B14,"")</f>
        <v>11</v>
      </c>
      <c r="C14" s="6" t="str">
        <f>IF(인성!C14&gt;0,인성!C14,"")</f>
        <v>송정연</v>
      </c>
      <c r="D14" s="2"/>
      <c r="E14" s="12" t="str">
        <f>IF(IF(D14=0,"",VLOOKUP(D14,$G$4:$H$153,2,FALSE))=0,"(창의성)"&amp;종합의견!$F$1,(IF(D14=0,"",VLOOKUP(D14,$G$4:$H$153,2,FALSE))))</f>
        <v/>
      </c>
      <c r="F14" s="9"/>
      <c r="G14" s="8">
        <v>11</v>
      </c>
      <c r="H14" s="13"/>
      <c r="I14" s="4"/>
      <c r="J14" s="4"/>
      <c r="K14" s="4"/>
      <c r="L14" s="4"/>
      <c r="M14" s="4"/>
    </row>
    <row r="15" spans="1:13" ht="16.5" customHeight="1">
      <c r="A15" s="4"/>
      <c r="B15" s="6">
        <f>IF(인성!B15&gt;0,인성!B15,"")</f>
        <v>12</v>
      </c>
      <c r="C15" s="6" t="str">
        <f>IF(인성!C15&gt;0,인성!C15,"")</f>
        <v>양민국</v>
      </c>
      <c r="D15" s="2"/>
      <c r="E15" s="12" t="str">
        <f>IF(IF(D15=0,"",VLOOKUP(D15,$G$4:$H$153,2,FALSE))=0,"(창의성)"&amp;종합의견!$F$1,(IF(D15=0,"",VLOOKUP(D15,$G$4:$H$153,2,FALSE))))</f>
        <v/>
      </c>
      <c r="F15" s="9"/>
      <c r="G15" s="8">
        <v>12</v>
      </c>
      <c r="H15" s="13"/>
      <c r="I15" s="4"/>
      <c r="J15" s="4"/>
      <c r="K15" s="4"/>
      <c r="L15" s="4"/>
      <c r="M15" s="4"/>
    </row>
    <row r="16" spans="1:13" ht="16.5" customHeight="1">
      <c r="A16" s="4"/>
      <c r="B16" s="6">
        <f>IF(인성!B16&gt;0,인성!B16,"")</f>
        <v>13</v>
      </c>
      <c r="C16" s="6" t="str">
        <f>IF(인성!C16&gt;0,인성!C16,"")</f>
        <v>오서현</v>
      </c>
      <c r="D16" s="2"/>
      <c r="E16" s="12" t="str">
        <f>IF(IF(D16=0,"",VLOOKUP(D16,$G$4:$H$153,2,FALSE))=0,"(창의성)"&amp;종합의견!$F$1,(IF(D16=0,"",VLOOKUP(D16,$G$4:$H$153,2,FALSE))))</f>
        <v/>
      </c>
      <c r="F16" s="9"/>
      <c r="G16" s="8">
        <v>13</v>
      </c>
      <c r="H16" s="13"/>
      <c r="I16" s="4"/>
      <c r="J16" s="4"/>
      <c r="K16" s="4"/>
      <c r="L16" s="4"/>
      <c r="M16" s="4"/>
    </row>
    <row r="17" spans="1:13" ht="16.5" customHeight="1">
      <c r="A17" s="4"/>
      <c r="B17" s="6">
        <f>IF(인성!B17&gt;0,인성!B17,"")</f>
        <v>14</v>
      </c>
      <c r="C17" s="6" t="str">
        <f>IF(인성!C17&gt;0,인성!C17,"")</f>
        <v>윤재영</v>
      </c>
      <c r="D17" s="2"/>
      <c r="E17" s="12" t="str">
        <f>IF(IF(D17=0,"",VLOOKUP(D17,$G$4:$H$153,2,FALSE))=0,"(창의성)"&amp;종합의견!$F$1,(IF(D17=0,"",VLOOKUP(D17,$G$4:$H$153,2,FALSE))))</f>
        <v/>
      </c>
      <c r="F17" s="9"/>
      <c r="G17" s="8">
        <v>14</v>
      </c>
      <c r="H17" s="13"/>
      <c r="I17" s="4"/>
      <c r="J17" s="4"/>
      <c r="K17" s="4"/>
      <c r="L17" s="4"/>
      <c r="M17" s="4"/>
    </row>
    <row r="18" spans="1:13" ht="16.5" customHeight="1">
      <c r="A18" s="4"/>
      <c r="B18" s="6">
        <f>IF(인성!B18&gt;0,인성!B18,"")</f>
        <v>15</v>
      </c>
      <c r="C18" s="6" t="str">
        <f>IF(인성!C18&gt;0,인성!C18,"")</f>
        <v>이승민</v>
      </c>
      <c r="D18" s="2"/>
      <c r="E18" s="12" t="str">
        <f>IF(IF(D18=0,"",VLOOKUP(D18,$G$4:$H$153,2,FALSE))=0,"(창의성)"&amp;종합의견!$F$1,(IF(D18=0,"",VLOOKUP(D18,$G$4:$H$153,2,FALSE))))</f>
        <v/>
      </c>
      <c r="F18" s="9"/>
      <c r="G18" s="8">
        <v>15</v>
      </c>
      <c r="H18" s="13"/>
      <c r="I18" s="4"/>
      <c r="J18" s="4"/>
      <c r="K18" s="4"/>
      <c r="L18" s="4"/>
      <c r="M18" s="4"/>
    </row>
    <row r="19" spans="1:13" ht="16.5" customHeight="1">
      <c r="A19" s="4"/>
      <c r="B19" s="6">
        <f>IF(인성!B19&gt;0,인성!B19,"")</f>
        <v>16</v>
      </c>
      <c r="C19" s="6" t="str">
        <f>IF(인성!C19&gt;0,인성!C19,"")</f>
        <v>조도울</v>
      </c>
      <c r="D19" s="2"/>
      <c r="E19" s="12" t="str">
        <f>IF(IF(D19=0,"",VLOOKUP(D19,$G$4:$H$153,2,FALSE))=0,"(창의성)"&amp;종합의견!$F$1,(IF(D19=0,"",VLOOKUP(D19,$G$4:$H$153,2,FALSE))))</f>
        <v/>
      </c>
      <c r="F19" s="9"/>
      <c r="G19" s="8">
        <v>16</v>
      </c>
      <c r="H19" s="13"/>
      <c r="I19" s="4"/>
      <c r="J19" s="4"/>
      <c r="K19" s="4"/>
      <c r="L19" s="4"/>
      <c r="M19" s="4"/>
    </row>
    <row r="20" spans="1:13" ht="16.5">
      <c r="A20" s="4"/>
      <c r="B20" s="6">
        <f>IF(인성!B20&gt;0,인성!B20,"")</f>
        <v>17</v>
      </c>
      <c r="C20" s="6" t="str">
        <f>IF(인성!C20&gt;0,인성!C20,"")</f>
        <v>차명준</v>
      </c>
      <c r="D20" s="2"/>
      <c r="E20" s="12" t="str">
        <f>IF(IF(D20=0,"",VLOOKUP(D20,$G$4:$H$153,2,FALSE))=0,"(창의성)"&amp;종합의견!$F$1,(IF(D20=0,"",VLOOKUP(D20,$G$4:$H$153,2,FALSE))))</f>
        <v/>
      </c>
      <c r="F20" s="9"/>
      <c r="G20" s="8">
        <v>17</v>
      </c>
      <c r="H20" s="13"/>
      <c r="I20" s="4"/>
      <c r="J20" s="4"/>
      <c r="K20" s="4"/>
      <c r="L20" s="4"/>
      <c r="M20" s="4"/>
    </row>
    <row r="21" spans="1:13" ht="16.5">
      <c r="A21" s="4"/>
      <c r="B21" s="6">
        <f>IF(인성!B21&gt;0,인성!B21,"")</f>
        <v>18</v>
      </c>
      <c r="C21" s="6" t="str">
        <f>IF(인성!C21&gt;0,인성!C21,"")</f>
        <v>최가영</v>
      </c>
      <c r="D21" s="2"/>
      <c r="E21" s="12" t="str">
        <f>IF(IF(D21=0,"",VLOOKUP(D21,$G$4:$H$153,2,FALSE))=0,"(창의성)"&amp;종합의견!$F$1,(IF(D21=0,"",VLOOKUP(D21,$G$4:$H$153,2,FALSE))))</f>
        <v/>
      </c>
      <c r="F21" s="9"/>
      <c r="G21" s="8">
        <v>18</v>
      </c>
      <c r="H21" s="13"/>
      <c r="I21" s="4"/>
      <c r="J21" s="4"/>
      <c r="K21" s="4"/>
      <c r="L21" s="4"/>
      <c r="M21" s="4"/>
    </row>
    <row r="22" spans="1:13" ht="16.5" customHeight="1">
      <c r="A22" s="4"/>
      <c r="B22" s="6">
        <f>IF(인성!B22&gt;0,인성!B22,"")</f>
        <v>19</v>
      </c>
      <c r="C22" s="6" t="str">
        <f>IF(인성!C22&gt;0,인성!C22,"")</f>
        <v>최다빈</v>
      </c>
      <c r="D22" s="2">
        <v>10</v>
      </c>
      <c r="E22" s="12" t="str">
        <f>IF(IF(D22=0,"",VLOOKUP(D22,$G$4:$H$153,2,FALSE))=0,"(창의성)"&amp;종합의견!$F$1,(IF(D22=0,"",VLOOKUP(D22,$G$4:$H$153,2,FALSE))))</f>
        <v xml:space="preserve">문제 상황에 부딪쳤을 때 기지를 발휘해서 이를 해결하는 재치가 돋보임. </v>
      </c>
      <c r="F22" s="9"/>
      <c r="G22" s="8">
        <v>19</v>
      </c>
      <c r="H22" s="13"/>
      <c r="I22" s="4"/>
      <c r="J22" s="4"/>
      <c r="K22" s="4"/>
      <c r="L22" s="4"/>
      <c r="M22" s="4"/>
    </row>
    <row r="23" spans="1:13" ht="27">
      <c r="A23" s="4"/>
      <c r="B23" s="6">
        <f>IF(인성!B23&gt;0,인성!B23,"")</f>
        <v>20</v>
      </c>
      <c r="C23" s="6" t="str">
        <f>IF(인성!C23&gt;0,인성!C23,"")</f>
        <v>홍준석</v>
      </c>
      <c r="D23" s="2">
        <v>9</v>
      </c>
      <c r="E23" s="12" t="str">
        <f>IF(IF(D23=0,"",VLOOKUP(D23,$G$4:$H$153,2,FALSE))=0,"(창의성)"&amp;종합의견!$F$1,(IF(D23=0,"",VLOOKUP(D23,$G$4:$H$153,2,FALSE))))</f>
        <v>새로운 것을 상상하고 고안하는 힘이 뛰어나 문제를 새로운 시각에서 해석하고 풀어내는 능력이 돋보임.</v>
      </c>
      <c r="F23" s="9"/>
      <c r="G23" s="8">
        <v>20</v>
      </c>
      <c r="H23" s="13"/>
      <c r="I23" s="4"/>
      <c r="J23" s="4"/>
      <c r="K23" s="4"/>
      <c r="L23" s="4"/>
      <c r="M23" s="4"/>
    </row>
    <row r="24" spans="1:13" ht="16.5" customHeight="1">
      <c r="A24" s="4"/>
      <c r="B24" s="6" t="str">
        <f>IF(인성!B24&gt;0,인성!B24,"")</f>
        <v/>
      </c>
      <c r="C24" s="6" t="str">
        <f>IF(인성!C24&gt;0,인성!C24,"")</f>
        <v/>
      </c>
      <c r="D24" s="2"/>
      <c r="E24" s="12" t="str">
        <f>IF(IF(D24=0,"",VLOOKUP(D24,$G$4:$H$153,2,FALSE))=0,"(창의성)"&amp;종합의견!$F$1,(IF(D24=0,"",VLOOKUP(D24,$G$4:$H$153,2,FALSE))))</f>
        <v/>
      </c>
      <c r="F24" s="9"/>
      <c r="G24" s="8">
        <v>21</v>
      </c>
      <c r="H24" s="13"/>
      <c r="I24" s="4"/>
      <c r="J24" s="4"/>
      <c r="K24" s="4"/>
      <c r="L24" s="4"/>
      <c r="M24" s="4"/>
    </row>
    <row r="25" spans="1:13" ht="16.5" customHeight="1">
      <c r="A25" s="4"/>
      <c r="B25" s="6" t="str">
        <f>IF(인성!B25&gt;0,인성!B25,"")</f>
        <v/>
      </c>
      <c r="C25" s="6" t="str">
        <f>IF(인성!C25&gt;0,인성!C25,"")</f>
        <v/>
      </c>
      <c r="D25" s="2"/>
      <c r="E25" s="12" t="str">
        <f>IF(IF(D25=0,"",VLOOKUP(D25,$G$4:$H$153,2,FALSE))=0,"(창의성)"&amp;종합의견!$F$1,(IF(D25=0,"",VLOOKUP(D25,$G$4:$H$153,2,FALSE))))</f>
        <v/>
      </c>
      <c r="F25" s="9"/>
      <c r="G25" s="8">
        <v>22</v>
      </c>
      <c r="H25" s="13"/>
      <c r="I25" s="4"/>
      <c r="J25" s="4"/>
      <c r="K25" s="4"/>
      <c r="L25" s="4"/>
      <c r="M25" s="4"/>
    </row>
    <row r="26" spans="1:13" ht="16.5" customHeight="1">
      <c r="A26" s="4"/>
      <c r="B26" s="6" t="str">
        <f>IF(인성!B26&gt;0,인성!B26,"")</f>
        <v/>
      </c>
      <c r="C26" s="6" t="str">
        <f>IF(인성!C26&gt;0,인성!C26,"")</f>
        <v/>
      </c>
      <c r="D26" s="2"/>
      <c r="E26" s="12" t="str">
        <f>IF(IF(D26=0,"",VLOOKUP(D26,$G$4:$H$153,2,FALSE))=0,"(창의성)"&amp;종합의견!$F$1,(IF(D26=0,"",VLOOKUP(D26,$G$4:$H$153,2,FALSE))))</f>
        <v/>
      </c>
      <c r="F26" s="9"/>
      <c r="G26" s="8">
        <v>23</v>
      </c>
      <c r="H26" s="13"/>
      <c r="I26" s="4"/>
      <c r="J26" s="4"/>
      <c r="K26" s="4"/>
      <c r="L26" s="4"/>
      <c r="M26" s="4"/>
    </row>
    <row r="27" spans="1:13" ht="27" customHeight="1">
      <c r="A27" s="4"/>
      <c r="B27" s="6" t="str">
        <f>IF(인성!B27&gt;0,인성!B27,"")</f>
        <v/>
      </c>
      <c r="C27" s="6" t="str">
        <f>IF(인성!C27&gt;0,인성!C27,"")</f>
        <v/>
      </c>
      <c r="D27" s="2"/>
      <c r="E27" s="12" t="str">
        <f>IF(IF(D27=0,"",VLOOKUP(D27,$G$4:$H$153,2,FALSE))=0,"(창의성)"&amp;종합의견!$F$1,(IF(D27=0,"",VLOOKUP(D27,$G$4:$H$153,2,FALSE))))</f>
        <v/>
      </c>
      <c r="F27" s="9"/>
      <c r="G27" s="8">
        <v>24</v>
      </c>
      <c r="H27" s="13"/>
      <c r="I27" s="4"/>
      <c r="J27" s="4"/>
      <c r="K27" s="4"/>
      <c r="L27" s="4"/>
      <c r="M27" s="4"/>
    </row>
    <row r="28" spans="1:13" ht="16.5" customHeight="1">
      <c r="A28" s="4"/>
      <c r="B28" s="6" t="str">
        <f>IF(인성!B28&gt;0,인성!B28,"")</f>
        <v/>
      </c>
      <c r="C28" s="6" t="str">
        <f>IF(인성!C28&gt;0,인성!C28,"")</f>
        <v/>
      </c>
      <c r="D28" s="2"/>
      <c r="E28" s="12" t="str">
        <f>IF(IF(D28=0,"",VLOOKUP(D28,$G$4:$H$153,2,FALSE))=0,"(창의성)"&amp;종합의견!$F$1,(IF(D28=0,"",VLOOKUP(D28,$G$4:$H$153,2,FALSE))))</f>
        <v/>
      </c>
      <c r="F28" s="9"/>
      <c r="G28" s="8">
        <v>25</v>
      </c>
      <c r="H28" s="13"/>
      <c r="I28" s="4"/>
      <c r="J28" s="4"/>
      <c r="K28" s="4"/>
      <c r="L28" s="4"/>
      <c r="M28" s="4"/>
    </row>
    <row r="29" spans="1:13" ht="16.5" customHeight="1">
      <c r="A29" s="4"/>
      <c r="B29" s="6" t="str">
        <f>IF(인성!B29&gt;0,인성!B29,"")</f>
        <v/>
      </c>
      <c r="C29" s="6" t="str">
        <f>IF(인성!C29&gt;0,인성!C29,"")</f>
        <v/>
      </c>
      <c r="D29" s="2"/>
      <c r="E29" s="12" t="str">
        <f>IF(IF(D29=0,"",VLOOKUP(D29,$G$4:$H$153,2,FALSE))=0,"(창의성)"&amp;종합의견!$F$1,(IF(D29=0,"",VLOOKUP(D29,$G$4:$H$153,2,FALSE))))</f>
        <v/>
      </c>
      <c r="F29" s="9"/>
      <c r="G29" s="8">
        <v>26</v>
      </c>
      <c r="H29" s="13"/>
      <c r="I29" s="4"/>
      <c r="J29" s="4"/>
      <c r="K29" s="4"/>
      <c r="L29" s="4"/>
      <c r="M29" s="4"/>
    </row>
    <row r="30" spans="1:13" ht="16.5" customHeight="1">
      <c r="A30" s="4"/>
      <c r="B30" s="6" t="str">
        <f>IF(인성!B30&gt;0,인성!B30,"")</f>
        <v/>
      </c>
      <c r="C30" s="6" t="str">
        <f>IF(인성!C30&gt;0,인성!C30,"")</f>
        <v/>
      </c>
      <c r="D30" s="2"/>
      <c r="E30" s="12" t="str">
        <f>IF(IF(D30=0,"",VLOOKUP(D30,$G$4:$H$153,2,FALSE))=0,"(창의성)"&amp;종합의견!$F$1,(IF(D30=0,"",VLOOKUP(D30,$G$4:$H$153,2,FALSE))))</f>
        <v/>
      </c>
      <c r="F30" s="9"/>
      <c r="G30" s="8">
        <v>27</v>
      </c>
      <c r="H30" s="13"/>
      <c r="I30" s="4"/>
      <c r="J30" s="4"/>
      <c r="K30" s="4"/>
      <c r="L30" s="4"/>
      <c r="M30" s="4"/>
    </row>
    <row r="31" spans="1:13" ht="16.5" customHeight="1">
      <c r="A31" s="4"/>
      <c r="B31" s="6" t="str">
        <f>IF(인성!B31&gt;0,인성!B31,"")</f>
        <v/>
      </c>
      <c r="C31" s="6" t="str">
        <f>IF(인성!C31&gt;0,인성!C31,"")</f>
        <v/>
      </c>
      <c r="D31" s="2"/>
      <c r="E31" s="12" t="str">
        <f>IF(IF(D31=0,"",VLOOKUP(D31,$G$4:$H$153,2,FALSE))=0,"(창의성)"&amp;종합의견!$F$1,(IF(D31=0,"",VLOOKUP(D31,$G$4:$H$153,2,FALSE))))</f>
        <v/>
      </c>
      <c r="F31" s="9"/>
      <c r="G31" s="8">
        <v>28</v>
      </c>
      <c r="H31" s="13"/>
      <c r="I31" s="4"/>
      <c r="J31" s="4"/>
      <c r="K31" s="4"/>
      <c r="L31" s="4"/>
      <c r="M31" s="4"/>
    </row>
    <row r="32" spans="1:13" ht="16.5" customHeight="1">
      <c r="A32" s="4"/>
      <c r="B32" s="6" t="str">
        <f>IF(인성!B32&gt;0,인성!B32,"")</f>
        <v/>
      </c>
      <c r="C32" s="6" t="str">
        <f>IF(인성!C32&gt;0,인성!C32,"")</f>
        <v/>
      </c>
      <c r="D32" s="2"/>
      <c r="E32" s="12" t="str">
        <f>IF(IF(D32=0,"",VLOOKUP(D32,$G$4:$H$153,2,FALSE))=0,"(창의성)"&amp;종합의견!$F$1,(IF(D32=0,"",VLOOKUP(D32,$G$4:$H$153,2,FALSE))))</f>
        <v/>
      </c>
      <c r="F32" s="9"/>
      <c r="G32" s="8">
        <v>29</v>
      </c>
      <c r="H32" s="13"/>
      <c r="I32" s="4"/>
      <c r="J32" s="4"/>
      <c r="K32" s="4"/>
      <c r="L32" s="4"/>
      <c r="M32" s="4"/>
    </row>
    <row r="33" spans="1:13" ht="16.5" customHeight="1">
      <c r="A33" s="4"/>
      <c r="B33" s="6" t="str">
        <f>IF(인성!B33&gt;0,인성!B33,"")</f>
        <v/>
      </c>
      <c r="C33" s="6" t="str">
        <f>IF(인성!C33&gt;0,인성!C33,"")</f>
        <v/>
      </c>
      <c r="D33" s="2"/>
      <c r="E33" s="12" t="str">
        <f>IF(IF(D33=0,"",VLOOKUP(D33,$G$4:$H$153,2,FALSE))=0,"(창의성)"&amp;종합의견!$F$1,(IF(D33=0,"",VLOOKUP(D33,$G$4:$H$153,2,FALSE))))</f>
        <v/>
      </c>
      <c r="F33" s="9"/>
      <c r="G33" s="8">
        <v>30</v>
      </c>
      <c r="H33" s="13"/>
      <c r="I33" s="4"/>
      <c r="J33" s="4"/>
      <c r="K33" s="4"/>
      <c r="L33" s="4"/>
      <c r="M33" s="4"/>
    </row>
    <row r="34" spans="1:13" ht="16.5" customHeight="1">
      <c r="A34" s="4"/>
      <c r="B34" s="6" t="str">
        <f>IF(인성!B34&gt;0,인성!B34,"")</f>
        <v/>
      </c>
      <c r="C34" s="6" t="str">
        <f>IF(인성!C34&gt;0,인성!C34,"")</f>
        <v/>
      </c>
      <c r="D34" s="2"/>
      <c r="E34" s="12" t="str">
        <f>IF(IF(D34=0,"",VLOOKUP(D34,$G$4:$H$153,2,FALSE))=0,"(창의성)"&amp;종합의견!$F$1,(IF(D34=0,"",VLOOKUP(D34,$G$4:$H$153,2,FALSE))))</f>
        <v/>
      </c>
      <c r="F34" s="9"/>
      <c r="G34" s="8">
        <v>31</v>
      </c>
      <c r="H34" s="13"/>
      <c r="I34" s="4"/>
      <c r="J34" s="4"/>
      <c r="K34" s="4"/>
      <c r="L34" s="4"/>
      <c r="M34" s="4"/>
    </row>
    <row r="35" spans="1:13" ht="16.5" customHeight="1">
      <c r="A35" s="4"/>
      <c r="B35" s="6" t="str">
        <f>IF(인성!B35&gt;0,인성!B35,"")</f>
        <v/>
      </c>
      <c r="C35" s="6" t="str">
        <f>IF(인성!C35&gt;0,인성!C35,"")</f>
        <v/>
      </c>
      <c r="D35" s="2"/>
      <c r="E35" s="12" t="str">
        <f>IF(IF(D35=0,"",VLOOKUP(D35,$G$4:$H$153,2,FALSE))=0,"(창의성)"&amp;종합의견!$F$1,(IF(D35=0,"",VLOOKUP(D35,$G$4:$H$153,2,FALSE))))</f>
        <v/>
      </c>
      <c r="F35" s="9"/>
      <c r="G35" s="8">
        <v>32</v>
      </c>
      <c r="H35" s="13"/>
      <c r="I35" s="4"/>
      <c r="J35" s="4"/>
      <c r="K35" s="4"/>
      <c r="L35" s="4"/>
      <c r="M35" s="4"/>
    </row>
    <row r="36" spans="1:13" ht="16.5" customHeight="1">
      <c r="A36" s="4"/>
      <c r="B36" s="6" t="str">
        <f>IF(인성!B36&gt;0,인성!B36,"")</f>
        <v/>
      </c>
      <c r="C36" s="6" t="str">
        <f>IF(인성!C36&gt;0,인성!C36,"")</f>
        <v/>
      </c>
      <c r="D36" s="2"/>
      <c r="E36" s="12" t="str">
        <f>IF(IF(D36=0,"",VLOOKUP(D36,$G$4:$H$153,2,FALSE))=0,"(창의성)"&amp;종합의견!$F$1,(IF(D36=0,"",VLOOKUP(D36,$G$4:$H$153,2,FALSE))))</f>
        <v/>
      </c>
      <c r="F36" s="9"/>
      <c r="G36" s="8">
        <v>33</v>
      </c>
      <c r="H36" s="13"/>
      <c r="I36" s="4"/>
      <c r="J36" s="4"/>
      <c r="K36" s="4"/>
      <c r="L36" s="4"/>
      <c r="M36" s="4"/>
    </row>
    <row r="37" spans="1:13" ht="16.5" customHeight="1">
      <c r="A37" s="4"/>
      <c r="B37" s="6" t="str">
        <f>IF(인성!B37&gt;0,인성!B37,"")</f>
        <v/>
      </c>
      <c r="C37" s="6" t="str">
        <f>IF(인성!C37&gt;0,인성!C37,"")</f>
        <v/>
      </c>
      <c r="D37" s="2"/>
      <c r="E37" s="12" t="str">
        <f>IF(IF(D37=0,"",VLOOKUP(D37,$G$4:$H$153,2,FALSE))=0,"(창의성)"&amp;종합의견!$F$1,(IF(D37=0,"",VLOOKUP(D37,$G$4:$H$153,2,FALSE))))</f>
        <v/>
      </c>
      <c r="F37" s="9"/>
      <c r="G37" s="8">
        <v>34</v>
      </c>
      <c r="H37" s="13"/>
      <c r="I37" s="4"/>
      <c r="J37" s="4"/>
      <c r="K37" s="4"/>
      <c r="L37" s="4"/>
      <c r="M37" s="4"/>
    </row>
    <row r="38" spans="1:13" ht="16.5" customHeight="1">
      <c r="A38" s="4"/>
      <c r="B38" s="6" t="str">
        <f>IF(인성!B38&gt;0,인성!B38,"")</f>
        <v/>
      </c>
      <c r="C38" s="6" t="str">
        <f>IF(인성!C38&gt;0,인성!C38,"")</f>
        <v/>
      </c>
      <c r="D38" s="2"/>
      <c r="E38" s="12" t="str">
        <f>IF(IF(D38=0,"",VLOOKUP(D38,$G$4:$H$153,2,FALSE))=0,"(창의성)"&amp;종합의견!$F$1,(IF(D38=0,"",VLOOKUP(D38,$G$4:$H$153,2,FALSE))))</f>
        <v/>
      </c>
      <c r="F38" s="9"/>
      <c r="G38" s="8">
        <v>35</v>
      </c>
      <c r="H38" s="13"/>
      <c r="I38" s="4"/>
      <c r="J38" s="4"/>
      <c r="K38" s="4"/>
      <c r="L38" s="4"/>
      <c r="M38" s="4"/>
    </row>
    <row r="39" spans="1:13" ht="16.5" customHeight="1">
      <c r="A39" s="4"/>
      <c r="B39" s="6" t="str">
        <f>IF(인성!B39&gt;0,인성!B39,"")</f>
        <v/>
      </c>
      <c r="C39" s="6" t="str">
        <f>IF(인성!C39&gt;0,인성!C39,"")</f>
        <v/>
      </c>
      <c r="D39" s="2"/>
      <c r="E39" s="12" t="str">
        <f>IF(IF(D39=0,"",VLOOKUP(D39,$G$4:$H$153,2,FALSE))=0,"(창의성)"&amp;종합의견!$F$1,(IF(D39=0,"",VLOOKUP(D39,$G$4:$H$153,2,FALSE))))</f>
        <v/>
      </c>
      <c r="F39" s="9"/>
      <c r="G39" s="8">
        <v>36</v>
      </c>
      <c r="H39" s="13"/>
      <c r="I39" s="4"/>
      <c r="J39" s="4"/>
      <c r="K39" s="4"/>
      <c r="L39" s="4"/>
      <c r="M39" s="4"/>
    </row>
    <row r="40" spans="1:13" ht="16.5" customHeight="1">
      <c r="A40" s="4"/>
      <c r="B40" s="6" t="str">
        <f>IF(인성!B40&gt;0,인성!B40,"")</f>
        <v/>
      </c>
      <c r="C40" s="6" t="str">
        <f>IF(인성!C40&gt;0,인성!C40,"")</f>
        <v/>
      </c>
      <c r="D40" s="2"/>
      <c r="E40" s="12" t="str">
        <f>IF(IF(D40=0,"",VLOOKUP(D40,$G$4:$H$153,2,FALSE))=0,"(창의성)"&amp;종합의견!$F$1,(IF(D40=0,"",VLOOKUP(D40,$G$4:$H$153,2,FALSE))))</f>
        <v/>
      </c>
      <c r="F40" s="9"/>
      <c r="G40" s="8">
        <v>37</v>
      </c>
      <c r="H40" s="13"/>
      <c r="I40" s="4"/>
      <c r="J40" s="4"/>
      <c r="K40" s="4"/>
      <c r="L40" s="4"/>
      <c r="M40" s="4"/>
    </row>
    <row r="41" spans="1:13" ht="16.5" customHeight="1">
      <c r="A41" s="4"/>
      <c r="B41" s="6" t="str">
        <f>IF(인성!B41&gt;0,인성!B41,"")</f>
        <v/>
      </c>
      <c r="C41" s="6" t="str">
        <f>IF(인성!C41&gt;0,인성!C41,"")</f>
        <v/>
      </c>
      <c r="D41" s="2"/>
      <c r="E41" s="12" t="str">
        <f>IF(IF(D41=0,"",VLOOKUP(D41,$G$4:$H$153,2,FALSE))=0,"(창의성)"&amp;종합의견!$F$1,(IF(D41=0,"",VLOOKUP(D41,$G$4:$H$153,2,FALSE))))</f>
        <v/>
      </c>
      <c r="F41" s="9"/>
      <c r="G41" s="8">
        <v>38</v>
      </c>
      <c r="H41" s="13"/>
      <c r="I41" s="4"/>
      <c r="J41" s="4"/>
      <c r="K41" s="4"/>
      <c r="L41" s="4"/>
      <c r="M41" s="4"/>
    </row>
    <row r="42" spans="1:13" ht="16.5" customHeight="1">
      <c r="A42" s="4"/>
      <c r="B42" s="6" t="str">
        <f>IF(인성!B42&gt;0,인성!B42,"")</f>
        <v/>
      </c>
      <c r="C42" s="6" t="str">
        <f>IF(인성!C42&gt;0,인성!C42,"")</f>
        <v/>
      </c>
      <c r="D42" s="2"/>
      <c r="E42" s="12" t="str">
        <f>IF(IF(D42=0,"",VLOOKUP(D42,$G$4:$H$153,2,FALSE))=0,"(창의성)"&amp;종합의견!$F$1,(IF(D42=0,"",VLOOKUP(D42,$G$4:$H$153,2,FALSE))))</f>
        <v/>
      </c>
      <c r="F42" s="9"/>
      <c r="G42" s="8">
        <v>39</v>
      </c>
      <c r="H42" s="13"/>
      <c r="I42" s="4"/>
      <c r="J42" s="4"/>
      <c r="K42" s="4"/>
      <c r="L42" s="4"/>
      <c r="M42" s="4"/>
    </row>
    <row r="43" spans="1:13" ht="16.5" customHeight="1">
      <c r="A43" s="4"/>
      <c r="B43" s="6" t="str">
        <f>IF(인성!B43&gt;0,인성!B43,"")</f>
        <v/>
      </c>
      <c r="C43" s="6" t="str">
        <f>IF(인성!C43&gt;0,인성!C43,"")</f>
        <v/>
      </c>
      <c r="D43" s="2"/>
      <c r="E43" s="12" t="str">
        <f>IF(IF(D43=0,"",VLOOKUP(D43,$G$4:$H$153,2,FALSE))=0,"(창의성)"&amp;종합의견!$F$1,(IF(D43=0,"",VLOOKUP(D43,$G$4:$H$153,2,FALSE))))</f>
        <v/>
      </c>
      <c r="F43" s="9"/>
      <c r="G43" s="8">
        <v>40</v>
      </c>
      <c r="H43" s="13"/>
      <c r="I43" s="4"/>
      <c r="J43" s="4"/>
      <c r="K43" s="4"/>
      <c r="L43" s="4"/>
      <c r="M43" s="4"/>
    </row>
    <row r="44" spans="1:13" ht="16.5" customHeight="1">
      <c r="A44" s="4"/>
      <c r="B44" s="6" t="str">
        <f>IF(인성!B44&gt;0,인성!B44,"")</f>
        <v/>
      </c>
      <c r="C44" s="6" t="str">
        <f>IF(인성!C44&gt;0,인성!C44,"")</f>
        <v/>
      </c>
      <c r="D44" s="2"/>
      <c r="E44" s="12" t="str">
        <f>IF(IF(D44=0,"",VLOOKUP(D44,$G$4:$H$153,2,FALSE))=0,"(창의성)"&amp;종합의견!$F$1,(IF(D44=0,"",VLOOKUP(D44,$G$4:$H$153,2,FALSE))))</f>
        <v/>
      </c>
      <c r="F44" s="9"/>
      <c r="G44" s="8">
        <v>41</v>
      </c>
      <c r="H44" s="13"/>
      <c r="I44" s="4"/>
      <c r="J44" s="4"/>
      <c r="K44" s="4"/>
      <c r="L44" s="4"/>
      <c r="M44" s="4"/>
    </row>
    <row r="45" spans="1:13" ht="16.5" customHeight="1">
      <c r="A45" s="4"/>
      <c r="B45" s="6" t="str">
        <f>IF(인성!B45&gt;0,인성!B45,"")</f>
        <v/>
      </c>
      <c r="C45" s="6" t="str">
        <f>IF(인성!C45&gt;0,인성!C45,"")</f>
        <v/>
      </c>
      <c r="D45" s="2"/>
      <c r="E45" s="12" t="str">
        <f>IF(IF(D45=0,"",VLOOKUP(D45,$G$4:$H$153,2,FALSE))=0,"(창의성)"&amp;종합의견!$F$1,(IF(D45=0,"",VLOOKUP(D45,$G$4:$H$153,2,FALSE))))</f>
        <v/>
      </c>
      <c r="F45" s="9"/>
      <c r="G45" s="8">
        <v>42</v>
      </c>
      <c r="H45" s="13"/>
      <c r="I45" s="4"/>
      <c r="J45" s="4"/>
      <c r="K45" s="4"/>
      <c r="L45" s="4"/>
      <c r="M45" s="4"/>
    </row>
    <row r="46" spans="1:13" ht="16.5" customHeight="1">
      <c r="A46" s="4"/>
      <c r="B46" s="6" t="str">
        <f>IF(인성!B46&gt;0,인성!B46,"")</f>
        <v/>
      </c>
      <c r="C46" s="6" t="str">
        <f>IF(인성!C46&gt;0,인성!C46,"")</f>
        <v/>
      </c>
      <c r="D46" s="2"/>
      <c r="E46" s="12" t="str">
        <f>IF(IF(D46=0,"",VLOOKUP(D46,$G$4:$H$153,2,FALSE))=0,"(창의성)"&amp;종합의견!$F$1,(IF(D46=0,"",VLOOKUP(D46,$G$4:$H$153,2,FALSE))))</f>
        <v/>
      </c>
      <c r="F46" s="9"/>
      <c r="G46" s="8">
        <v>43</v>
      </c>
      <c r="H46" s="13"/>
      <c r="I46" s="4"/>
      <c r="J46" s="4"/>
      <c r="K46" s="4"/>
      <c r="L46" s="4"/>
      <c r="M46" s="4"/>
    </row>
    <row r="47" spans="1:13" ht="16.5" customHeight="1">
      <c r="A47" s="4"/>
      <c r="B47" s="6" t="str">
        <f>IF(인성!B47&gt;0,인성!B47,"")</f>
        <v/>
      </c>
      <c r="C47" s="6" t="str">
        <f>IF(인성!C47&gt;0,인성!C47,"")</f>
        <v/>
      </c>
      <c r="D47" s="2"/>
      <c r="E47" s="12" t="str">
        <f>IF(IF(D47=0,"",VLOOKUP(D47,$G$4:$H$153,2,FALSE))=0,"(창의성)"&amp;종합의견!$F$1,(IF(D47=0,"",VLOOKUP(D47,$G$4:$H$153,2,FALSE))))</f>
        <v/>
      </c>
      <c r="F47" s="9"/>
      <c r="G47" s="8">
        <v>44</v>
      </c>
      <c r="H47" s="13"/>
      <c r="I47" s="4"/>
      <c r="J47" s="4"/>
      <c r="K47" s="4"/>
      <c r="L47" s="4"/>
      <c r="M47" s="4"/>
    </row>
    <row r="48" spans="1:13" ht="16.5" customHeight="1">
      <c r="A48" s="4"/>
      <c r="B48" s="6" t="str">
        <f>IF(인성!B48&gt;0,인성!B48,"")</f>
        <v/>
      </c>
      <c r="C48" s="6" t="str">
        <f>IF(인성!C48&gt;0,인성!C48,"")</f>
        <v/>
      </c>
      <c r="D48" s="2"/>
      <c r="E48" s="12" t="str">
        <f>IF(IF(D48=0,"",VLOOKUP(D48,$G$4:$H$153,2,FALSE))=0,"(창의성)"&amp;종합의견!$F$1,(IF(D48=0,"",VLOOKUP(D48,$G$4:$H$153,2,FALSE))))</f>
        <v/>
      </c>
      <c r="F48" s="9"/>
      <c r="G48" s="8">
        <v>45</v>
      </c>
      <c r="H48" s="13"/>
      <c r="I48" s="4"/>
      <c r="J48" s="4"/>
      <c r="K48" s="4"/>
      <c r="L48" s="4"/>
      <c r="M48" s="4"/>
    </row>
    <row r="49" spans="1:13" ht="16.5" customHeight="1">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zoomScale="85" zoomScaleNormal="85" workbookViewId="0">
      <pane xSplit="3" ySplit="3" topLeftCell="D16" activePane="bottomRight" state="frozen"/>
      <selection pane="topRight" activeCell="D1" sqref="D1"/>
      <selection pane="bottomLeft" activeCell="A4" sqref="A4"/>
      <selection pane="bottomRight" activeCell="E23" sqref="E23"/>
    </sheetView>
  </sheetViews>
  <sheetFormatPr defaultColWidth="17.25" defaultRowHeight="16.5"/>
  <cols>
    <col min="1" max="1" width="1.375" customWidth="1"/>
    <col min="2" max="2" width="4.375" customWidth="1"/>
    <col min="3" max="3" width="9" customWidth="1"/>
    <col min="4" max="4" width="6.75" customWidth="1"/>
    <col min="5" max="5" width="68.625" customWidth="1"/>
    <col min="6" max="6" width="2" customWidth="1"/>
    <col min="7" max="7" width="7.125" customWidth="1"/>
    <col min="8" max="8" width="68.625" customWidth="1"/>
    <col min="9" max="9" width="2" customWidth="1"/>
    <col min="10" max="10" width="5.125" customWidth="1"/>
    <col min="11" max="11" width="9" customWidth="1"/>
    <col min="12" max="12" width="13.375" customWidth="1"/>
    <col min="13" max="13" width="35.875" customWidth="1"/>
  </cols>
  <sheetData>
    <row r="1" spans="1:13">
      <c r="A1" s="4"/>
      <c r="B1" s="67" t="s">
        <v>1</v>
      </c>
      <c r="C1" s="68"/>
      <c r="D1" s="68"/>
      <c r="E1" s="68"/>
      <c r="F1" s="68"/>
      <c r="G1" s="68"/>
      <c r="H1" s="68"/>
      <c r="I1" s="4"/>
      <c r="J1" s="78" t="s">
        <v>166</v>
      </c>
      <c r="K1" s="68"/>
      <c r="L1" s="68"/>
      <c r="M1" s="68"/>
    </row>
    <row r="2" spans="1:13" ht="26.25">
      <c r="A2" s="4"/>
      <c r="B2" s="69" t="s">
        <v>167</v>
      </c>
      <c r="C2" s="66"/>
      <c r="D2" s="66"/>
      <c r="E2" s="66"/>
      <c r="F2" s="5"/>
      <c r="G2" s="5"/>
      <c r="H2" s="5"/>
      <c r="I2" s="4"/>
      <c r="J2" s="77" t="s">
        <v>168</v>
      </c>
      <c r="K2" s="66"/>
      <c r="L2" s="66"/>
      <c r="M2" s="66"/>
    </row>
    <row r="3" spans="1:13">
      <c r="A3" s="4"/>
      <c r="B3" s="6" t="s">
        <v>3</v>
      </c>
      <c r="C3" s="6" t="s">
        <v>4</v>
      </c>
      <c r="D3" s="7" t="s">
        <v>5</v>
      </c>
      <c r="E3" s="7" t="s">
        <v>6</v>
      </c>
      <c r="F3" s="15"/>
      <c r="G3" s="7" t="s">
        <v>7</v>
      </c>
      <c r="H3" s="7" t="s">
        <v>8</v>
      </c>
      <c r="I3" s="4"/>
      <c r="J3" s="24" t="s">
        <v>3</v>
      </c>
      <c r="K3" s="24" t="s">
        <v>4</v>
      </c>
      <c r="L3" s="24" t="s">
        <v>567</v>
      </c>
      <c r="M3" s="24" t="s">
        <v>568</v>
      </c>
    </row>
    <row r="4" spans="1:13" ht="27">
      <c r="A4" s="4"/>
      <c r="B4" s="6">
        <f>IF(인성!B4&gt;0,인성!B4,"")</f>
        <v>1</v>
      </c>
      <c r="C4" s="6" t="str">
        <f>IF(인성!C4&gt;0,인성!C4,"")</f>
        <v>김권위</v>
      </c>
      <c r="D4" s="2"/>
      <c r="E4" s="12" t="str">
        <f>IF(IF(D4=0,"",VLOOKUP(D4,$G$4:$H$153,2,FALSE))=0,"(잠재력&amp;진로)"&amp;종합의견!$F$1,(IF(D4=0,"",VLOOKUP(D4,$G$4:$H$153,2,FALSE))))</f>
        <v/>
      </c>
      <c r="F4" s="9"/>
      <c r="G4" s="8">
        <v>1</v>
      </c>
      <c r="H4" s="13" t="s">
        <v>724</v>
      </c>
      <c r="I4" s="4"/>
      <c r="J4" s="25">
        <f t="shared" ref="J4:K4" si="0">B4</f>
        <v>1</v>
      </c>
      <c r="K4" s="26" t="str">
        <f t="shared" si="0"/>
        <v>김권위</v>
      </c>
      <c r="L4" s="55"/>
      <c r="M4" s="56"/>
    </row>
    <row r="5" spans="1:13" ht="36">
      <c r="A5" s="4"/>
      <c r="B5" s="6">
        <f>IF(인성!B5&gt;0,인성!B5,"")</f>
        <v>2</v>
      </c>
      <c r="C5" s="6" t="str">
        <f>IF(인성!C5&gt;0,인성!C5,"")</f>
        <v>김상현</v>
      </c>
      <c r="D5" s="2">
        <v>82</v>
      </c>
      <c r="E5" s="12" t="str">
        <f>IF(IF(D5=0,"",VLOOKUP(D5,$G$4:$H$153,2,FALSE))=0,"(잠재력&amp;진로)"&amp;종합의견!$F$1,(IF(D5=0,"",VLOOKUP(D5,$G$4:$H$153,2,FALSE))))</f>
        <v>웹과 관련된 교과를 배우면서 웹 기술을 이용한 프로그램 개발에 매력을 느끼고 웹을 이용한 프로젝트에 적극적으로 참여하는 등 웹 개발 분야의 전문성을 쌓기 위해 노력을 기울임.</v>
      </c>
      <c r="F5" s="9"/>
      <c r="G5" s="8">
        <v>2</v>
      </c>
      <c r="H5" s="13" t="s">
        <v>725</v>
      </c>
      <c r="I5" s="4"/>
      <c r="J5" s="25">
        <f t="shared" ref="J5:K5" si="1">B5</f>
        <v>2</v>
      </c>
      <c r="K5" s="26" t="str">
        <f t="shared" si="1"/>
        <v>김상현</v>
      </c>
      <c r="L5" s="59" t="s">
        <v>701</v>
      </c>
      <c r="M5" s="60" t="s">
        <v>719</v>
      </c>
    </row>
    <row r="6" spans="1:13" ht="60">
      <c r="A6" s="4"/>
      <c r="B6" s="6">
        <f>IF(인성!B6&gt;0,인성!B6,"")</f>
        <v>3</v>
      </c>
      <c r="C6" s="6" t="str">
        <f>IF(인성!C6&gt;0,인성!C6,"")</f>
        <v>김승길</v>
      </c>
      <c r="D6" s="2">
        <v>83</v>
      </c>
      <c r="E6" s="12" t="str">
        <f>IF(IF(D6=0,"",VLOOKUP(D6,$G$4:$H$153,2,FALSE))=0,"(잠재력&amp;진로)"&amp;종합의견!$F$1,(IF(D6=0,"",VLOOKUP(D6,$G$4:$H$153,2,FALSE))))</f>
        <v>전기와 ICT가 융합된 직업을 갖는 꿈을 실현하기 위해 관련 분야의 자격증을 취득하고 계획적으로 자기주도적 학습을 실행함은 물론 각종 프로젝트 활동에도 열정적으로 참여하는 등 진로개척을 위해 노력함.</v>
      </c>
      <c r="F6" s="9"/>
      <c r="G6" s="8">
        <v>3</v>
      </c>
      <c r="H6" s="13" t="s">
        <v>634</v>
      </c>
      <c r="I6" s="4"/>
      <c r="J6" s="25">
        <f t="shared" ref="J6:K6" si="2">B6</f>
        <v>3</v>
      </c>
      <c r="K6" s="26" t="str">
        <f t="shared" si="2"/>
        <v>김승길</v>
      </c>
      <c r="L6" s="50" t="s">
        <v>702</v>
      </c>
      <c r="M6" s="51" t="s">
        <v>703</v>
      </c>
    </row>
    <row r="7" spans="1:13" ht="48">
      <c r="A7" s="4"/>
      <c r="B7" s="6">
        <f>IF(인성!B7&gt;0,인성!B7,"")</f>
        <v>4</v>
      </c>
      <c r="C7" s="6" t="str">
        <f>IF(인성!C7&gt;0,인성!C7,"")</f>
        <v>김하얀</v>
      </c>
      <c r="D7" s="2">
        <v>84</v>
      </c>
      <c r="E7" s="12" t="str">
        <f>IF(IF(D7=0,"",VLOOKUP(D7,$G$4:$H$153,2,FALSE))=0,"(잠재력&amp;진로)"&amp;종합의견!$F$1,(IF(D7=0,"",VLOOKUP(D7,$G$4:$H$153,2,FALSE))))</f>
        <v>마이크로프로세서를 이용한 전기분야에 흥미가 높아 해당 분야 자격증 취득과 프로젝트 활동에 적극적으로 참여하고 기업의 취업 정보를 꾸준히 탐색하고 등 진로개척을 위한 안목을 키워나감.</v>
      </c>
      <c r="F7" s="9"/>
      <c r="G7" s="8">
        <v>4</v>
      </c>
      <c r="H7" s="13" t="s">
        <v>169</v>
      </c>
      <c r="I7" s="4"/>
      <c r="J7" s="25">
        <f t="shared" ref="J7:K7" si="3">B7</f>
        <v>4</v>
      </c>
      <c r="K7" s="26" t="str">
        <f t="shared" si="3"/>
        <v>김하얀</v>
      </c>
      <c r="L7" s="50" t="s">
        <v>723</v>
      </c>
      <c r="M7" s="51" t="s">
        <v>722</v>
      </c>
    </row>
    <row r="8" spans="1:13" ht="27">
      <c r="A8" s="4"/>
      <c r="B8" s="6">
        <f>IF(인성!B8&gt;0,인성!B8,"")</f>
        <v>5</v>
      </c>
      <c r="C8" s="6" t="str">
        <f>IF(인성!C8&gt;0,인성!C8,"")</f>
        <v>김호찬</v>
      </c>
      <c r="D8" s="2"/>
      <c r="E8" s="12" t="str">
        <f>IF(IF(D8=0,"",VLOOKUP(D8,$G$4:$H$153,2,FALSE))=0,"(잠재력&amp;진로)"&amp;종합의견!$F$1,(IF(D8=0,"",VLOOKUP(D8,$G$4:$H$153,2,FALSE))))</f>
        <v/>
      </c>
      <c r="F8" s="9"/>
      <c r="G8" s="8">
        <v>5</v>
      </c>
      <c r="H8" s="13" t="s">
        <v>635</v>
      </c>
      <c r="I8" s="4"/>
      <c r="J8" s="25">
        <f t="shared" ref="J8:K8" si="4">B8</f>
        <v>5</v>
      </c>
      <c r="K8" s="26" t="str">
        <f t="shared" si="4"/>
        <v>김호찬</v>
      </c>
      <c r="L8" s="57"/>
      <c r="M8" s="58"/>
    </row>
    <row r="9" spans="1:13" ht="40.5">
      <c r="A9" s="4"/>
      <c r="B9" s="6">
        <f>IF(인성!B9&gt;0,인성!B9,"")</f>
        <v>6</v>
      </c>
      <c r="C9" s="6" t="str">
        <f>IF(인성!C9&gt;0,인성!C9,"")</f>
        <v>노지형</v>
      </c>
      <c r="D9" s="2">
        <v>4</v>
      </c>
      <c r="E9" s="12" t="str">
        <f>IF(IF(D9=0,"",VLOOKUP(D9,$G$4:$H$153,2,FALSE))=0,"(잠재력&amp;진로)"&amp;종합의견!$F$1,(IF(D9=0,"",VLOOKUP(D9,$G$4:$H$153,2,FALSE))))</f>
        <v>진로에 대한 진지한 자기성찰과 탐색을 통해 구체적인 방향을 정하고 단계적으로 꾸준히 노력한다면 발전가능성이 충분히 있을 것으로 기대됨.</v>
      </c>
      <c r="F9" s="9"/>
      <c r="G9" s="8">
        <v>6</v>
      </c>
      <c r="H9" s="13" t="s">
        <v>683</v>
      </c>
      <c r="I9" s="4"/>
      <c r="J9" s="25">
        <f t="shared" ref="J9:K9" si="5">B9</f>
        <v>6</v>
      </c>
      <c r="K9" s="26" t="str">
        <f t="shared" si="5"/>
        <v>노지형</v>
      </c>
      <c r="L9" s="59" t="s">
        <v>704</v>
      </c>
      <c r="M9" s="60" t="s">
        <v>705</v>
      </c>
    </row>
    <row r="10" spans="1:13" ht="40.5">
      <c r="A10" s="4"/>
      <c r="B10" s="6">
        <f>IF(인성!B10&gt;0,인성!B10,"")</f>
        <v>7</v>
      </c>
      <c r="C10" s="6" t="str">
        <f>IF(인성!C10&gt;0,인성!C10,"")</f>
        <v>류나경</v>
      </c>
      <c r="D10" s="2">
        <v>17</v>
      </c>
      <c r="E10" s="12" t="str">
        <f>IF(IF(D10=0,"",VLOOKUP(D10,$G$4:$H$153,2,FALSE))=0,"(잠재력&amp;진로)"&amp;종합의견!$F$1,(IF(D10=0,"",VLOOKUP(D10,$G$4:$H$153,2,FALSE))))</f>
        <v>정보보안 분야에 대한 관심이 많아 정보보안 관련 전공동아리 활동에 열심히 참여하고 관련분야에 대한 지적 호기실을 충족하고자 노력하는 등 진로를 위해 적극적으로 노력하고 있어 장래가 기대됨.</v>
      </c>
      <c r="F10" s="9"/>
      <c r="G10" s="8">
        <v>7</v>
      </c>
      <c r="H10" s="13" t="s">
        <v>636</v>
      </c>
      <c r="I10" s="4"/>
      <c r="J10" s="25">
        <f t="shared" ref="J10:K10" si="6">B10</f>
        <v>7</v>
      </c>
      <c r="K10" s="26" t="str">
        <f t="shared" si="6"/>
        <v>류나경</v>
      </c>
      <c r="L10" s="59" t="s">
        <v>706</v>
      </c>
      <c r="M10" s="60" t="s">
        <v>707</v>
      </c>
    </row>
    <row r="11" spans="1:13" ht="40.5">
      <c r="A11" s="4"/>
      <c r="B11" s="6">
        <f>IF(인성!B11&gt;0,인성!B11,"")</f>
        <v>8</v>
      </c>
      <c r="C11" s="6" t="str">
        <f>IF(인성!C11&gt;0,인성!C11,"")</f>
        <v>박건하</v>
      </c>
      <c r="D11" s="2">
        <v>1</v>
      </c>
      <c r="E11" s="12" t="str">
        <f>IF(IF(D11=0,"",VLOOKUP(D11,$G$4:$H$153,2,FALSE))=0,"(잠재력&amp;진로)"&amp;종합의견!$F$1,(IF(D11=0,"",VLOOKUP(D11,$G$4:$H$153,2,FALSE))))</f>
        <v>임베디드 전자회로 분야에 관심이 높아 관련도서를 꾸준히 읽고 탐구하여 관심분야에 대한 지적호기심을 충족시키고자 적극적으로 노력함.</v>
      </c>
      <c r="F11" s="9"/>
      <c r="G11" s="8">
        <v>8</v>
      </c>
      <c r="H11" s="13" t="s">
        <v>637</v>
      </c>
      <c r="I11" s="4"/>
      <c r="J11" s="25">
        <f t="shared" ref="J11:K11" si="7">B11</f>
        <v>8</v>
      </c>
      <c r="K11" s="26" t="str">
        <f t="shared" si="7"/>
        <v>박건하</v>
      </c>
      <c r="L11" s="59" t="s">
        <v>708</v>
      </c>
      <c r="M11" s="60" t="s">
        <v>709</v>
      </c>
    </row>
    <row r="12" spans="1:13" ht="72">
      <c r="A12" s="4"/>
      <c r="B12" s="6">
        <f>IF(인성!B12&gt;0,인성!B12,"")</f>
        <v>9</v>
      </c>
      <c r="C12" s="6" t="str">
        <f>IF(인성!C12&gt;0,인성!C12,"")</f>
        <v>서형찬</v>
      </c>
      <c r="D12" s="2">
        <v>80</v>
      </c>
      <c r="E12" s="12" t="str">
        <f>IF(IF(D12=0,"",VLOOKUP(D12,$G$4:$H$153,2,FALSE))=0,"(잠재력&amp;진로)"&amp;종합의견!$F$1,(IF(D12=0,"",VLOOKUP(D12,$G$4:$H$153,2,FALSE))))</f>
        <v>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v>
      </c>
      <c r="F12" s="9"/>
      <c r="G12" s="8">
        <v>9</v>
      </c>
      <c r="H12" s="13" t="s">
        <v>638</v>
      </c>
      <c r="I12" s="4"/>
      <c r="J12" s="25">
        <f t="shared" ref="J12:K12" si="8">B12</f>
        <v>9</v>
      </c>
      <c r="K12" s="26" t="str">
        <f t="shared" si="8"/>
        <v>서형찬</v>
      </c>
      <c r="L12" s="59" t="s">
        <v>710</v>
      </c>
      <c r="M12" s="60" t="s">
        <v>711</v>
      </c>
    </row>
    <row r="13" spans="1:13" ht="60">
      <c r="A13" s="4"/>
      <c r="B13" s="6">
        <f>IF(인성!B13&gt;0,인성!B13,"")</f>
        <v>10</v>
      </c>
      <c r="C13" s="6" t="str">
        <f>IF(인성!C13&gt;0,인성!C13,"")</f>
        <v>손우진</v>
      </c>
      <c r="D13" s="2">
        <v>85</v>
      </c>
      <c r="E13" s="12" t="str">
        <f>IF(IF(D13=0,"",VLOOKUP(D13,$G$4:$H$153,2,FALSE))=0,"(잠재력&amp;진로)"&amp;종합의견!$F$1,(IF(D13=0,"",VLOOKUP(D13,$G$4:$H$153,2,FALSE))))</f>
        <v>자신의 꿈인 임베디드 개발자가 되기 위해 임베디드 기술과 관련된 서적과 인터넷 자료를 많이 읽고 다양한 프로젝트를 수행하는 등 적극적인 자세로 꾸준히 노력하고 있어 발전 가능성이 보임.</v>
      </c>
      <c r="F13" s="9"/>
      <c r="G13" s="8">
        <v>10</v>
      </c>
      <c r="H13" s="49" t="s">
        <v>640</v>
      </c>
      <c r="I13" s="4"/>
      <c r="J13" s="25">
        <f t="shared" ref="J13:K13" si="9">B13</f>
        <v>10</v>
      </c>
      <c r="K13" s="26" t="str">
        <f t="shared" si="9"/>
        <v>손우진</v>
      </c>
      <c r="L13" s="59" t="s">
        <v>700</v>
      </c>
      <c r="M13" s="60" t="s">
        <v>727</v>
      </c>
    </row>
    <row r="14" spans="1:13" ht="48">
      <c r="A14" s="4"/>
      <c r="B14" s="6">
        <f>IF(인성!B14&gt;0,인성!B14,"")</f>
        <v>11</v>
      </c>
      <c r="C14" s="6" t="str">
        <f>IF(인성!C14&gt;0,인성!C14,"")</f>
        <v>송정연</v>
      </c>
      <c r="D14" s="2">
        <v>9</v>
      </c>
      <c r="E14" s="12" t="str">
        <f>IF(IF(D14=0,"",VLOOKUP(D14,$G$4:$H$153,2,FALSE))=0,"(잠재력&amp;진로)"&amp;종합의견!$F$1,(IF(D14=0,"",VLOOKUP(D14,$G$4:$H$153,2,FALSE))))</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F14" s="9"/>
      <c r="G14" s="8">
        <v>11</v>
      </c>
      <c r="H14" s="13" t="s">
        <v>633</v>
      </c>
      <c r="I14" s="4"/>
      <c r="J14" s="25">
        <f t="shared" ref="J14:K14" si="10">B14</f>
        <v>11</v>
      </c>
      <c r="K14" s="26" t="str">
        <f t="shared" si="10"/>
        <v>송정연</v>
      </c>
      <c r="L14" s="59" t="s">
        <v>712</v>
      </c>
      <c r="M14" s="60" t="s">
        <v>729</v>
      </c>
    </row>
    <row r="15" spans="1:13" ht="27">
      <c r="A15" s="4"/>
      <c r="B15" s="6">
        <f>IF(인성!B15&gt;0,인성!B15,"")</f>
        <v>12</v>
      </c>
      <c r="C15" s="6" t="str">
        <f>IF(인성!C15&gt;0,인성!C15,"")</f>
        <v>양민국</v>
      </c>
      <c r="D15" s="2">
        <v>87</v>
      </c>
      <c r="E15" s="12" t="str">
        <f>IF(IF(D15=0,"",VLOOKUP(D15,$G$4:$H$153,2,FALSE))=0,"(잠재력&amp;진로)"&amp;종합의견!$F$1,(IF(D15=0,"",VLOOKUP(D15,$G$4:$H$153,2,FALSE))))</f>
        <v>IoT분야에 관심이 많고 상상력이 풍부하여 관련된 다양한 프로젝트를 수행하는 등 자신이 희망하는 진로와 연계하여 관련 정보와 지식을 축적하고 있어 발전가능성이 보임.</v>
      </c>
      <c r="F15" s="9"/>
      <c r="G15" s="8">
        <v>12</v>
      </c>
      <c r="H15" s="13" t="s">
        <v>639</v>
      </c>
      <c r="I15" s="4"/>
      <c r="J15" s="25">
        <f t="shared" ref="J15:K15" si="11">B15</f>
        <v>12</v>
      </c>
      <c r="K15" s="26" t="str">
        <f t="shared" si="11"/>
        <v>양민국</v>
      </c>
      <c r="L15" s="59" t="s">
        <v>713</v>
      </c>
      <c r="M15" s="60" t="s">
        <v>730</v>
      </c>
    </row>
    <row r="16" spans="1:13" ht="40.5">
      <c r="A16" s="4"/>
      <c r="B16" s="6">
        <f>IF(인성!B16&gt;0,인성!B16,"")</f>
        <v>13</v>
      </c>
      <c r="C16" s="6" t="str">
        <f>IF(인성!C16&gt;0,인성!C16,"")</f>
        <v>오서현</v>
      </c>
      <c r="D16" s="2">
        <v>88</v>
      </c>
      <c r="E16" s="12" t="str">
        <f>IF(IF(D16=0,"",VLOOKUP(D16,$G$4:$H$153,2,FALSE))=0,"(잠재력&amp;진로)"&amp;종합의견!$F$1,(IF(D16=0,"",VLOOKUP(D16,$G$4:$H$153,2,FALSE))))</f>
        <v>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v>
      </c>
      <c r="F16" s="9"/>
      <c r="G16" s="8">
        <v>13</v>
      </c>
      <c r="H16" s="13" t="s">
        <v>641</v>
      </c>
      <c r="I16" s="4"/>
      <c r="J16" s="25">
        <f t="shared" ref="J16:K16" si="12">B16</f>
        <v>13</v>
      </c>
      <c r="K16" s="26" t="str">
        <f t="shared" si="12"/>
        <v>오서현</v>
      </c>
      <c r="L16" s="59" t="s">
        <v>714</v>
      </c>
      <c r="M16" s="60" t="s">
        <v>715</v>
      </c>
    </row>
    <row r="17" spans="1:13" ht="27">
      <c r="A17" s="4"/>
      <c r="B17" s="6">
        <f>IF(인성!B17&gt;0,인성!B17,"")</f>
        <v>14</v>
      </c>
      <c r="C17" s="6" t="str">
        <f>IF(인성!C17&gt;0,인성!C17,"")</f>
        <v>윤재영</v>
      </c>
      <c r="D17" s="2">
        <v>89</v>
      </c>
      <c r="E17" s="12" t="str">
        <f>IF(IF(D17=0,"",VLOOKUP(D17,$G$4:$H$153,2,FALSE))=0,"(잠재력&amp;진로)"&amp;종합의견!$F$1,(IF(D17=0,"",VLOOKUP(D17,$G$4:$H$153,2,FALSE))))</f>
        <v>전기전자를 이용한 프로젝트에 관심과 흥미가 많아 인터넷과, 서적 등을 통해 관련 정보를 많이 수집하고 관련 자격증을 취득하는 등 자신의 진로개척을 위해 노력함.</v>
      </c>
      <c r="F17" s="9"/>
      <c r="G17" s="8">
        <v>14</v>
      </c>
      <c r="H17" s="13" t="s">
        <v>642</v>
      </c>
      <c r="I17" s="4"/>
      <c r="J17" s="25">
        <f t="shared" ref="J17:K17" si="13">B17</f>
        <v>14</v>
      </c>
      <c r="K17" s="26" t="str">
        <f t="shared" si="13"/>
        <v>윤재영</v>
      </c>
      <c r="L17" s="57"/>
      <c r="M17" s="58"/>
    </row>
    <row r="18" spans="1:13" ht="40.5">
      <c r="A18" s="4"/>
      <c r="B18" s="6">
        <f>IF(인성!B18&gt;0,인성!B18,"")</f>
        <v>15</v>
      </c>
      <c r="C18" s="6" t="str">
        <f>IF(인성!C18&gt;0,인성!C18,"")</f>
        <v>이승민</v>
      </c>
      <c r="D18" s="2">
        <v>90</v>
      </c>
      <c r="E18" s="12" t="str">
        <f>IF(IF(D18=0,"",VLOOKUP(D18,$G$4:$H$153,2,FALSE))=0,"(잠재력&amp;진로)"&amp;종합의견!$F$1,(IF(D18=0,"",VLOOKUP(D18,$G$4:$H$153,2,FALSE))))</f>
        <v>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v>
      </c>
      <c r="F18" s="9"/>
      <c r="G18" s="8">
        <v>15</v>
      </c>
      <c r="H18" s="13" t="s">
        <v>643</v>
      </c>
      <c r="I18" s="4"/>
      <c r="J18" s="25">
        <f t="shared" ref="J18:K18" si="14">B18</f>
        <v>15</v>
      </c>
      <c r="K18" s="26" t="str">
        <f t="shared" si="14"/>
        <v>이승민</v>
      </c>
      <c r="L18" s="59" t="s">
        <v>716</v>
      </c>
      <c r="M18" s="60" t="s">
        <v>735</v>
      </c>
    </row>
    <row r="19" spans="1:13" ht="27">
      <c r="A19" s="4"/>
      <c r="B19" s="6">
        <f>IF(인성!B19&gt;0,인성!B19,"")</f>
        <v>16</v>
      </c>
      <c r="C19" s="6" t="str">
        <f>IF(인성!C19&gt;0,인성!C19,"")</f>
        <v>조도울</v>
      </c>
      <c r="D19" s="2">
        <v>91</v>
      </c>
      <c r="E19" s="12" t="str">
        <f>IF(IF(D19=0,"",VLOOKUP(D19,$G$4:$H$153,2,FALSE))=0,"(잠재력&amp;진로)"&amp;종합의견!$F$1,(IF(D19=0,"",VLOOKUP(D19,$G$4:$H$153,2,FALSE))))</f>
        <v xml:space="preserve">스스로 학습하여 동작하는 인공지능 프로그램 개발자로 진로 목표를 정하고 서적을 읽거나 인터넷을 통해 관련 정보와 지식을 습득하는 등 꿈을 이루기 위해 열심히 노력함. </v>
      </c>
      <c r="F19" s="9"/>
      <c r="G19" s="8">
        <v>16</v>
      </c>
      <c r="H19" s="13" t="s">
        <v>732</v>
      </c>
      <c r="I19" s="4"/>
      <c r="J19" s="25">
        <f t="shared" ref="J19:K19" si="15">B19</f>
        <v>16</v>
      </c>
      <c r="K19" s="26" t="str">
        <f t="shared" si="15"/>
        <v>조도울</v>
      </c>
      <c r="L19" s="57"/>
      <c r="M19" s="58"/>
    </row>
    <row r="20" spans="1:13" ht="40.5">
      <c r="A20" s="4"/>
      <c r="B20" s="6">
        <f>IF(인성!B20&gt;0,인성!B20,"")</f>
        <v>17</v>
      </c>
      <c r="C20" s="6" t="str">
        <f>IF(인성!C20&gt;0,인성!C20,"")</f>
        <v>차명준</v>
      </c>
      <c r="D20" s="2">
        <v>92</v>
      </c>
      <c r="E20" s="12" t="str">
        <f>IF(IF(D20=0,"",VLOOKUP(D20,$G$4:$H$153,2,FALSE))=0,"(잠재력&amp;진로)"&amp;종합의견!$F$1,(IF(D20=0,"",VLOOKUP(D20,$G$4:$H$153,2,FALSE))))</f>
        <v>네트워크와 보안에 흥미와 관심이 많아 관련정보를 찾아 지식을 조금씩 축적하는 등 진로개척을 위해 적극 노력함.</v>
      </c>
      <c r="F20" s="9"/>
      <c r="G20" s="8">
        <v>17</v>
      </c>
      <c r="H20" s="13" t="s">
        <v>682</v>
      </c>
      <c r="I20" s="4"/>
      <c r="J20" s="25">
        <f t="shared" ref="J20:K20" si="16">B20</f>
        <v>17</v>
      </c>
      <c r="K20" s="26" t="str">
        <f t="shared" si="16"/>
        <v>차명준</v>
      </c>
      <c r="L20" s="57"/>
      <c r="M20" s="58"/>
    </row>
    <row r="21" spans="1:13" ht="36">
      <c r="A21" s="4"/>
      <c r="B21" s="6">
        <f>IF(인성!B21&gt;0,인성!B21,"")</f>
        <v>18</v>
      </c>
      <c r="C21" s="6" t="str">
        <f>IF(인성!C21&gt;0,인성!C21,"")</f>
        <v>최가영</v>
      </c>
      <c r="D21" s="2">
        <v>94</v>
      </c>
      <c r="E21" s="12" t="str">
        <f>IF(IF(D21=0,"",VLOOKUP(D21,$G$4:$H$153,2,FALSE))=0,"(잠재력&amp;진로)"&amp;종합의견!$F$1,(IF(D21=0,"",VLOOKUP(D21,$G$4:$H$153,2,FALSE))))</f>
        <v>3D 디자인에 관심이 많고 상상력이 풍부하며 관련 동아리 활동과 독학으로 3D 프로그램을 학습하는 등 자신이 희망하는 진로와 연계하여 관련 정보와 지식을 축적하고 있어 발전가능성이 보임.</v>
      </c>
      <c r="F21" s="9"/>
      <c r="G21" s="8">
        <v>18</v>
      </c>
      <c r="H21" s="13" t="s">
        <v>177</v>
      </c>
      <c r="I21" s="4"/>
      <c r="J21" s="25">
        <f t="shared" ref="J21:K21" si="17">B21</f>
        <v>18</v>
      </c>
      <c r="K21" s="26" t="str">
        <f t="shared" si="17"/>
        <v>최가영</v>
      </c>
      <c r="L21" s="50" t="s">
        <v>717</v>
      </c>
      <c r="M21" s="51" t="s">
        <v>741</v>
      </c>
    </row>
    <row r="22" spans="1:13" ht="40.5">
      <c r="A22" s="4"/>
      <c r="B22" s="6">
        <f>IF(인성!B22&gt;0,인성!B22,"")</f>
        <v>19</v>
      </c>
      <c r="C22" s="6" t="str">
        <f>IF(인성!C22&gt;0,인성!C22,"")</f>
        <v>최다빈</v>
      </c>
      <c r="D22" s="2">
        <v>95</v>
      </c>
      <c r="E22" s="12" t="str">
        <f>IF(IF(D22=0,"",VLOOKUP(D22,$G$4:$H$153,2,FALSE))=0,"(잠재력&amp;진로)"&amp;종합의견!$F$1,(IF(D22=0,"",VLOOKUP(D22,$G$4:$H$153,2,FALSE))))</f>
        <v>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F22" s="9"/>
      <c r="G22" s="8">
        <v>19</v>
      </c>
      <c r="H22" s="13" t="s">
        <v>645</v>
      </c>
      <c r="I22" s="4"/>
      <c r="J22" s="25">
        <f t="shared" ref="J22:K22" si="18">B22</f>
        <v>19</v>
      </c>
      <c r="K22" s="26" t="str">
        <f t="shared" si="18"/>
        <v>최다빈</v>
      </c>
      <c r="L22" s="59" t="s">
        <v>718</v>
      </c>
      <c r="M22" s="60" t="s">
        <v>744</v>
      </c>
    </row>
    <row r="23" spans="1:13" ht="54">
      <c r="A23" s="4"/>
      <c r="B23" s="6">
        <f>IF(인성!B23&gt;0,인성!B23,"")</f>
        <v>20</v>
      </c>
      <c r="C23" s="6" t="str">
        <f>IF(인성!C23&gt;0,인성!C23,"")</f>
        <v>홍준석</v>
      </c>
      <c r="D23" s="2">
        <v>96</v>
      </c>
      <c r="E23" s="12" t="str">
        <f>IF(IF(D23=0,"",VLOOKUP(D23,$G$4:$H$153,2,FALSE))=0,"(잠재력&amp;진로)"&amp;종합의견!$F$1,(IF(D23=0,"",VLOOKUP(D23,$G$4:$H$153,2,FALSE))))</f>
        <v>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v>
      </c>
      <c r="F23" s="9"/>
      <c r="G23" s="8">
        <v>20</v>
      </c>
      <c r="H23" s="13" t="s">
        <v>170</v>
      </c>
      <c r="I23" s="4"/>
      <c r="J23" s="25">
        <f t="shared" ref="J23:K23" si="19">B23</f>
        <v>20</v>
      </c>
      <c r="K23" s="26" t="str">
        <f t="shared" si="19"/>
        <v>홍준석</v>
      </c>
      <c r="L23" s="27"/>
      <c r="M23" s="28"/>
    </row>
    <row r="24" spans="1:13" ht="48">
      <c r="A24" s="4"/>
      <c r="B24" s="6" t="str">
        <f>IF(인성!B24&gt;0,인성!B24,"")</f>
        <v/>
      </c>
      <c r="C24" s="6" t="str">
        <f>IF(인성!C24&gt;0,인성!C24,"")</f>
        <v/>
      </c>
      <c r="D24" s="2"/>
      <c r="E24" s="12" t="str">
        <f>IF(IF(D24=0,"",VLOOKUP(D24,$G$4:$H$153,2,FALSE))=0,"(잠재력&amp;진로)"&amp;종합의견!$F$1,(IF(D24=0,"",VLOOKUP(D24,$G$4:$H$153,2,FALSE))))</f>
        <v/>
      </c>
      <c r="F24" s="9"/>
      <c r="G24" s="8">
        <v>21</v>
      </c>
      <c r="H24" s="13" t="s">
        <v>171</v>
      </c>
      <c r="I24" s="4"/>
      <c r="J24" s="25" t="str">
        <f t="shared" ref="J24:K24" si="20">B24</f>
        <v/>
      </c>
      <c r="K24" s="26" t="str">
        <f t="shared" si="20"/>
        <v/>
      </c>
      <c r="L24" s="59" t="s">
        <v>600</v>
      </c>
      <c r="M24" s="60" t="s">
        <v>601</v>
      </c>
    </row>
    <row r="25" spans="1:13" ht="54">
      <c r="A25" s="4"/>
      <c r="B25" s="6" t="str">
        <f>IF(인성!B25&gt;0,인성!B25,"")</f>
        <v/>
      </c>
      <c r="C25" s="6" t="str">
        <f>IF(인성!C25&gt;0,인성!C25,"")</f>
        <v/>
      </c>
      <c r="D25" s="2"/>
      <c r="E25" s="12" t="str">
        <f>IF(IF(D25=0,"",VLOOKUP(D25,$G$4:$H$153,2,FALSE))=0,"(잠재력&amp;진로)"&amp;종합의견!$F$1,(IF(D25=0,"",VLOOKUP(D25,$G$4:$H$153,2,FALSE))))</f>
        <v/>
      </c>
      <c r="F25" s="9"/>
      <c r="G25" s="8">
        <v>22</v>
      </c>
      <c r="H25" s="13" t="s">
        <v>172</v>
      </c>
      <c r="I25" s="4"/>
      <c r="J25" s="25" t="str">
        <f t="shared" ref="J25:K25" si="21">B25</f>
        <v/>
      </c>
      <c r="K25" s="26" t="str">
        <f t="shared" si="21"/>
        <v/>
      </c>
      <c r="L25" s="59" t="s">
        <v>569</v>
      </c>
      <c r="M25" s="60" t="s">
        <v>602</v>
      </c>
    </row>
    <row r="26" spans="1:13" ht="60">
      <c r="A26" s="4"/>
      <c r="B26" s="6" t="str">
        <f>IF(인성!B26&gt;0,인성!B26,"")</f>
        <v/>
      </c>
      <c r="C26" s="6" t="str">
        <f>IF(인성!C26&gt;0,인성!C26,"")</f>
        <v/>
      </c>
      <c r="D26" s="2"/>
      <c r="E26" s="12" t="str">
        <f>IF(IF(D26=0,"",VLOOKUP(D26,$G$4:$H$153,2,FALSE))=0,"(잠재력&amp;진로)"&amp;종합의견!$F$1,(IF(D26=0,"",VLOOKUP(D26,$G$4:$H$153,2,FALSE))))</f>
        <v/>
      </c>
      <c r="F26" s="9"/>
      <c r="G26" s="8">
        <v>23</v>
      </c>
      <c r="H26" s="13" t="s">
        <v>173</v>
      </c>
      <c r="I26" s="4"/>
      <c r="J26" s="25" t="str">
        <f t="shared" ref="J26:K26" si="22">B26</f>
        <v/>
      </c>
      <c r="K26" s="26" t="str">
        <f t="shared" si="22"/>
        <v/>
      </c>
      <c r="L26" s="50" t="s">
        <v>632</v>
      </c>
      <c r="M26" s="51" t="s">
        <v>631</v>
      </c>
    </row>
    <row r="27" spans="1:13" ht="27">
      <c r="A27" s="4"/>
      <c r="B27" s="6" t="str">
        <f>IF(인성!B27&gt;0,인성!B27,"")</f>
        <v/>
      </c>
      <c r="C27" s="6" t="str">
        <f>IF(인성!C27&gt;0,인성!C27,"")</f>
        <v/>
      </c>
      <c r="D27" s="2"/>
      <c r="E27" s="12" t="str">
        <f>IF(IF(D27=0,"",VLOOKUP(D27,$G$4:$H$153,2,FALSE))=0,"(잠재력&amp;진로)"&amp;종합의견!$F$1,(IF(D27=0,"",VLOOKUP(D27,$G$4:$H$153,2,FALSE))))</f>
        <v/>
      </c>
      <c r="F27" s="9"/>
      <c r="G27" s="8">
        <v>24</v>
      </c>
      <c r="H27" s="13" t="s">
        <v>174</v>
      </c>
      <c r="I27" s="4"/>
      <c r="J27" s="25" t="str">
        <f t="shared" ref="J27:K27" si="23">B27</f>
        <v/>
      </c>
      <c r="K27" s="26" t="str">
        <f t="shared" si="23"/>
        <v/>
      </c>
      <c r="L27" s="50"/>
      <c r="M27" s="51"/>
    </row>
    <row r="28" spans="1:13" ht="36">
      <c r="A28" s="4"/>
      <c r="B28" s="6" t="str">
        <f>IF(인성!B28&gt;0,인성!B28,"")</f>
        <v/>
      </c>
      <c r="C28" s="6" t="str">
        <f>IF(인성!C28&gt;0,인성!C28,"")</f>
        <v/>
      </c>
      <c r="D28" s="2"/>
      <c r="E28" s="12" t="str">
        <f>IF(IF(D28=0,"",VLOOKUP(D28,$G$4:$H$153,2,FALSE))=0,"(잠재력&amp;진로)"&amp;종합의견!$F$1,(IF(D28=0,"",VLOOKUP(D28,$G$4:$H$153,2,FALSE))))</f>
        <v/>
      </c>
      <c r="F28" s="9"/>
      <c r="G28" s="8">
        <v>25</v>
      </c>
      <c r="H28" s="13" t="s">
        <v>175</v>
      </c>
      <c r="I28" s="4"/>
      <c r="J28" s="25" t="str">
        <f t="shared" ref="J28:K28" si="24">B28</f>
        <v/>
      </c>
      <c r="K28" s="26" t="str">
        <f t="shared" si="24"/>
        <v/>
      </c>
      <c r="L28" s="59" t="s">
        <v>603</v>
      </c>
      <c r="M28" s="60" t="s">
        <v>604</v>
      </c>
    </row>
    <row r="29" spans="1:13" ht="60">
      <c r="A29" s="4"/>
      <c r="B29" s="6" t="str">
        <f>IF(인성!B29&gt;0,인성!B29,"")</f>
        <v/>
      </c>
      <c r="C29" s="6" t="str">
        <f>IF(인성!C29&gt;0,인성!C29,"")</f>
        <v/>
      </c>
      <c r="D29" s="2"/>
      <c r="E29" s="12" t="str">
        <f>IF(IF(D29=0,"",VLOOKUP(D29,$G$4:$H$153,2,FALSE))=0,"(잠재력&amp;진로)"&amp;종합의견!$F$1,(IF(D29=0,"",VLOOKUP(D29,$G$4:$H$153,2,FALSE))))</f>
        <v/>
      </c>
      <c r="F29" s="9"/>
      <c r="G29" s="8">
        <v>26</v>
      </c>
      <c r="H29" s="13" t="s">
        <v>176</v>
      </c>
      <c r="I29" s="4"/>
      <c r="J29" s="25" t="str">
        <f t="shared" ref="J29:K29" si="25">B29</f>
        <v/>
      </c>
      <c r="K29" s="26" t="str">
        <f t="shared" si="25"/>
        <v/>
      </c>
      <c r="L29" s="59" t="s">
        <v>605</v>
      </c>
      <c r="M29" s="60" t="s">
        <v>606</v>
      </c>
    </row>
    <row r="30" spans="1:13" ht="48">
      <c r="A30" s="4"/>
      <c r="B30" s="6" t="str">
        <f>IF(인성!B30&gt;0,인성!B30,"")</f>
        <v/>
      </c>
      <c r="C30" s="6" t="str">
        <f>IF(인성!C30&gt;0,인성!C30,"")</f>
        <v/>
      </c>
      <c r="D30" s="2"/>
      <c r="E30" s="12" t="str">
        <f>IF(IF(D30=0,"",VLOOKUP(D30,$G$4:$H$153,2,FALSE))=0,"(잠재력&amp;진로)"&amp;종합의견!$F$1,(IF(D30=0,"",VLOOKUP(D30,$G$4:$H$153,2,FALSE))))</f>
        <v/>
      </c>
      <c r="F30" s="9"/>
      <c r="G30" s="8">
        <v>27</v>
      </c>
      <c r="H30" s="13" t="s">
        <v>178</v>
      </c>
      <c r="I30" s="4"/>
      <c r="J30" s="25" t="str">
        <f t="shared" ref="J30:K30" si="26">B30</f>
        <v/>
      </c>
      <c r="K30" s="26" t="str">
        <f t="shared" si="26"/>
        <v/>
      </c>
      <c r="L30" s="59" t="s">
        <v>607</v>
      </c>
      <c r="M30" s="60" t="s">
        <v>608</v>
      </c>
    </row>
    <row r="31" spans="1:13" ht="36">
      <c r="A31" s="4"/>
      <c r="B31" s="6" t="str">
        <f>IF(인성!B31&gt;0,인성!B31,"")</f>
        <v/>
      </c>
      <c r="C31" s="6" t="str">
        <f>IF(인성!C31&gt;0,인성!C31,"")</f>
        <v/>
      </c>
      <c r="D31" s="2"/>
      <c r="E31" s="12" t="str">
        <f>IF(IF(D31=0,"",VLOOKUP(D31,$G$4:$H$153,2,FALSE))=0,"(잠재력&amp;진로)"&amp;종합의견!$F$1,(IF(D31=0,"",VLOOKUP(D31,$G$4:$H$153,2,FALSE))))</f>
        <v/>
      </c>
      <c r="F31" s="9"/>
      <c r="G31" s="8">
        <v>28</v>
      </c>
      <c r="H31" s="13" t="s">
        <v>179</v>
      </c>
      <c r="I31" s="4"/>
      <c r="J31" s="25" t="str">
        <f t="shared" ref="J31:K31" si="27">B31</f>
        <v/>
      </c>
      <c r="K31" s="26" t="str">
        <f t="shared" si="27"/>
        <v/>
      </c>
      <c r="L31" s="59" t="s">
        <v>609</v>
      </c>
      <c r="M31" s="60" t="s">
        <v>610</v>
      </c>
    </row>
    <row r="32" spans="1:13" ht="36">
      <c r="A32" s="4"/>
      <c r="B32" s="6" t="str">
        <f>IF(인성!B32&gt;0,인성!B32,"")</f>
        <v/>
      </c>
      <c r="C32" s="6" t="str">
        <f>IF(인성!C32&gt;0,인성!C32,"")</f>
        <v/>
      </c>
      <c r="D32" s="2"/>
      <c r="E32" s="12" t="str">
        <f>IF(IF(D32=0,"",VLOOKUP(D32,$G$4:$H$153,2,FALSE))=0,"(잠재력&amp;진로)"&amp;종합의견!$F$1,(IF(D32=0,"",VLOOKUP(D32,$G$4:$H$153,2,FALSE))))</f>
        <v/>
      </c>
      <c r="F32" s="9"/>
      <c r="G32" s="8">
        <v>29</v>
      </c>
      <c r="H32" s="13" t="s">
        <v>180</v>
      </c>
      <c r="I32" s="4"/>
      <c r="J32" s="25" t="str">
        <f t="shared" ref="J32:K32" si="28">B32</f>
        <v/>
      </c>
      <c r="K32" s="26" t="str">
        <f t="shared" si="28"/>
        <v/>
      </c>
      <c r="L32" s="59" t="s">
        <v>611</v>
      </c>
      <c r="M32" s="60" t="s">
        <v>612</v>
      </c>
    </row>
    <row r="33" spans="1:13" ht="36">
      <c r="A33" s="4"/>
      <c r="B33" s="6" t="str">
        <f>IF(인성!B33&gt;0,인성!B33,"")</f>
        <v/>
      </c>
      <c r="C33" s="6" t="str">
        <f>IF(인성!C33&gt;0,인성!C33,"")</f>
        <v/>
      </c>
      <c r="D33" s="2"/>
      <c r="E33" s="12" t="str">
        <f>IF(IF(D33=0,"",VLOOKUP(D33,$G$4:$H$153,2,FALSE))=0,"(잠재력&amp;진로)"&amp;종합의견!$F$1,(IF(D33=0,"",VLOOKUP(D33,$G$4:$H$153,2,FALSE))))</f>
        <v/>
      </c>
      <c r="F33" s="9"/>
      <c r="G33" s="8">
        <v>30</v>
      </c>
      <c r="H33" s="13" t="s">
        <v>181</v>
      </c>
      <c r="I33" s="4"/>
      <c r="J33" s="25" t="str">
        <f t="shared" ref="J33:K33" si="29">B33</f>
        <v/>
      </c>
      <c r="K33" s="26" t="str">
        <f t="shared" si="29"/>
        <v/>
      </c>
      <c r="L33" s="59" t="s">
        <v>613</v>
      </c>
      <c r="M33" s="60" t="s">
        <v>614</v>
      </c>
    </row>
    <row r="34" spans="1:13" ht="36">
      <c r="A34" s="4"/>
      <c r="B34" s="6" t="str">
        <f>IF(인성!B34&gt;0,인성!B34,"")</f>
        <v/>
      </c>
      <c r="C34" s="6" t="str">
        <f>IF(인성!C34&gt;0,인성!C34,"")</f>
        <v/>
      </c>
      <c r="D34" s="2"/>
      <c r="E34" s="12" t="str">
        <f>IF(IF(D34=0,"",VLOOKUP(D34,$G$4:$H$153,2,FALSE))=0,"(잠재력&amp;진로)"&amp;종합의견!$F$1,(IF(D34=0,"",VLOOKUP(D34,$G$4:$H$153,2,FALSE))))</f>
        <v/>
      </c>
      <c r="F34" s="9"/>
      <c r="G34" s="8">
        <v>31</v>
      </c>
      <c r="H34" s="13" t="s">
        <v>739</v>
      </c>
      <c r="I34" s="4"/>
      <c r="J34" s="25" t="str">
        <f t="shared" ref="J34:K34" si="30">B34</f>
        <v/>
      </c>
      <c r="K34" s="26" t="str">
        <f t="shared" si="30"/>
        <v/>
      </c>
      <c r="L34" s="59" t="s">
        <v>615</v>
      </c>
      <c r="M34" s="60" t="s">
        <v>616</v>
      </c>
    </row>
    <row r="35" spans="1:13" ht="36">
      <c r="A35" s="4"/>
      <c r="B35" s="6" t="str">
        <f>IF(인성!B35&gt;0,인성!B35,"")</f>
        <v/>
      </c>
      <c r="C35" s="6" t="str">
        <f>IF(인성!C35&gt;0,인성!C35,"")</f>
        <v/>
      </c>
      <c r="D35" s="2"/>
      <c r="E35" s="12" t="str">
        <f>IF(IF(D35=0,"",VLOOKUP(D35,$G$4:$H$153,2,FALSE))=0,"(잠재력&amp;진로)"&amp;종합의견!$F$1,(IF(D35=0,"",VLOOKUP(D35,$G$4:$H$153,2,FALSE))))</f>
        <v/>
      </c>
      <c r="F35" s="9"/>
      <c r="G35" s="8">
        <v>32</v>
      </c>
      <c r="H35" s="13" t="s">
        <v>182</v>
      </c>
      <c r="I35" s="4"/>
      <c r="J35" s="25" t="str">
        <f t="shared" ref="J35:K35" si="31">B35</f>
        <v/>
      </c>
      <c r="K35" s="26" t="str">
        <f t="shared" si="31"/>
        <v/>
      </c>
      <c r="L35" s="59" t="s">
        <v>617</v>
      </c>
      <c r="M35" s="60" t="s">
        <v>618</v>
      </c>
    </row>
    <row r="36" spans="1:13" ht="60">
      <c r="A36" s="4"/>
      <c r="B36" s="6" t="str">
        <f>IF(인성!B36&gt;0,인성!B36,"")</f>
        <v/>
      </c>
      <c r="C36" s="6" t="str">
        <f>IF(인성!C36&gt;0,인성!C36,"")</f>
        <v/>
      </c>
      <c r="D36" s="2"/>
      <c r="E36" s="12" t="str">
        <f>IF(IF(D36=0,"",VLOOKUP(D36,$G$4:$H$153,2,FALSE))=0,"(잠재력&amp;진로)"&amp;종합의견!$F$1,(IF(D36=0,"",VLOOKUP(D36,$G$4:$H$153,2,FALSE))))</f>
        <v/>
      </c>
      <c r="F36" s="9"/>
      <c r="G36" s="8">
        <v>33</v>
      </c>
      <c r="H36" s="13" t="s">
        <v>183</v>
      </c>
      <c r="I36" s="4"/>
      <c r="J36" s="25" t="str">
        <f t="shared" ref="J36:K36" si="32">B36</f>
        <v/>
      </c>
      <c r="K36" s="26" t="str">
        <f t="shared" si="32"/>
        <v/>
      </c>
      <c r="L36" s="59" t="s">
        <v>619</v>
      </c>
      <c r="M36" s="60" t="s">
        <v>620</v>
      </c>
    </row>
    <row r="37" spans="1:13" ht="48">
      <c r="A37" s="4"/>
      <c r="B37" s="6" t="str">
        <f>IF(인성!B37&gt;0,인성!B37,"")</f>
        <v/>
      </c>
      <c r="C37" s="6" t="str">
        <f>IF(인성!C37&gt;0,인성!C37,"")</f>
        <v/>
      </c>
      <c r="D37" s="2"/>
      <c r="E37" s="12" t="str">
        <f>IF(IF(D37=0,"",VLOOKUP(D37,$G$4:$H$153,2,FALSE))=0,"(잠재력&amp;진로)"&amp;종합의견!$F$1,(IF(D37=0,"",VLOOKUP(D37,$G$4:$H$153,2,FALSE))))</f>
        <v/>
      </c>
      <c r="F37" s="9"/>
      <c r="G37" s="8">
        <v>34</v>
      </c>
      <c r="H37" s="13" t="s">
        <v>184</v>
      </c>
      <c r="I37" s="4"/>
      <c r="J37" s="25" t="str">
        <f t="shared" ref="J37:K37" si="33">B37</f>
        <v/>
      </c>
      <c r="K37" s="26" t="str">
        <f t="shared" si="33"/>
        <v/>
      </c>
      <c r="L37" s="59" t="s">
        <v>621</v>
      </c>
      <c r="M37" s="60" t="s">
        <v>622</v>
      </c>
    </row>
    <row r="38" spans="1:13" ht="60">
      <c r="A38" s="4"/>
      <c r="B38" s="6" t="str">
        <f>IF(인성!B38&gt;0,인성!B38,"")</f>
        <v/>
      </c>
      <c r="C38" s="6" t="str">
        <f>IF(인성!C38&gt;0,인성!C38,"")</f>
        <v/>
      </c>
      <c r="D38" s="2"/>
      <c r="E38" s="12" t="str">
        <f>IF(IF(D38=0,"",VLOOKUP(D38,$G$4:$H$153,2,FALSE))=0,"(잠재력&amp;진로)"&amp;종합의견!$F$1,(IF(D38=0,"",VLOOKUP(D38,$G$4:$H$153,2,FALSE))))</f>
        <v/>
      </c>
      <c r="F38" s="9"/>
      <c r="G38" s="8">
        <v>35</v>
      </c>
      <c r="H38" s="13" t="s">
        <v>185</v>
      </c>
      <c r="I38" s="4"/>
      <c r="J38" s="25" t="str">
        <f t="shared" ref="J38:K38" si="34">B38</f>
        <v/>
      </c>
      <c r="K38" s="26" t="str">
        <f t="shared" si="34"/>
        <v/>
      </c>
      <c r="L38" s="59" t="s">
        <v>623</v>
      </c>
      <c r="M38" s="60" t="s">
        <v>624</v>
      </c>
    </row>
    <row r="39" spans="1:13" ht="48">
      <c r="A39" s="4"/>
      <c r="B39" s="6" t="str">
        <f>IF(인성!B39&gt;0,인성!B39,"")</f>
        <v/>
      </c>
      <c r="C39" s="6" t="str">
        <f>IF(인성!C39&gt;0,인성!C39,"")</f>
        <v/>
      </c>
      <c r="D39" s="2"/>
      <c r="E39" s="12" t="str">
        <f>IF(IF(D39=0,"",VLOOKUP(D39,$G$4:$H$153,2,FALSE))=0,"(잠재력&amp;진로)"&amp;종합의견!$F$1,(IF(D39=0,"",VLOOKUP(D39,$G$4:$H$153,2,FALSE))))</f>
        <v/>
      </c>
      <c r="F39" s="9"/>
      <c r="G39" s="8">
        <v>36</v>
      </c>
      <c r="H39" s="13" t="s">
        <v>186</v>
      </c>
      <c r="I39" s="4"/>
      <c r="J39" s="25" t="str">
        <f t="shared" ref="J39:K39" si="35">B39</f>
        <v/>
      </c>
      <c r="K39" s="26" t="str">
        <f t="shared" si="35"/>
        <v/>
      </c>
      <c r="L39" s="59" t="s">
        <v>625</v>
      </c>
      <c r="M39" s="60" t="s">
        <v>626</v>
      </c>
    </row>
    <row r="40" spans="1:13" ht="48">
      <c r="A40" s="4"/>
      <c r="B40" s="6" t="str">
        <f>IF(인성!B40&gt;0,인성!B40,"")</f>
        <v/>
      </c>
      <c r="C40" s="6" t="str">
        <f>IF(인성!C40&gt;0,인성!C40,"")</f>
        <v/>
      </c>
      <c r="D40" s="2"/>
      <c r="E40" s="12" t="str">
        <f>IF(IF(D40=0,"",VLOOKUP(D40,$G$4:$H$153,2,FALSE))=0,"(잠재력&amp;진로)"&amp;종합의견!$F$1,(IF(D40=0,"",VLOOKUP(D40,$G$4:$H$153,2,FALSE))))</f>
        <v/>
      </c>
      <c r="F40" s="9"/>
      <c r="G40" s="8">
        <v>37</v>
      </c>
      <c r="H40" s="13" t="s">
        <v>187</v>
      </c>
      <c r="I40" s="4"/>
      <c r="J40" s="25" t="str">
        <f t="shared" ref="J40:K40" si="36">B40</f>
        <v/>
      </c>
      <c r="K40" s="26" t="str">
        <f t="shared" si="36"/>
        <v/>
      </c>
      <c r="L40" s="59" t="s">
        <v>627</v>
      </c>
      <c r="M40" s="60" t="s">
        <v>628</v>
      </c>
    </row>
    <row r="41" spans="1:13" ht="40.5">
      <c r="A41" s="4"/>
      <c r="B41" s="6" t="str">
        <f>IF(인성!B41&gt;0,인성!B41,"")</f>
        <v/>
      </c>
      <c r="C41" s="6" t="str">
        <f>IF(인성!C41&gt;0,인성!C41,"")</f>
        <v/>
      </c>
      <c r="D41" s="2"/>
      <c r="E41" s="12" t="str">
        <f>IF(IF(D41=0,"",VLOOKUP(D41,$G$4:$H$153,2,FALSE))=0,"(잠재력&amp;진로)"&amp;종합의견!$F$1,(IF(D41=0,"",VLOOKUP(D41,$G$4:$H$153,2,FALSE))))</f>
        <v/>
      </c>
      <c r="F41" s="9"/>
      <c r="G41" s="8">
        <v>38</v>
      </c>
      <c r="H41" s="13" t="s">
        <v>188</v>
      </c>
      <c r="I41" s="4"/>
      <c r="J41" s="25" t="str">
        <f t="shared" ref="J41:K41" si="37">B41</f>
        <v/>
      </c>
      <c r="K41" s="26" t="str">
        <f t="shared" si="37"/>
        <v/>
      </c>
      <c r="L41" s="50"/>
      <c r="M41" s="51"/>
    </row>
    <row r="42" spans="1:13" ht="48">
      <c r="A42" s="4"/>
      <c r="B42" s="6" t="str">
        <f>IF(인성!B42&gt;0,인성!B42,"")</f>
        <v/>
      </c>
      <c r="C42" s="6" t="str">
        <f>IF(인성!C42&gt;0,인성!C42,"")</f>
        <v/>
      </c>
      <c r="D42" s="2"/>
      <c r="E42" s="12" t="str">
        <f>IF(IF(D42=0,"",VLOOKUP(D42,$G$4:$H$153,2,FALSE))=0,"(잠재력&amp;진로)"&amp;종합의견!$F$1,(IF(D42=0,"",VLOOKUP(D42,$G$4:$H$153,2,FALSE))))</f>
        <v/>
      </c>
      <c r="F42" s="9"/>
      <c r="G42" s="8">
        <v>39</v>
      </c>
      <c r="H42" s="13" t="s">
        <v>189</v>
      </c>
      <c r="I42" s="4"/>
      <c r="J42" s="25" t="str">
        <f t="shared" ref="J42:K42" si="38">B42</f>
        <v/>
      </c>
      <c r="K42" s="26" t="str">
        <f t="shared" si="38"/>
        <v/>
      </c>
      <c r="L42" s="59" t="s">
        <v>629</v>
      </c>
      <c r="M42" s="60" t="s">
        <v>630</v>
      </c>
    </row>
    <row r="43" spans="1:13" ht="27">
      <c r="A43" s="4"/>
      <c r="B43" s="6" t="str">
        <f>IF(인성!B43&gt;0,인성!B43,"")</f>
        <v/>
      </c>
      <c r="C43" s="6" t="str">
        <f>IF(인성!C43&gt;0,인성!C43,"")</f>
        <v/>
      </c>
      <c r="D43" s="2"/>
      <c r="E43" s="12" t="str">
        <f>IF(IF(D43=0,"",VLOOKUP(D43,$G$4:$H$153,2,FALSE))=0,"(잠재력&amp;진로)"&amp;종합의견!$F$1,(IF(D43=0,"",VLOOKUP(D43,$G$4:$H$153,2,FALSE))))</f>
        <v/>
      </c>
      <c r="F43" s="9"/>
      <c r="G43" s="8">
        <v>40</v>
      </c>
      <c r="H43" s="13" t="s">
        <v>190</v>
      </c>
      <c r="I43" s="4"/>
      <c r="J43" s="25" t="str">
        <f t="shared" ref="J43:K43" si="39">B43</f>
        <v/>
      </c>
      <c r="K43" s="26" t="str">
        <f t="shared" si="39"/>
        <v/>
      </c>
      <c r="L43" s="27"/>
      <c r="M43" s="28"/>
    </row>
    <row r="44" spans="1:13" ht="40.5">
      <c r="A44" s="4"/>
      <c r="B44" s="6" t="str">
        <f>IF(인성!B44&gt;0,인성!B44,"")</f>
        <v/>
      </c>
      <c r="C44" s="6" t="str">
        <f>IF(인성!C44&gt;0,인성!C44,"")</f>
        <v/>
      </c>
      <c r="D44" s="2"/>
      <c r="E44" s="12" t="str">
        <f>IF(IF(D44=0,"",VLOOKUP(D44,$G$4:$H$153,2,FALSE))=0,"(잠재력&amp;진로)"&amp;종합의견!$F$1,(IF(D44=0,"",VLOOKUP(D44,$G$4:$H$153,2,FALSE))))</f>
        <v/>
      </c>
      <c r="F44" s="9"/>
      <c r="G44" s="8">
        <v>41</v>
      </c>
      <c r="H44" s="13" t="s">
        <v>742</v>
      </c>
      <c r="I44" s="4"/>
      <c r="J44" s="25" t="str">
        <f t="shared" ref="J44:K44" si="40">B44</f>
        <v/>
      </c>
      <c r="K44" s="26" t="str">
        <f t="shared" si="40"/>
        <v/>
      </c>
      <c r="L44" s="27"/>
      <c r="M44" s="28"/>
    </row>
    <row r="45" spans="1:13" ht="40.5">
      <c r="A45" s="4"/>
      <c r="B45" s="6" t="str">
        <f>IF(인성!B45&gt;0,인성!B45,"")</f>
        <v/>
      </c>
      <c r="C45" s="6" t="str">
        <f>IF(인성!C45&gt;0,인성!C45,"")</f>
        <v/>
      </c>
      <c r="D45" s="2"/>
      <c r="E45" s="12" t="str">
        <f>IF(IF(D45=0,"",VLOOKUP(D45,$G$4:$H$153,2,FALSE))=0,"(잠재력&amp;진로)"&amp;종합의견!$F$1,(IF(D45=0,"",VLOOKUP(D45,$G$4:$H$153,2,FALSE))))</f>
        <v/>
      </c>
      <c r="F45" s="9"/>
      <c r="G45" s="8">
        <v>42</v>
      </c>
      <c r="H45" s="13" t="s">
        <v>644</v>
      </c>
      <c r="I45" s="4"/>
      <c r="J45" s="25" t="str">
        <f t="shared" ref="J45:K45" si="41">B45</f>
        <v/>
      </c>
      <c r="K45" s="26" t="str">
        <f t="shared" si="41"/>
        <v/>
      </c>
      <c r="L45" s="27"/>
      <c r="M45" s="28"/>
    </row>
    <row r="46" spans="1:13" ht="27">
      <c r="A46" s="4"/>
      <c r="B46" s="6" t="str">
        <f>IF(인성!B46&gt;0,인성!B46,"")</f>
        <v/>
      </c>
      <c r="C46" s="6" t="str">
        <f>IF(인성!C46&gt;0,인성!C46,"")</f>
        <v/>
      </c>
      <c r="D46" s="2"/>
      <c r="E46" s="12" t="str">
        <f>IF(IF(D46=0,"",VLOOKUP(D46,$G$4:$H$153,2,FALSE))=0,"(잠재력&amp;진로)"&amp;종합의견!$F$1,(IF(D46=0,"",VLOOKUP(D46,$G$4:$H$153,2,FALSE))))</f>
        <v/>
      </c>
      <c r="F46" s="9"/>
      <c r="G46" s="8">
        <v>43</v>
      </c>
      <c r="H46" s="13" t="s">
        <v>191</v>
      </c>
      <c r="I46" s="4"/>
      <c r="J46" s="25" t="str">
        <f t="shared" ref="J46:K46" si="42">B46</f>
        <v/>
      </c>
      <c r="K46" s="26" t="str">
        <f t="shared" si="42"/>
        <v/>
      </c>
      <c r="L46" s="27"/>
      <c r="M46" s="28"/>
    </row>
    <row r="47" spans="1:13" ht="27">
      <c r="A47" s="4"/>
      <c r="B47" s="6" t="str">
        <f>IF(인성!B47&gt;0,인성!B47,"")</f>
        <v/>
      </c>
      <c r="C47" s="6" t="str">
        <f>IF(인성!C47&gt;0,인성!C47,"")</f>
        <v/>
      </c>
      <c r="D47" s="2"/>
      <c r="E47" s="12" t="str">
        <f>IF(IF(D47=0,"",VLOOKUP(D47,$G$4:$H$153,2,FALSE))=0,"(잠재력&amp;진로)"&amp;종합의견!$F$1,(IF(D47=0,"",VLOOKUP(D47,$G$4:$H$153,2,FALSE))))</f>
        <v/>
      </c>
      <c r="F47" s="9"/>
      <c r="G47" s="8">
        <v>44</v>
      </c>
      <c r="H47" s="13" t="s">
        <v>192</v>
      </c>
      <c r="I47" s="4"/>
      <c r="J47" s="25" t="str">
        <f t="shared" ref="J47:K47" si="43">B47</f>
        <v/>
      </c>
      <c r="K47" s="26" t="str">
        <f t="shared" si="43"/>
        <v/>
      </c>
      <c r="L47" s="27"/>
      <c r="M47" s="28"/>
    </row>
    <row r="48" spans="1:13" ht="27">
      <c r="A48" s="4"/>
      <c r="B48" s="6" t="str">
        <f>IF(인성!B48&gt;0,인성!B48,"")</f>
        <v/>
      </c>
      <c r="C48" s="6" t="str">
        <f>IF(인성!C48&gt;0,인성!C48,"")</f>
        <v/>
      </c>
      <c r="D48" s="2"/>
      <c r="E48" s="12" t="str">
        <f>IF(IF(D48=0,"",VLOOKUP(D48,$G$4:$H$153,2,FALSE))=0,"(잠재력&amp;진로)"&amp;종합의견!$F$1,(IF(D48=0,"",VLOOKUP(D48,$G$4:$H$153,2,FALSE))))</f>
        <v/>
      </c>
      <c r="F48" s="9"/>
      <c r="G48" s="8">
        <v>45</v>
      </c>
      <c r="H48" s="29" t="s">
        <v>193</v>
      </c>
      <c r="I48" s="4"/>
      <c r="J48" s="25" t="str">
        <f t="shared" ref="J48:K48" si="44">B48</f>
        <v/>
      </c>
      <c r="K48" s="26" t="str">
        <f t="shared" si="44"/>
        <v/>
      </c>
      <c r="L48" s="27"/>
      <c r="M48" s="28"/>
    </row>
    <row r="49" spans="1:13" ht="27">
      <c r="A49" s="4"/>
      <c r="B49" s="11"/>
      <c r="C49" s="11"/>
      <c r="D49" s="11"/>
      <c r="E49" s="14"/>
      <c r="F49" s="4"/>
      <c r="G49" s="8">
        <v>46</v>
      </c>
      <c r="H49" s="13" t="s">
        <v>194</v>
      </c>
      <c r="I49" s="4"/>
      <c r="J49" s="4"/>
      <c r="K49" s="4"/>
      <c r="L49" s="4"/>
      <c r="M49" s="4"/>
    </row>
    <row r="50" spans="1:13" ht="27">
      <c r="A50" s="4"/>
      <c r="B50" s="11"/>
      <c r="C50" s="11"/>
      <c r="D50" s="11"/>
      <c r="E50" s="14"/>
      <c r="F50" s="4"/>
      <c r="G50" s="8">
        <v>47</v>
      </c>
      <c r="H50" s="13" t="s">
        <v>195</v>
      </c>
      <c r="I50" s="4"/>
      <c r="J50" s="4"/>
      <c r="K50" s="4"/>
      <c r="L50" s="4"/>
      <c r="M50" s="4"/>
    </row>
    <row r="51" spans="1:13" ht="27">
      <c r="A51" s="4"/>
      <c r="B51" s="11"/>
      <c r="C51" s="11"/>
      <c r="D51" s="11"/>
      <c r="E51" s="14"/>
      <c r="F51" s="4"/>
      <c r="G51" s="8">
        <v>48</v>
      </c>
      <c r="H51" s="13" t="s">
        <v>196</v>
      </c>
      <c r="I51" s="4"/>
      <c r="J51" s="4"/>
      <c r="K51" s="4"/>
      <c r="L51" s="4"/>
      <c r="M51" s="4"/>
    </row>
    <row r="52" spans="1:13" ht="27">
      <c r="A52" s="4"/>
      <c r="B52" s="11"/>
      <c r="C52" s="11"/>
      <c r="D52" s="11"/>
      <c r="E52" s="14"/>
      <c r="F52" s="4"/>
      <c r="G52" s="8">
        <v>49</v>
      </c>
      <c r="H52" s="13" t="s">
        <v>197</v>
      </c>
      <c r="I52" s="4"/>
      <c r="J52" s="4"/>
      <c r="K52" s="4"/>
      <c r="L52" s="4"/>
      <c r="M52" s="4"/>
    </row>
    <row r="53" spans="1:13" ht="27">
      <c r="A53" s="4"/>
      <c r="B53" s="11"/>
      <c r="C53" s="11"/>
      <c r="D53" s="11"/>
      <c r="E53" s="14"/>
      <c r="F53" s="4"/>
      <c r="G53" s="8">
        <v>50</v>
      </c>
      <c r="H53" s="13" t="s">
        <v>198</v>
      </c>
      <c r="I53" s="4"/>
      <c r="J53" s="4"/>
      <c r="K53" s="4"/>
      <c r="L53" s="4"/>
      <c r="M53" s="4"/>
    </row>
    <row r="54" spans="1:13" ht="27">
      <c r="A54" s="4"/>
      <c r="B54" s="11"/>
      <c r="C54" s="11"/>
      <c r="D54" s="11"/>
      <c r="E54" s="14"/>
      <c r="F54" s="4"/>
      <c r="G54" s="8">
        <v>51</v>
      </c>
      <c r="H54" s="13" t="s">
        <v>199</v>
      </c>
      <c r="I54" s="4"/>
      <c r="J54" s="4"/>
      <c r="K54" s="4"/>
      <c r="L54" s="4"/>
      <c r="M54" s="4"/>
    </row>
    <row r="55" spans="1:13" ht="27">
      <c r="A55" s="4"/>
      <c r="B55" s="11"/>
      <c r="C55" s="11"/>
      <c r="D55" s="11"/>
      <c r="E55" s="14"/>
      <c r="F55" s="4"/>
      <c r="G55" s="8">
        <v>52</v>
      </c>
      <c r="H55" s="13" t="s">
        <v>200</v>
      </c>
      <c r="I55" s="4"/>
      <c r="J55" s="4"/>
      <c r="K55" s="4"/>
      <c r="L55" s="4"/>
      <c r="M55" s="4"/>
    </row>
    <row r="56" spans="1:13" ht="27">
      <c r="A56" s="4"/>
      <c r="B56" s="11"/>
      <c r="C56" s="11"/>
      <c r="D56" s="11"/>
      <c r="E56" s="14"/>
      <c r="F56" s="4"/>
      <c r="G56" s="8">
        <v>53</v>
      </c>
      <c r="H56" s="13" t="s">
        <v>201</v>
      </c>
      <c r="I56" s="4"/>
      <c r="J56" s="4"/>
      <c r="K56" s="4"/>
      <c r="L56" s="4"/>
      <c r="M56" s="4"/>
    </row>
    <row r="57" spans="1:13">
      <c r="A57" s="4"/>
      <c r="B57" s="11"/>
      <c r="C57" s="11"/>
      <c r="D57" s="11"/>
      <c r="E57" s="14"/>
      <c r="F57" s="4"/>
      <c r="G57" s="8">
        <v>54</v>
      </c>
      <c r="H57" s="13" t="s">
        <v>202</v>
      </c>
      <c r="I57" s="4"/>
      <c r="J57" s="4"/>
      <c r="K57" s="4"/>
      <c r="L57" s="4"/>
      <c r="M57" s="4"/>
    </row>
    <row r="58" spans="1:13" ht="27">
      <c r="A58" s="4"/>
      <c r="B58" s="11"/>
      <c r="C58" s="11"/>
      <c r="D58" s="11"/>
      <c r="E58" s="14"/>
      <c r="F58" s="4"/>
      <c r="G58" s="8">
        <v>55</v>
      </c>
      <c r="H58" s="13" t="s">
        <v>203</v>
      </c>
      <c r="I58" s="4"/>
      <c r="J58" s="4"/>
      <c r="K58" s="4"/>
      <c r="L58" s="4"/>
      <c r="M58" s="4"/>
    </row>
    <row r="59" spans="1:13" ht="27">
      <c r="A59" s="4"/>
      <c r="B59" s="11"/>
      <c r="C59" s="11"/>
      <c r="D59" s="11"/>
      <c r="E59" s="14"/>
      <c r="F59" s="4"/>
      <c r="G59" s="8">
        <v>56</v>
      </c>
      <c r="H59" s="13" t="s">
        <v>204</v>
      </c>
      <c r="I59" s="4"/>
      <c r="J59" s="4"/>
      <c r="K59" s="4"/>
      <c r="L59" s="4"/>
      <c r="M59" s="4"/>
    </row>
    <row r="60" spans="1:13" ht="40.5">
      <c r="A60" s="4"/>
      <c r="B60" s="11"/>
      <c r="C60" s="11"/>
      <c r="D60" s="11"/>
      <c r="E60" s="14"/>
      <c r="F60" s="4"/>
      <c r="G60" s="8">
        <v>57</v>
      </c>
      <c r="H60" s="13" t="s">
        <v>205</v>
      </c>
      <c r="I60" s="4"/>
      <c r="J60" s="4"/>
      <c r="K60" s="4"/>
      <c r="L60" s="4"/>
      <c r="M60" s="4"/>
    </row>
    <row r="61" spans="1:13" ht="27">
      <c r="A61" s="4"/>
      <c r="B61" s="11"/>
      <c r="C61" s="11"/>
      <c r="D61" s="11"/>
      <c r="E61" s="14"/>
      <c r="F61" s="4"/>
      <c r="G61" s="8">
        <v>58</v>
      </c>
      <c r="H61" s="13" t="s">
        <v>206</v>
      </c>
      <c r="I61" s="4"/>
      <c r="J61" s="4"/>
      <c r="K61" s="4"/>
      <c r="L61" s="4"/>
      <c r="M61" s="4"/>
    </row>
    <row r="62" spans="1:13" ht="27">
      <c r="A62" s="4"/>
      <c r="B62" s="11"/>
      <c r="C62" s="11"/>
      <c r="D62" s="11"/>
      <c r="E62" s="14"/>
      <c r="F62" s="4"/>
      <c r="G62" s="8">
        <v>59</v>
      </c>
      <c r="H62" s="13" t="s">
        <v>207</v>
      </c>
      <c r="I62" s="4"/>
      <c r="J62" s="4"/>
      <c r="K62" s="4"/>
      <c r="L62" s="4"/>
      <c r="M62" s="4"/>
    </row>
    <row r="63" spans="1:13" ht="27">
      <c r="A63" s="4"/>
      <c r="B63" s="11"/>
      <c r="C63" s="11"/>
      <c r="D63" s="11"/>
      <c r="E63" s="14"/>
      <c r="F63" s="4"/>
      <c r="G63" s="8">
        <v>60</v>
      </c>
      <c r="H63" s="13" t="s">
        <v>208</v>
      </c>
      <c r="I63" s="4"/>
      <c r="J63" s="4"/>
      <c r="K63" s="4"/>
      <c r="L63" s="4"/>
      <c r="M63" s="4"/>
    </row>
    <row r="64" spans="1:13" ht="27">
      <c r="A64" s="4"/>
      <c r="B64" s="11"/>
      <c r="C64" s="11"/>
      <c r="D64" s="11"/>
      <c r="E64" s="14"/>
      <c r="F64" s="4"/>
      <c r="G64" s="8">
        <v>61</v>
      </c>
      <c r="H64" s="13" t="s">
        <v>209</v>
      </c>
      <c r="I64" s="4"/>
      <c r="J64" s="4"/>
      <c r="K64" s="4"/>
      <c r="L64" s="4"/>
      <c r="M64" s="4"/>
    </row>
    <row r="65" spans="1:13" ht="27">
      <c r="A65" s="4"/>
      <c r="B65" s="11"/>
      <c r="C65" s="11"/>
      <c r="D65" s="11"/>
      <c r="E65" s="14"/>
      <c r="F65" s="4"/>
      <c r="G65" s="8">
        <v>62</v>
      </c>
      <c r="H65" s="13" t="s">
        <v>210</v>
      </c>
      <c r="I65" s="4"/>
      <c r="J65" s="4"/>
      <c r="K65" s="4"/>
      <c r="L65" s="4"/>
      <c r="M65" s="4"/>
    </row>
    <row r="66" spans="1:13">
      <c r="A66" s="4"/>
      <c r="B66" s="11"/>
      <c r="C66" s="11"/>
      <c r="D66" s="11"/>
      <c r="E66" s="14"/>
      <c r="F66" s="4"/>
      <c r="G66" s="8">
        <v>63</v>
      </c>
      <c r="H66" s="13" t="s">
        <v>211</v>
      </c>
      <c r="I66" s="4"/>
      <c r="J66" s="4"/>
      <c r="K66" s="4"/>
      <c r="L66" s="4"/>
      <c r="M66" s="4"/>
    </row>
    <row r="67" spans="1:13" ht="27">
      <c r="A67" s="4"/>
      <c r="B67" s="11"/>
      <c r="C67" s="11"/>
      <c r="D67" s="11"/>
      <c r="E67" s="14"/>
      <c r="F67" s="4"/>
      <c r="G67" s="8">
        <v>64</v>
      </c>
      <c r="H67" s="13" t="s">
        <v>212</v>
      </c>
      <c r="I67" s="4"/>
      <c r="J67" s="4"/>
      <c r="K67" s="4"/>
      <c r="L67" s="4"/>
      <c r="M67" s="4"/>
    </row>
    <row r="68" spans="1:13" ht="27">
      <c r="A68" s="4"/>
      <c r="B68" s="11"/>
      <c r="C68" s="11"/>
      <c r="D68" s="11"/>
      <c r="E68" s="14"/>
      <c r="F68" s="4"/>
      <c r="G68" s="8">
        <v>65</v>
      </c>
      <c r="H68" s="13" t="s">
        <v>213</v>
      </c>
      <c r="I68" s="4"/>
      <c r="J68" s="4"/>
      <c r="K68" s="4"/>
      <c r="L68" s="4"/>
      <c r="M68" s="4"/>
    </row>
    <row r="69" spans="1:13" ht="27">
      <c r="A69" s="4"/>
      <c r="B69" s="11"/>
      <c r="C69" s="11"/>
      <c r="D69" s="11"/>
      <c r="E69" s="14"/>
      <c r="F69" s="4"/>
      <c r="G69" s="8">
        <v>66</v>
      </c>
      <c r="H69" s="13" t="s">
        <v>214</v>
      </c>
      <c r="I69" s="4"/>
      <c r="J69" s="4"/>
      <c r="K69" s="4"/>
      <c r="L69" s="4"/>
      <c r="M69" s="4"/>
    </row>
    <row r="70" spans="1:13" ht="27">
      <c r="A70" s="4"/>
      <c r="B70" s="11"/>
      <c r="C70" s="11"/>
      <c r="D70" s="11"/>
      <c r="E70" s="14"/>
      <c r="F70" s="4"/>
      <c r="G70" s="8">
        <v>67</v>
      </c>
      <c r="H70" s="13" t="s">
        <v>215</v>
      </c>
      <c r="I70" s="4"/>
      <c r="J70" s="4"/>
      <c r="K70" s="4"/>
      <c r="L70" s="4"/>
      <c r="M70" s="4"/>
    </row>
    <row r="71" spans="1:13" ht="27">
      <c r="A71" s="4"/>
      <c r="B71" s="11"/>
      <c r="C71" s="11"/>
      <c r="D71" s="11"/>
      <c r="E71" s="14"/>
      <c r="F71" s="4"/>
      <c r="G71" s="8">
        <v>68</v>
      </c>
      <c r="H71" s="13" t="s">
        <v>216</v>
      </c>
      <c r="I71" s="4"/>
      <c r="J71" s="4"/>
      <c r="K71" s="4"/>
      <c r="L71" s="4"/>
      <c r="M71" s="4"/>
    </row>
    <row r="72" spans="1:13" ht="27">
      <c r="A72" s="4"/>
      <c r="B72" s="11"/>
      <c r="C72" s="11"/>
      <c r="D72" s="11"/>
      <c r="E72" s="14"/>
      <c r="F72" s="4"/>
      <c r="G72" s="8">
        <v>69</v>
      </c>
      <c r="H72" s="13" t="s">
        <v>217</v>
      </c>
      <c r="I72" s="4"/>
      <c r="J72" s="4"/>
      <c r="K72" s="4"/>
      <c r="L72" s="4"/>
      <c r="M72" s="4"/>
    </row>
    <row r="73" spans="1:13" ht="27">
      <c r="A73" s="4"/>
      <c r="B73" s="11"/>
      <c r="C73" s="11"/>
      <c r="D73" s="11"/>
      <c r="E73" s="14"/>
      <c r="F73" s="4"/>
      <c r="G73" s="8">
        <v>70</v>
      </c>
      <c r="H73" s="13" t="s">
        <v>218</v>
      </c>
      <c r="I73" s="4"/>
      <c r="J73" s="4"/>
      <c r="K73" s="4"/>
      <c r="L73" s="4"/>
      <c r="M73" s="4"/>
    </row>
    <row r="74" spans="1:13" ht="27">
      <c r="A74" s="4"/>
      <c r="B74" s="11"/>
      <c r="C74" s="11"/>
      <c r="D74" s="11"/>
      <c r="E74" s="14"/>
      <c r="F74" s="4"/>
      <c r="G74" s="8">
        <v>71</v>
      </c>
      <c r="H74" s="13" t="s">
        <v>219</v>
      </c>
      <c r="I74" s="4"/>
      <c r="J74" s="4"/>
      <c r="K74" s="4"/>
      <c r="L74" s="4"/>
      <c r="M74" s="4"/>
    </row>
    <row r="75" spans="1:13" ht="40.5">
      <c r="A75" s="4"/>
      <c r="B75" s="11"/>
      <c r="C75" s="11"/>
      <c r="D75" s="11"/>
      <c r="E75" s="14"/>
      <c r="F75" s="4"/>
      <c r="G75" s="8">
        <v>72</v>
      </c>
      <c r="H75" s="13" t="s">
        <v>220</v>
      </c>
      <c r="I75" s="4"/>
      <c r="J75" s="4"/>
      <c r="K75" s="4"/>
      <c r="L75" s="4"/>
      <c r="M75" s="4"/>
    </row>
    <row r="76" spans="1:13" ht="40.5">
      <c r="A76" s="4"/>
      <c r="B76" s="11"/>
      <c r="C76" s="11"/>
      <c r="D76" s="11"/>
      <c r="E76" s="14"/>
      <c r="F76" s="4"/>
      <c r="G76" s="8">
        <v>73</v>
      </c>
      <c r="H76" s="13" t="s">
        <v>733</v>
      </c>
      <c r="I76" s="4"/>
      <c r="J76" s="4"/>
      <c r="K76" s="4"/>
      <c r="L76" s="4"/>
      <c r="M76" s="4"/>
    </row>
    <row r="77" spans="1:13" ht="27">
      <c r="A77" s="4"/>
      <c r="B77" s="11"/>
      <c r="C77" s="11"/>
      <c r="D77" s="11"/>
      <c r="E77" s="14"/>
      <c r="F77" s="4"/>
      <c r="G77" s="8">
        <v>74</v>
      </c>
      <c r="H77" s="13" t="s">
        <v>221</v>
      </c>
      <c r="I77" s="4"/>
      <c r="J77" s="4"/>
      <c r="K77" s="4"/>
      <c r="L77" s="4"/>
      <c r="M77" s="4"/>
    </row>
    <row r="78" spans="1:13" ht="27">
      <c r="A78" s="4"/>
      <c r="B78" s="11"/>
      <c r="C78" s="11"/>
      <c r="D78" s="11"/>
      <c r="E78" s="14"/>
      <c r="F78" s="4"/>
      <c r="G78" s="8">
        <v>75</v>
      </c>
      <c r="H78" s="13" t="s">
        <v>563</v>
      </c>
      <c r="I78" s="4"/>
      <c r="J78" s="4"/>
      <c r="K78" s="4"/>
      <c r="L78" s="4"/>
      <c r="M78" s="4"/>
    </row>
    <row r="79" spans="1:13" ht="27">
      <c r="A79" s="4"/>
      <c r="B79" s="11"/>
      <c r="C79" s="11"/>
      <c r="D79" s="11"/>
      <c r="E79" s="14"/>
      <c r="F79" s="4"/>
      <c r="G79" s="8">
        <v>76</v>
      </c>
      <c r="H79" s="13" t="s">
        <v>570</v>
      </c>
      <c r="I79" s="4"/>
      <c r="J79" s="4"/>
      <c r="K79" s="4"/>
      <c r="L79" s="4"/>
      <c r="M79" s="4"/>
    </row>
    <row r="80" spans="1:13" ht="27">
      <c r="A80" s="4"/>
      <c r="B80" s="11"/>
      <c r="C80" s="11"/>
      <c r="D80" s="11"/>
      <c r="E80" s="14"/>
      <c r="F80" s="4"/>
      <c r="G80" s="8">
        <v>77</v>
      </c>
      <c r="H80" s="49" t="s">
        <v>571</v>
      </c>
      <c r="I80" s="4"/>
      <c r="J80" s="4"/>
      <c r="K80" s="4"/>
      <c r="L80" s="4"/>
      <c r="M80" s="4"/>
    </row>
    <row r="81" spans="1:13" ht="27">
      <c r="A81" s="4"/>
      <c r="B81" s="11"/>
      <c r="C81" s="11"/>
      <c r="D81" s="11"/>
      <c r="E81" s="14"/>
      <c r="F81" s="4"/>
      <c r="G81" s="8">
        <v>78</v>
      </c>
      <c r="H81" s="49" t="s">
        <v>572</v>
      </c>
      <c r="I81" s="4"/>
      <c r="J81" s="4"/>
      <c r="K81" s="4"/>
      <c r="L81" s="4"/>
      <c r="M81" s="4"/>
    </row>
    <row r="82" spans="1:13" ht="27">
      <c r="A82" s="4"/>
      <c r="B82" s="11"/>
      <c r="C82" s="11"/>
      <c r="D82" s="11"/>
      <c r="E82" s="14"/>
      <c r="F82" s="4"/>
      <c r="G82" s="8">
        <v>79</v>
      </c>
      <c r="H82" s="49" t="s">
        <v>573</v>
      </c>
      <c r="I82" s="4"/>
      <c r="J82" s="4"/>
      <c r="K82" s="4"/>
      <c r="L82" s="4"/>
      <c r="M82" s="4"/>
    </row>
    <row r="83" spans="1:13" ht="40.5">
      <c r="A83" s="4"/>
      <c r="B83" s="11"/>
      <c r="C83" s="11"/>
      <c r="D83" s="11"/>
      <c r="E83" s="14"/>
      <c r="F83" s="4"/>
      <c r="G83" s="8">
        <v>80</v>
      </c>
      <c r="H83" s="49" t="s">
        <v>684</v>
      </c>
      <c r="I83" s="4"/>
      <c r="J83" s="4"/>
      <c r="K83" s="4"/>
      <c r="L83" s="4"/>
      <c r="M83" s="4"/>
    </row>
    <row r="84" spans="1:13" ht="40.5">
      <c r="A84" s="4"/>
      <c r="B84" s="11"/>
      <c r="C84" s="11"/>
      <c r="D84" s="11"/>
      <c r="E84" s="14"/>
      <c r="F84" s="4"/>
      <c r="G84" s="8">
        <v>81</v>
      </c>
      <c r="H84" s="49" t="s">
        <v>693</v>
      </c>
      <c r="I84" s="4"/>
      <c r="J84" s="4"/>
      <c r="K84" s="4"/>
      <c r="L84" s="4"/>
      <c r="M84" s="4"/>
    </row>
    <row r="85" spans="1:13" ht="27">
      <c r="A85" s="4"/>
      <c r="B85" s="11"/>
      <c r="C85" s="11"/>
      <c r="D85" s="11"/>
      <c r="E85" s="14"/>
      <c r="F85" s="4"/>
      <c r="G85" s="8">
        <v>82</v>
      </c>
      <c r="H85" s="49" t="s">
        <v>720</v>
      </c>
      <c r="I85" s="4"/>
      <c r="J85" s="4"/>
      <c r="K85" s="4"/>
      <c r="L85" s="4"/>
      <c r="M85" s="4"/>
    </row>
    <row r="86" spans="1:13" ht="36">
      <c r="A86" s="4"/>
      <c r="B86" s="11"/>
      <c r="C86" s="11"/>
      <c r="D86" s="11"/>
      <c r="E86" s="14"/>
      <c r="F86" s="4"/>
      <c r="G86" s="8">
        <v>83</v>
      </c>
      <c r="H86" s="51" t="s">
        <v>721</v>
      </c>
      <c r="I86" s="4"/>
      <c r="J86" s="4"/>
      <c r="K86" s="4"/>
      <c r="L86" s="4"/>
      <c r="M86" s="4"/>
    </row>
    <row r="87" spans="1:13" ht="36">
      <c r="A87" s="4"/>
      <c r="B87" s="11"/>
      <c r="C87" s="11"/>
      <c r="D87" s="11"/>
      <c r="E87" s="14"/>
      <c r="F87" s="4"/>
      <c r="G87" s="8">
        <v>84</v>
      </c>
      <c r="H87" s="51" t="s">
        <v>726</v>
      </c>
      <c r="I87" s="4"/>
      <c r="J87" s="4"/>
      <c r="K87" s="4"/>
      <c r="L87" s="4"/>
      <c r="M87" s="4"/>
    </row>
    <row r="88" spans="1:13" ht="40.5">
      <c r="A88" s="4"/>
      <c r="B88" s="11"/>
      <c r="C88" s="11"/>
      <c r="D88" s="11"/>
      <c r="E88" s="14"/>
      <c r="F88" s="4"/>
      <c r="G88" s="8">
        <v>85</v>
      </c>
      <c r="H88" s="13" t="s">
        <v>728</v>
      </c>
      <c r="I88" s="4"/>
      <c r="J88" s="4"/>
      <c r="K88" s="4"/>
      <c r="L88" s="4"/>
      <c r="M88" s="4"/>
    </row>
    <row r="89" spans="1:13" ht="27">
      <c r="A89" s="4"/>
      <c r="B89" s="11"/>
      <c r="C89" s="11"/>
      <c r="D89" s="11"/>
      <c r="E89" s="14"/>
      <c r="F89" s="4"/>
      <c r="G89" s="8">
        <v>86</v>
      </c>
      <c r="H89" s="13" t="s">
        <v>730</v>
      </c>
      <c r="I89" s="4"/>
      <c r="J89" s="4"/>
      <c r="K89" s="4"/>
      <c r="L89" s="4"/>
      <c r="M89" s="4"/>
    </row>
    <row r="90" spans="1:13" ht="27">
      <c r="A90" s="4"/>
      <c r="B90" s="11"/>
      <c r="C90" s="11"/>
      <c r="D90" s="11"/>
      <c r="E90" s="14"/>
      <c r="F90" s="4"/>
      <c r="G90" s="8">
        <v>87</v>
      </c>
      <c r="H90" s="13" t="s">
        <v>731</v>
      </c>
      <c r="I90" s="4"/>
      <c r="J90" s="4"/>
      <c r="K90" s="4"/>
      <c r="L90" s="4"/>
      <c r="M90" s="4"/>
    </row>
    <row r="91" spans="1:13" ht="40.5">
      <c r="A91" s="4"/>
      <c r="B91" s="11"/>
      <c r="C91" s="11"/>
      <c r="D91" s="11"/>
      <c r="E91" s="14"/>
      <c r="F91" s="4"/>
      <c r="G91" s="8">
        <v>88</v>
      </c>
      <c r="H91" s="13" t="s">
        <v>736</v>
      </c>
      <c r="I91" s="4"/>
      <c r="J91" s="4"/>
      <c r="K91" s="4"/>
      <c r="L91" s="4"/>
      <c r="M91" s="4"/>
    </row>
    <row r="92" spans="1:13" ht="27">
      <c r="A92" s="4"/>
      <c r="B92" s="11"/>
      <c r="C92" s="11"/>
      <c r="D92" s="11"/>
      <c r="E92" s="14"/>
      <c r="F92" s="4"/>
      <c r="G92" s="8">
        <v>89</v>
      </c>
      <c r="H92" s="13" t="s">
        <v>734</v>
      </c>
      <c r="I92" s="4"/>
      <c r="J92" s="4"/>
      <c r="K92" s="4"/>
      <c r="L92" s="4"/>
      <c r="M92" s="4"/>
    </row>
    <row r="93" spans="1:13" ht="40.5">
      <c r="A93" s="4"/>
      <c r="B93" s="11"/>
      <c r="C93" s="11"/>
      <c r="D93" s="11"/>
      <c r="E93" s="14"/>
      <c r="F93" s="4"/>
      <c r="G93" s="8">
        <v>90</v>
      </c>
      <c r="H93" s="13" t="s">
        <v>737</v>
      </c>
      <c r="I93" s="4"/>
      <c r="J93" s="4"/>
      <c r="K93" s="4"/>
      <c r="L93" s="4"/>
      <c r="M93" s="4"/>
    </row>
    <row r="94" spans="1:13" ht="27">
      <c r="A94" s="4"/>
      <c r="B94" s="11"/>
      <c r="C94" s="11"/>
      <c r="D94" s="11"/>
      <c r="E94" s="14"/>
      <c r="F94" s="4"/>
      <c r="G94" s="8">
        <v>91</v>
      </c>
      <c r="H94" s="13" t="s">
        <v>738</v>
      </c>
      <c r="I94" s="4"/>
      <c r="J94" s="4"/>
      <c r="K94" s="4"/>
      <c r="L94" s="4"/>
      <c r="M94" s="4"/>
    </row>
    <row r="95" spans="1:13" ht="27">
      <c r="A95" s="4"/>
      <c r="B95" s="11"/>
      <c r="C95" s="11"/>
      <c r="D95" s="11"/>
      <c r="E95" s="14"/>
      <c r="F95" s="4"/>
      <c r="G95" s="8">
        <v>92</v>
      </c>
      <c r="H95" s="13" t="s">
        <v>740</v>
      </c>
      <c r="I95" s="4"/>
      <c r="J95" s="4"/>
      <c r="K95" s="4"/>
      <c r="L95" s="4"/>
      <c r="M95" s="4"/>
    </row>
    <row r="96" spans="1:13" ht="27">
      <c r="A96" s="4"/>
      <c r="B96" s="11"/>
      <c r="C96" s="11"/>
      <c r="D96" s="11"/>
      <c r="E96" s="14"/>
      <c r="F96" s="4"/>
      <c r="G96" s="8">
        <v>93</v>
      </c>
      <c r="H96" s="13" t="s">
        <v>743</v>
      </c>
      <c r="I96" s="4"/>
      <c r="J96" s="4"/>
      <c r="K96" s="4"/>
      <c r="L96" s="4"/>
      <c r="M96" s="4"/>
    </row>
    <row r="97" spans="1:13" ht="40.5">
      <c r="A97" s="4"/>
      <c r="B97" s="11"/>
      <c r="C97" s="11"/>
      <c r="D97" s="11"/>
      <c r="E97" s="14"/>
      <c r="F97" s="4"/>
      <c r="G97" s="8">
        <v>94</v>
      </c>
      <c r="H97" s="49" t="s">
        <v>745</v>
      </c>
      <c r="I97" s="4"/>
      <c r="J97" s="4"/>
      <c r="K97" s="4"/>
      <c r="L97" s="4"/>
      <c r="M97" s="4"/>
    </row>
    <row r="98" spans="1:13" ht="40.5">
      <c r="A98" s="4"/>
      <c r="B98" s="11"/>
      <c r="C98" s="11"/>
      <c r="D98" s="11"/>
      <c r="E98" s="14"/>
      <c r="F98" s="4"/>
      <c r="G98" s="8">
        <v>95</v>
      </c>
      <c r="H98" s="12" t="s">
        <v>746</v>
      </c>
      <c r="I98" s="4"/>
      <c r="J98" s="4"/>
      <c r="K98" s="4"/>
      <c r="L98" s="4"/>
      <c r="M98" s="4"/>
    </row>
    <row r="99" spans="1:13" ht="40.5">
      <c r="A99" s="4"/>
      <c r="B99" s="11"/>
      <c r="C99" s="11"/>
      <c r="D99" s="11"/>
      <c r="E99" s="14"/>
      <c r="F99" s="4"/>
      <c r="G99" s="8">
        <v>96</v>
      </c>
      <c r="H99" s="12" t="s">
        <v>747</v>
      </c>
      <c r="I99" s="4"/>
      <c r="J99" s="4"/>
      <c r="K99" s="4"/>
      <c r="L99" s="4"/>
      <c r="M99" s="4"/>
    </row>
    <row r="100" spans="1:13" ht="40.5">
      <c r="A100" s="4"/>
      <c r="B100" s="11"/>
      <c r="C100" s="11"/>
      <c r="D100" s="11"/>
      <c r="E100" s="14"/>
      <c r="F100" s="4"/>
      <c r="G100" s="8">
        <v>97</v>
      </c>
      <c r="H100" s="13" t="s">
        <v>644</v>
      </c>
      <c r="I100" s="4"/>
      <c r="J100" s="4"/>
      <c r="K100" s="4"/>
      <c r="L100" s="4"/>
      <c r="M100" s="4"/>
    </row>
    <row r="101" spans="1:13">
      <c r="A101" s="4"/>
      <c r="B101" s="11"/>
      <c r="C101" s="11"/>
      <c r="D101" s="11"/>
      <c r="E101" s="14"/>
      <c r="F101" s="4"/>
      <c r="G101" s="8">
        <v>98</v>
      </c>
      <c r="H101" s="13"/>
      <c r="I101" s="4"/>
      <c r="J101" s="4"/>
      <c r="K101" s="4"/>
      <c r="L101" s="4"/>
      <c r="M101" s="4"/>
    </row>
    <row r="102" spans="1:13">
      <c r="A102" s="4"/>
      <c r="B102" s="11"/>
      <c r="C102" s="11"/>
      <c r="D102" s="11"/>
      <c r="E102" s="14"/>
      <c r="F102" s="4"/>
      <c r="G102" s="8">
        <v>99</v>
      </c>
      <c r="H102" s="13"/>
      <c r="I102" s="4"/>
      <c r="J102" s="4"/>
      <c r="K102" s="4"/>
      <c r="L102" s="4"/>
      <c r="M102" s="4"/>
    </row>
    <row r="103" spans="1:13">
      <c r="A103" s="4"/>
      <c r="B103" s="11"/>
      <c r="C103" s="11"/>
      <c r="D103" s="11"/>
      <c r="E103" s="14"/>
      <c r="F103" s="4"/>
      <c r="G103" s="8">
        <v>100</v>
      </c>
      <c r="H103" s="13"/>
      <c r="I103" s="4"/>
      <c r="J103" s="4"/>
      <c r="K103" s="4"/>
      <c r="L103" s="4"/>
      <c r="M103" s="4"/>
    </row>
    <row r="104" spans="1:13">
      <c r="A104" s="4"/>
      <c r="B104" s="11"/>
      <c r="C104" s="11"/>
      <c r="D104" s="11"/>
      <c r="E104" s="14"/>
      <c r="F104" s="4"/>
      <c r="G104" s="8">
        <v>101</v>
      </c>
      <c r="H104" s="13"/>
      <c r="I104" s="4"/>
      <c r="J104" s="4"/>
      <c r="K104" s="4"/>
      <c r="L104" s="4"/>
      <c r="M104" s="4"/>
    </row>
    <row r="105" spans="1:13">
      <c r="A105" s="4"/>
      <c r="B105" s="11"/>
      <c r="C105" s="11"/>
      <c r="D105" s="11"/>
      <c r="E105" s="14"/>
      <c r="F105" s="4"/>
      <c r="G105" s="8">
        <v>102</v>
      </c>
      <c r="H105" s="13"/>
      <c r="I105" s="4"/>
      <c r="J105" s="4"/>
      <c r="K105" s="4"/>
      <c r="L105" s="4"/>
      <c r="M105" s="4"/>
    </row>
    <row r="106" spans="1:13">
      <c r="A106" s="4"/>
      <c r="B106" s="11"/>
      <c r="C106" s="11"/>
      <c r="D106" s="11"/>
      <c r="E106" s="14"/>
      <c r="F106" s="4"/>
      <c r="G106" s="8">
        <v>103</v>
      </c>
      <c r="H106" s="13"/>
      <c r="I106" s="4"/>
      <c r="J106" s="4"/>
      <c r="K106" s="4"/>
      <c r="L106" s="4"/>
      <c r="M106" s="4"/>
    </row>
    <row r="107" spans="1:13">
      <c r="A107" s="4"/>
      <c r="B107" s="11"/>
      <c r="C107" s="11"/>
      <c r="D107" s="11"/>
      <c r="E107" s="14"/>
      <c r="F107" s="4"/>
      <c r="G107" s="8">
        <v>104</v>
      </c>
      <c r="H107" s="13"/>
      <c r="I107" s="4"/>
      <c r="J107" s="4"/>
      <c r="K107" s="4"/>
      <c r="L107" s="4"/>
      <c r="M107" s="4"/>
    </row>
    <row r="108" spans="1:13">
      <c r="A108" s="4"/>
      <c r="B108" s="11"/>
      <c r="C108" s="11"/>
      <c r="D108" s="11"/>
      <c r="E108" s="14"/>
      <c r="F108" s="4"/>
      <c r="G108" s="8">
        <v>105</v>
      </c>
      <c r="H108" s="13"/>
      <c r="I108" s="4"/>
      <c r="J108" s="4"/>
      <c r="K108" s="4"/>
      <c r="L108" s="4"/>
      <c r="M108" s="4"/>
    </row>
    <row r="109" spans="1:13">
      <c r="A109" s="4"/>
      <c r="B109" s="11"/>
      <c r="C109" s="11"/>
      <c r="D109" s="11"/>
      <c r="E109" s="14"/>
      <c r="F109" s="4"/>
      <c r="G109" s="8">
        <v>106</v>
      </c>
      <c r="H109" s="13"/>
      <c r="I109" s="4"/>
      <c r="J109" s="4"/>
      <c r="K109" s="4"/>
      <c r="L109" s="4"/>
      <c r="M109" s="4"/>
    </row>
    <row r="110" spans="1:13">
      <c r="A110" s="4"/>
      <c r="B110" s="11"/>
      <c r="C110" s="11"/>
      <c r="D110" s="11"/>
      <c r="E110" s="14"/>
      <c r="F110" s="4"/>
      <c r="G110" s="8">
        <v>107</v>
      </c>
      <c r="H110" s="13"/>
      <c r="I110" s="4"/>
      <c r="J110" s="4"/>
      <c r="K110" s="4"/>
      <c r="L110" s="4"/>
      <c r="M110" s="4"/>
    </row>
    <row r="111" spans="1:13">
      <c r="A111" s="4"/>
      <c r="B111" s="11"/>
      <c r="C111" s="11"/>
      <c r="D111" s="11"/>
      <c r="E111" s="14"/>
      <c r="F111" s="4"/>
      <c r="G111" s="8">
        <v>108</v>
      </c>
      <c r="H111" s="13"/>
      <c r="I111" s="4"/>
      <c r="J111" s="4"/>
      <c r="K111" s="4"/>
      <c r="L111" s="4"/>
      <c r="M111" s="4"/>
    </row>
    <row r="112" spans="1:13">
      <c r="A112" s="4"/>
      <c r="B112" s="11"/>
      <c r="C112" s="11"/>
      <c r="D112" s="11"/>
      <c r="E112" s="14"/>
      <c r="F112" s="4"/>
      <c r="G112" s="8">
        <v>109</v>
      </c>
      <c r="H112" s="13"/>
      <c r="I112" s="4"/>
      <c r="J112" s="4"/>
      <c r="K112" s="4"/>
      <c r="L112" s="4"/>
      <c r="M112" s="4"/>
    </row>
    <row r="113" spans="1:13">
      <c r="A113" s="4"/>
      <c r="B113" s="11"/>
      <c r="C113" s="11"/>
      <c r="D113" s="11"/>
      <c r="E113" s="14"/>
      <c r="F113" s="4"/>
      <c r="G113" s="8">
        <v>110</v>
      </c>
      <c r="H113" s="13"/>
      <c r="I113" s="4"/>
      <c r="J113" s="4"/>
      <c r="K113" s="4"/>
      <c r="L113" s="4"/>
      <c r="M113" s="4"/>
    </row>
    <row r="114" spans="1:13">
      <c r="A114" s="4"/>
      <c r="B114" s="11"/>
      <c r="C114" s="11"/>
      <c r="D114" s="11"/>
      <c r="E114" s="14"/>
      <c r="F114" s="4"/>
      <c r="G114" s="8">
        <v>111</v>
      </c>
      <c r="H114" s="13"/>
      <c r="I114" s="4"/>
      <c r="J114" s="4"/>
      <c r="K114" s="4"/>
      <c r="L114" s="4"/>
      <c r="M114" s="4"/>
    </row>
    <row r="115" spans="1:13">
      <c r="A115" s="4"/>
      <c r="B115" s="11"/>
      <c r="C115" s="11"/>
      <c r="D115" s="11"/>
      <c r="E115" s="14"/>
      <c r="F115" s="4"/>
      <c r="G115" s="8">
        <v>112</v>
      </c>
      <c r="H115" s="13"/>
      <c r="I115" s="4"/>
      <c r="J115" s="4"/>
      <c r="K115" s="4"/>
      <c r="L115" s="4"/>
      <c r="M115" s="4"/>
    </row>
    <row r="116" spans="1:13">
      <c r="A116" s="4"/>
      <c r="B116" s="11"/>
      <c r="C116" s="11"/>
      <c r="D116" s="11"/>
      <c r="E116" s="14"/>
      <c r="F116" s="4"/>
      <c r="G116" s="8">
        <v>113</v>
      </c>
      <c r="H116" s="13"/>
      <c r="I116" s="4"/>
      <c r="J116" s="4"/>
      <c r="K116" s="4"/>
      <c r="L116" s="4"/>
      <c r="M116" s="4"/>
    </row>
    <row r="117" spans="1:13">
      <c r="A117" s="4"/>
      <c r="B117" s="11"/>
      <c r="C117" s="11"/>
      <c r="D117" s="11"/>
      <c r="E117" s="14"/>
      <c r="F117" s="4"/>
      <c r="G117" s="8">
        <v>114</v>
      </c>
      <c r="H117" s="13"/>
      <c r="I117" s="4"/>
      <c r="J117" s="4"/>
      <c r="K117" s="4"/>
      <c r="L117" s="4"/>
      <c r="M117" s="4"/>
    </row>
    <row r="118" spans="1:13">
      <c r="A118" s="4"/>
      <c r="B118" s="11"/>
      <c r="C118" s="11"/>
      <c r="D118" s="11"/>
      <c r="E118" s="14"/>
      <c r="F118" s="4"/>
      <c r="G118" s="8">
        <v>115</v>
      </c>
      <c r="H118" s="13"/>
      <c r="I118" s="4"/>
      <c r="J118" s="4"/>
      <c r="K118" s="4"/>
      <c r="L118" s="4"/>
      <c r="M118" s="4"/>
    </row>
    <row r="119" spans="1:13">
      <c r="A119" s="4"/>
      <c r="B119" s="11"/>
      <c r="C119" s="11"/>
      <c r="D119" s="11"/>
      <c r="E119" s="14"/>
      <c r="F119" s="4"/>
      <c r="G119" s="8">
        <v>116</v>
      </c>
      <c r="H119" s="13"/>
      <c r="I119" s="4"/>
      <c r="J119" s="4"/>
      <c r="K119" s="4"/>
      <c r="L119" s="4"/>
      <c r="M119" s="4"/>
    </row>
    <row r="120" spans="1:13">
      <c r="A120" s="4"/>
      <c r="B120" s="11"/>
      <c r="C120" s="11"/>
      <c r="D120" s="11"/>
      <c r="E120" s="14"/>
      <c r="F120" s="4"/>
      <c r="G120" s="8">
        <v>117</v>
      </c>
      <c r="H120" s="13"/>
      <c r="I120" s="4"/>
      <c r="J120" s="4"/>
      <c r="K120" s="4"/>
      <c r="L120" s="4"/>
      <c r="M120" s="4"/>
    </row>
    <row r="121" spans="1:13">
      <c r="A121" s="4"/>
      <c r="B121" s="11"/>
      <c r="C121" s="11"/>
      <c r="D121" s="11"/>
      <c r="E121" s="14"/>
      <c r="F121" s="4"/>
      <c r="G121" s="8">
        <v>118</v>
      </c>
      <c r="H121" s="13"/>
      <c r="I121" s="4"/>
      <c r="J121" s="4"/>
      <c r="K121" s="4"/>
      <c r="L121" s="4"/>
      <c r="M121" s="4"/>
    </row>
    <row r="122" spans="1:13">
      <c r="A122" s="4"/>
      <c r="B122" s="11"/>
      <c r="C122" s="11"/>
      <c r="D122" s="11"/>
      <c r="E122" s="14"/>
      <c r="F122" s="4"/>
      <c r="G122" s="8">
        <v>119</v>
      </c>
      <c r="H122" s="13"/>
      <c r="I122" s="4"/>
      <c r="J122" s="4"/>
      <c r="K122" s="4"/>
      <c r="L122" s="4"/>
      <c r="M122" s="4"/>
    </row>
    <row r="123" spans="1:13">
      <c r="A123" s="4"/>
      <c r="B123" s="11"/>
      <c r="C123" s="11"/>
      <c r="D123" s="11"/>
      <c r="E123" s="14"/>
      <c r="F123" s="4"/>
      <c r="G123" s="8">
        <v>120</v>
      </c>
      <c r="H123" s="13"/>
      <c r="I123" s="4"/>
      <c r="J123" s="4"/>
      <c r="K123" s="4"/>
      <c r="L123" s="4"/>
      <c r="M123" s="4"/>
    </row>
    <row r="124" spans="1:13">
      <c r="A124" s="4"/>
      <c r="B124" s="11"/>
      <c r="C124" s="11"/>
      <c r="D124" s="11"/>
      <c r="E124" s="14"/>
      <c r="F124" s="4"/>
      <c r="G124" s="8">
        <v>121</v>
      </c>
      <c r="H124" s="13"/>
      <c r="I124" s="4"/>
      <c r="J124" s="4"/>
      <c r="K124" s="4"/>
      <c r="L124" s="4"/>
      <c r="M124" s="4"/>
    </row>
    <row r="125" spans="1:13">
      <c r="A125" s="4"/>
      <c r="B125" s="11"/>
      <c r="C125" s="11"/>
      <c r="D125" s="11"/>
      <c r="E125" s="14"/>
      <c r="F125" s="4"/>
      <c r="G125" s="8">
        <v>122</v>
      </c>
      <c r="H125" s="13"/>
      <c r="I125" s="4"/>
      <c r="J125" s="4"/>
      <c r="K125" s="4"/>
      <c r="L125" s="4"/>
      <c r="M125" s="4"/>
    </row>
    <row r="126" spans="1:13">
      <c r="A126" s="4"/>
      <c r="B126" s="11"/>
      <c r="C126" s="11"/>
      <c r="D126" s="11"/>
      <c r="E126" s="14"/>
      <c r="F126" s="4"/>
      <c r="G126" s="8">
        <v>123</v>
      </c>
      <c r="H126" s="13"/>
      <c r="I126" s="4"/>
      <c r="J126" s="4"/>
      <c r="K126" s="4"/>
      <c r="L126" s="4"/>
      <c r="M126" s="4"/>
    </row>
    <row r="127" spans="1:13">
      <c r="A127" s="4"/>
      <c r="B127" s="11"/>
      <c r="C127" s="11"/>
      <c r="D127" s="11"/>
      <c r="E127" s="14"/>
      <c r="F127" s="4"/>
      <c r="G127" s="8">
        <v>124</v>
      </c>
      <c r="H127" s="13"/>
      <c r="I127" s="4"/>
      <c r="J127" s="4"/>
      <c r="K127" s="4"/>
      <c r="L127" s="4"/>
      <c r="M127" s="4"/>
    </row>
    <row r="128" spans="1:13">
      <c r="A128" s="4"/>
      <c r="B128" s="11"/>
      <c r="C128" s="11"/>
      <c r="D128" s="11"/>
      <c r="E128" s="14"/>
      <c r="F128" s="4"/>
      <c r="G128" s="8">
        <v>125</v>
      </c>
      <c r="H128" s="13"/>
      <c r="I128" s="4"/>
      <c r="J128" s="4"/>
      <c r="K128" s="4"/>
      <c r="L128" s="4"/>
      <c r="M128" s="4"/>
    </row>
    <row r="129" spans="1:13">
      <c r="A129" s="4"/>
      <c r="B129" s="11"/>
      <c r="C129" s="11"/>
      <c r="D129" s="11"/>
      <c r="E129" s="14"/>
      <c r="F129" s="4"/>
      <c r="G129" s="8">
        <v>126</v>
      </c>
      <c r="H129" s="13"/>
      <c r="I129" s="4"/>
      <c r="J129" s="4"/>
      <c r="K129" s="4"/>
      <c r="L129" s="4"/>
      <c r="M129" s="4"/>
    </row>
    <row r="130" spans="1:13">
      <c r="A130" s="4"/>
      <c r="B130" s="11"/>
      <c r="C130" s="11"/>
      <c r="D130" s="11"/>
      <c r="E130" s="14"/>
      <c r="F130" s="4"/>
      <c r="G130" s="8">
        <v>127</v>
      </c>
      <c r="H130" s="13"/>
      <c r="I130" s="4"/>
      <c r="J130" s="4"/>
      <c r="K130" s="4"/>
      <c r="L130" s="4"/>
      <c r="M130" s="4"/>
    </row>
    <row r="131" spans="1:13">
      <c r="A131" s="4"/>
      <c r="B131" s="11"/>
      <c r="C131" s="11"/>
      <c r="D131" s="11"/>
      <c r="E131" s="14"/>
      <c r="F131" s="4"/>
      <c r="G131" s="8">
        <v>128</v>
      </c>
      <c r="H131" s="13"/>
      <c r="I131" s="4"/>
      <c r="J131" s="4"/>
      <c r="K131" s="4"/>
      <c r="L131" s="4"/>
      <c r="M131" s="4"/>
    </row>
    <row r="132" spans="1:13">
      <c r="A132" s="4"/>
      <c r="B132" s="11"/>
      <c r="C132" s="11"/>
      <c r="D132" s="11"/>
      <c r="E132" s="14"/>
      <c r="F132" s="4"/>
      <c r="G132" s="8">
        <v>129</v>
      </c>
      <c r="H132" s="13"/>
      <c r="I132" s="4"/>
      <c r="J132" s="4"/>
      <c r="K132" s="4"/>
      <c r="L132" s="4"/>
      <c r="M132" s="4"/>
    </row>
    <row r="133" spans="1:13">
      <c r="A133" s="4"/>
      <c r="B133" s="11"/>
      <c r="C133" s="11"/>
      <c r="D133" s="11"/>
      <c r="E133" s="14"/>
      <c r="F133" s="4"/>
      <c r="G133" s="8">
        <v>130</v>
      </c>
      <c r="H133" s="13"/>
      <c r="I133" s="4"/>
      <c r="J133" s="4"/>
      <c r="K133" s="4"/>
      <c r="L133" s="4"/>
      <c r="M133" s="4"/>
    </row>
    <row r="134" spans="1:13">
      <c r="A134" s="4"/>
      <c r="B134" s="11"/>
      <c r="C134" s="11"/>
      <c r="D134" s="11"/>
      <c r="E134" s="14"/>
      <c r="F134" s="4"/>
      <c r="G134" s="8">
        <v>131</v>
      </c>
      <c r="H134" s="13"/>
      <c r="I134" s="4"/>
      <c r="J134" s="4"/>
      <c r="K134" s="4"/>
      <c r="L134" s="4"/>
      <c r="M134" s="4"/>
    </row>
    <row r="135" spans="1:13">
      <c r="A135" s="4"/>
      <c r="B135" s="11"/>
      <c r="C135" s="11"/>
      <c r="D135" s="11"/>
      <c r="E135" s="14"/>
      <c r="F135" s="4"/>
      <c r="G135" s="8">
        <v>132</v>
      </c>
      <c r="H135" s="13"/>
      <c r="I135" s="4"/>
      <c r="J135" s="4"/>
      <c r="K135" s="4"/>
      <c r="L135" s="4"/>
      <c r="M135" s="4"/>
    </row>
    <row r="136" spans="1:13">
      <c r="A136" s="4"/>
      <c r="B136" s="11"/>
      <c r="C136" s="11"/>
      <c r="D136" s="11"/>
      <c r="E136" s="14"/>
      <c r="F136" s="4"/>
      <c r="G136" s="8">
        <v>133</v>
      </c>
      <c r="H136" s="13"/>
      <c r="I136" s="4"/>
      <c r="J136" s="4"/>
      <c r="K136" s="4"/>
      <c r="L136" s="4"/>
      <c r="M136" s="4"/>
    </row>
    <row r="137" spans="1:13">
      <c r="A137" s="4"/>
      <c r="B137" s="11"/>
      <c r="C137" s="11"/>
      <c r="D137" s="11"/>
      <c r="E137" s="14"/>
      <c r="F137" s="4"/>
      <c r="G137" s="8">
        <v>134</v>
      </c>
      <c r="H137" s="13"/>
      <c r="I137" s="4"/>
      <c r="J137" s="4"/>
      <c r="K137" s="4"/>
      <c r="L137" s="4"/>
      <c r="M137" s="4"/>
    </row>
    <row r="138" spans="1:13">
      <c r="A138" s="4"/>
      <c r="B138" s="11"/>
      <c r="C138" s="11"/>
      <c r="D138" s="11"/>
      <c r="E138" s="14"/>
      <c r="F138" s="4"/>
      <c r="G138" s="8">
        <v>135</v>
      </c>
      <c r="H138" s="13"/>
      <c r="I138" s="4"/>
      <c r="J138" s="4"/>
      <c r="K138" s="4"/>
      <c r="L138" s="4"/>
      <c r="M138" s="4"/>
    </row>
    <row r="139" spans="1:13">
      <c r="A139" s="4"/>
      <c r="B139" s="11"/>
      <c r="C139" s="11"/>
      <c r="D139" s="11"/>
      <c r="E139" s="14"/>
      <c r="F139" s="4"/>
      <c r="G139" s="8">
        <v>136</v>
      </c>
      <c r="H139" s="13"/>
      <c r="I139" s="4"/>
      <c r="J139" s="4"/>
      <c r="K139" s="4"/>
      <c r="L139" s="4"/>
      <c r="M139" s="4"/>
    </row>
    <row r="140" spans="1:13">
      <c r="A140" s="4"/>
      <c r="B140" s="11"/>
      <c r="C140" s="11"/>
      <c r="D140" s="11"/>
      <c r="E140" s="14"/>
      <c r="F140" s="4"/>
      <c r="G140" s="8">
        <v>137</v>
      </c>
      <c r="H140" s="13"/>
      <c r="I140" s="4"/>
      <c r="J140" s="4"/>
      <c r="K140" s="4"/>
      <c r="L140" s="4"/>
      <c r="M140" s="4"/>
    </row>
    <row r="141" spans="1:13">
      <c r="A141" s="4"/>
      <c r="B141" s="11"/>
      <c r="C141" s="11"/>
      <c r="D141" s="11"/>
      <c r="E141" s="14"/>
      <c r="F141" s="4"/>
      <c r="G141" s="8">
        <v>138</v>
      </c>
      <c r="H141" s="13"/>
      <c r="I141" s="4"/>
      <c r="J141" s="4"/>
      <c r="K141" s="4"/>
      <c r="L141" s="4"/>
      <c r="M141" s="4"/>
    </row>
    <row r="142" spans="1:13">
      <c r="A142" s="4"/>
      <c r="B142" s="11"/>
      <c r="C142" s="11"/>
      <c r="D142" s="11"/>
      <c r="E142" s="14"/>
      <c r="F142" s="4"/>
      <c r="G142" s="8">
        <v>139</v>
      </c>
      <c r="H142" s="13"/>
      <c r="I142" s="4"/>
      <c r="J142" s="4"/>
      <c r="K142" s="4"/>
      <c r="L142" s="4"/>
      <c r="M142" s="4"/>
    </row>
    <row r="143" spans="1:13">
      <c r="A143" s="4"/>
      <c r="B143" s="11"/>
      <c r="C143" s="11"/>
      <c r="D143" s="11"/>
      <c r="E143" s="14"/>
      <c r="F143" s="4"/>
      <c r="G143" s="8">
        <v>140</v>
      </c>
      <c r="H143" s="13"/>
      <c r="I143" s="4"/>
      <c r="J143" s="4"/>
      <c r="K143" s="4"/>
      <c r="L143" s="4"/>
      <c r="M143" s="4"/>
    </row>
    <row r="144" spans="1:13">
      <c r="A144" s="4"/>
      <c r="B144" s="11"/>
      <c r="C144" s="11"/>
      <c r="D144" s="11"/>
      <c r="E144" s="14"/>
      <c r="F144" s="4"/>
      <c r="G144" s="8">
        <v>141</v>
      </c>
      <c r="H144" s="13"/>
      <c r="I144" s="4"/>
      <c r="J144" s="4"/>
      <c r="K144" s="4"/>
      <c r="L144" s="4"/>
      <c r="M144" s="4"/>
    </row>
    <row r="145" spans="1:13">
      <c r="A145" s="4"/>
      <c r="B145" s="11"/>
      <c r="C145" s="11"/>
      <c r="D145" s="11"/>
      <c r="E145" s="14"/>
      <c r="F145" s="4"/>
      <c r="G145" s="8">
        <v>142</v>
      </c>
      <c r="H145" s="13"/>
      <c r="I145" s="4"/>
      <c r="J145" s="4"/>
      <c r="K145" s="4"/>
      <c r="L145" s="4"/>
      <c r="M145" s="4"/>
    </row>
    <row r="146" spans="1:13">
      <c r="A146" s="4"/>
      <c r="B146" s="11"/>
      <c r="C146" s="11"/>
      <c r="D146" s="11"/>
      <c r="E146" s="14"/>
      <c r="F146" s="4"/>
      <c r="G146" s="8">
        <v>143</v>
      </c>
      <c r="H146" s="13"/>
      <c r="I146" s="4"/>
      <c r="J146" s="4"/>
      <c r="K146" s="4"/>
      <c r="L146" s="4"/>
      <c r="M146" s="4"/>
    </row>
    <row r="147" spans="1:13">
      <c r="A147" s="4"/>
      <c r="B147" s="11"/>
      <c r="C147" s="11"/>
      <c r="D147" s="11"/>
      <c r="E147" s="14"/>
      <c r="F147" s="4"/>
      <c r="G147" s="8">
        <v>144</v>
      </c>
      <c r="H147" s="13"/>
      <c r="I147" s="4"/>
      <c r="J147" s="4"/>
      <c r="K147" s="4"/>
      <c r="L147" s="4"/>
      <c r="M147" s="4"/>
    </row>
    <row r="148" spans="1:13">
      <c r="A148" s="4"/>
      <c r="B148" s="11"/>
      <c r="C148" s="11"/>
      <c r="D148" s="11"/>
      <c r="E148" s="14"/>
      <c r="F148" s="4"/>
      <c r="G148" s="8">
        <v>145</v>
      </c>
      <c r="H148" s="13"/>
      <c r="I148" s="4"/>
      <c r="J148" s="4"/>
      <c r="K148" s="4"/>
      <c r="L148" s="4"/>
      <c r="M148" s="4"/>
    </row>
    <row r="149" spans="1:13">
      <c r="A149" s="4"/>
      <c r="B149" s="11"/>
      <c r="C149" s="11"/>
      <c r="D149" s="11"/>
      <c r="E149" s="14"/>
      <c r="F149" s="4"/>
      <c r="G149" s="8">
        <v>146</v>
      </c>
      <c r="H149" s="13"/>
      <c r="I149" s="4"/>
      <c r="J149" s="4"/>
      <c r="K149" s="4"/>
      <c r="L149" s="4"/>
      <c r="M149" s="4"/>
    </row>
    <row r="150" spans="1:13">
      <c r="A150" s="4"/>
      <c r="B150" s="11"/>
      <c r="C150" s="11"/>
      <c r="D150" s="11"/>
      <c r="E150" s="14"/>
      <c r="F150" s="4"/>
      <c r="G150" s="8">
        <v>147</v>
      </c>
      <c r="H150" s="13"/>
      <c r="I150" s="4"/>
      <c r="J150" s="4"/>
      <c r="K150" s="4"/>
      <c r="L150" s="4"/>
      <c r="M150" s="4"/>
    </row>
    <row r="151" spans="1:13">
      <c r="A151" s="4"/>
      <c r="B151" s="11"/>
      <c r="C151" s="11"/>
      <c r="D151" s="11"/>
      <c r="E151" s="14"/>
      <c r="F151" s="4"/>
      <c r="G151" s="8">
        <v>148</v>
      </c>
      <c r="H151" s="13"/>
      <c r="I151" s="4"/>
      <c r="J151" s="4"/>
      <c r="K151" s="4"/>
      <c r="L151" s="4"/>
      <c r="M151" s="4"/>
    </row>
    <row r="152" spans="1:13">
      <c r="A152" s="4"/>
      <c r="B152" s="11"/>
      <c r="C152" s="11"/>
      <c r="D152" s="11"/>
      <c r="E152" s="14"/>
      <c r="F152" s="4"/>
      <c r="G152" s="8">
        <v>149</v>
      </c>
      <c r="H152" s="13"/>
      <c r="I152" s="4"/>
      <c r="J152" s="4"/>
      <c r="K152" s="4"/>
      <c r="L152" s="4"/>
      <c r="M152" s="4"/>
    </row>
    <row r="153" spans="1:13">
      <c r="A153" s="4"/>
      <c r="B153" s="11"/>
      <c r="C153" s="11"/>
      <c r="D153" s="11"/>
      <c r="E153" s="14"/>
      <c r="F153" s="4"/>
      <c r="G153" s="8">
        <v>150</v>
      </c>
      <c r="H153" s="13"/>
      <c r="I153" s="4"/>
      <c r="J153" s="4"/>
      <c r="K153" s="4"/>
      <c r="L153" s="4"/>
      <c r="M153" s="4"/>
    </row>
    <row r="154" spans="1:13">
      <c r="A154" s="4"/>
      <c r="B154" s="11"/>
      <c r="C154" s="11"/>
      <c r="D154" s="11"/>
      <c r="E154" s="14"/>
      <c r="F154" s="4"/>
      <c r="G154" s="14"/>
      <c r="H154" s="22"/>
      <c r="I154" s="4"/>
      <c r="J154" s="4"/>
      <c r="K154" s="4"/>
      <c r="L154" s="4"/>
      <c r="M154" s="4"/>
    </row>
    <row r="155" spans="1:13">
      <c r="A155" s="4"/>
      <c r="B155" s="11"/>
      <c r="C155" s="11"/>
      <c r="D155" s="11"/>
      <c r="E155" s="14"/>
      <c r="F155" s="4"/>
      <c r="G155" s="14"/>
      <c r="H155" s="22"/>
      <c r="I155" s="4"/>
      <c r="J155" s="4"/>
      <c r="K155" s="4"/>
      <c r="L155" s="4"/>
      <c r="M155" s="4"/>
    </row>
    <row r="156" spans="1:13">
      <c r="A156" s="4"/>
      <c r="B156" s="11"/>
      <c r="C156" s="11"/>
      <c r="D156" s="11"/>
      <c r="E156" s="14"/>
      <c r="F156" s="4"/>
      <c r="G156" s="14"/>
      <c r="H156" s="22"/>
      <c r="I156" s="4"/>
      <c r="J156" s="4"/>
      <c r="K156" s="4"/>
      <c r="L156" s="4"/>
      <c r="M156" s="4"/>
    </row>
    <row r="157" spans="1:13">
      <c r="A157" s="4"/>
      <c r="B157" s="11"/>
      <c r="C157" s="11"/>
      <c r="D157" s="11"/>
      <c r="E157" s="14"/>
      <c r="F157" s="4"/>
      <c r="G157" s="14"/>
      <c r="H157" s="22"/>
      <c r="I157" s="4"/>
      <c r="J157" s="4"/>
      <c r="K157" s="4"/>
      <c r="L157" s="4"/>
      <c r="M157" s="4"/>
    </row>
    <row r="158" spans="1:13">
      <c r="A158" s="4"/>
      <c r="B158" s="11"/>
      <c r="C158" s="11"/>
      <c r="D158" s="11"/>
      <c r="E158" s="14"/>
      <c r="F158" s="4"/>
      <c r="G158" s="14"/>
      <c r="H158" s="22"/>
      <c r="I158" s="4"/>
      <c r="J158" s="4"/>
      <c r="K158" s="4"/>
      <c r="L158" s="4"/>
      <c r="M158" s="4"/>
    </row>
    <row r="159" spans="1:13">
      <c r="A159" s="4"/>
      <c r="B159" s="11"/>
      <c r="C159" s="11"/>
      <c r="D159" s="11"/>
      <c r="E159" s="14"/>
      <c r="F159" s="4"/>
      <c r="G159" s="14"/>
      <c r="H159" s="22"/>
      <c r="I159" s="4"/>
      <c r="J159" s="4"/>
      <c r="K159" s="4"/>
      <c r="L159" s="4"/>
      <c r="M159" s="4"/>
    </row>
    <row r="160" spans="1:13">
      <c r="A160" s="4"/>
      <c r="B160" s="11"/>
      <c r="C160" s="11"/>
      <c r="D160" s="11"/>
      <c r="E160" s="14"/>
      <c r="F160" s="4"/>
      <c r="G160" s="14"/>
      <c r="H160" s="22"/>
      <c r="I160" s="4"/>
      <c r="J160" s="4"/>
      <c r="K160" s="4"/>
      <c r="L160" s="4"/>
      <c r="M160" s="4"/>
    </row>
    <row r="161" spans="1:13">
      <c r="A161" s="4"/>
      <c r="B161" s="11"/>
      <c r="C161" s="11"/>
      <c r="D161" s="11"/>
      <c r="E161" s="14"/>
      <c r="F161" s="4"/>
      <c r="G161" s="14"/>
      <c r="H161" s="22"/>
      <c r="I161" s="4"/>
      <c r="J161" s="4"/>
      <c r="K161" s="4"/>
      <c r="L161" s="4"/>
      <c r="M161" s="4"/>
    </row>
    <row r="162" spans="1:13">
      <c r="A162" s="4"/>
      <c r="B162" s="11"/>
      <c r="C162" s="11"/>
      <c r="D162" s="11"/>
      <c r="E162" s="14"/>
      <c r="F162" s="4"/>
      <c r="G162" s="14"/>
      <c r="H162" s="22"/>
      <c r="I162" s="4"/>
      <c r="J162" s="4"/>
      <c r="K162" s="4"/>
      <c r="L162" s="4"/>
      <c r="M162" s="4"/>
    </row>
    <row r="163" spans="1:13">
      <c r="A163" s="4"/>
      <c r="B163" s="11"/>
      <c r="C163" s="11"/>
      <c r="D163" s="11"/>
      <c r="E163" s="14"/>
      <c r="F163" s="4"/>
      <c r="G163" s="14"/>
      <c r="H163" s="22"/>
      <c r="I163" s="4"/>
      <c r="J163" s="4"/>
      <c r="K163" s="4"/>
      <c r="L163" s="4"/>
      <c r="M163" s="4"/>
    </row>
    <row r="164" spans="1:13">
      <c r="A164" s="4"/>
      <c r="B164" s="11"/>
      <c r="C164" s="11"/>
      <c r="D164" s="11"/>
      <c r="E164" s="14"/>
      <c r="F164" s="4"/>
      <c r="G164" s="14"/>
      <c r="H164" s="22"/>
      <c r="I164" s="4"/>
      <c r="J164" s="4"/>
      <c r="K164" s="4"/>
      <c r="L164" s="4"/>
      <c r="M164" s="4"/>
    </row>
    <row r="165" spans="1:13">
      <c r="A165" s="4"/>
      <c r="B165" s="11"/>
      <c r="C165" s="11"/>
      <c r="D165" s="11"/>
      <c r="E165" s="14"/>
      <c r="F165" s="4"/>
      <c r="G165" s="14"/>
      <c r="H165" s="22"/>
      <c r="I165" s="4"/>
      <c r="J165" s="4"/>
      <c r="K165" s="4"/>
      <c r="L165" s="4"/>
      <c r="M165" s="4"/>
    </row>
    <row r="166" spans="1:13">
      <c r="A166" s="4"/>
      <c r="B166" s="11"/>
      <c r="C166" s="11"/>
      <c r="D166" s="11"/>
      <c r="E166" s="14"/>
      <c r="F166" s="4"/>
      <c r="G166" s="14"/>
      <c r="H166" s="22"/>
      <c r="I166" s="4"/>
      <c r="J166" s="4"/>
      <c r="K166" s="4"/>
      <c r="L166" s="4"/>
      <c r="M166" s="4"/>
    </row>
    <row r="167" spans="1:13">
      <c r="A167" s="4"/>
      <c r="B167" s="11"/>
      <c r="C167" s="11"/>
      <c r="D167" s="11"/>
      <c r="E167" s="14"/>
      <c r="F167" s="4"/>
      <c r="G167" s="14"/>
      <c r="H167" s="22"/>
      <c r="I167" s="4"/>
      <c r="J167" s="4"/>
      <c r="K167" s="4"/>
      <c r="L167" s="4"/>
      <c r="M167" s="4"/>
    </row>
    <row r="168" spans="1:13">
      <c r="A168" s="4"/>
      <c r="B168" s="11"/>
      <c r="C168" s="11"/>
      <c r="D168" s="11"/>
      <c r="E168" s="14"/>
      <c r="F168" s="4"/>
      <c r="G168" s="14"/>
      <c r="H168" s="22"/>
      <c r="I168" s="4"/>
      <c r="J168" s="4"/>
      <c r="K168" s="4"/>
      <c r="L168" s="4"/>
      <c r="M168" s="4"/>
    </row>
    <row r="169" spans="1:13">
      <c r="A169" s="4"/>
      <c r="B169" s="11"/>
      <c r="C169" s="11"/>
      <c r="D169" s="11"/>
      <c r="E169" s="14"/>
      <c r="F169" s="4"/>
      <c r="G169" s="14"/>
      <c r="H169" s="22"/>
      <c r="I169" s="4"/>
      <c r="J169" s="4"/>
      <c r="K169" s="4"/>
      <c r="L169" s="4"/>
      <c r="M169" s="4"/>
    </row>
    <row r="170" spans="1:13">
      <c r="A170" s="4"/>
      <c r="B170" s="11"/>
      <c r="C170" s="11"/>
      <c r="D170" s="11"/>
      <c r="E170" s="14"/>
      <c r="F170" s="4"/>
      <c r="G170" s="14"/>
      <c r="H170" s="22"/>
      <c r="I170" s="4"/>
      <c r="J170" s="4"/>
      <c r="K170" s="4"/>
      <c r="L170" s="4"/>
      <c r="M170" s="4"/>
    </row>
    <row r="171" spans="1:13">
      <c r="A171" s="4"/>
      <c r="B171" s="11"/>
      <c r="C171" s="11"/>
      <c r="D171" s="11"/>
      <c r="E171" s="14"/>
      <c r="F171" s="4"/>
      <c r="G171" s="14"/>
      <c r="H171" s="22"/>
      <c r="I171" s="4"/>
      <c r="J171" s="4"/>
      <c r="K171" s="4"/>
      <c r="L171" s="4"/>
      <c r="M171" s="4"/>
    </row>
    <row r="172" spans="1:13">
      <c r="A172" s="4"/>
      <c r="B172" s="11"/>
      <c r="C172" s="11"/>
      <c r="D172" s="11"/>
      <c r="E172" s="14"/>
      <c r="F172" s="4"/>
      <c r="G172" s="14"/>
      <c r="H172" s="22"/>
      <c r="I172" s="4"/>
      <c r="J172" s="4"/>
      <c r="K172" s="4"/>
      <c r="L172" s="4"/>
      <c r="M172" s="4"/>
    </row>
    <row r="173" spans="1:13">
      <c r="A173" s="4"/>
      <c r="B173" s="11"/>
      <c r="C173" s="11"/>
      <c r="D173" s="11"/>
      <c r="E173" s="14"/>
      <c r="F173" s="4"/>
      <c r="G173" s="14"/>
      <c r="H173" s="22"/>
      <c r="I173" s="4"/>
      <c r="J173" s="4"/>
      <c r="K173" s="4"/>
      <c r="L173" s="4"/>
      <c r="M173" s="4"/>
    </row>
    <row r="174" spans="1:13">
      <c r="A174" s="4"/>
      <c r="B174" s="11"/>
      <c r="C174" s="11"/>
      <c r="D174" s="11"/>
      <c r="E174" s="14"/>
      <c r="F174" s="4"/>
      <c r="G174" s="14"/>
      <c r="H174" s="22"/>
      <c r="I174" s="4"/>
      <c r="J174" s="4"/>
      <c r="K174" s="4"/>
      <c r="L174" s="4"/>
      <c r="M174" s="4"/>
    </row>
    <row r="175" spans="1:13">
      <c r="A175" s="4"/>
      <c r="B175" s="11"/>
      <c r="C175" s="11"/>
      <c r="D175" s="11"/>
      <c r="E175" s="14"/>
      <c r="F175" s="4"/>
      <c r="G175" s="14"/>
      <c r="H175" s="22"/>
      <c r="I175" s="4"/>
      <c r="J175" s="4"/>
      <c r="K175" s="4"/>
      <c r="L175" s="4"/>
      <c r="M175" s="4"/>
    </row>
    <row r="176" spans="1:13">
      <c r="A176" s="4"/>
      <c r="B176" s="11"/>
      <c r="C176" s="11"/>
      <c r="D176" s="11"/>
      <c r="E176" s="14"/>
      <c r="F176" s="4"/>
      <c r="G176" s="14"/>
      <c r="H176" s="22"/>
      <c r="I176" s="4"/>
      <c r="J176" s="4"/>
      <c r="K176" s="4"/>
      <c r="L176" s="4"/>
      <c r="M176" s="4"/>
    </row>
    <row r="177" spans="1:13">
      <c r="A177" s="4"/>
      <c r="B177" s="11"/>
      <c r="C177" s="11"/>
      <c r="D177" s="11"/>
      <c r="E177" s="14"/>
      <c r="F177" s="4"/>
      <c r="G177" s="14"/>
      <c r="H177" s="22"/>
      <c r="I177" s="4"/>
      <c r="J177" s="4"/>
      <c r="K177" s="4"/>
      <c r="L177" s="4"/>
      <c r="M177" s="4"/>
    </row>
    <row r="178" spans="1:13">
      <c r="A178" s="4"/>
      <c r="B178" s="11"/>
      <c r="C178" s="11"/>
      <c r="D178" s="11"/>
      <c r="E178" s="14"/>
      <c r="F178" s="4"/>
      <c r="G178" s="14"/>
      <c r="H178" s="22"/>
      <c r="I178" s="4"/>
      <c r="J178" s="4"/>
      <c r="K178" s="4"/>
      <c r="L178" s="4"/>
      <c r="M178" s="4"/>
    </row>
    <row r="179" spans="1:13">
      <c r="A179" s="4"/>
      <c r="B179" s="11"/>
      <c r="C179" s="11"/>
      <c r="D179" s="11"/>
      <c r="E179" s="14"/>
      <c r="F179" s="4"/>
      <c r="G179" s="14"/>
      <c r="H179" s="22"/>
      <c r="I179" s="4"/>
      <c r="J179" s="4"/>
      <c r="K179" s="4"/>
      <c r="L179" s="4"/>
      <c r="M179" s="4"/>
    </row>
    <row r="180" spans="1:13">
      <c r="A180" s="4"/>
      <c r="B180" s="11"/>
      <c r="C180" s="11"/>
      <c r="D180" s="11"/>
      <c r="E180" s="14"/>
      <c r="F180" s="4"/>
      <c r="G180" s="14"/>
      <c r="H180" s="22"/>
      <c r="I180" s="4"/>
      <c r="J180" s="4"/>
      <c r="K180" s="4"/>
      <c r="L180" s="4"/>
      <c r="M180" s="4"/>
    </row>
    <row r="181" spans="1:13">
      <c r="A181" s="4"/>
      <c r="B181" s="11"/>
      <c r="C181" s="11"/>
      <c r="D181" s="11"/>
      <c r="E181" s="14"/>
      <c r="F181" s="4"/>
      <c r="G181" s="14"/>
      <c r="H181" s="22"/>
      <c r="I181" s="4"/>
      <c r="J181" s="4"/>
      <c r="K181" s="4"/>
      <c r="L181" s="4"/>
      <c r="M181" s="4"/>
    </row>
    <row r="182" spans="1:13">
      <c r="A182" s="4"/>
      <c r="B182" s="11"/>
      <c r="C182" s="11"/>
      <c r="D182" s="11"/>
      <c r="E182" s="14"/>
      <c r="F182" s="4"/>
      <c r="G182" s="14"/>
      <c r="H182" s="22"/>
      <c r="I182" s="4"/>
      <c r="J182" s="4"/>
      <c r="K182" s="4"/>
      <c r="L182" s="4"/>
      <c r="M182" s="4"/>
    </row>
    <row r="183" spans="1:13">
      <c r="A183" s="4"/>
      <c r="B183" s="11"/>
      <c r="C183" s="11"/>
      <c r="D183" s="11"/>
      <c r="E183" s="14"/>
      <c r="F183" s="4"/>
      <c r="G183" s="14"/>
      <c r="H183" s="22"/>
      <c r="I183" s="4"/>
      <c r="J183" s="4"/>
      <c r="K183" s="4"/>
      <c r="L183" s="4"/>
      <c r="M183" s="4"/>
    </row>
    <row r="184" spans="1:13">
      <c r="A184" s="4"/>
      <c r="B184" s="11"/>
      <c r="C184" s="11"/>
      <c r="D184" s="11"/>
      <c r="E184" s="14"/>
      <c r="F184" s="4"/>
      <c r="G184" s="14"/>
      <c r="H184" s="22"/>
      <c r="I184" s="4"/>
      <c r="J184" s="4"/>
      <c r="K184" s="4"/>
      <c r="L184" s="4"/>
      <c r="M184" s="4"/>
    </row>
    <row r="185" spans="1:13">
      <c r="A185" s="4"/>
      <c r="B185" s="11"/>
      <c r="C185" s="11"/>
      <c r="D185" s="11"/>
      <c r="E185" s="14"/>
      <c r="F185" s="4"/>
      <c r="G185" s="14"/>
      <c r="H185" s="22"/>
      <c r="I185" s="4"/>
      <c r="J185" s="4"/>
      <c r="K185" s="4"/>
      <c r="L185" s="4"/>
      <c r="M185" s="4"/>
    </row>
    <row r="186" spans="1:13">
      <c r="A186" s="4"/>
      <c r="B186" s="11"/>
      <c r="C186" s="11"/>
      <c r="D186" s="11"/>
      <c r="E186" s="14"/>
      <c r="F186" s="4"/>
      <c r="G186" s="14"/>
      <c r="H186" s="22"/>
      <c r="I186" s="4"/>
      <c r="J186" s="4"/>
      <c r="K186" s="4"/>
      <c r="L186" s="4"/>
      <c r="M186" s="4"/>
    </row>
    <row r="187" spans="1:13">
      <c r="A187" s="4"/>
      <c r="B187" s="11"/>
      <c r="C187" s="11"/>
      <c r="D187" s="11"/>
      <c r="E187" s="14"/>
      <c r="F187" s="4"/>
      <c r="G187" s="14"/>
      <c r="H187" s="22"/>
      <c r="I187" s="4"/>
      <c r="J187" s="4"/>
      <c r="K187" s="4"/>
      <c r="L187" s="4"/>
      <c r="M187" s="4"/>
    </row>
    <row r="188" spans="1:13">
      <c r="A188" s="4"/>
      <c r="B188" s="11"/>
      <c r="C188" s="11"/>
      <c r="D188" s="11"/>
      <c r="E188" s="14"/>
      <c r="F188" s="4"/>
      <c r="G188" s="14"/>
      <c r="H188" s="22"/>
      <c r="I188" s="4"/>
      <c r="J188" s="4"/>
      <c r="K188" s="4"/>
      <c r="L188" s="4"/>
      <c r="M188" s="4"/>
    </row>
    <row r="189" spans="1:13">
      <c r="A189" s="4"/>
      <c r="B189" s="11"/>
      <c r="C189" s="11"/>
      <c r="D189" s="11"/>
      <c r="E189" s="14"/>
      <c r="F189" s="4"/>
      <c r="G189" s="14"/>
      <c r="H189" s="22"/>
      <c r="I189" s="4"/>
      <c r="J189" s="4"/>
      <c r="K189" s="4"/>
      <c r="L189" s="4"/>
      <c r="M189" s="4"/>
    </row>
    <row r="190" spans="1:13">
      <c r="A190" s="4"/>
      <c r="B190" s="11"/>
      <c r="C190" s="11"/>
      <c r="D190" s="11"/>
      <c r="E190" s="14"/>
      <c r="F190" s="4"/>
      <c r="G190" s="14"/>
      <c r="H190" s="22"/>
      <c r="I190" s="4"/>
      <c r="J190" s="4"/>
      <c r="K190" s="4"/>
      <c r="L190" s="4"/>
      <c r="M190" s="4"/>
    </row>
    <row r="191" spans="1:13">
      <c r="A191" s="4"/>
      <c r="B191" s="11"/>
      <c r="C191" s="11"/>
      <c r="D191" s="11"/>
      <c r="E191" s="14"/>
      <c r="F191" s="4"/>
      <c r="G191" s="14"/>
      <c r="H191" s="22"/>
      <c r="I191" s="4"/>
      <c r="J191" s="4"/>
      <c r="K191" s="4"/>
      <c r="L191" s="4"/>
      <c r="M191" s="4"/>
    </row>
    <row r="192" spans="1:13">
      <c r="A192" s="4"/>
      <c r="B192" s="11"/>
      <c r="C192" s="11"/>
      <c r="D192" s="11"/>
      <c r="E192" s="14"/>
      <c r="F192" s="4"/>
      <c r="G192" s="14"/>
      <c r="H192" s="22"/>
      <c r="I192" s="4"/>
      <c r="J192" s="4"/>
      <c r="K192" s="4"/>
      <c r="L192" s="4"/>
      <c r="M192" s="4"/>
    </row>
    <row r="193" spans="1:13">
      <c r="A193" s="4"/>
      <c r="B193" s="11"/>
      <c r="C193" s="11"/>
      <c r="D193" s="11"/>
      <c r="E193" s="14"/>
      <c r="F193" s="4"/>
      <c r="G193" s="14"/>
      <c r="H193" s="22"/>
      <c r="I193" s="4"/>
      <c r="J193" s="4"/>
      <c r="K193" s="4"/>
      <c r="L193" s="4"/>
      <c r="M193" s="4"/>
    </row>
    <row r="194" spans="1:13">
      <c r="A194" s="4"/>
      <c r="B194" s="11"/>
      <c r="C194" s="11"/>
      <c r="D194" s="11"/>
      <c r="E194" s="14"/>
      <c r="F194" s="4"/>
      <c r="G194" s="14"/>
      <c r="H194" s="22"/>
      <c r="I194" s="4"/>
      <c r="J194" s="4"/>
      <c r="K194" s="4"/>
      <c r="L194" s="4"/>
      <c r="M194" s="4"/>
    </row>
    <row r="195" spans="1:13">
      <c r="A195" s="4"/>
      <c r="B195" s="11"/>
      <c r="C195" s="11"/>
      <c r="D195" s="11"/>
      <c r="E195" s="14"/>
      <c r="F195" s="4"/>
      <c r="G195" s="14"/>
      <c r="H195" s="22"/>
      <c r="I195" s="4"/>
      <c r="J195" s="4"/>
      <c r="K195" s="4"/>
      <c r="L195" s="4"/>
      <c r="M195" s="4"/>
    </row>
    <row r="196" spans="1:13">
      <c r="A196" s="4"/>
      <c r="B196" s="11"/>
      <c r="C196" s="11"/>
      <c r="D196" s="11"/>
      <c r="E196" s="14"/>
      <c r="F196" s="4"/>
      <c r="G196" s="14"/>
      <c r="H196" s="22"/>
      <c r="I196" s="4"/>
      <c r="J196" s="4"/>
      <c r="K196" s="4"/>
      <c r="L196" s="4"/>
      <c r="M196" s="4"/>
    </row>
    <row r="197" spans="1:13">
      <c r="A197" s="4"/>
      <c r="B197" s="11"/>
      <c r="C197" s="11"/>
      <c r="D197" s="11"/>
      <c r="E197" s="14"/>
      <c r="F197" s="4"/>
      <c r="G197" s="14"/>
      <c r="H197" s="22"/>
      <c r="I197" s="4"/>
      <c r="J197" s="4"/>
      <c r="K197" s="4"/>
      <c r="L197" s="4"/>
      <c r="M197" s="4"/>
    </row>
    <row r="198" spans="1:13">
      <c r="A198" s="4"/>
      <c r="B198" s="11"/>
      <c r="C198" s="11"/>
      <c r="D198" s="11"/>
      <c r="E198" s="14"/>
      <c r="F198" s="4"/>
      <c r="G198" s="14"/>
      <c r="H198" s="22"/>
      <c r="I198" s="4"/>
      <c r="J198" s="4"/>
      <c r="K198" s="4"/>
      <c r="L198" s="4"/>
      <c r="M198" s="4"/>
    </row>
    <row r="199" spans="1:13">
      <c r="A199" s="4"/>
      <c r="B199" s="11"/>
      <c r="C199" s="11"/>
      <c r="D199" s="11"/>
      <c r="E199" s="14"/>
      <c r="F199" s="4"/>
      <c r="G199" s="14"/>
      <c r="H199" s="22"/>
      <c r="I199" s="4"/>
      <c r="J199" s="4"/>
      <c r="K199" s="4"/>
      <c r="L199" s="4"/>
      <c r="M199" s="4"/>
    </row>
    <row r="200" spans="1:13">
      <c r="A200" s="4"/>
      <c r="B200" s="11"/>
      <c r="C200" s="11"/>
      <c r="D200" s="11"/>
      <c r="E200" s="14"/>
      <c r="F200" s="4"/>
      <c r="G200" s="14"/>
      <c r="H200" s="22"/>
      <c r="I200" s="4"/>
      <c r="J200" s="4"/>
      <c r="K200" s="4"/>
      <c r="L200" s="4"/>
      <c r="M200" s="4"/>
    </row>
    <row r="201" spans="1:13">
      <c r="A201" s="4"/>
      <c r="B201" s="11"/>
      <c r="C201" s="11"/>
      <c r="D201" s="11"/>
      <c r="E201" s="14"/>
      <c r="F201" s="4"/>
      <c r="G201" s="14"/>
      <c r="H201" s="22"/>
      <c r="I201" s="4"/>
      <c r="J201" s="4"/>
      <c r="K201" s="4"/>
      <c r="L201" s="4"/>
      <c r="M201" s="4"/>
    </row>
    <row r="202" spans="1:13">
      <c r="A202" s="4"/>
      <c r="B202" s="11"/>
      <c r="C202" s="11"/>
      <c r="D202" s="11"/>
      <c r="E202" s="14"/>
      <c r="F202" s="4"/>
      <c r="G202" s="14"/>
      <c r="H202" s="22"/>
      <c r="I202" s="4"/>
      <c r="J202" s="4"/>
      <c r="K202" s="4"/>
      <c r="L202" s="4"/>
      <c r="M202" s="4"/>
    </row>
    <row r="203" spans="1:13">
      <c r="A203" s="4"/>
      <c r="B203" s="11"/>
      <c r="C203" s="11"/>
      <c r="D203" s="11"/>
      <c r="E203" s="14"/>
      <c r="F203" s="4"/>
      <c r="G203" s="14"/>
      <c r="H203" s="22"/>
      <c r="I203" s="4"/>
      <c r="J203" s="4"/>
      <c r="K203" s="4"/>
      <c r="L203" s="4"/>
      <c r="M203" s="4"/>
    </row>
    <row r="204" spans="1:13">
      <c r="A204" s="4"/>
      <c r="B204" s="11"/>
      <c r="C204" s="11"/>
      <c r="D204" s="11"/>
      <c r="E204" s="14"/>
      <c r="F204" s="4"/>
      <c r="G204" s="14"/>
      <c r="H204" s="22"/>
      <c r="I204" s="4"/>
      <c r="J204" s="4"/>
      <c r="K204" s="4"/>
      <c r="L204" s="4"/>
      <c r="M204" s="4"/>
    </row>
    <row r="205" spans="1:13">
      <c r="A205" s="4"/>
      <c r="B205" s="11"/>
      <c r="C205" s="11"/>
      <c r="D205" s="11"/>
      <c r="E205" s="14"/>
      <c r="F205" s="4"/>
      <c r="G205" s="14"/>
      <c r="H205" s="22"/>
      <c r="I205" s="4"/>
      <c r="J205" s="4"/>
      <c r="K205" s="4"/>
      <c r="L205" s="4"/>
      <c r="M205" s="4"/>
    </row>
    <row r="206" spans="1:13">
      <c r="A206" s="4"/>
      <c r="B206" s="11"/>
      <c r="C206" s="11"/>
      <c r="D206" s="11"/>
      <c r="E206" s="14"/>
      <c r="F206" s="4"/>
      <c r="G206" s="14"/>
      <c r="H206" s="22"/>
      <c r="I206" s="4"/>
      <c r="J206" s="4"/>
      <c r="K206" s="4"/>
      <c r="L206" s="4"/>
      <c r="M206" s="4"/>
    </row>
    <row r="207" spans="1:13">
      <c r="A207" s="4"/>
      <c r="B207" s="11"/>
      <c r="C207" s="11"/>
      <c r="D207" s="11"/>
      <c r="E207" s="14"/>
      <c r="F207" s="4"/>
      <c r="G207" s="14"/>
      <c r="H207" s="22"/>
      <c r="I207" s="4"/>
      <c r="J207" s="4"/>
      <c r="K207" s="4"/>
      <c r="L207" s="4"/>
      <c r="M207" s="4"/>
    </row>
    <row r="208" spans="1:13">
      <c r="A208" s="4"/>
      <c r="B208" s="11"/>
      <c r="C208" s="11"/>
      <c r="D208" s="11"/>
      <c r="E208" s="14"/>
      <c r="F208" s="4"/>
      <c r="G208" s="14"/>
      <c r="H208" s="22"/>
      <c r="I208" s="4"/>
      <c r="J208" s="4"/>
      <c r="K208" s="4"/>
      <c r="L208" s="4"/>
      <c r="M208" s="4"/>
    </row>
    <row r="209" spans="1:13">
      <c r="A209" s="4"/>
      <c r="B209" s="11"/>
      <c r="C209" s="11"/>
      <c r="D209" s="11"/>
      <c r="E209" s="14"/>
      <c r="F209" s="4"/>
      <c r="G209" s="14"/>
      <c r="H209" s="22"/>
      <c r="I209" s="4"/>
      <c r="J209" s="4"/>
      <c r="K209" s="4"/>
      <c r="L209" s="4"/>
      <c r="M209" s="4"/>
    </row>
    <row r="210" spans="1:13">
      <c r="A210" s="4"/>
      <c r="B210" s="11"/>
      <c r="C210" s="11"/>
      <c r="D210" s="11"/>
      <c r="E210" s="14"/>
      <c r="F210" s="4"/>
      <c r="G210" s="14"/>
      <c r="H210" s="22"/>
      <c r="I210" s="4"/>
      <c r="J210" s="4"/>
      <c r="K210" s="4"/>
      <c r="L210" s="4"/>
      <c r="M210" s="4"/>
    </row>
    <row r="211" spans="1:13">
      <c r="A211" s="4"/>
      <c r="B211" s="11"/>
      <c r="C211" s="11"/>
      <c r="D211" s="11"/>
      <c r="E211" s="14"/>
      <c r="F211" s="4"/>
      <c r="G211" s="14"/>
      <c r="H211" s="22"/>
      <c r="I211" s="4"/>
      <c r="J211" s="4"/>
      <c r="K211" s="4"/>
      <c r="L211" s="4"/>
      <c r="M211" s="4"/>
    </row>
    <row r="212" spans="1:13">
      <c r="A212" s="4"/>
      <c r="B212" s="11"/>
      <c r="C212" s="11"/>
      <c r="D212" s="11"/>
      <c r="E212" s="14"/>
      <c r="F212" s="4"/>
      <c r="G212" s="14"/>
      <c r="H212" s="22"/>
      <c r="I212" s="4"/>
      <c r="J212" s="4"/>
      <c r="K212" s="4"/>
      <c r="L212" s="4"/>
      <c r="M212" s="4"/>
    </row>
    <row r="213" spans="1:13">
      <c r="A213" s="4"/>
      <c r="B213" s="11"/>
      <c r="C213" s="11"/>
      <c r="D213" s="11"/>
      <c r="E213" s="14"/>
      <c r="F213" s="4"/>
      <c r="G213" s="14"/>
      <c r="H213" s="22"/>
      <c r="I213" s="4"/>
      <c r="J213" s="4"/>
      <c r="K213" s="4"/>
      <c r="L213" s="4"/>
      <c r="M213" s="4"/>
    </row>
    <row r="214" spans="1:13">
      <c r="A214" s="4"/>
      <c r="B214" s="11"/>
      <c r="C214" s="11"/>
      <c r="D214" s="11"/>
      <c r="E214" s="14"/>
      <c r="F214" s="4"/>
      <c r="G214" s="14"/>
      <c r="H214" s="22"/>
      <c r="I214" s="4"/>
      <c r="J214" s="4"/>
      <c r="K214" s="4"/>
      <c r="L214" s="4"/>
      <c r="M214" s="4"/>
    </row>
    <row r="215" spans="1:13">
      <c r="A215" s="4"/>
      <c r="B215" s="11"/>
      <c r="C215" s="11"/>
      <c r="D215" s="11"/>
      <c r="E215" s="14"/>
      <c r="F215" s="4"/>
      <c r="G215" s="14"/>
      <c r="H215" s="22"/>
      <c r="I215" s="4"/>
      <c r="J215" s="4"/>
      <c r="K215" s="4"/>
      <c r="L215" s="4"/>
      <c r="M215" s="4"/>
    </row>
    <row r="216" spans="1:13">
      <c r="A216" s="4"/>
      <c r="B216" s="11"/>
      <c r="C216" s="11"/>
      <c r="D216" s="11"/>
      <c r="E216" s="14"/>
      <c r="F216" s="4"/>
      <c r="G216" s="14"/>
      <c r="H216" s="22"/>
      <c r="I216" s="4"/>
      <c r="J216" s="4"/>
      <c r="K216" s="4"/>
      <c r="L216" s="4"/>
      <c r="M216" s="4"/>
    </row>
    <row r="217" spans="1:13">
      <c r="A217" s="4"/>
      <c r="B217" s="11"/>
      <c r="C217" s="11"/>
      <c r="D217" s="11"/>
      <c r="E217" s="14"/>
      <c r="F217" s="4"/>
      <c r="G217" s="14"/>
      <c r="H217" s="22"/>
      <c r="I217" s="4"/>
      <c r="J217" s="4"/>
      <c r="K217" s="4"/>
      <c r="L217" s="4"/>
      <c r="M217" s="4"/>
    </row>
    <row r="218" spans="1:13">
      <c r="A218" s="4"/>
      <c r="B218" s="11"/>
      <c r="C218" s="11"/>
      <c r="D218" s="11"/>
      <c r="E218" s="14"/>
      <c r="F218" s="4"/>
      <c r="G218" s="14"/>
      <c r="H218" s="22"/>
      <c r="I218" s="4"/>
      <c r="J218" s="4"/>
      <c r="K218" s="4"/>
      <c r="L218" s="4"/>
      <c r="M218" s="4"/>
    </row>
    <row r="219" spans="1:13">
      <c r="A219" s="4"/>
      <c r="B219" s="11"/>
      <c r="C219" s="11"/>
      <c r="D219" s="11"/>
      <c r="E219" s="14"/>
      <c r="F219" s="4"/>
      <c r="G219" s="14"/>
      <c r="H219" s="22"/>
      <c r="I219" s="4"/>
      <c r="J219" s="4"/>
      <c r="K219" s="4"/>
      <c r="L219" s="4"/>
      <c r="M219" s="4"/>
    </row>
    <row r="220" spans="1:13">
      <c r="A220" s="4"/>
      <c r="B220" s="11"/>
      <c r="C220" s="11"/>
      <c r="D220" s="11"/>
      <c r="E220" s="14"/>
      <c r="F220" s="4"/>
      <c r="G220" s="14"/>
      <c r="H220" s="22"/>
      <c r="I220" s="4"/>
      <c r="J220" s="4"/>
      <c r="K220" s="4"/>
      <c r="L220" s="4"/>
      <c r="M220" s="4"/>
    </row>
    <row r="221" spans="1:13">
      <c r="A221" s="4"/>
      <c r="B221" s="11"/>
      <c r="C221" s="11"/>
      <c r="D221" s="11"/>
      <c r="E221" s="14"/>
      <c r="F221" s="4"/>
      <c r="G221" s="14"/>
      <c r="H221" s="22"/>
      <c r="I221" s="4"/>
      <c r="J221" s="4"/>
      <c r="K221" s="4"/>
      <c r="L221" s="4"/>
      <c r="M221" s="4"/>
    </row>
    <row r="222" spans="1:13">
      <c r="A222" s="4"/>
      <c r="B222" s="11"/>
      <c r="C222" s="11"/>
      <c r="D222" s="11"/>
      <c r="E222" s="14"/>
      <c r="F222" s="4"/>
      <c r="G222" s="14"/>
      <c r="H222" s="22"/>
      <c r="I222" s="4"/>
      <c r="J222" s="4"/>
      <c r="K222" s="4"/>
      <c r="L222" s="4"/>
      <c r="M222" s="4"/>
    </row>
    <row r="223" spans="1:13">
      <c r="A223" s="4"/>
      <c r="B223" s="11"/>
      <c r="C223" s="11"/>
      <c r="D223" s="11"/>
      <c r="E223" s="14"/>
      <c r="F223" s="4"/>
      <c r="G223" s="14"/>
      <c r="H223" s="22"/>
      <c r="I223" s="4"/>
      <c r="J223" s="4"/>
      <c r="K223" s="4"/>
      <c r="L223" s="4"/>
      <c r="M223" s="4"/>
    </row>
    <row r="224" spans="1:13">
      <c r="A224" s="4"/>
      <c r="B224" s="11"/>
      <c r="C224" s="11"/>
      <c r="D224" s="11"/>
      <c r="E224" s="14"/>
      <c r="F224" s="4"/>
      <c r="G224" s="14"/>
      <c r="H224" s="22"/>
      <c r="I224" s="4"/>
      <c r="J224" s="4"/>
      <c r="K224" s="4"/>
      <c r="L224" s="4"/>
      <c r="M224" s="4"/>
    </row>
    <row r="225" spans="1:13">
      <c r="A225" s="4"/>
      <c r="B225" s="11"/>
      <c r="C225" s="11"/>
      <c r="D225" s="11"/>
      <c r="E225" s="14"/>
      <c r="F225" s="4"/>
      <c r="G225" s="14"/>
      <c r="H225" s="22"/>
      <c r="I225" s="4"/>
      <c r="J225" s="4"/>
      <c r="K225" s="4"/>
      <c r="L225" s="4"/>
      <c r="M225" s="4"/>
    </row>
    <row r="226" spans="1:13">
      <c r="A226" s="4"/>
      <c r="B226" s="11"/>
      <c r="C226" s="11"/>
      <c r="D226" s="11"/>
      <c r="E226" s="14"/>
      <c r="F226" s="4"/>
      <c r="G226" s="14"/>
      <c r="H226" s="22"/>
      <c r="I226" s="4"/>
      <c r="J226" s="4"/>
      <c r="K226" s="4"/>
      <c r="L226" s="4"/>
      <c r="M226" s="4"/>
    </row>
    <row r="227" spans="1:13">
      <c r="A227" s="4"/>
      <c r="B227" s="11"/>
      <c r="C227" s="11"/>
      <c r="D227" s="11"/>
      <c r="E227" s="14"/>
      <c r="F227" s="4"/>
      <c r="G227" s="14"/>
      <c r="H227" s="22"/>
      <c r="I227" s="4"/>
      <c r="J227" s="4"/>
      <c r="K227" s="4"/>
      <c r="L227" s="4"/>
      <c r="M227" s="4"/>
    </row>
    <row r="228" spans="1:13">
      <c r="A228" s="4"/>
      <c r="B228" s="11"/>
      <c r="C228" s="11"/>
      <c r="D228" s="11"/>
      <c r="E228" s="14"/>
      <c r="F228" s="4"/>
      <c r="G228" s="14"/>
      <c r="H228" s="22"/>
      <c r="I228" s="4"/>
      <c r="J228" s="4"/>
      <c r="K228" s="4"/>
      <c r="L228" s="4"/>
      <c r="M228" s="4"/>
    </row>
    <row r="229" spans="1:13">
      <c r="A229" s="4"/>
      <c r="B229" s="11"/>
      <c r="C229" s="11"/>
      <c r="D229" s="11"/>
      <c r="E229" s="14"/>
      <c r="F229" s="4"/>
      <c r="G229" s="14"/>
      <c r="H229" s="22"/>
      <c r="I229" s="4"/>
      <c r="J229" s="4"/>
      <c r="K229" s="4"/>
      <c r="L229" s="4"/>
      <c r="M229" s="4"/>
    </row>
    <row r="230" spans="1:13">
      <c r="A230" s="4"/>
      <c r="B230" s="11"/>
      <c r="C230" s="11"/>
      <c r="D230" s="11"/>
      <c r="E230" s="14"/>
      <c r="F230" s="4"/>
      <c r="G230" s="14"/>
      <c r="H230" s="22"/>
      <c r="I230" s="4"/>
      <c r="J230" s="4"/>
      <c r="K230" s="4"/>
      <c r="L230" s="4"/>
      <c r="M230" s="4"/>
    </row>
    <row r="231" spans="1:13">
      <c r="A231" s="4"/>
      <c r="B231" s="11"/>
      <c r="C231" s="11"/>
      <c r="D231" s="11"/>
      <c r="E231" s="14"/>
      <c r="F231" s="4"/>
      <c r="G231" s="14"/>
      <c r="H231" s="22"/>
      <c r="I231" s="4"/>
      <c r="J231" s="4"/>
      <c r="K231" s="4"/>
      <c r="L231" s="4"/>
      <c r="M231" s="4"/>
    </row>
    <row r="232" spans="1:13">
      <c r="A232" s="4"/>
      <c r="B232" s="11"/>
      <c r="C232" s="11"/>
      <c r="D232" s="11"/>
      <c r="E232" s="14"/>
      <c r="F232" s="4"/>
      <c r="G232" s="14"/>
      <c r="H232" s="22"/>
      <c r="I232" s="4"/>
      <c r="J232" s="4"/>
      <c r="K232" s="4"/>
      <c r="L232" s="4"/>
      <c r="M232" s="4"/>
    </row>
    <row r="233" spans="1:13">
      <c r="A233" s="4"/>
      <c r="B233" s="11"/>
      <c r="C233" s="11"/>
      <c r="D233" s="11"/>
      <c r="E233" s="14"/>
      <c r="F233" s="4"/>
      <c r="G233" s="14"/>
      <c r="H233" s="22"/>
      <c r="I233" s="4"/>
      <c r="J233" s="4"/>
      <c r="K233" s="4"/>
      <c r="L233" s="4"/>
      <c r="M233" s="4"/>
    </row>
    <row r="234" spans="1:13">
      <c r="A234" s="4"/>
      <c r="B234" s="11"/>
      <c r="C234" s="11"/>
      <c r="D234" s="11"/>
      <c r="E234" s="14"/>
      <c r="F234" s="4"/>
      <c r="G234" s="14"/>
      <c r="H234" s="22"/>
      <c r="I234" s="4"/>
      <c r="J234" s="4"/>
      <c r="K234" s="4"/>
      <c r="L234" s="4"/>
      <c r="M234" s="4"/>
    </row>
    <row r="235" spans="1:13">
      <c r="A235" s="4"/>
      <c r="B235" s="11"/>
      <c r="C235" s="11"/>
      <c r="D235" s="11"/>
      <c r="E235" s="14"/>
      <c r="F235" s="4"/>
      <c r="G235" s="14"/>
      <c r="H235" s="22"/>
      <c r="I235" s="4"/>
      <c r="J235" s="4"/>
      <c r="K235" s="4"/>
      <c r="L235" s="4"/>
      <c r="M235" s="4"/>
    </row>
    <row r="236" spans="1:13">
      <c r="A236" s="4"/>
      <c r="B236" s="11"/>
      <c r="C236" s="11"/>
      <c r="D236" s="11"/>
      <c r="E236" s="14"/>
      <c r="F236" s="4"/>
      <c r="G236" s="14"/>
      <c r="H236" s="22"/>
      <c r="I236" s="4"/>
      <c r="J236" s="4"/>
      <c r="K236" s="4"/>
      <c r="L236" s="4"/>
      <c r="M236" s="4"/>
    </row>
    <row r="237" spans="1:13">
      <c r="A237" s="4"/>
      <c r="B237" s="11"/>
      <c r="C237" s="11"/>
      <c r="D237" s="11"/>
      <c r="E237" s="14"/>
      <c r="F237" s="4"/>
      <c r="G237" s="14"/>
      <c r="H237" s="22"/>
      <c r="I237" s="4"/>
      <c r="J237" s="4"/>
      <c r="K237" s="4"/>
      <c r="L237" s="4"/>
      <c r="M237" s="4"/>
    </row>
    <row r="238" spans="1:13">
      <c r="A238" s="4"/>
      <c r="B238" s="11"/>
      <c r="C238" s="11"/>
      <c r="D238" s="11"/>
      <c r="E238" s="14"/>
      <c r="F238" s="4"/>
      <c r="G238" s="14"/>
      <c r="H238" s="22"/>
      <c r="I238" s="4"/>
      <c r="J238" s="4"/>
      <c r="K238" s="4"/>
      <c r="L238" s="4"/>
      <c r="M238" s="4"/>
    </row>
    <row r="239" spans="1:13">
      <c r="A239" s="4"/>
      <c r="B239" s="11"/>
      <c r="C239" s="11"/>
      <c r="D239" s="11"/>
      <c r="E239" s="14"/>
      <c r="F239" s="4"/>
      <c r="G239" s="14"/>
      <c r="H239" s="22"/>
      <c r="I239" s="4"/>
      <c r="J239" s="4"/>
      <c r="K239" s="4"/>
      <c r="L239" s="4"/>
      <c r="M239" s="4"/>
    </row>
    <row r="240" spans="1:13">
      <c r="A240" s="4"/>
      <c r="B240" s="11"/>
      <c r="C240" s="11"/>
      <c r="D240" s="11"/>
      <c r="E240" s="14"/>
      <c r="F240" s="4"/>
      <c r="G240" s="14"/>
      <c r="H240" s="22"/>
      <c r="I240" s="4"/>
      <c r="J240" s="4"/>
      <c r="K240" s="4"/>
      <c r="L240" s="4"/>
      <c r="M240" s="4"/>
    </row>
    <row r="241" spans="1:13">
      <c r="A241" s="4"/>
      <c r="B241" s="11"/>
      <c r="C241" s="11"/>
      <c r="D241" s="11"/>
      <c r="E241" s="14"/>
      <c r="F241" s="4"/>
      <c r="G241" s="14"/>
      <c r="H241" s="22"/>
      <c r="I241" s="4"/>
      <c r="J241" s="4"/>
      <c r="K241" s="4"/>
      <c r="L241" s="4"/>
      <c r="M241" s="4"/>
    </row>
    <row r="242" spans="1:13">
      <c r="A242" s="4"/>
      <c r="B242" s="11"/>
      <c r="C242" s="11"/>
      <c r="D242" s="11"/>
      <c r="E242" s="14"/>
      <c r="F242" s="4"/>
      <c r="G242" s="14"/>
      <c r="H242" s="22"/>
      <c r="I242" s="4"/>
      <c r="J242" s="4"/>
      <c r="K242" s="4"/>
      <c r="L242" s="4"/>
      <c r="M242" s="4"/>
    </row>
    <row r="243" spans="1:13">
      <c r="A243" s="4"/>
      <c r="B243" s="11"/>
      <c r="C243" s="11"/>
      <c r="D243" s="11"/>
      <c r="E243" s="14"/>
      <c r="F243" s="4"/>
      <c r="G243" s="14"/>
      <c r="H243" s="22"/>
      <c r="I243" s="4"/>
      <c r="J243" s="4"/>
      <c r="K243" s="4"/>
      <c r="L243" s="4"/>
      <c r="M243" s="4"/>
    </row>
    <row r="244" spans="1:13">
      <c r="A244" s="4"/>
      <c r="B244" s="11"/>
      <c r="C244" s="11"/>
      <c r="D244" s="11"/>
      <c r="E244" s="14"/>
      <c r="F244" s="4"/>
      <c r="G244" s="14"/>
      <c r="H244" s="22"/>
      <c r="I244" s="4"/>
      <c r="J244" s="4"/>
      <c r="K244" s="4"/>
      <c r="L244" s="4"/>
      <c r="M244" s="4"/>
    </row>
    <row r="245" spans="1:13">
      <c r="A245" s="4"/>
      <c r="B245" s="11"/>
      <c r="C245" s="11"/>
      <c r="D245" s="11"/>
      <c r="E245" s="14"/>
      <c r="F245" s="4"/>
      <c r="G245" s="14"/>
      <c r="H245" s="22"/>
      <c r="I245" s="4"/>
      <c r="J245" s="4"/>
      <c r="K245" s="4"/>
      <c r="L245" s="4"/>
      <c r="M245" s="4"/>
    </row>
    <row r="246" spans="1:13">
      <c r="A246" s="4"/>
      <c r="B246" s="11"/>
      <c r="C246" s="11"/>
      <c r="D246" s="11"/>
      <c r="E246" s="14"/>
      <c r="F246" s="4"/>
      <c r="G246" s="14"/>
      <c r="H246" s="22"/>
      <c r="I246" s="4"/>
      <c r="J246" s="4"/>
      <c r="K246" s="4"/>
      <c r="L246" s="4"/>
      <c r="M246" s="4"/>
    </row>
    <row r="247" spans="1:13">
      <c r="A247" s="4"/>
      <c r="B247" s="11"/>
      <c r="C247" s="11"/>
      <c r="D247" s="11"/>
      <c r="E247" s="14"/>
      <c r="F247" s="4"/>
      <c r="G247" s="14"/>
      <c r="H247" s="22"/>
      <c r="I247" s="4"/>
      <c r="J247" s="4"/>
      <c r="K247" s="4"/>
      <c r="L247" s="4"/>
      <c r="M247" s="4"/>
    </row>
    <row r="248" spans="1:13">
      <c r="A248" s="4"/>
      <c r="B248" s="11"/>
      <c r="C248" s="11"/>
      <c r="D248" s="11"/>
      <c r="E248" s="14"/>
      <c r="F248" s="4"/>
      <c r="G248" s="14"/>
      <c r="H248" s="22"/>
      <c r="I248" s="4"/>
      <c r="J248" s="4"/>
      <c r="K248" s="4"/>
      <c r="L248" s="4"/>
      <c r="M248" s="4"/>
    </row>
    <row r="249" spans="1:13">
      <c r="A249" s="4"/>
      <c r="B249" s="11"/>
      <c r="C249" s="11"/>
      <c r="D249" s="11"/>
      <c r="E249" s="14"/>
      <c r="F249" s="4"/>
      <c r="G249" s="14"/>
      <c r="H249" s="22"/>
      <c r="I249" s="4"/>
      <c r="J249" s="4"/>
      <c r="K249" s="4"/>
      <c r="L249" s="4"/>
      <c r="M249" s="4"/>
    </row>
    <row r="250" spans="1:13">
      <c r="A250" s="4"/>
      <c r="B250" s="11"/>
      <c r="C250" s="11"/>
      <c r="D250" s="11"/>
      <c r="E250" s="14"/>
      <c r="F250" s="4"/>
      <c r="G250" s="14"/>
      <c r="H250" s="22"/>
      <c r="I250" s="4"/>
      <c r="J250" s="4"/>
      <c r="K250" s="4"/>
      <c r="L250" s="4"/>
      <c r="M250" s="4"/>
    </row>
    <row r="251" spans="1:13">
      <c r="A251" s="4"/>
      <c r="B251" s="11"/>
      <c r="C251" s="11"/>
      <c r="D251" s="11"/>
      <c r="E251" s="14"/>
      <c r="F251" s="4"/>
      <c r="G251" s="14"/>
      <c r="H251" s="22"/>
      <c r="I251" s="4"/>
      <c r="J251" s="4"/>
      <c r="K251" s="4"/>
      <c r="L251" s="4"/>
      <c r="M251" s="4"/>
    </row>
    <row r="252" spans="1:13">
      <c r="A252" s="4"/>
      <c r="B252" s="11"/>
      <c r="C252" s="11"/>
      <c r="D252" s="11"/>
      <c r="E252" s="14"/>
      <c r="F252" s="4"/>
      <c r="G252" s="14"/>
      <c r="H252" s="22"/>
      <c r="I252" s="4"/>
      <c r="J252" s="4"/>
      <c r="K252" s="4"/>
      <c r="L252" s="4"/>
      <c r="M252" s="4"/>
    </row>
    <row r="253" spans="1:13">
      <c r="A253" s="4"/>
      <c r="B253" s="11"/>
      <c r="C253" s="11"/>
      <c r="D253" s="11"/>
      <c r="E253" s="14"/>
      <c r="F253" s="4"/>
      <c r="G253" s="14"/>
      <c r="H253" s="22"/>
      <c r="I253" s="4"/>
      <c r="J253" s="4"/>
      <c r="K253" s="4"/>
      <c r="L253" s="4"/>
      <c r="M253" s="4"/>
    </row>
    <row r="254" spans="1:13">
      <c r="A254" s="4"/>
      <c r="B254" s="11"/>
      <c r="C254" s="11"/>
      <c r="D254" s="11"/>
      <c r="E254" s="14"/>
      <c r="F254" s="4"/>
      <c r="G254" s="14"/>
      <c r="H254" s="22"/>
      <c r="I254" s="4"/>
      <c r="J254" s="4"/>
      <c r="K254" s="4"/>
      <c r="L254" s="4"/>
      <c r="M254" s="4"/>
    </row>
    <row r="255" spans="1:13">
      <c r="A255" s="4"/>
      <c r="B255" s="11"/>
      <c r="C255" s="11"/>
      <c r="D255" s="11"/>
      <c r="E255" s="14"/>
      <c r="F255" s="4"/>
      <c r="G255" s="14"/>
      <c r="H255" s="22"/>
      <c r="I255" s="4"/>
      <c r="J255" s="4"/>
      <c r="K255" s="4"/>
      <c r="L255" s="4"/>
      <c r="M255" s="4"/>
    </row>
    <row r="256" spans="1:13">
      <c r="A256" s="4"/>
      <c r="B256" s="11"/>
      <c r="C256" s="11"/>
      <c r="D256" s="11"/>
      <c r="E256" s="14"/>
      <c r="F256" s="4"/>
      <c r="G256" s="14"/>
      <c r="H256" s="22"/>
      <c r="I256" s="4"/>
      <c r="J256" s="4"/>
      <c r="K256" s="4"/>
      <c r="L256" s="4"/>
      <c r="M256" s="4"/>
    </row>
    <row r="257" spans="1:13">
      <c r="A257" s="4"/>
      <c r="B257" s="11"/>
      <c r="C257" s="11"/>
      <c r="D257" s="11"/>
      <c r="E257" s="14"/>
      <c r="F257" s="4"/>
      <c r="G257" s="14"/>
      <c r="H257" s="22"/>
      <c r="I257" s="4"/>
      <c r="J257" s="4"/>
      <c r="K257" s="4"/>
      <c r="L257" s="4"/>
      <c r="M257" s="4"/>
    </row>
    <row r="258" spans="1:13">
      <c r="A258" s="4"/>
      <c r="B258" s="11"/>
      <c r="C258" s="11"/>
      <c r="D258" s="11"/>
      <c r="E258" s="14"/>
      <c r="F258" s="4"/>
      <c r="G258" s="14"/>
      <c r="H258" s="22"/>
      <c r="I258" s="4"/>
      <c r="J258" s="4"/>
      <c r="K258" s="4"/>
      <c r="L258" s="4"/>
      <c r="M258" s="4"/>
    </row>
    <row r="259" spans="1:13">
      <c r="A259" s="4"/>
      <c r="B259" s="11"/>
      <c r="C259" s="11"/>
      <c r="D259" s="11"/>
      <c r="E259" s="14"/>
      <c r="F259" s="4"/>
      <c r="G259" s="14"/>
      <c r="H259" s="22"/>
      <c r="I259" s="4"/>
      <c r="J259" s="4"/>
      <c r="K259" s="4"/>
      <c r="L259" s="4"/>
      <c r="M259" s="4"/>
    </row>
    <row r="260" spans="1:13">
      <c r="A260" s="4"/>
      <c r="B260" s="11"/>
      <c r="C260" s="11"/>
      <c r="D260" s="11"/>
      <c r="E260" s="14"/>
      <c r="F260" s="4"/>
      <c r="G260" s="14"/>
      <c r="H260" s="22"/>
      <c r="I260" s="4"/>
      <c r="J260" s="4"/>
      <c r="K260" s="4"/>
      <c r="L260" s="4"/>
      <c r="M260" s="4"/>
    </row>
    <row r="261" spans="1:13">
      <c r="A261" s="4"/>
      <c r="B261" s="11"/>
      <c r="C261" s="11"/>
      <c r="D261" s="11"/>
      <c r="E261" s="14"/>
      <c r="F261" s="4"/>
      <c r="G261" s="14"/>
      <c r="H261" s="22"/>
      <c r="I261" s="4"/>
      <c r="J261" s="4"/>
      <c r="K261" s="4"/>
      <c r="L261" s="4"/>
      <c r="M261" s="4"/>
    </row>
    <row r="262" spans="1:13">
      <c r="A262" s="4"/>
      <c r="B262" s="11"/>
      <c r="C262" s="11"/>
      <c r="D262" s="11"/>
      <c r="E262" s="14"/>
      <c r="F262" s="4"/>
      <c r="G262" s="14"/>
      <c r="H262" s="22"/>
      <c r="I262" s="4"/>
      <c r="J262" s="4"/>
      <c r="K262" s="4"/>
      <c r="L262" s="4"/>
      <c r="M262" s="4"/>
    </row>
    <row r="263" spans="1:13">
      <c r="A263" s="4"/>
      <c r="B263" s="11"/>
      <c r="C263" s="11"/>
      <c r="D263" s="11"/>
      <c r="E263" s="14"/>
      <c r="F263" s="4"/>
      <c r="G263" s="14"/>
      <c r="H263" s="22"/>
      <c r="I263" s="4"/>
      <c r="J263" s="4"/>
      <c r="K263" s="4"/>
      <c r="L263" s="4"/>
      <c r="M263" s="4"/>
    </row>
    <row r="264" spans="1:13">
      <c r="A264" s="4"/>
      <c r="B264" s="11"/>
      <c r="C264" s="11"/>
      <c r="D264" s="11"/>
      <c r="E264" s="14"/>
      <c r="F264" s="4"/>
      <c r="G264" s="14"/>
      <c r="H264" s="22"/>
      <c r="I264" s="4"/>
      <c r="J264" s="4"/>
      <c r="K264" s="4"/>
      <c r="L264" s="4"/>
      <c r="M264" s="4"/>
    </row>
    <row r="265" spans="1:13">
      <c r="A265" s="4"/>
      <c r="B265" s="11"/>
      <c r="C265" s="11"/>
      <c r="D265" s="11"/>
      <c r="E265" s="14"/>
      <c r="F265" s="4"/>
      <c r="G265" s="14"/>
      <c r="H265" s="22"/>
      <c r="I265" s="4"/>
      <c r="J265" s="4"/>
      <c r="K265" s="4"/>
      <c r="L265" s="4"/>
      <c r="M265" s="4"/>
    </row>
    <row r="266" spans="1:13">
      <c r="A266" s="4"/>
      <c r="B266" s="11"/>
      <c r="C266" s="11"/>
      <c r="D266" s="11"/>
      <c r="E266" s="14"/>
      <c r="F266" s="4"/>
      <c r="G266" s="14"/>
      <c r="H266" s="22"/>
      <c r="I266" s="4"/>
      <c r="J266" s="4"/>
      <c r="K266" s="4"/>
      <c r="L266" s="4"/>
      <c r="M266" s="4"/>
    </row>
    <row r="267" spans="1:13">
      <c r="A267" s="4"/>
      <c r="B267" s="11"/>
      <c r="C267" s="11"/>
      <c r="D267" s="11"/>
      <c r="E267" s="14"/>
      <c r="F267" s="4"/>
      <c r="G267" s="14"/>
      <c r="H267" s="22"/>
      <c r="I267" s="4"/>
      <c r="J267" s="4"/>
      <c r="K267" s="4"/>
      <c r="L267" s="4"/>
      <c r="M267" s="4"/>
    </row>
    <row r="268" spans="1:13">
      <c r="A268" s="4"/>
      <c r="B268" s="11"/>
      <c r="C268" s="11"/>
      <c r="D268" s="11"/>
      <c r="E268" s="14"/>
      <c r="F268" s="4"/>
      <c r="G268" s="14"/>
      <c r="H268" s="22"/>
      <c r="I268" s="4"/>
      <c r="J268" s="4"/>
      <c r="K268" s="4"/>
      <c r="L268" s="4"/>
      <c r="M268" s="4"/>
    </row>
    <row r="269" spans="1:13">
      <c r="A269" s="4"/>
      <c r="B269" s="11"/>
      <c r="C269" s="11"/>
      <c r="D269" s="11"/>
      <c r="E269" s="14"/>
      <c r="F269" s="4"/>
      <c r="G269" s="14"/>
      <c r="H269" s="22"/>
      <c r="I269" s="4"/>
      <c r="J269" s="4"/>
      <c r="K269" s="4"/>
      <c r="L269" s="4"/>
      <c r="M269" s="4"/>
    </row>
    <row r="270" spans="1:13">
      <c r="A270" s="4"/>
      <c r="B270" s="11"/>
      <c r="C270" s="11"/>
      <c r="D270" s="11"/>
      <c r="E270" s="14"/>
      <c r="F270" s="4"/>
      <c r="G270" s="14"/>
      <c r="H270" s="22"/>
      <c r="I270" s="4"/>
      <c r="J270" s="4"/>
      <c r="K270" s="4"/>
      <c r="L270" s="4"/>
      <c r="M270" s="4"/>
    </row>
    <row r="271" spans="1:13">
      <c r="A271" s="4"/>
      <c r="B271" s="11"/>
      <c r="C271" s="11"/>
      <c r="D271" s="11"/>
      <c r="E271" s="14"/>
      <c r="F271" s="4"/>
      <c r="G271" s="14"/>
      <c r="H271" s="22"/>
      <c r="I271" s="4"/>
      <c r="J271" s="4"/>
      <c r="K271" s="4"/>
      <c r="L271" s="4"/>
      <c r="M271" s="4"/>
    </row>
    <row r="272" spans="1:13">
      <c r="A272" s="4"/>
      <c r="B272" s="11"/>
      <c r="C272" s="11"/>
      <c r="D272" s="11"/>
      <c r="E272" s="14"/>
      <c r="F272" s="4"/>
      <c r="G272" s="14"/>
      <c r="H272" s="22"/>
      <c r="I272" s="4"/>
      <c r="J272" s="4"/>
      <c r="K272" s="4"/>
      <c r="L272" s="4"/>
      <c r="M272" s="4"/>
    </row>
    <row r="273" spans="1:13">
      <c r="A273" s="4"/>
      <c r="B273" s="11"/>
      <c r="C273" s="11"/>
      <c r="D273" s="11"/>
      <c r="E273" s="14"/>
      <c r="F273" s="4"/>
      <c r="G273" s="14"/>
      <c r="H273" s="22"/>
      <c r="I273" s="4"/>
      <c r="J273" s="4"/>
      <c r="K273" s="4"/>
      <c r="L273" s="4"/>
      <c r="M273" s="4"/>
    </row>
    <row r="274" spans="1:13">
      <c r="A274" s="4"/>
      <c r="B274" s="11"/>
      <c r="C274" s="11"/>
      <c r="D274" s="11"/>
      <c r="E274" s="14"/>
      <c r="F274" s="4"/>
      <c r="G274" s="14"/>
      <c r="H274" s="22"/>
      <c r="I274" s="4"/>
      <c r="J274" s="4"/>
      <c r="K274" s="4"/>
      <c r="L274" s="4"/>
      <c r="M274" s="4"/>
    </row>
    <row r="275" spans="1:13">
      <c r="A275" s="4"/>
      <c r="B275" s="11"/>
      <c r="C275" s="11"/>
      <c r="D275" s="11"/>
      <c r="E275" s="14"/>
      <c r="F275" s="4"/>
      <c r="G275" s="14"/>
      <c r="H275" s="22"/>
      <c r="I275" s="4"/>
      <c r="J275" s="4"/>
      <c r="K275" s="4"/>
      <c r="L275" s="4"/>
      <c r="M275" s="4"/>
    </row>
    <row r="276" spans="1:13">
      <c r="A276" s="4"/>
      <c r="B276" s="11"/>
      <c r="C276" s="11"/>
      <c r="D276" s="11"/>
      <c r="E276" s="14"/>
      <c r="F276" s="4"/>
      <c r="G276" s="14"/>
      <c r="H276" s="22"/>
      <c r="I276" s="4"/>
      <c r="J276" s="4"/>
      <c r="K276" s="4"/>
      <c r="L276" s="4"/>
      <c r="M276" s="4"/>
    </row>
    <row r="277" spans="1:13">
      <c r="A277" s="4"/>
      <c r="B277" s="11"/>
      <c r="C277" s="11"/>
      <c r="D277" s="11"/>
      <c r="E277" s="14"/>
      <c r="F277" s="4"/>
      <c r="G277" s="14"/>
      <c r="H277" s="22"/>
      <c r="I277" s="4"/>
      <c r="J277" s="4"/>
      <c r="K277" s="4"/>
      <c r="L277" s="4"/>
      <c r="M277" s="4"/>
    </row>
    <row r="278" spans="1:13">
      <c r="A278" s="4"/>
      <c r="B278" s="11"/>
      <c r="C278" s="11"/>
      <c r="D278" s="11"/>
      <c r="E278" s="14"/>
      <c r="F278" s="4"/>
      <c r="G278" s="14"/>
      <c r="H278" s="22"/>
      <c r="I278" s="4"/>
      <c r="J278" s="4"/>
      <c r="K278" s="4"/>
      <c r="L278" s="4"/>
      <c r="M278" s="4"/>
    </row>
    <row r="279" spans="1:13">
      <c r="A279" s="4"/>
      <c r="B279" s="11"/>
      <c r="C279" s="11"/>
      <c r="D279" s="11"/>
      <c r="E279" s="14"/>
      <c r="F279" s="4"/>
      <c r="G279" s="14"/>
      <c r="H279" s="22"/>
      <c r="I279" s="4"/>
      <c r="J279" s="4"/>
      <c r="K279" s="4"/>
      <c r="L279" s="4"/>
      <c r="M279" s="4"/>
    </row>
    <row r="280" spans="1:13">
      <c r="A280" s="4"/>
      <c r="B280" s="11"/>
      <c r="C280" s="11"/>
      <c r="D280" s="11"/>
      <c r="E280" s="14"/>
      <c r="F280" s="4"/>
      <c r="G280" s="14"/>
      <c r="H280" s="22"/>
      <c r="I280" s="4"/>
      <c r="J280" s="4"/>
      <c r="K280" s="4"/>
      <c r="L280" s="4"/>
      <c r="M280" s="4"/>
    </row>
    <row r="281" spans="1:13">
      <c r="A281" s="4"/>
      <c r="B281" s="11"/>
      <c r="C281" s="11"/>
      <c r="D281" s="11"/>
      <c r="E281" s="14"/>
      <c r="F281" s="4"/>
      <c r="G281" s="14"/>
      <c r="H281" s="22"/>
      <c r="I281" s="4"/>
      <c r="J281" s="4"/>
      <c r="K281" s="4"/>
      <c r="L281" s="4"/>
      <c r="M281" s="4"/>
    </row>
    <row r="282" spans="1:13">
      <c r="A282" s="4"/>
      <c r="B282" s="11"/>
      <c r="C282" s="11"/>
      <c r="D282" s="11"/>
      <c r="E282" s="14"/>
      <c r="F282" s="4"/>
      <c r="G282" s="14"/>
      <c r="H282" s="22"/>
      <c r="I282" s="4"/>
      <c r="J282" s="4"/>
      <c r="K282" s="4"/>
      <c r="L282" s="4"/>
      <c r="M282" s="4"/>
    </row>
    <row r="283" spans="1:13">
      <c r="A283" s="4"/>
      <c r="B283" s="11"/>
      <c r="C283" s="11"/>
      <c r="D283" s="11"/>
      <c r="E283" s="14"/>
      <c r="F283" s="4"/>
      <c r="G283" s="14"/>
      <c r="H283" s="22"/>
      <c r="I283" s="4"/>
      <c r="J283" s="4"/>
      <c r="K283" s="4"/>
      <c r="L283" s="4"/>
      <c r="M283" s="4"/>
    </row>
    <row r="284" spans="1:13">
      <c r="A284" s="4"/>
      <c r="B284" s="11"/>
      <c r="C284" s="11"/>
      <c r="D284" s="11"/>
      <c r="E284" s="14"/>
      <c r="F284" s="4"/>
      <c r="G284" s="14"/>
      <c r="H284" s="22"/>
      <c r="I284" s="4"/>
      <c r="J284" s="4"/>
      <c r="K284" s="4"/>
      <c r="L284" s="4"/>
      <c r="M284" s="4"/>
    </row>
    <row r="285" spans="1:13">
      <c r="A285" s="4"/>
      <c r="B285" s="11"/>
      <c r="C285" s="11"/>
      <c r="D285" s="11"/>
      <c r="E285" s="14"/>
      <c r="F285" s="4"/>
      <c r="G285" s="14"/>
      <c r="H285" s="22"/>
      <c r="I285" s="4"/>
      <c r="J285" s="4"/>
      <c r="K285" s="4"/>
      <c r="L285" s="4"/>
      <c r="M285" s="4"/>
    </row>
    <row r="286" spans="1:13">
      <c r="A286" s="4"/>
      <c r="B286" s="11"/>
      <c r="C286" s="11"/>
      <c r="D286" s="11"/>
      <c r="E286" s="14"/>
      <c r="F286" s="4"/>
      <c r="G286" s="14"/>
      <c r="H286" s="22"/>
      <c r="I286" s="4"/>
      <c r="J286" s="4"/>
      <c r="K286" s="4"/>
      <c r="L286" s="4"/>
      <c r="M286" s="4"/>
    </row>
    <row r="287" spans="1:13">
      <c r="A287" s="4"/>
      <c r="B287" s="11"/>
      <c r="C287" s="11"/>
      <c r="D287" s="11"/>
      <c r="E287" s="14"/>
      <c r="F287" s="4"/>
      <c r="G287" s="14"/>
      <c r="H287" s="22"/>
      <c r="I287" s="4"/>
      <c r="J287" s="4"/>
      <c r="K287" s="4"/>
      <c r="L287" s="4"/>
      <c r="M287" s="4"/>
    </row>
    <row r="288" spans="1:13">
      <c r="A288" s="4"/>
      <c r="B288" s="11"/>
      <c r="C288" s="11"/>
      <c r="D288" s="11"/>
      <c r="E288" s="14"/>
      <c r="F288" s="4"/>
      <c r="G288" s="14"/>
      <c r="H288" s="22"/>
      <c r="I288" s="4"/>
      <c r="J288" s="4"/>
      <c r="K288" s="4"/>
      <c r="L288" s="4"/>
      <c r="M288" s="4"/>
    </row>
    <row r="289" spans="1:13">
      <c r="A289" s="4"/>
      <c r="B289" s="11"/>
      <c r="C289" s="11"/>
      <c r="D289" s="11"/>
      <c r="E289" s="14"/>
      <c r="F289" s="4"/>
      <c r="G289" s="14"/>
      <c r="H289" s="22"/>
      <c r="I289" s="4"/>
      <c r="J289" s="4"/>
      <c r="K289" s="4"/>
      <c r="L289" s="4"/>
      <c r="M289" s="4"/>
    </row>
    <row r="290" spans="1:13">
      <c r="A290" s="4"/>
      <c r="B290" s="11"/>
      <c r="C290" s="11"/>
      <c r="D290" s="11"/>
      <c r="E290" s="14"/>
      <c r="F290" s="4"/>
      <c r="G290" s="14"/>
      <c r="H290" s="22"/>
      <c r="I290" s="4"/>
      <c r="J290" s="4"/>
      <c r="K290" s="4"/>
      <c r="L290" s="4"/>
      <c r="M290" s="4"/>
    </row>
    <row r="291" spans="1:13">
      <c r="A291" s="4"/>
      <c r="B291" s="11"/>
      <c r="C291" s="11"/>
      <c r="D291" s="11"/>
      <c r="E291" s="14"/>
      <c r="F291" s="4"/>
      <c r="G291" s="14"/>
      <c r="H291" s="22"/>
      <c r="I291" s="4"/>
      <c r="J291" s="4"/>
      <c r="K291" s="4"/>
      <c r="L291" s="4"/>
      <c r="M291" s="4"/>
    </row>
    <row r="292" spans="1:13">
      <c r="A292" s="4"/>
      <c r="B292" s="11"/>
      <c r="C292" s="11"/>
      <c r="D292" s="11"/>
      <c r="E292" s="14"/>
      <c r="F292" s="4"/>
      <c r="G292" s="14"/>
      <c r="H292" s="22"/>
      <c r="I292" s="4"/>
      <c r="J292" s="4"/>
      <c r="K292" s="4"/>
      <c r="L292" s="4"/>
      <c r="M292" s="4"/>
    </row>
    <row r="293" spans="1:13">
      <c r="A293" s="4"/>
      <c r="B293" s="11"/>
      <c r="C293" s="11"/>
      <c r="D293" s="11"/>
      <c r="E293" s="14"/>
      <c r="F293" s="4"/>
      <c r="G293" s="14"/>
      <c r="H293" s="22"/>
      <c r="I293" s="4"/>
      <c r="J293" s="4"/>
      <c r="K293" s="4"/>
      <c r="L293" s="4"/>
      <c r="M293" s="4"/>
    </row>
    <row r="294" spans="1:13">
      <c r="A294" s="4"/>
      <c r="B294" s="11"/>
      <c r="C294" s="11"/>
      <c r="D294" s="11"/>
      <c r="E294" s="14"/>
      <c r="F294" s="4"/>
      <c r="G294" s="14"/>
      <c r="H294" s="22"/>
      <c r="I294" s="4"/>
      <c r="J294" s="4"/>
      <c r="K294" s="4"/>
      <c r="L294" s="4"/>
      <c r="M294" s="4"/>
    </row>
    <row r="295" spans="1:13">
      <c r="A295" s="4"/>
      <c r="B295" s="11"/>
      <c r="C295" s="11"/>
      <c r="D295" s="11"/>
      <c r="E295" s="14"/>
      <c r="F295" s="4"/>
      <c r="G295" s="14"/>
      <c r="H295" s="22"/>
      <c r="I295" s="4"/>
      <c r="J295" s="4"/>
      <c r="K295" s="4"/>
      <c r="L295" s="4"/>
      <c r="M295" s="4"/>
    </row>
    <row r="296" spans="1:13">
      <c r="A296" s="4"/>
      <c r="B296" s="11"/>
      <c r="C296" s="11"/>
      <c r="D296" s="11"/>
      <c r="E296" s="14"/>
      <c r="F296" s="4"/>
      <c r="G296" s="14"/>
      <c r="H296" s="22"/>
      <c r="I296" s="4"/>
      <c r="J296" s="4"/>
      <c r="K296" s="4"/>
      <c r="L296" s="4"/>
      <c r="M296" s="4"/>
    </row>
    <row r="297" spans="1:13">
      <c r="A297" s="4"/>
      <c r="B297" s="11"/>
      <c r="C297" s="11"/>
      <c r="D297" s="11"/>
      <c r="E297" s="14"/>
      <c r="F297" s="4"/>
      <c r="G297" s="14"/>
      <c r="H297" s="22"/>
      <c r="I297" s="4"/>
      <c r="J297" s="4"/>
      <c r="K297" s="4"/>
      <c r="L297" s="4"/>
      <c r="M297" s="4"/>
    </row>
    <row r="298" spans="1:13">
      <c r="A298" s="4"/>
      <c r="B298" s="11"/>
      <c r="C298" s="11"/>
      <c r="D298" s="11"/>
      <c r="E298" s="14"/>
      <c r="F298" s="4"/>
      <c r="G298" s="14"/>
      <c r="H298" s="22"/>
      <c r="I298" s="4"/>
      <c r="J298" s="4"/>
      <c r="K298" s="4"/>
      <c r="L298" s="4"/>
      <c r="M298" s="4"/>
    </row>
    <row r="299" spans="1:13">
      <c r="A299" s="4"/>
      <c r="B299" s="11"/>
      <c r="C299" s="11"/>
      <c r="D299" s="11"/>
      <c r="E299" s="14"/>
      <c r="F299" s="4"/>
      <c r="G299" s="14"/>
      <c r="H299" s="22"/>
      <c r="I299" s="4"/>
      <c r="J299" s="4"/>
      <c r="K299" s="4"/>
      <c r="L299" s="4"/>
      <c r="M299" s="4"/>
    </row>
    <row r="300" spans="1:13">
      <c r="A300" s="4"/>
      <c r="B300" s="11"/>
      <c r="C300" s="11"/>
      <c r="D300" s="11"/>
      <c r="E300" s="14"/>
      <c r="F300" s="4"/>
      <c r="G300" s="14"/>
      <c r="H300" s="22"/>
      <c r="I300" s="4"/>
      <c r="J300" s="4"/>
      <c r="K300" s="4"/>
      <c r="L300" s="4"/>
      <c r="M300" s="4"/>
    </row>
    <row r="301" spans="1:13">
      <c r="A301" s="4"/>
      <c r="B301" s="11"/>
      <c r="C301" s="11"/>
      <c r="D301" s="11"/>
      <c r="E301" s="14"/>
      <c r="F301" s="4"/>
      <c r="G301" s="14"/>
      <c r="H301" s="22"/>
      <c r="I301" s="4"/>
      <c r="J301" s="4"/>
      <c r="K301" s="4"/>
      <c r="L301" s="4"/>
      <c r="M301" s="4"/>
    </row>
    <row r="302" spans="1:13">
      <c r="A302" s="4"/>
      <c r="B302" s="11"/>
      <c r="C302" s="11"/>
      <c r="D302" s="11"/>
      <c r="E302" s="14"/>
      <c r="F302" s="4"/>
      <c r="G302" s="14"/>
      <c r="H302" s="22"/>
      <c r="I302" s="4"/>
      <c r="J302" s="4"/>
      <c r="K302" s="4"/>
      <c r="L302" s="4"/>
      <c r="M302" s="4"/>
    </row>
    <row r="303" spans="1:13">
      <c r="A303" s="4"/>
      <c r="B303" s="11"/>
      <c r="C303" s="11"/>
      <c r="D303" s="11"/>
      <c r="E303" s="14"/>
      <c r="F303" s="4"/>
      <c r="G303" s="14"/>
      <c r="H303" s="22"/>
      <c r="I303" s="4"/>
      <c r="J303" s="4"/>
      <c r="K303" s="4"/>
      <c r="L303" s="4"/>
      <c r="M303" s="4"/>
    </row>
    <row r="304" spans="1:13">
      <c r="A304" s="4"/>
      <c r="B304" s="11"/>
      <c r="C304" s="11"/>
      <c r="D304" s="11"/>
      <c r="E304" s="14"/>
      <c r="F304" s="4"/>
      <c r="G304" s="14"/>
      <c r="H304" s="22"/>
      <c r="I304" s="4"/>
      <c r="J304" s="4"/>
      <c r="K304" s="4"/>
      <c r="L304" s="4"/>
      <c r="M304" s="4"/>
    </row>
    <row r="305" spans="1:13">
      <c r="A305" s="4"/>
      <c r="B305" s="11"/>
      <c r="C305" s="11"/>
      <c r="D305" s="11"/>
      <c r="E305" s="14"/>
      <c r="F305" s="4"/>
      <c r="G305" s="14"/>
      <c r="H305" s="22"/>
      <c r="I305" s="4"/>
      <c r="J305" s="4"/>
      <c r="K305" s="4"/>
      <c r="L305" s="4"/>
      <c r="M305" s="4"/>
    </row>
    <row r="306" spans="1:13">
      <c r="A306" s="4"/>
      <c r="B306" s="11"/>
      <c r="C306" s="11"/>
      <c r="D306" s="11"/>
      <c r="E306" s="14"/>
      <c r="F306" s="4"/>
      <c r="G306" s="14"/>
      <c r="H306" s="22"/>
      <c r="I306" s="4"/>
      <c r="J306" s="4"/>
      <c r="K306" s="4"/>
      <c r="L306" s="4"/>
      <c r="M306" s="4"/>
    </row>
    <row r="307" spans="1:13">
      <c r="A307" s="4"/>
      <c r="B307" s="11"/>
      <c r="C307" s="11"/>
      <c r="D307" s="11"/>
      <c r="E307" s="14"/>
      <c r="F307" s="4"/>
      <c r="G307" s="14"/>
      <c r="H307" s="22"/>
      <c r="I307" s="4"/>
      <c r="J307" s="4"/>
      <c r="K307" s="4"/>
      <c r="L307" s="4"/>
      <c r="M307" s="4"/>
    </row>
    <row r="308" spans="1:13">
      <c r="A308" s="4"/>
      <c r="B308" s="11"/>
      <c r="C308" s="11"/>
      <c r="D308" s="11"/>
      <c r="E308" s="14"/>
      <c r="F308" s="4"/>
      <c r="G308" s="14"/>
      <c r="H308" s="22"/>
      <c r="I308" s="4"/>
      <c r="J308" s="4"/>
      <c r="K308" s="4"/>
      <c r="L308" s="4"/>
      <c r="M308" s="4"/>
    </row>
    <row r="309" spans="1:13">
      <c r="A309" s="4"/>
      <c r="B309" s="11"/>
      <c r="C309" s="11"/>
      <c r="D309" s="11"/>
      <c r="E309" s="14"/>
      <c r="F309" s="4"/>
      <c r="G309" s="14"/>
      <c r="H309" s="22"/>
      <c r="I309" s="4"/>
      <c r="J309" s="4"/>
      <c r="K309" s="4"/>
      <c r="L309" s="4"/>
      <c r="M309" s="4"/>
    </row>
    <row r="310" spans="1:13">
      <c r="A310" s="4"/>
      <c r="B310" s="11"/>
      <c r="C310" s="11"/>
      <c r="D310" s="11"/>
      <c r="E310" s="14"/>
      <c r="F310" s="4"/>
      <c r="G310" s="14"/>
      <c r="H310" s="22"/>
      <c r="I310" s="4"/>
      <c r="J310" s="4"/>
      <c r="K310" s="4"/>
      <c r="L310" s="4"/>
      <c r="M310" s="4"/>
    </row>
    <row r="311" spans="1:13">
      <c r="A311" s="4"/>
      <c r="B311" s="11"/>
      <c r="C311" s="11"/>
      <c r="D311" s="11"/>
      <c r="E311" s="14"/>
      <c r="F311" s="4"/>
      <c r="G311" s="14"/>
      <c r="H311" s="22"/>
      <c r="I311" s="4"/>
      <c r="J311" s="4"/>
      <c r="K311" s="4"/>
      <c r="L311" s="4"/>
      <c r="M311" s="4"/>
    </row>
    <row r="312" spans="1:13">
      <c r="A312" s="4"/>
      <c r="B312" s="11"/>
      <c r="C312" s="11"/>
      <c r="D312" s="11"/>
      <c r="E312" s="14"/>
      <c r="F312" s="4"/>
      <c r="G312" s="14"/>
      <c r="H312" s="22"/>
      <c r="I312" s="4"/>
      <c r="J312" s="4"/>
      <c r="K312" s="4"/>
      <c r="L312" s="4"/>
      <c r="M312" s="4"/>
    </row>
    <row r="313" spans="1:13">
      <c r="A313" s="4"/>
      <c r="B313" s="11"/>
      <c r="C313" s="11"/>
      <c r="D313" s="11"/>
      <c r="E313" s="14"/>
      <c r="F313" s="4"/>
      <c r="G313" s="14"/>
      <c r="H313" s="22"/>
      <c r="I313" s="4"/>
      <c r="J313" s="4"/>
      <c r="K313" s="4"/>
      <c r="L313" s="4"/>
      <c r="M313" s="4"/>
    </row>
    <row r="314" spans="1:13">
      <c r="A314" s="4"/>
      <c r="B314" s="11"/>
      <c r="C314" s="11"/>
      <c r="D314" s="11"/>
      <c r="E314" s="14"/>
      <c r="F314" s="4"/>
      <c r="G314" s="14"/>
      <c r="H314" s="22"/>
      <c r="I314" s="4"/>
      <c r="J314" s="4"/>
      <c r="K314" s="4"/>
      <c r="L314" s="4"/>
      <c r="M314" s="4"/>
    </row>
    <row r="315" spans="1:13">
      <c r="A315" s="4"/>
      <c r="B315" s="11"/>
      <c r="C315" s="11"/>
      <c r="D315" s="11"/>
      <c r="E315" s="14"/>
      <c r="F315" s="4"/>
      <c r="G315" s="14"/>
      <c r="H315" s="22"/>
      <c r="I315" s="4"/>
      <c r="J315" s="4"/>
      <c r="K315" s="4"/>
      <c r="L315" s="4"/>
      <c r="M315" s="4"/>
    </row>
    <row r="316" spans="1:13">
      <c r="A316" s="4"/>
      <c r="B316" s="11"/>
      <c r="C316" s="11"/>
      <c r="D316" s="11"/>
      <c r="E316" s="14"/>
      <c r="F316" s="4"/>
      <c r="G316" s="14"/>
      <c r="H316" s="22"/>
      <c r="I316" s="4"/>
      <c r="J316" s="4"/>
      <c r="K316" s="4"/>
      <c r="L316" s="4"/>
      <c r="M316" s="4"/>
    </row>
    <row r="317" spans="1:13">
      <c r="A317" s="4"/>
      <c r="B317" s="11"/>
      <c r="C317" s="11"/>
      <c r="D317" s="11"/>
      <c r="E317" s="14"/>
      <c r="F317" s="4"/>
      <c r="G317" s="14"/>
      <c r="H317" s="22"/>
      <c r="I317" s="4"/>
      <c r="J317" s="4"/>
      <c r="K317" s="4"/>
      <c r="L317" s="4"/>
      <c r="M317" s="4"/>
    </row>
    <row r="318" spans="1:13">
      <c r="A318" s="4"/>
      <c r="B318" s="11"/>
      <c r="C318" s="11"/>
      <c r="D318" s="11"/>
      <c r="E318" s="14"/>
      <c r="F318" s="4"/>
      <c r="G318" s="14"/>
      <c r="H318" s="22"/>
      <c r="I318" s="4"/>
      <c r="J318" s="4"/>
      <c r="K318" s="4"/>
      <c r="L318" s="4"/>
      <c r="M318" s="4"/>
    </row>
    <row r="319" spans="1:13">
      <c r="A319" s="4"/>
      <c r="B319" s="11"/>
      <c r="C319" s="11"/>
      <c r="D319" s="11"/>
      <c r="E319" s="14"/>
      <c r="F319" s="4"/>
      <c r="G319" s="14"/>
      <c r="H319" s="22"/>
      <c r="I319" s="4"/>
      <c r="J319" s="4"/>
      <c r="K319" s="4"/>
      <c r="L319" s="4"/>
      <c r="M319" s="4"/>
    </row>
    <row r="320" spans="1:13">
      <c r="A320" s="4"/>
      <c r="B320" s="11"/>
      <c r="C320" s="11"/>
      <c r="D320" s="11"/>
      <c r="E320" s="14"/>
      <c r="F320" s="4"/>
      <c r="G320" s="14"/>
      <c r="H320" s="22"/>
      <c r="I320" s="4"/>
      <c r="J320" s="4"/>
      <c r="K320" s="4"/>
      <c r="L320" s="4"/>
      <c r="M320" s="4"/>
    </row>
    <row r="321" spans="1:13">
      <c r="A321" s="4"/>
      <c r="B321" s="11"/>
      <c r="C321" s="11"/>
      <c r="D321" s="11"/>
      <c r="E321" s="14"/>
      <c r="F321" s="4"/>
      <c r="G321" s="14"/>
      <c r="H321" s="22"/>
      <c r="I321" s="4"/>
      <c r="J321" s="4"/>
      <c r="K321" s="4"/>
      <c r="L321" s="4"/>
      <c r="M321" s="4"/>
    </row>
    <row r="322" spans="1:13">
      <c r="A322" s="4"/>
      <c r="B322" s="11"/>
      <c r="C322" s="11"/>
      <c r="D322" s="11"/>
      <c r="E322" s="14"/>
      <c r="F322" s="4"/>
      <c r="G322" s="14"/>
      <c r="H322" s="22"/>
      <c r="I322" s="4"/>
      <c r="J322" s="4"/>
      <c r="K322" s="4"/>
      <c r="L322" s="4"/>
      <c r="M322" s="4"/>
    </row>
    <row r="323" spans="1:13">
      <c r="A323" s="4"/>
      <c r="B323" s="11"/>
      <c r="C323" s="11"/>
      <c r="D323" s="11"/>
      <c r="E323" s="14"/>
      <c r="F323" s="4"/>
      <c r="G323" s="14"/>
      <c r="H323" s="22"/>
      <c r="I323" s="4"/>
      <c r="J323" s="4"/>
      <c r="K323" s="4"/>
      <c r="L323" s="4"/>
      <c r="M323" s="4"/>
    </row>
    <row r="324" spans="1:13">
      <c r="A324" s="4"/>
      <c r="B324" s="11"/>
      <c r="C324" s="11"/>
      <c r="D324" s="11"/>
      <c r="E324" s="14"/>
      <c r="F324" s="4"/>
      <c r="G324" s="14"/>
      <c r="H324" s="22"/>
      <c r="I324" s="4"/>
      <c r="J324" s="4"/>
      <c r="K324" s="4"/>
      <c r="L324" s="4"/>
      <c r="M324" s="4"/>
    </row>
    <row r="325" spans="1:13">
      <c r="A325" s="4"/>
      <c r="B325" s="11"/>
      <c r="C325" s="11"/>
      <c r="D325" s="11"/>
      <c r="E325" s="14"/>
      <c r="F325" s="4"/>
      <c r="G325" s="14"/>
      <c r="H325" s="22"/>
      <c r="I325" s="4"/>
      <c r="J325" s="4"/>
      <c r="K325" s="4"/>
      <c r="L325" s="4"/>
      <c r="M325" s="4"/>
    </row>
    <row r="326" spans="1:13">
      <c r="A326" s="4"/>
      <c r="B326" s="11"/>
      <c r="C326" s="11"/>
      <c r="D326" s="11"/>
      <c r="E326" s="14"/>
      <c r="F326" s="4"/>
      <c r="G326" s="14"/>
      <c r="H326" s="22"/>
      <c r="I326" s="4"/>
      <c r="J326" s="4"/>
      <c r="K326" s="4"/>
      <c r="L326" s="4"/>
      <c r="M326" s="4"/>
    </row>
    <row r="327" spans="1:13">
      <c r="A327" s="4"/>
      <c r="B327" s="11"/>
      <c r="C327" s="11"/>
      <c r="D327" s="11"/>
      <c r="E327" s="14"/>
      <c r="F327" s="4"/>
      <c r="G327" s="14"/>
      <c r="H327" s="22"/>
      <c r="I327" s="4"/>
      <c r="J327" s="4"/>
      <c r="K327" s="4"/>
      <c r="L327" s="4"/>
      <c r="M327" s="4"/>
    </row>
    <row r="328" spans="1:13">
      <c r="A328" s="4"/>
      <c r="B328" s="11"/>
      <c r="C328" s="11"/>
      <c r="D328" s="11"/>
      <c r="E328" s="14"/>
      <c r="F328" s="4"/>
      <c r="G328" s="14"/>
      <c r="H328" s="22"/>
      <c r="I328" s="4"/>
      <c r="J328" s="4"/>
      <c r="K328" s="4"/>
      <c r="L328" s="4"/>
      <c r="M328" s="4"/>
    </row>
    <row r="329" spans="1:13">
      <c r="A329" s="4"/>
      <c r="B329" s="11"/>
      <c r="C329" s="11"/>
      <c r="D329" s="11"/>
      <c r="E329" s="14"/>
      <c r="F329" s="4"/>
      <c r="G329" s="14"/>
      <c r="H329" s="22"/>
      <c r="I329" s="4"/>
      <c r="J329" s="4"/>
      <c r="K329" s="4"/>
      <c r="L329" s="4"/>
      <c r="M329" s="4"/>
    </row>
    <row r="330" spans="1:13">
      <c r="A330" s="4"/>
      <c r="B330" s="11"/>
      <c r="C330" s="11"/>
      <c r="D330" s="11"/>
      <c r="E330" s="14"/>
      <c r="F330" s="4"/>
      <c r="G330" s="14"/>
      <c r="H330" s="22"/>
      <c r="I330" s="4"/>
      <c r="J330" s="4"/>
      <c r="K330" s="4"/>
      <c r="L330" s="4"/>
      <c r="M330" s="4"/>
    </row>
    <row r="331" spans="1:13">
      <c r="A331" s="4"/>
      <c r="B331" s="11"/>
      <c r="C331" s="11"/>
      <c r="D331" s="11"/>
      <c r="E331" s="14"/>
      <c r="F331" s="4"/>
      <c r="G331" s="14"/>
      <c r="H331" s="22"/>
      <c r="I331" s="4"/>
      <c r="J331" s="4"/>
      <c r="K331" s="4"/>
      <c r="L331" s="4"/>
      <c r="M331" s="4"/>
    </row>
    <row r="332" spans="1:13">
      <c r="A332" s="4"/>
      <c r="B332" s="11"/>
      <c r="C332" s="11"/>
      <c r="D332" s="11"/>
      <c r="E332" s="14"/>
      <c r="F332" s="4"/>
      <c r="G332" s="14"/>
      <c r="H332" s="22"/>
      <c r="I332" s="4"/>
      <c r="J332" s="4"/>
      <c r="K332" s="4"/>
      <c r="L332" s="4"/>
      <c r="M332" s="4"/>
    </row>
    <row r="333" spans="1:13">
      <c r="A333" s="4"/>
      <c r="B333" s="11"/>
      <c r="C333" s="11"/>
      <c r="D333" s="11"/>
      <c r="E333" s="14"/>
      <c r="F333" s="4"/>
      <c r="G333" s="14"/>
      <c r="H333" s="22"/>
      <c r="I333" s="4"/>
      <c r="J333" s="4"/>
      <c r="K333" s="4"/>
      <c r="L333" s="4"/>
      <c r="M333" s="4"/>
    </row>
    <row r="334" spans="1:13">
      <c r="A334" s="4"/>
      <c r="B334" s="11"/>
      <c r="C334" s="11"/>
      <c r="D334" s="11"/>
      <c r="E334" s="14"/>
      <c r="F334" s="4"/>
      <c r="G334" s="14"/>
      <c r="H334" s="22"/>
      <c r="I334" s="4"/>
      <c r="J334" s="4"/>
      <c r="K334" s="4"/>
      <c r="L334" s="4"/>
      <c r="M334" s="4"/>
    </row>
    <row r="335" spans="1:13">
      <c r="A335" s="4"/>
      <c r="B335" s="11"/>
      <c r="C335" s="11"/>
      <c r="D335" s="11"/>
      <c r="E335" s="14"/>
      <c r="F335" s="4"/>
      <c r="G335" s="14"/>
      <c r="H335" s="22"/>
      <c r="I335" s="4"/>
      <c r="J335" s="4"/>
      <c r="K335" s="4"/>
      <c r="L335" s="4"/>
      <c r="M335" s="4"/>
    </row>
    <row r="336" spans="1:13">
      <c r="A336" s="4"/>
      <c r="B336" s="11"/>
      <c r="C336" s="11"/>
      <c r="D336" s="11"/>
      <c r="E336" s="14"/>
      <c r="F336" s="4"/>
      <c r="G336" s="14"/>
      <c r="H336" s="22"/>
      <c r="I336" s="4"/>
      <c r="J336" s="4"/>
      <c r="K336" s="4"/>
      <c r="L336" s="4"/>
      <c r="M336" s="4"/>
    </row>
    <row r="337" spans="1:13">
      <c r="A337" s="4"/>
      <c r="B337" s="11"/>
      <c r="C337" s="11"/>
      <c r="D337" s="11"/>
      <c r="E337" s="14"/>
      <c r="F337" s="4"/>
      <c r="G337" s="14"/>
      <c r="H337" s="22"/>
      <c r="I337" s="4"/>
      <c r="J337" s="4"/>
      <c r="K337" s="4"/>
      <c r="L337" s="4"/>
      <c r="M337" s="4"/>
    </row>
    <row r="338" spans="1:13">
      <c r="A338" s="4"/>
      <c r="B338" s="11"/>
      <c r="C338" s="11"/>
      <c r="D338" s="11"/>
      <c r="E338" s="14"/>
      <c r="F338" s="4"/>
      <c r="G338" s="14"/>
      <c r="H338" s="22"/>
      <c r="I338" s="4"/>
      <c r="J338" s="4"/>
      <c r="K338" s="4"/>
      <c r="L338" s="4"/>
      <c r="M338" s="4"/>
    </row>
    <row r="339" spans="1:13">
      <c r="A339" s="4"/>
      <c r="B339" s="11"/>
      <c r="C339" s="11"/>
      <c r="D339" s="11"/>
      <c r="E339" s="14"/>
      <c r="F339" s="4"/>
      <c r="G339" s="14"/>
      <c r="H339" s="22"/>
      <c r="I339" s="4"/>
      <c r="J339" s="4"/>
      <c r="K339" s="4"/>
      <c r="L339" s="4"/>
      <c r="M339" s="4"/>
    </row>
    <row r="340" spans="1:13">
      <c r="A340" s="4"/>
      <c r="B340" s="11"/>
      <c r="C340" s="11"/>
      <c r="D340" s="11"/>
      <c r="E340" s="14"/>
      <c r="F340" s="4"/>
      <c r="G340" s="14"/>
      <c r="H340" s="22"/>
      <c r="I340" s="4"/>
      <c r="J340" s="4"/>
      <c r="K340" s="4"/>
      <c r="L340" s="4"/>
      <c r="M340" s="4"/>
    </row>
    <row r="341" spans="1:13">
      <c r="A341" s="4"/>
      <c r="B341" s="11"/>
      <c r="C341" s="11"/>
      <c r="D341" s="11"/>
      <c r="E341" s="14"/>
      <c r="F341" s="4"/>
      <c r="G341" s="14"/>
      <c r="H341" s="22"/>
      <c r="I341" s="4"/>
      <c r="J341" s="4"/>
      <c r="K341" s="4"/>
      <c r="L341" s="4"/>
      <c r="M341" s="4"/>
    </row>
    <row r="342" spans="1:13">
      <c r="A342" s="4"/>
      <c r="B342" s="11"/>
      <c r="C342" s="11"/>
      <c r="D342" s="11"/>
      <c r="E342" s="14"/>
      <c r="F342" s="4"/>
      <c r="G342" s="14"/>
      <c r="H342" s="22"/>
      <c r="I342" s="4"/>
      <c r="J342" s="4"/>
      <c r="K342" s="4"/>
      <c r="L342" s="4"/>
      <c r="M342" s="4"/>
    </row>
    <row r="343" spans="1:13">
      <c r="A343" s="4"/>
      <c r="B343" s="11"/>
      <c r="C343" s="11"/>
      <c r="D343" s="11"/>
      <c r="E343" s="14"/>
      <c r="F343" s="4"/>
      <c r="G343" s="14"/>
      <c r="H343" s="22"/>
      <c r="I343" s="4"/>
      <c r="J343" s="4"/>
      <c r="K343" s="4"/>
      <c r="L343" s="4"/>
      <c r="M343" s="4"/>
    </row>
    <row r="344" spans="1:13">
      <c r="A344" s="4"/>
      <c r="B344" s="11"/>
      <c r="C344" s="11"/>
      <c r="D344" s="11"/>
      <c r="E344" s="14"/>
      <c r="F344" s="4"/>
      <c r="G344" s="14"/>
      <c r="H344" s="22"/>
      <c r="I344" s="4"/>
      <c r="J344" s="4"/>
      <c r="K344" s="4"/>
      <c r="L344" s="4"/>
      <c r="M344" s="4"/>
    </row>
    <row r="345" spans="1:13">
      <c r="A345" s="4"/>
      <c r="B345" s="11"/>
      <c r="C345" s="11"/>
      <c r="D345" s="11"/>
      <c r="E345" s="14"/>
      <c r="F345" s="4"/>
      <c r="G345" s="14"/>
      <c r="H345" s="22"/>
      <c r="I345" s="4"/>
      <c r="J345" s="4"/>
      <c r="K345" s="4"/>
      <c r="L345" s="4"/>
      <c r="M345" s="4"/>
    </row>
    <row r="346" spans="1:13">
      <c r="A346" s="4"/>
      <c r="B346" s="11"/>
      <c r="C346" s="11"/>
      <c r="D346" s="11"/>
      <c r="E346" s="14"/>
      <c r="F346" s="4"/>
      <c r="G346" s="14"/>
      <c r="H346" s="22"/>
      <c r="I346" s="4"/>
      <c r="J346" s="4"/>
      <c r="K346" s="4"/>
      <c r="L346" s="4"/>
      <c r="M346" s="4"/>
    </row>
    <row r="347" spans="1:13">
      <c r="A347" s="4"/>
      <c r="B347" s="11"/>
      <c r="C347" s="11"/>
      <c r="D347" s="11"/>
      <c r="E347" s="14"/>
      <c r="F347" s="4"/>
      <c r="G347" s="14"/>
      <c r="H347" s="22"/>
      <c r="I347" s="4"/>
      <c r="J347" s="4"/>
      <c r="K347" s="4"/>
      <c r="L347" s="4"/>
      <c r="M347" s="4"/>
    </row>
    <row r="348" spans="1:13">
      <c r="A348" s="4"/>
      <c r="B348" s="11"/>
      <c r="C348" s="11"/>
      <c r="D348" s="11"/>
      <c r="E348" s="14"/>
      <c r="F348" s="4"/>
      <c r="G348" s="14"/>
      <c r="H348" s="22"/>
      <c r="I348" s="4"/>
      <c r="J348" s="4"/>
      <c r="K348" s="4"/>
      <c r="L348" s="4"/>
      <c r="M348" s="4"/>
    </row>
    <row r="349" spans="1:13">
      <c r="A349" s="4"/>
      <c r="B349" s="11"/>
      <c r="C349" s="11"/>
      <c r="D349" s="11"/>
      <c r="E349" s="14"/>
      <c r="F349" s="4"/>
      <c r="G349" s="14"/>
      <c r="H349" s="22"/>
      <c r="I349" s="4"/>
      <c r="J349" s="4"/>
      <c r="K349" s="4"/>
      <c r="L349" s="4"/>
      <c r="M349" s="4"/>
    </row>
    <row r="350" spans="1:13">
      <c r="A350" s="4"/>
      <c r="B350" s="11"/>
      <c r="C350" s="11"/>
      <c r="D350" s="11"/>
      <c r="E350" s="14"/>
      <c r="F350" s="4"/>
      <c r="G350" s="14"/>
      <c r="H350" s="22"/>
      <c r="I350" s="4"/>
      <c r="J350" s="4"/>
      <c r="K350" s="4"/>
      <c r="L350" s="4"/>
      <c r="M350" s="4"/>
    </row>
    <row r="351" spans="1:13">
      <c r="A351" s="4"/>
      <c r="B351" s="11"/>
      <c r="C351" s="11"/>
      <c r="D351" s="11"/>
      <c r="E351" s="14"/>
      <c r="F351" s="4"/>
      <c r="G351" s="14"/>
      <c r="H351" s="22"/>
      <c r="I351" s="4"/>
      <c r="J351" s="4"/>
      <c r="K351" s="4"/>
      <c r="L351" s="4"/>
      <c r="M351" s="4"/>
    </row>
    <row r="352" spans="1:13">
      <c r="A352" s="4"/>
      <c r="B352" s="11"/>
      <c r="C352" s="11"/>
      <c r="D352" s="11"/>
      <c r="E352" s="14"/>
      <c r="F352" s="4"/>
      <c r="G352" s="14"/>
      <c r="H352" s="22"/>
      <c r="I352" s="4"/>
      <c r="J352" s="4"/>
      <c r="K352" s="4"/>
      <c r="L352" s="4"/>
      <c r="M352" s="4"/>
    </row>
    <row r="353" spans="1:13">
      <c r="A353" s="4"/>
      <c r="B353" s="11"/>
      <c r="C353" s="11"/>
      <c r="D353" s="11"/>
      <c r="E353" s="14"/>
      <c r="F353" s="4"/>
      <c r="G353" s="14"/>
      <c r="H353" s="22"/>
      <c r="I353" s="4"/>
      <c r="J353" s="4"/>
      <c r="K353" s="4"/>
      <c r="L353" s="4"/>
      <c r="M353" s="4"/>
    </row>
    <row r="354" spans="1:13">
      <c r="A354" s="4"/>
      <c r="B354" s="11"/>
      <c r="C354" s="11"/>
      <c r="D354" s="11"/>
      <c r="E354" s="14"/>
      <c r="F354" s="4"/>
      <c r="G354" s="14"/>
      <c r="H354" s="22"/>
      <c r="I354" s="4"/>
      <c r="J354" s="4"/>
      <c r="K354" s="4"/>
      <c r="L354" s="4"/>
      <c r="M354" s="4"/>
    </row>
    <row r="355" spans="1:13">
      <c r="A355" s="4"/>
      <c r="B355" s="11"/>
      <c r="C355" s="11"/>
      <c r="D355" s="11"/>
      <c r="E355" s="14"/>
      <c r="F355" s="4"/>
      <c r="G355" s="14"/>
      <c r="H355" s="22"/>
      <c r="I355" s="4"/>
      <c r="J355" s="4"/>
      <c r="K355" s="4"/>
      <c r="L355" s="4"/>
      <c r="M355" s="4"/>
    </row>
    <row r="356" spans="1:13">
      <c r="A356" s="4"/>
      <c r="B356" s="11"/>
      <c r="C356" s="11"/>
      <c r="D356" s="11"/>
      <c r="E356" s="14"/>
      <c r="F356" s="4"/>
      <c r="G356" s="14"/>
      <c r="H356" s="22"/>
      <c r="I356" s="4"/>
      <c r="J356" s="4"/>
      <c r="K356" s="4"/>
      <c r="L356" s="4"/>
      <c r="M356" s="4"/>
    </row>
    <row r="357" spans="1:13">
      <c r="A357" s="4"/>
      <c r="B357" s="11"/>
      <c r="C357" s="11"/>
      <c r="D357" s="11"/>
      <c r="E357" s="14"/>
      <c r="F357" s="4"/>
      <c r="G357" s="14"/>
      <c r="H357" s="22"/>
      <c r="I357" s="4"/>
      <c r="J357" s="4"/>
      <c r="K357" s="4"/>
      <c r="L357" s="4"/>
      <c r="M357" s="4"/>
    </row>
    <row r="358" spans="1:13">
      <c r="A358" s="4"/>
      <c r="B358" s="11"/>
      <c r="C358" s="11"/>
      <c r="D358" s="11"/>
      <c r="E358" s="14"/>
      <c r="F358" s="4"/>
      <c r="G358" s="14"/>
      <c r="H358" s="22"/>
      <c r="I358" s="4"/>
      <c r="J358" s="4"/>
      <c r="K358" s="4"/>
      <c r="L358" s="4"/>
      <c r="M358" s="4"/>
    </row>
    <row r="359" spans="1:13">
      <c r="A359" s="4"/>
      <c r="B359" s="11"/>
      <c r="C359" s="11"/>
      <c r="D359" s="11"/>
      <c r="E359" s="14"/>
      <c r="F359" s="4"/>
      <c r="G359" s="14"/>
      <c r="H359" s="22"/>
      <c r="I359" s="4"/>
      <c r="J359" s="4"/>
      <c r="K359" s="4"/>
      <c r="L359" s="4"/>
      <c r="M359" s="4"/>
    </row>
    <row r="360" spans="1:13">
      <c r="A360" s="4"/>
      <c r="B360" s="11"/>
      <c r="C360" s="11"/>
      <c r="D360" s="11"/>
      <c r="E360" s="14"/>
      <c r="F360" s="4"/>
      <c r="G360" s="14"/>
      <c r="H360" s="22"/>
      <c r="I360" s="4"/>
      <c r="J360" s="4"/>
      <c r="K360" s="4"/>
      <c r="L360" s="4"/>
      <c r="M360" s="4"/>
    </row>
    <row r="361" spans="1:13">
      <c r="A361" s="4"/>
      <c r="B361" s="11"/>
      <c r="C361" s="11"/>
      <c r="D361" s="11"/>
      <c r="E361" s="14"/>
      <c r="F361" s="4"/>
      <c r="G361" s="14"/>
      <c r="H361" s="22"/>
      <c r="I361" s="4"/>
      <c r="J361" s="4"/>
      <c r="K361" s="4"/>
      <c r="L361" s="4"/>
      <c r="M361" s="4"/>
    </row>
    <row r="362" spans="1:13">
      <c r="A362" s="4"/>
      <c r="B362" s="11"/>
      <c r="C362" s="11"/>
      <c r="D362" s="11"/>
      <c r="E362" s="14"/>
      <c r="F362" s="4"/>
      <c r="G362" s="14"/>
      <c r="H362" s="22"/>
      <c r="I362" s="4"/>
      <c r="J362" s="4"/>
      <c r="K362" s="4"/>
      <c r="L362" s="4"/>
      <c r="M362" s="4"/>
    </row>
    <row r="363" spans="1:13">
      <c r="A363" s="4"/>
      <c r="B363" s="11"/>
      <c r="C363" s="11"/>
      <c r="D363" s="11"/>
      <c r="E363" s="14"/>
      <c r="F363" s="4"/>
      <c r="G363" s="14"/>
      <c r="H363" s="22"/>
      <c r="I363" s="4"/>
      <c r="J363" s="4"/>
      <c r="K363" s="4"/>
      <c r="L363" s="4"/>
      <c r="M363" s="4"/>
    </row>
    <row r="364" spans="1:13">
      <c r="A364" s="4"/>
      <c r="B364" s="11"/>
      <c r="C364" s="11"/>
      <c r="D364" s="11"/>
      <c r="E364" s="14"/>
      <c r="F364" s="4"/>
      <c r="G364" s="14"/>
      <c r="H364" s="22"/>
      <c r="I364" s="4"/>
      <c r="J364" s="4"/>
      <c r="K364" s="4"/>
      <c r="L364" s="4"/>
      <c r="M364" s="4"/>
    </row>
    <row r="365" spans="1:13">
      <c r="A365" s="4"/>
      <c r="B365" s="11"/>
      <c r="C365" s="11"/>
      <c r="D365" s="11"/>
      <c r="E365" s="14"/>
      <c r="F365" s="4"/>
      <c r="G365" s="14"/>
      <c r="H365" s="22"/>
      <c r="I365" s="4"/>
      <c r="J365" s="4"/>
      <c r="K365" s="4"/>
      <c r="L365" s="4"/>
      <c r="M365" s="4"/>
    </row>
    <row r="366" spans="1:13">
      <c r="A366" s="4"/>
      <c r="B366" s="11"/>
      <c r="C366" s="11"/>
      <c r="D366" s="11"/>
      <c r="E366" s="14"/>
      <c r="F366" s="4"/>
      <c r="G366" s="14"/>
      <c r="H366" s="22"/>
      <c r="I366" s="4"/>
      <c r="J366" s="4"/>
      <c r="K366" s="4"/>
      <c r="L366" s="4"/>
      <c r="M366" s="4"/>
    </row>
    <row r="367" spans="1:13">
      <c r="A367" s="4"/>
      <c r="B367" s="11"/>
      <c r="C367" s="11"/>
      <c r="D367" s="11"/>
      <c r="E367" s="14"/>
      <c r="F367" s="4"/>
      <c r="G367" s="14"/>
      <c r="H367" s="22"/>
      <c r="I367" s="4"/>
      <c r="J367" s="4"/>
      <c r="K367" s="4"/>
      <c r="L367" s="4"/>
      <c r="M367" s="4"/>
    </row>
    <row r="368" spans="1:13">
      <c r="A368" s="4"/>
      <c r="B368" s="11"/>
      <c r="C368" s="11"/>
      <c r="D368" s="11"/>
      <c r="E368" s="14"/>
      <c r="F368" s="4"/>
      <c r="G368" s="14"/>
      <c r="H368" s="22"/>
      <c r="I368" s="4"/>
      <c r="J368" s="4"/>
      <c r="K368" s="4"/>
      <c r="L368" s="4"/>
      <c r="M368" s="4"/>
    </row>
    <row r="369" spans="1:13">
      <c r="A369" s="4"/>
      <c r="B369" s="11"/>
      <c r="C369" s="11"/>
      <c r="D369" s="11"/>
      <c r="E369" s="14"/>
      <c r="F369" s="4"/>
      <c r="G369" s="14"/>
      <c r="H369" s="22"/>
      <c r="I369" s="4"/>
      <c r="J369" s="4"/>
      <c r="K369" s="4"/>
      <c r="L369" s="4"/>
      <c r="M369" s="4"/>
    </row>
    <row r="370" spans="1:13">
      <c r="A370" s="4"/>
      <c r="B370" s="11"/>
      <c r="C370" s="11"/>
      <c r="D370" s="11"/>
      <c r="E370" s="14"/>
      <c r="F370" s="4"/>
      <c r="G370" s="14"/>
      <c r="H370" s="22"/>
      <c r="I370" s="4"/>
      <c r="J370" s="4"/>
      <c r="K370" s="4"/>
      <c r="L370" s="4"/>
      <c r="M370" s="4"/>
    </row>
    <row r="371" spans="1:13">
      <c r="A371" s="4"/>
      <c r="B371" s="11"/>
      <c r="C371" s="11"/>
      <c r="D371" s="11"/>
      <c r="E371" s="14"/>
      <c r="F371" s="4"/>
      <c r="G371" s="14"/>
      <c r="H371" s="22"/>
      <c r="I371" s="4"/>
      <c r="J371" s="4"/>
      <c r="K371" s="4"/>
      <c r="L371" s="4"/>
      <c r="M371" s="4"/>
    </row>
    <row r="372" spans="1:13">
      <c r="A372" s="4"/>
      <c r="B372" s="11"/>
      <c r="C372" s="11"/>
      <c r="D372" s="11"/>
      <c r="E372" s="14"/>
      <c r="F372" s="4"/>
      <c r="G372" s="14"/>
      <c r="H372" s="22"/>
      <c r="I372" s="4"/>
      <c r="J372" s="4"/>
      <c r="K372" s="4"/>
      <c r="L372" s="4"/>
      <c r="M372" s="4"/>
    </row>
    <row r="373" spans="1:13">
      <c r="A373" s="4"/>
      <c r="B373" s="11"/>
      <c r="C373" s="11"/>
      <c r="D373" s="11"/>
      <c r="E373" s="14"/>
      <c r="F373" s="4"/>
      <c r="G373" s="14"/>
      <c r="H373" s="22"/>
      <c r="I373" s="4"/>
      <c r="J373" s="4"/>
      <c r="K373" s="4"/>
      <c r="L373" s="4"/>
      <c r="M373" s="4"/>
    </row>
    <row r="374" spans="1:13">
      <c r="A374" s="4"/>
      <c r="B374" s="11"/>
      <c r="C374" s="11"/>
      <c r="D374" s="11"/>
      <c r="E374" s="14"/>
      <c r="F374" s="4"/>
      <c r="G374" s="14"/>
      <c r="H374" s="22"/>
      <c r="I374" s="4"/>
      <c r="J374" s="4"/>
      <c r="K374" s="4"/>
      <c r="L374" s="4"/>
      <c r="M374" s="4"/>
    </row>
    <row r="375" spans="1:13">
      <c r="A375" s="4"/>
      <c r="B375" s="11"/>
      <c r="C375" s="11"/>
      <c r="D375" s="11"/>
      <c r="E375" s="14"/>
      <c r="F375" s="4"/>
      <c r="G375" s="14"/>
      <c r="H375" s="22"/>
      <c r="I375" s="4"/>
      <c r="J375" s="4"/>
      <c r="K375" s="4"/>
      <c r="L375" s="4"/>
      <c r="M375" s="4"/>
    </row>
    <row r="376" spans="1:13">
      <c r="A376" s="4"/>
      <c r="B376" s="11"/>
      <c r="C376" s="11"/>
      <c r="D376" s="11"/>
      <c r="E376" s="14"/>
      <c r="F376" s="4"/>
      <c r="G376" s="14"/>
      <c r="H376" s="22"/>
      <c r="I376" s="4"/>
      <c r="J376" s="4"/>
      <c r="K376" s="4"/>
      <c r="L376" s="4"/>
      <c r="M376" s="4"/>
    </row>
    <row r="377" spans="1:13">
      <c r="A377" s="4"/>
      <c r="B377" s="11"/>
      <c r="C377" s="11"/>
      <c r="D377" s="11"/>
      <c r="E377" s="14"/>
      <c r="F377" s="4"/>
      <c r="G377" s="14"/>
      <c r="H377" s="22"/>
      <c r="I377" s="4"/>
      <c r="J377" s="4"/>
      <c r="K377" s="4"/>
      <c r="L377" s="4"/>
      <c r="M377" s="4"/>
    </row>
    <row r="378" spans="1:13">
      <c r="A378" s="4"/>
      <c r="B378" s="11"/>
      <c r="C378" s="11"/>
      <c r="D378" s="11"/>
      <c r="E378" s="14"/>
      <c r="F378" s="4"/>
      <c r="G378" s="14"/>
      <c r="H378" s="22"/>
      <c r="I378" s="4"/>
      <c r="J378" s="4"/>
      <c r="K378" s="4"/>
      <c r="L378" s="4"/>
      <c r="M378" s="4"/>
    </row>
    <row r="379" spans="1:13">
      <c r="A379" s="4"/>
      <c r="B379" s="11"/>
      <c r="C379" s="11"/>
      <c r="D379" s="11"/>
      <c r="E379" s="14"/>
      <c r="F379" s="4"/>
      <c r="G379" s="14"/>
      <c r="H379" s="22"/>
      <c r="I379" s="4"/>
      <c r="J379" s="4"/>
      <c r="K379" s="4"/>
      <c r="L379" s="4"/>
      <c r="M379" s="4"/>
    </row>
    <row r="380" spans="1:13">
      <c r="A380" s="4"/>
      <c r="B380" s="11"/>
      <c r="C380" s="11"/>
      <c r="D380" s="11"/>
      <c r="E380" s="14"/>
      <c r="F380" s="4"/>
      <c r="G380" s="14"/>
      <c r="H380" s="22"/>
      <c r="I380" s="4"/>
      <c r="J380" s="4"/>
      <c r="K380" s="4"/>
      <c r="L380" s="4"/>
      <c r="M380" s="4"/>
    </row>
    <row r="381" spans="1:13">
      <c r="A381" s="4"/>
      <c r="B381" s="11"/>
      <c r="C381" s="11"/>
      <c r="D381" s="11"/>
      <c r="E381" s="14"/>
      <c r="F381" s="4"/>
      <c r="G381" s="14"/>
      <c r="H381" s="22"/>
      <c r="I381" s="4"/>
      <c r="J381" s="4"/>
      <c r="K381" s="4"/>
      <c r="L381" s="4"/>
      <c r="M381" s="4"/>
    </row>
    <row r="382" spans="1:13">
      <c r="A382" s="4"/>
      <c r="B382" s="11"/>
      <c r="C382" s="11"/>
      <c r="D382" s="11"/>
      <c r="E382" s="14"/>
      <c r="F382" s="4"/>
      <c r="G382" s="14"/>
      <c r="H382" s="22"/>
      <c r="I382" s="4"/>
      <c r="J382" s="4"/>
      <c r="K382" s="4"/>
      <c r="L382" s="4"/>
      <c r="M382" s="4"/>
    </row>
    <row r="383" spans="1:13">
      <c r="A383" s="4"/>
      <c r="B383" s="11"/>
      <c r="C383" s="11"/>
      <c r="D383" s="11"/>
      <c r="E383" s="14"/>
      <c r="F383" s="4"/>
      <c r="G383" s="14"/>
      <c r="H383" s="22"/>
      <c r="I383" s="4"/>
      <c r="J383" s="4"/>
      <c r="K383" s="4"/>
      <c r="L383" s="4"/>
      <c r="M383" s="4"/>
    </row>
    <row r="384" spans="1:13">
      <c r="A384" s="4"/>
      <c r="B384" s="11"/>
      <c r="C384" s="11"/>
      <c r="D384" s="11"/>
      <c r="E384" s="14"/>
      <c r="F384" s="4"/>
      <c r="G384" s="14"/>
      <c r="H384" s="22"/>
      <c r="I384" s="4"/>
      <c r="J384" s="4"/>
      <c r="K384" s="4"/>
      <c r="L384" s="4"/>
      <c r="M384" s="4"/>
    </row>
    <row r="385" spans="1:13">
      <c r="A385" s="4"/>
      <c r="B385" s="11"/>
      <c r="C385" s="11"/>
      <c r="D385" s="11"/>
      <c r="E385" s="14"/>
      <c r="F385" s="4"/>
      <c r="G385" s="14"/>
      <c r="H385" s="22"/>
      <c r="I385" s="4"/>
      <c r="J385" s="4"/>
      <c r="K385" s="4"/>
      <c r="L385" s="4"/>
      <c r="M385" s="4"/>
    </row>
    <row r="386" spans="1:13">
      <c r="A386" s="4"/>
      <c r="B386" s="11"/>
      <c r="C386" s="11"/>
      <c r="D386" s="11"/>
      <c r="E386" s="14"/>
      <c r="F386" s="4"/>
      <c r="G386" s="14"/>
      <c r="H386" s="22"/>
      <c r="I386" s="4"/>
      <c r="J386" s="4"/>
      <c r="K386" s="4"/>
      <c r="L386" s="4"/>
      <c r="M386" s="4"/>
    </row>
    <row r="387" spans="1:13">
      <c r="A387" s="4"/>
      <c r="B387" s="11"/>
      <c r="C387" s="11"/>
      <c r="D387" s="11"/>
      <c r="E387" s="14"/>
      <c r="F387" s="4"/>
      <c r="G387" s="14"/>
      <c r="H387" s="22"/>
      <c r="I387" s="4"/>
      <c r="J387" s="4"/>
      <c r="K387" s="4"/>
      <c r="L387" s="4"/>
      <c r="M387" s="4"/>
    </row>
    <row r="388" spans="1:13">
      <c r="A388" s="4"/>
      <c r="B388" s="11"/>
      <c r="C388" s="11"/>
      <c r="D388" s="11"/>
      <c r="E388" s="14"/>
      <c r="F388" s="4"/>
      <c r="G388" s="14"/>
      <c r="H388" s="22"/>
      <c r="I388" s="4"/>
      <c r="J388" s="4"/>
      <c r="K388" s="4"/>
      <c r="L388" s="4"/>
      <c r="M388" s="4"/>
    </row>
    <row r="389" spans="1:13">
      <c r="A389" s="4"/>
      <c r="B389" s="11"/>
      <c r="C389" s="11"/>
      <c r="D389" s="11"/>
      <c r="E389" s="14"/>
      <c r="F389" s="4"/>
      <c r="G389" s="14"/>
      <c r="H389" s="22"/>
      <c r="I389" s="4"/>
      <c r="J389" s="4"/>
      <c r="K389" s="4"/>
      <c r="L389" s="4"/>
      <c r="M389" s="4"/>
    </row>
    <row r="390" spans="1:13">
      <c r="A390" s="4"/>
      <c r="B390" s="11"/>
      <c r="C390" s="11"/>
      <c r="D390" s="11"/>
      <c r="E390" s="14"/>
      <c r="F390" s="4"/>
      <c r="G390" s="14"/>
      <c r="H390" s="22"/>
      <c r="I390" s="4"/>
      <c r="J390" s="4"/>
      <c r="K390" s="4"/>
      <c r="L390" s="4"/>
      <c r="M390" s="4"/>
    </row>
    <row r="391" spans="1:13">
      <c r="A391" s="4"/>
      <c r="B391" s="11"/>
      <c r="C391" s="11"/>
      <c r="D391" s="11"/>
      <c r="E391" s="14"/>
      <c r="F391" s="4"/>
      <c r="G391" s="14"/>
      <c r="H391" s="22"/>
      <c r="I391" s="4"/>
      <c r="J391" s="4"/>
      <c r="K391" s="4"/>
      <c r="L391" s="4"/>
      <c r="M391" s="4"/>
    </row>
    <row r="392" spans="1:13">
      <c r="A392" s="4"/>
      <c r="B392" s="11"/>
      <c r="C392" s="11"/>
      <c r="D392" s="11"/>
      <c r="E392" s="14"/>
      <c r="F392" s="4"/>
      <c r="G392" s="14"/>
      <c r="H392" s="22"/>
      <c r="I392" s="4"/>
      <c r="J392" s="4"/>
      <c r="K392" s="4"/>
      <c r="L392" s="4"/>
      <c r="M392" s="4"/>
    </row>
    <row r="393" spans="1:13">
      <c r="A393" s="4"/>
      <c r="B393" s="11"/>
      <c r="C393" s="11"/>
      <c r="D393" s="11"/>
      <c r="E393" s="14"/>
      <c r="F393" s="4"/>
      <c r="G393" s="14"/>
      <c r="H393" s="22"/>
      <c r="I393" s="4"/>
      <c r="J393" s="4"/>
      <c r="K393" s="4"/>
      <c r="L393" s="4"/>
      <c r="M393" s="4"/>
    </row>
    <row r="394" spans="1:13">
      <c r="A394" s="4"/>
      <c r="B394" s="11"/>
      <c r="C394" s="11"/>
      <c r="D394" s="11"/>
      <c r="E394" s="14"/>
      <c r="F394" s="4"/>
      <c r="G394" s="14"/>
      <c r="H394" s="22"/>
      <c r="I394" s="4"/>
      <c r="J394" s="4"/>
      <c r="K394" s="4"/>
      <c r="L394" s="4"/>
      <c r="M394" s="4"/>
    </row>
    <row r="395" spans="1:13">
      <c r="A395" s="4"/>
      <c r="B395" s="11"/>
      <c r="C395" s="11"/>
      <c r="D395" s="11"/>
      <c r="E395" s="14"/>
      <c r="F395" s="4"/>
      <c r="G395" s="14"/>
      <c r="H395" s="22"/>
      <c r="I395" s="4"/>
      <c r="J395" s="4"/>
      <c r="K395" s="4"/>
      <c r="L395" s="4"/>
      <c r="M395" s="4"/>
    </row>
    <row r="396" spans="1:13">
      <c r="A396" s="4"/>
      <c r="B396" s="11"/>
      <c r="C396" s="11"/>
      <c r="D396" s="11"/>
      <c r="E396" s="14"/>
      <c r="F396" s="4"/>
      <c r="G396" s="14"/>
      <c r="H396" s="22"/>
      <c r="I396" s="4"/>
      <c r="J396" s="4"/>
      <c r="K396" s="4"/>
      <c r="L396" s="4"/>
      <c r="M396" s="4"/>
    </row>
    <row r="397" spans="1:13">
      <c r="A397" s="4"/>
      <c r="B397" s="11"/>
      <c r="C397" s="11"/>
      <c r="D397" s="11"/>
      <c r="E397" s="14"/>
      <c r="F397" s="4"/>
      <c r="G397" s="14"/>
      <c r="H397" s="22"/>
      <c r="I397" s="4"/>
      <c r="J397" s="4"/>
      <c r="K397" s="4"/>
      <c r="L397" s="4"/>
      <c r="M397" s="4"/>
    </row>
    <row r="398" spans="1:13">
      <c r="A398" s="4"/>
      <c r="B398" s="11"/>
      <c r="C398" s="11"/>
      <c r="D398" s="11"/>
      <c r="E398" s="14"/>
      <c r="F398" s="4"/>
      <c r="G398" s="14"/>
      <c r="H398" s="22"/>
      <c r="I398" s="4"/>
      <c r="J398" s="4"/>
      <c r="K398" s="4"/>
      <c r="L398" s="4"/>
      <c r="M398" s="4"/>
    </row>
    <row r="399" spans="1:13">
      <c r="A399" s="4"/>
      <c r="B399" s="11"/>
      <c r="C399" s="11"/>
      <c r="D399" s="11"/>
      <c r="E399" s="14"/>
      <c r="F399" s="4"/>
      <c r="G399" s="14"/>
      <c r="H399" s="22"/>
      <c r="I399" s="4"/>
      <c r="J399" s="4"/>
      <c r="K399" s="4"/>
      <c r="L399" s="4"/>
      <c r="M399" s="4"/>
    </row>
    <row r="400" spans="1:13">
      <c r="A400" s="4"/>
      <c r="B400" s="11"/>
      <c r="C400" s="11"/>
      <c r="D400" s="11"/>
      <c r="E400" s="14"/>
      <c r="F400" s="4"/>
      <c r="G400" s="14"/>
      <c r="H400" s="22"/>
      <c r="I400" s="4"/>
      <c r="J400" s="4"/>
      <c r="K400" s="4"/>
      <c r="L400" s="4"/>
      <c r="M400" s="4"/>
    </row>
    <row r="401" spans="1:13">
      <c r="A401" s="4"/>
      <c r="B401" s="11"/>
      <c r="C401" s="11"/>
      <c r="D401" s="11"/>
      <c r="E401" s="14"/>
      <c r="F401" s="4"/>
      <c r="G401" s="14"/>
      <c r="H401" s="22"/>
      <c r="I401" s="4"/>
      <c r="J401" s="4"/>
      <c r="K401" s="4"/>
      <c r="L401" s="4"/>
      <c r="M401" s="4"/>
    </row>
    <row r="402" spans="1:13">
      <c r="A402" s="4"/>
      <c r="B402" s="11"/>
      <c r="C402" s="11"/>
      <c r="D402" s="11"/>
      <c r="E402" s="14"/>
      <c r="F402" s="4"/>
      <c r="G402" s="14"/>
      <c r="H402" s="22"/>
      <c r="I402" s="4"/>
      <c r="J402" s="4"/>
      <c r="K402" s="4"/>
      <c r="L402" s="4"/>
      <c r="M402" s="4"/>
    </row>
    <row r="403" spans="1:13">
      <c r="A403" s="4"/>
      <c r="B403" s="11"/>
      <c r="C403" s="11"/>
      <c r="D403" s="11"/>
      <c r="E403" s="14"/>
      <c r="F403" s="4"/>
      <c r="G403" s="14"/>
      <c r="H403" s="22"/>
      <c r="I403" s="4"/>
      <c r="J403" s="4"/>
      <c r="K403" s="4"/>
      <c r="L403" s="4"/>
      <c r="M403" s="4"/>
    </row>
    <row r="404" spans="1:13">
      <c r="A404" s="4"/>
      <c r="B404" s="11"/>
      <c r="C404" s="11"/>
      <c r="D404" s="11"/>
      <c r="E404" s="14"/>
      <c r="F404" s="4"/>
      <c r="G404" s="14"/>
      <c r="H404" s="22"/>
      <c r="I404" s="4"/>
      <c r="J404" s="4"/>
      <c r="K404" s="4"/>
      <c r="L404" s="4"/>
      <c r="M404" s="4"/>
    </row>
    <row r="405" spans="1:13">
      <c r="A405" s="4"/>
      <c r="B405" s="11"/>
      <c r="C405" s="11"/>
      <c r="D405" s="11"/>
      <c r="E405" s="14"/>
      <c r="F405" s="4"/>
      <c r="G405" s="14"/>
      <c r="H405" s="22"/>
      <c r="I405" s="4"/>
      <c r="J405" s="4"/>
      <c r="K405" s="4"/>
      <c r="L405" s="4"/>
      <c r="M405" s="4"/>
    </row>
    <row r="406" spans="1:13">
      <c r="A406" s="4"/>
      <c r="B406" s="11"/>
      <c r="C406" s="11"/>
      <c r="D406" s="11"/>
      <c r="E406" s="14"/>
      <c r="F406" s="4"/>
      <c r="G406" s="14"/>
      <c r="H406" s="22"/>
      <c r="I406" s="4"/>
      <c r="J406" s="4"/>
      <c r="K406" s="4"/>
      <c r="L406" s="4"/>
      <c r="M406" s="4"/>
    </row>
    <row r="407" spans="1:13">
      <c r="A407" s="4"/>
      <c r="B407" s="11"/>
      <c r="C407" s="11"/>
      <c r="D407" s="11"/>
      <c r="E407" s="14"/>
      <c r="F407" s="4"/>
      <c r="G407" s="14"/>
      <c r="H407" s="22"/>
      <c r="I407" s="4"/>
      <c r="J407" s="4"/>
      <c r="K407" s="4"/>
      <c r="L407" s="4"/>
      <c r="M407" s="4"/>
    </row>
    <row r="408" spans="1:13">
      <c r="A408" s="4"/>
      <c r="B408" s="11"/>
      <c r="C408" s="11"/>
      <c r="D408" s="11"/>
      <c r="E408" s="14"/>
      <c r="F408" s="4"/>
      <c r="G408" s="14"/>
      <c r="H408" s="22"/>
      <c r="I408" s="4"/>
      <c r="J408" s="4"/>
      <c r="K408" s="4"/>
      <c r="L408" s="4"/>
      <c r="M408" s="4"/>
    </row>
    <row r="409" spans="1:13">
      <c r="A409" s="4"/>
      <c r="B409" s="11"/>
      <c r="C409" s="11"/>
      <c r="D409" s="11"/>
      <c r="E409" s="14"/>
      <c r="F409" s="4"/>
      <c r="G409" s="14"/>
      <c r="H409" s="22"/>
      <c r="I409" s="4"/>
      <c r="J409" s="4"/>
      <c r="K409" s="4"/>
      <c r="L409" s="4"/>
      <c r="M409" s="4"/>
    </row>
    <row r="410" spans="1:13">
      <c r="A410" s="4"/>
      <c r="B410" s="11"/>
      <c r="C410" s="11"/>
      <c r="D410" s="11"/>
      <c r="E410" s="14"/>
      <c r="F410" s="4"/>
      <c r="G410" s="14"/>
      <c r="H410" s="22"/>
      <c r="I410" s="4"/>
      <c r="J410" s="4"/>
      <c r="K410" s="4"/>
      <c r="L410" s="4"/>
      <c r="M410" s="4"/>
    </row>
    <row r="411" spans="1:13">
      <c r="A411" s="4"/>
      <c r="B411" s="11"/>
      <c r="C411" s="11"/>
      <c r="D411" s="11"/>
      <c r="E411" s="14"/>
      <c r="F411" s="4"/>
      <c r="G411" s="14"/>
      <c r="H411" s="22"/>
      <c r="I411" s="4"/>
      <c r="J411" s="4"/>
      <c r="K411" s="4"/>
      <c r="L411" s="4"/>
      <c r="M411" s="4"/>
    </row>
    <row r="412" spans="1:13">
      <c r="A412" s="4"/>
      <c r="B412" s="11"/>
      <c r="C412" s="11"/>
      <c r="D412" s="11"/>
      <c r="E412" s="14"/>
      <c r="F412" s="4"/>
      <c r="G412" s="14"/>
      <c r="H412" s="22"/>
      <c r="I412" s="4"/>
      <c r="J412" s="4"/>
      <c r="K412" s="4"/>
      <c r="L412" s="4"/>
      <c r="M412" s="4"/>
    </row>
    <row r="413" spans="1:13">
      <c r="A413" s="4"/>
      <c r="B413" s="11"/>
      <c r="C413" s="11"/>
      <c r="D413" s="11"/>
      <c r="E413" s="14"/>
      <c r="F413" s="4"/>
      <c r="G413" s="14"/>
      <c r="H413" s="22"/>
      <c r="I413" s="4"/>
      <c r="J413" s="4"/>
      <c r="K413" s="4"/>
      <c r="L413" s="4"/>
      <c r="M413" s="4"/>
    </row>
    <row r="414" spans="1:13">
      <c r="A414" s="4"/>
      <c r="B414" s="11"/>
      <c r="C414" s="11"/>
      <c r="D414" s="11"/>
      <c r="E414" s="14"/>
      <c r="F414" s="4"/>
      <c r="G414" s="14"/>
      <c r="H414" s="22"/>
      <c r="I414" s="4"/>
      <c r="J414" s="4"/>
      <c r="K414" s="4"/>
      <c r="L414" s="4"/>
      <c r="M414" s="4"/>
    </row>
    <row r="415" spans="1:13">
      <c r="A415" s="4"/>
      <c r="B415" s="11"/>
      <c r="C415" s="11"/>
      <c r="D415" s="11"/>
      <c r="E415" s="14"/>
      <c r="F415" s="4"/>
      <c r="G415" s="14"/>
      <c r="H415" s="22"/>
      <c r="I415" s="4"/>
      <c r="J415" s="4"/>
      <c r="K415" s="4"/>
      <c r="L415" s="4"/>
      <c r="M415" s="4"/>
    </row>
    <row r="416" spans="1:13">
      <c r="A416" s="4"/>
      <c r="B416" s="11"/>
      <c r="C416" s="11"/>
      <c r="D416" s="11"/>
      <c r="E416" s="14"/>
      <c r="F416" s="4"/>
      <c r="G416" s="14"/>
      <c r="H416" s="22"/>
      <c r="I416" s="4"/>
      <c r="J416" s="4"/>
      <c r="K416" s="4"/>
      <c r="L416" s="4"/>
      <c r="M416" s="4"/>
    </row>
    <row r="417" spans="1:13">
      <c r="A417" s="4"/>
      <c r="B417" s="11"/>
      <c r="C417" s="11"/>
      <c r="D417" s="11"/>
      <c r="E417" s="14"/>
      <c r="F417" s="4"/>
      <c r="G417" s="14"/>
      <c r="H417" s="22"/>
      <c r="I417" s="4"/>
      <c r="J417" s="4"/>
      <c r="K417" s="4"/>
      <c r="L417" s="4"/>
      <c r="M417" s="4"/>
    </row>
    <row r="418" spans="1:13">
      <c r="A418" s="4"/>
      <c r="B418" s="11"/>
      <c r="C418" s="11"/>
      <c r="D418" s="11"/>
      <c r="E418" s="14"/>
      <c r="F418" s="4"/>
      <c r="G418" s="14"/>
      <c r="H418" s="22"/>
      <c r="I418" s="4"/>
      <c r="J418" s="4"/>
      <c r="K418" s="4"/>
      <c r="L418" s="4"/>
      <c r="M418" s="4"/>
    </row>
    <row r="419" spans="1:13">
      <c r="A419" s="4"/>
      <c r="B419" s="11"/>
      <c r="C419" s="11"/>
      <c r="D419" s="11"/>
      <c r="E419" s="14"/>
      <c r="F419" s="4"/>
      <c r="G419" s="14"/>
      <c r="H419" s="22"/>
      <c r="I419" s="4"/>
      <c r="J419" s="4"/>
      <c r="K419" s="4"/>
      <c r="L419" s="4"/>
      <c r="M419" s="4"/>
    </row>
    <row r="420" spans="1:13">
      <c r="A420" s="4"/>
      <c r="B420" s="11"/>
      <c r="C420" s="11"/>
      <c r="D420" s="11"/>
      <c r="E420" s="14"/>
      <c r="F420" s="4"/>
      <c r="G420" s="14"/>
      <c r="H420" s="22"/>
      <c r="I420" s="4"/>
      <c r="J420" s="4"/>
      <c r="K420" s="4"/>
      <c r="L420" s="4"/>
      <c r="M420" s="4"/>
    </row>
    <row r="421" spans="1:13">
      <c r="A421" s="4"/>
      <c r="B421" s="11"/>
      <c r="C421" s="11"/>
      <c r="D421" s="11"/>
      <c r="E421" s="14"/>
      <c r="F421" s="4"/>
      <c r="G421" s="14"/>
      <c r="H421" s="22"/>
      <c r="I421" s="4"/>
      <c r="J421" s="4"/>
      <c r="K421" s="4"/>
      <c r="L421" s="4"/>
      <c r="M421" s="4"/>
    </row>
    <row r="422" spans="1:13">
      <c r="A422" s="4"/>
      <c r="B422" s="11"/>
      <c r="C422" s="11"/>
      <c r="D422" s="11"/>
      <c r="E422" s="14"/>
      <c r="F422" s="4"/>
      <c r="G422" s="14"/>
      <c r="H422" s="22"/>
      <c r="I422" s="4"/>
      <c r="J422" s="4"/>
      <c r="K422" s="4"/>
      <c r="L422" s="4"/>
      <c r="M422" s="4"/>
    </row>
    <row r="423" spans="1:13">
      <c r="A423" s="4"/>
      <c r="B423" s="11"/>
      <c r="C423" s="11"/>
      <c r="D423" s="11"/>
      <c r="E423" s="14"/>
      <c r="F423" s="4"/>
      <c r="G423" s="14"/>
      <c r="H423" s="22"/>
      <c r="I423" s="4"/>
      <c r="J423" s="4"/>
      <c r="K423" s="4"/>
      <c r="L423" s="4"/>
      <c r="M423" s="4"/>
    </row>
    <row r="424" spans="1:13">
      <c r="A424" s="4"/>
      <c r="B424" s="11"/>
      <c r="C424" s="11"/>
      <c r="D424" s="11"/>
      <c r="E424" s="14"/>
      <c r="F424" s="4"/>
      <c r="G424" s="14"/>
      <c r="H424" s="22"/>
      <c r="I424" s="4"/>
      <c r="J424" s="4"/>
      <c r="K424" s="4"/>
      <c r="L424" s="4"/>
      <c r="M424" s="4"/>
    </row>
    <row r="425" spans="1:13">
      <c r="A425" s="4"/>
      <c r="B425" s="11"/>
      <c r="C425" s="11"/>
      <c r="D425" s="11"/>
      <c r="E425" s="14"/>
      <c r="F425" s="4"/>
      <c r="G425" s="14"/>
      <c r="H425" s="22"/>
      <c r="I425" s="4"/>
      <c r="J425" s="4"/>
      <c r="K425" s="4"/>
      <c r="L425" s="4"/>
      <c r="M425" s="4"/>
    </row>
    <row r="426" spans="1:13">
      <c r="A426" s="4"/>
      <c r="B426" s="11"/>
      <c r="C426" s="11"/>
      <c r="D426" s="11"/>
      <c r="E426" s="14"/>
      <c r="F426" s="4"/>
      <c r="G426" s="14"/>
      <c r="H426" s="22"/>
      <c r="I426" s="4"/>
      <c r="J426" s="4"/>
      <c r="K426" s="4"/>
      <c r="L426" s="4"/>
      <c r="M426" s="4"/>
    </row>
    <row r="427" spans="1:13">
      <c r="A427" s="4"/>
      <c r="B427" s="11"/>
      <c r="C427" s="11"/>
      <c r="D427" s="11"/>
      <c r="E427" s="14"/>
      <c r="F427" s="4"/>
      <c r="G427" s="14"/>
      <c r="H427" s="22"/>
      <c r="I427" s="4"/>
      <c r="J427" s="4"/>
      <c r="K427" s="4"/>
      <c r="L427" s="4"/>
      <c r="M427" s="4"/>
    </row>
    <row r="428" spans="1:13">
      <c r="A428" s="4"/>
      <c r="B428" s="11"/>
      <c r="C428" s="11"/>
      <c r="D428" s="11"/>
      <c r="E428" s="14"/>
      <c r="F428" s="4"/>
      <c r="G428" s="14"/>
      <c r="H428" s="22"/>
      <c r="I428" s="4"/>
      <c r="J428" s="4"/>
      <c r="K428" s="4"/>
      <c r="L428" s="4"/>
      <c r="M428" s="4"/>
    </row>
    <row r="429" spans="1:13">
      <c r="A429" s="4"/>
      <c r="B429" s="11"/>
      <c r="C429" s="11"/>
      <c r="D429" s="11"/>
      <c r="E429" s="14"/>
      <c r="F429" s="4"/>
      <c r="G429" s="14"/>
      <c r="H429" s="22"/>
      <c r="I429" s="4"/>
      <c r="J429" s="4"/>
      <c r="K429" s="4"/>
      <c r="L429" s="4"/>
      <c r="M429" s="4"/>
    </row>
    <row r="430" spans="1:13">
      <c r="A430" s="4"/>
      <c r="B430" s="11"/>
      <c r="C430" s="11"/>
      <c r="D430" s="11"/>
      <c r="E430" s="14"/>
      <c r="F430" s="4"/>
      <c r="G430" s="14"/>
      <c r="H430" s="22"/>
      <c r="I430" s="4"/>
      <c r="J430" s="4"/>
      <c r="K430" s="4"/>
      <c r="L430" s="4"/>
      <c r="M430" s="4"/>
    </row>
    <row r="431" spans="1:13">
      <c r="A431" s="4"/>
      <c r="B431" s="11"/>
      <c r="C431" s="11"/>
      <c r="D431" s="11"/>
      <c r="E431" s="14"/>
      <c r="F431" s="4"/>
      <c r="G431" s="14"/>
      <c r="H431" s="22"/>
      <c r="I431" s="4"/>
      <c r="J431" s="4"/>
      <c r="K431" s="4"/>
      <c r="L431" s="4"/>
      <c r="M431" s="4"/>
    </row>
    <row r="432" spans="1:13">
      <c r="A432" s="4"/>
      <c r="B432" s="11"/>
      <c r="C432" s="11"/>
      <c r="D432" s="11"/>
      <c r="E432" s="14"/>
      <c r="F432" s="4"/>
      <c r="G432" s="14"/>
      <c r="H432" s="22"/>
      <c r="I432" s="4"/>
      <c r="J432" s="4"/>
      <c r="K432" s="4"/>
      <c r="L432" s="4"/>
      <c r="M432" s="4"/>
    </row>
    <row r="433" spans="1:13">
      <c r="A433" s="4"/>
      <c r="B433" s="11"/>
      <c r="C433" s="11"/>
      <c r="D433" s="11"/>
      <c r="E433" s="14"/>
      <c r="F433" s="4"/>
      <c r="G433" s="14"/>
      <c r="H433" s="22"/>
      <c r="I433" s="4"/>
      <c r="J433" s="4"/>
      <c r="K433" s="4"/>
      <c r="L433" s="4"/>
      <c r="M433" s="4"/>
    </row>
    <row r="434" spans="1:13">
      <c r="A434" s="4"/>
      <c r="B434" s="11"/>
      <c r="C434" s="11"/>
      <c r="D434" s="11"/>
      <c r="E434" s="14"/>
      <c r="F434" s="4"/>
      <c r="G434" s="14"/>
      <c r="H434" s="22"/>
      <c r="I434" s="4"/>
      <c r="J434" s="4"/>
      <c r="K434" s="4"/>
      <c r="L434" s="4"/>
      <c r="M434" s="4"/>
    </row>
    <row r="435" spans="1:13">
      <c r="A435" s="4"/>
      <c r="B435" s="11"/>
      <c r="C435" s="11"/>
      <c r="D435" s="11"/>
      <c r="E435" s="14"/>
      <c r="F435" s="4"/>
      <c r="G435" s="14"/>
      <c r="H435" s="22"/>
      <c r="I435" s="4"/>
      <c r="J435" s="4"/>
      <c r="K435" s="4"/>
      <c r="L435" s="4"/>
      <c r="M435" s="4"/>
    </row>
    <row r="436" spans="1:13">
      <c r="A436" s="4"/>
      <c r="B436" s="11"/>
      <c r="C436" s="11"/>
      <c r="D436" s="11"/>
      <c r="E436" s="14"/>
      <c r="F436" s="4"/>
      <c r="G436" s="14"/>
      <c r="H436" s="22"/>
      <c r="I436" s="4"/>
      <c r="J436" s="4"/>
      <c r="K436" s="4"/>
      <c r="L436" s="4"/>
      <c r="M436" s="4"/>
    </row>
    <row r="437" spans="1:13">
      <c r="A437" s="4"/>
      <c r="B437" s="11"/>
      <c r="C437" s="11"/>
      <c r="D437" s="11"/>
      <c r="E437" s="14"/>
      <c r="F437" s="4"/>
      <c r="G437" s="14"/>
      <c r="H437" s="22"/>
      <c r="I437" s="4"/>
      <c r="J437" s="4"/>
      <c r="K437" s="4"/>
      <c r="L437" s="4"/>
      <c r="M437" s="4"/>
    </row>
    <row r="438" spans="1:13">
      <c r="A438" s="4"/>
      <c r="B438" s="11"/>
      <c r="C438" s="11"/>
      <c r="D438" s="11"/>
      <c r="E438" s="14"/>
      <c r="F438" s="4"/>
      <c r="G438" s="14"/>
      <c r="H438" s="22"/>
      <c r="I438" s="4"/>
      <c r="J438" s="4"/>
      <c r="K438" s="4"/>
      <c r="L438" s="4"/>
      <c r="M438" s="4"/>
    </row>
    <row r="439" spans="1:13">
      <c r="A439" s="4"/>
      <c r="B439" s="11"/>
      <c r="C439" s="11"/>
      <c r="D439" s="11"/>
      <c r="E439" s="14"/>
      <c r="F439" s="4"/>
      <c r="G439" s="14"/>
      <c r="H439" s="22"/>
      <c r="I439" s="4"/>
      <c r="J439" s="4"/>
      <c r="K439" s="4"/>
      <c r="L439" s="4"/>
      <c r="M439" s="4"/>
    </row>
    <row r="440" spans="1:13">
      <c r="A440" s="4"/>
      <c r="B440" s="11"/>
      <c r="C440" s="11"/>
      <c r="D440" s="11"/>
      <c r="E440" s="14"/>
      <c r="F440" s="4"/>
      <c r="G440" s="14"/>
      <c r="H440" s="22"/>
      <c r="I440" s="4"/>
      <c r="J440" s="4"/>
      <c r="K440" s="4"/>
      <c r="L440" s="4"/>
      <c r="M440" s="4"/>
    </row>
    <row r="441" spans="1:13">
      <c r="A441" s="4"/>
      <c r="B441" s="11"/>
      <c r="C441" s="11"/>
      <c r="D441" s="11"/>
      <c r="E441" s="14"/>
      <c r="F441" s="4"/>
      <c r="G441" s="14"/>
      <c r="H441" s="22"/>
      <c r="I441" s="4"/>
      <c r="J441" s="4"/>
      <c r="K441" s="4"/>
      <c r="L441" s="4"/>
      <c r="M441" s="4"/>
    </row>
    <row r="442" spans="1:13">
      <c r="A442" s="4"/>
      <c r="B442" s="11"/>
      <c r="C442" s="11"/>
      <c r="D442" s="11"/>
      <c r="E442" s="14"/>
      <c r="F442" s="4"/>
      <c r="G442" s="14"/>
      <c r="H442" s="22"/>
      <c r="I442" s="4"/>
      <c r="J442" s="4"/>
      <c r="K442" s="4"/>
      <c r="L442" s="4"/>
      <c r="M442" s="4"/>
    </row>
    <row r="443" spans="1:13">
      <c r="A443" s="4"/>
      <c r="B443" s="11"/>
      <c r="C443" s="11"/>
      <c r="D443" s="11"/>
      <c r="E443" s="14"/>
      <c r="F443" s="4"/>
      <c r="G443" s="14"/>
      <c r="H443" s="22"/>
      <c r="I443" s="4"/>
      <c r="J443" s="4"/>
      <c r="K443" s="4"/>
      <c r="L443" s="4"/>
      <c r="M443" s="4"/>
    </row>
    <row r="444" spans="1:13">
      <c r="A444" s="4"/>
      <c r="B444" s="11"/>
      <c r="C444" s="11"/>
      <c r="D444" s="11"/>
      <c r="E444" s="14"/>
      <c r="F444" s="4"/>
      <c r="G444" s="14"/>
      <c r="H444" s="22"/>
      <c r="I444" s="4"/>
      <c r="J444" s="4"/>
      <c r="K444" s="4"/>
      <c r="L444" s="4"/>
      <c r="M444" s="4"/>
    </row>
    <row r="445" spans="1:13">
      <c r="A445" s="4"/>
      <c r="B445" s="11"/>
      <c r="C445" s="11"/>
      <c r="D445" s="11"/>
      <c r="E445" s="14"/>
      <c r="F445" s="4"/>
      <c r="G445" s="14"/>
      <c r="H445" s="22"/>
      <c r="I445" s="4"/>
      <c r="J445" s="4"/>
      <c r="K445" s="4"/>
      <c r="L445" s="4"/>
      <c r="M445" s="4"/>
    </row>
    <row r="446" spans="1:13">
      <c r="A446" s="4"/>
      <c r="B446" s="11"/>
      <c r="C446" s="11"/>
      <c r="D446" s="11"/>
      <c r="E446" s="14"/>
      <c r="F446" s="4"/>
      <c r="G446" s="14"/>
      <c r="H446" s="22"/>
      <c r="I446" s="4"/>
      <c r="J446" s="4"/>
      <c r="K446" s="4"/>
      <c r="L446" s="4"/>
      <c r="M446" s="4"/>
    </row>
    <row r="447" spans="1:13">
      <c r="A447" s="4"/>
      <c r="B447" s="11"/>
      <c r="C447" s="11"/>
      <c r="D447" s="11"/>
      <c r="E447" s="14"/>
      <c r="F447" s="4"/>
      <c r="G447" s="14"/>
      <c r="H447" s="22"/>
      <c r="I447" s="4"/>
      <c r="J447" s="4"/>
      <c r="K447" s="4"/>
      <c r="L447" s="4"/>
      <c r="M447" s="4"/>
    </row>
    <row r="448" spans="1:13">
      <c r="A448" s="4"/>
      <c r="B448" s="11"/>
      <c r="C448" s="11"/>
      <c r="D448" s="11"/>
      <c r="E448" s="14"/>
      <c r="F448" s="4"/>
      <c r="G448" s="14"/>
      <c r="H448" s="22"/>
      <c r="I448" s="4"/>
      <c r="J448" s="4"/>
      <c r="K448" s="4"/>
      <c r="L448" s="4"/>
      <c r="M448" s="4"/>
    </row>
    <row r="449" spans="1:13">
      <c r="A449" s="4"/>
      <c r="B449" s="11"/>
      <c r="C449" s="11"/>
      <c r="D449" s="11"/>
      <c r="E449" s="14"/>
      <c r="F449" s="4"/>
      <c r="G449" s="14"/>
      <c r="H449" s="22"/>
      <c r="I449" s="4"/>
      <c r="J449" s="4"/>
      <c r="K449" s="4"/>
      <c r="L449" s="4"/>
      <c r="M449" s="4"/>
    </row>
    <row r="450" spans="1:13">
      <c r="A450" s="4"/>
      <c r="B450" s="11"/>
      <c r="C450" s="11"/>
      <c r="D450" s="11"/>
      <c r="E450" s="14"/>
      <c r="F450" s="4"/>
      <c r="G450" s="14"/>
      <c r="H450" s="22"/>
      <c r="I450" s="4"/>
      <c r="J450" s="4"/>
      <c r="K450" s="4"/>
      <c r="L450" s="4"/>
      <c r="M450" s="4"/>
    </row>
    <row r="451" spans="1:13">
      <c r="A451" s="4"/>
      <c r="B451" s="11"/>
      <c r="C451" s="11"/>
      <c r="D451" s="11"/>
      <c r="E451" s="14"/>
      <c r="F451" s="4"/>
      <c r="G451" s="14"/>
      <c r="H451" s="22"/>
      <c r="I451" s="4"/>
      <c r="J451" s="4"/>
      <c r="K451" s="4"/>
      <c r="L451" s="4"/>
      <c r="M451" s="4"/>
    </row>
    <row r="452" spans="1:13">
      <c r="A452" s="4"/>
      <c r="B452" s="11"/>
      <c r="C452" s="11"/>
      <c r="D452" s="11"/>
      <c r="E452" s="14"/>
      <c r="F452" s="4"/>
      <c r="G452" s="14"/>
      <c r="H452" s="22"/>
      <c r="I452" s="4"/>
      <c r="J452" s="4"/>
      <c r="K452" s="4"/>
      <c r="L452" s="4"/>
      <c r="M452" s="4"/>
    </row>
    <row r="453" spans="1:13">
      <c r="A453" s="4"/>
      <c r="B453" s="11"/>
      <c r="C453" s="11"/>
      <c r="D453" s="11"/>
      <c r="E453" s="14"/>
      <c r="F453" s="4"/>
      <c r="G453" s="14"/>
      <c r="H453" s="22"/>
      <c r="I453" s="4"/>
      <c r="J453" s="4"/>
      <c r="K453" s="4"/>
      <c r="L453" s="4"/>
      <c r="M453" s="4"/>
    </row>
    <row r="454" spans="1:13">
      <c r="A454" s="4"/>
      <c r="B454" s="11"/>
      <c r="C454" s="11"/>
      <c r="D454" s="11"/>
      <c r="E454" s="14"/>
      <c r="F454" s="4"/>
      <c r="G454" s="14"/>
      <c r="H454" s="22"/>
      <c r="I454" s="4"/>
      <c r="J454" s="4"/>
      <c r="K454" s="4"/>
      <c r="L454" s="4"/>
      <c r="M454" s="4"/>
    </row>
    <row r="455" spans="1:13">
      <c r="A455" s="4"/>
      <c r="B455" s="11"/>
      <c r="C455" s="11"/>
      <c r="D455" s="11"/>
      <c r="E455" s="14"/>
      <c r="F455" s="4"/>
      <c r="G455" s="14"/>
      <c r="H455" s="22"/>
      <c r="I455" s="4"/>
      <c r="J455" s="4"/>
      <c r="K455" s="4"/>
      <c r="L455" s="4"/>
      <c r="M455" s="4"/>
    </row>
    <row r="456" spans="1:13">
      <c r="A456" s="4"/>
      <c r="B456" s="11"/>
      <c r="C456" s="11"/>
      <c r="D456" s="11"/>
      <c r="E456" s="14"/>
      <c r="F456" s="4"/>
      <c r="G456" s="14"/>
      <c r="H456" s="22"/>
      <c r="I456" s="4"/>
      <c r="J456" s="4"/>
      <c r="K456" s="4"/>
      <c r="L456" s="4"/>
      <c r="M456" s="4"/>
    </row>
    <row r="457" spans="1:13">
      <c r="A457" s="4"/>
      <c r="B457" s="11"/>
      <c r="C457" s="11"/>
      <c r="D457" s="11"/>
      <c r="E457" s="14"/>
      <c r="F457" s="4"/>
      <c r="G457" s="14"/>
      <c r="H457" s="22"/>
      <c r="I457" s="4"/>
      <c r="J457" s="4"/>
      <c r="K457" s="4"/>
      <c r="L457" s="4"/>
      <c r="M457" s="4"/>
    </row>
    <row r="458" spans="1:13">
      <c r="A458" s="4"/>
      <c r="B458" s="11"/>
      <c r="C458" s="11"/>
      <c r="D458" s="11"/>
      <c r="E458" s="14"/>
      <c r="F458" s="4"/>
      <c r="G458" s="14"/>
      <c r="H458" s="22"/>
      <c r="I458" s="4"/>
      <c r="J458" s="4"/>
      <c r="K458" s="4"/>
      <c r="L458" s="4"/>
      <c r="M458" s="4"/>
    </row>
    <row r="459" spans="1:13">
      <c r="A459" s="4"/>
      <c r="B459" s="11"/>
      <c r="C459" s="11"/>
      <c r="D459" s="11"/>
      <c r="E459" s="14"/>
      <c r="F459" s="4"/>
      <c r="G459" s="14"/>
      <c r="H459" s="22"/>
      <c r="I459" s="4"/>
      <c r="J459" s="4"/>
      <c r="K459" s="4"/>
      <c r="L459" s="4"/>
      <c r="M459" s="4"/>
    </row>
    <row r="460" spans="1:13">
      <c r="A460" s="4"/>
      <c r="B460" s="11"/>
      <c r="C460" s="11"/>
      <c r="D460" s="11"/>
      <c r="E460" s="14"/>
      <c r="F460" s="4"/>
      <c r="G460" s="14"/>
      <c r="H460" s="22"/>
      <c r="I460" s="4"/>
      <c r="J460" s="4"/>
      <c r="K460" s="4"/>
      <c r="L460" s="4"/>
      <c r="M460" s="4"/>
    </row>
    <row r="461" spans="1:13">
      <c r="A461" s="4"/>
      <c r="B461" s="11"/>
      <c r="C461" s="11"/>
      <c r="D461" s="11"/>
      <c r="E461" s="14"/>
      <c r="F461" s="4"/>
      <c r="G461" s="14"/>
      <c r="H461" s="22"/>
      <c r="I461" s="4"/>
      <c r="J461" s="4"/>
      <c r="K461" s="4"/>
      <c r="L461" s="4"/>
      <c r="M461" s="4"/>
    </row>
    <row r="462" spans="1:13">
      <c r="A462" s="4"/>
      <c r="B462" s="11"/>
      <c r="C462" s="11"/>
      <c r="D462" s="11"/>
      <c r="E462" s="14"/>
      <c r="F462" s="4"/>
      <c r="G462" s="14"/>
      <c r="H462" s="22"/>
      <c r="I462" s="4"/>
      <c r="J462" s="4"/>
      <c r="K462" s="4"/>
      <c r="L462" s="4"/>
      <c r="M462" s="4"/>
    </row>
    <row r="463" spans="1:13">
      <c r="A463" s="4"/>
      <c r="B463" s="11"/>
      <c r="C463" s="11"/>
      <c r="D463" s="11"/>
      <c r="E463" s="14"/>
      <c r="F463" s="4"/>
      <c r="G463" s="14"/>
      <c r="H463" s="22"/>
      <c r="I463" s="4"/>
      <c r="J463" s="4"/>
      <c r="K463" s="4"/>
      <c r="L463" s="4"/>
      <c r="M463" s="4"/>
    </row>
    <row r="464" spans="1:13">
      <c r="A464" s="4"/>
      <c r="B464" s="11"/>
      <c r="C464" s="11"/>
      <c r="D464" s="11"/>
      <c r="E464" s="14"/>
      <c r="F464" s="4"/>
      <c r="G464" s="14"/>
      <c r="H464" s="22"/>
      <c r="I464" s="4"/>
      <c r="J464" s="4"/>
      <c r="K464" s="4"/>
      <c r="L464" s="4"/>
      <c r="M464" s="4"/>
    </row>
    <row r="465" spans="1:13">
      <c r="A465" s="4"/>
      <c r="B465" s="11"/>
      <c r="C465" s="11"/>
      <c r="D465" s="11"/>
      <c r="E465" s="14"/>
      <c r="F465" s="4"/>
      <c r="G465" s="14"/>
      <c r="H465" s="22"/>
      <c r="I465" s="4"/>
      <c r="J465" s="4"/>
      <c r="K465" s="4"/>
      <c r="L465" s="4"/>
      <c r="M465" s="4"/>
    </row>
    <row r="466" spans="1:13">
      <c r="A466" s="4"/>
      <c r="B466" s="11"/>
      <c r="C466" s="11"/>
      <c r="D466" s="11"/>
      <c r="E466" s="14"/>
      <c r="F466" s="4"/>
      <c r="G466" s="14"/>
      <c r="H466" s="22"/>
      <c r="I466" s="4"/>
      <c r="J466" s="4"/>
      <c r="K466" s="4"/>
      <c r="L466" s="4"/>
      <c r="M466" s="4"/>
    </row>
    <row r="467" spans="1:13">
      <c r="A467" s="4"/>
      <c r="B467" s="11"/>
      <c r="C467" s="11"/>
      <c r="D467" s="11"/>
      <c r="E467" s="14"/>
      <c r="F467" s="4"/>
      <c r="G467" s="14"/>
      <c r="H467" s="22"/>
      <c r="I467" s="4"/>
      <c r="J467" s="4"/>
      <c r="K467" s="4"/>
      <c r="L467" s="4"/>
      <c r="M467" s="4"/>
    </row>
    <row r="468" spans="1:13">
      <c r="A468" s="4"/>
      <c r="B468" s="11"/>
      <c r="C468" s="11"/>
      <c r="D468" s="11"/>
      <c r="E468" s="14"/>
      <c r="F468" s="4"/>
      <c r="G468" s="14"/>
      <c r="H468" s="22"/>
      <c r="I468" s="4"/>
      <c r="J468" s="4"/>
      <c r="K468" s="4"/>
      <c r="L468" s="4"/>
      <c r="M468" s="4"/>
    </row>
    <row r="469" spans="1:13">
      <c r="A469" s="4"/>
      <c r="B469" s="11"/>
      <c r="C469" s="11"/>
      <c r="D469" s="11"/>
      <c r="E469" s="14"/>
      <c r="F469" s="4"/>
      <c r="G469" s="14"/>
      <c r="H469" s="22"/>
      <c r="I469" s="4"/>
      <c r="J469" s="4"/>
      <c r="K469" s="4"/>
      <c r="L469" s="4"/>
      <c r="M469" s="4"/>
    </row>
    <row r="470" spans="1:13">
      <c r="A470" s="4"/>
      <c r="B470" s="11"/>
      <c r="C470" s="11"/>
      <c r="D470" s="11"/>
      <c r="E470" s="14"/>
      <c r="F470" s="4"/>
      <c r="G470" s="14"/>
      <c r="H470" s="22"/>
      <c r="I470" s="4"/>
      <c r="J470" s="4"/>
      <c r="K470" s="4"/>
      <c r="L470" s="4"/>
      <c r="M470" s="4"/>
    </row>
    <row r="471" spans="1:13">
      <c r="A471" s="4"/>
      <c r="B471" s="11"/>
      <c r="C471" s="11"/>
      <c r="D471" s="11"/>
      <c r="E471" s="14"/>
      <c r="F471" s="4"/>
      <c r="G471" s="14"/>
      <c r="H471" s="22"/>
      <c r="I471" s="4"/>
      <c r="J471" s="4"/>
      <c r="K471" s="4"/>
      <c r="L471" s="4"/>
      <c r="M471" s="4"/>
    </row>
    <row r="472" spans="1:13">
      <c r="A472" s="4"/>
      <c r="B472" s="11"/>
      <c r="C472" s="11"/>
      <c r="D472" s="11"/>
      <c r="E472" s="14"/>
      <c r="F472" s="4"/>
      <c r="G472" s="14"/>
      <c r="H472" s="22"/>
      <c r="I472" s="4"/>
      <c r="J472" s="4"/>
      <c r="K472" s="4"/>
      <c r="L472" s="4"/>
      <c r="M472" s="4"/>
    </row>
    <row r="473" spans="1:13">
      <c r="A473" s="4"/>
      <c r="B473" s="11"/>
      <c r="C473" s="11"/>
      <c r="D473" s="11"/>
      <c r="E473" s="14"/>
      <c r="F473" s="4"/>
      <c r="G473" s="14"/>
      <c r="H473" s="22"/>
      <c r="I473" s="4"/>
      <c r="J473" s="4"/>
      <c r="K473" s="4"/>
      <c r="L473" s="4"/>
      <c r="M473" s="4"/>
    </row>
    <row r="474" spans="1:13">
      <c r="A474" s="4"/>
      <c r="B474" s="11"/>
      <c r="C474" s="11"/>
      <c r="D474" s="11"/>
      <c r="E474" s="14"/>
      <c r="F474" s="4"/>
      <c r="G474" s="14"/>
      <c r="H474" s="22"/>
      <c r="I474" s="4"/>
      <c r="J474" s="4"/>
      <c r="K474" s="4"/>
      <c r="L474" s="4"/>
      <c r="M474" s="4"/>
    </row>
    <row r="475" spans="1:13">
      <c r="A475" s="4"/>
      <c r="B475" s="11"/>
      <c r="C475" s="11"/>
      <c r="D475" s="11"/>
      <c r="E475" s="14"/>
      <c r="F475" s="4"/>
      <c r="G475" s="14"/>
      <c r="H475" s="22"/>
      <c r="I475" s="4"/>
      <c r="J475" s="4"/>
      <c r="K475" s="4"/>
      <c r="L475" s="4"/>
      <c r="M475" s="4"/>
    </row>
    <row r="476" spans="1:13">
      <c r="A476" s="4"/>
      <c r="B476" s="11"/>
      <c r="C476" s="11"/>
      <c r="D476" s="11"/>
      <c r="E476" s="14"/>
      <c r="F476" s="4"/>
      <c r="G476" s="14"/>
      <c r="H476" s="22"/>
      <c r="I476" s="4"/>
      <c r="J476" s="4"/>
      <c r="K476" s="4"/>
      <c r="L476" s="4"/>
      <c r="M476" s="4"/>
    </row>
    <row r="477" spans="1:13">
      <c r="A477" s="4"/>
      <c r="B477" s="11"/>
      <c r="C477" s="11"/>
      <c r="D477" s="11"/>
      <c r="E477" s="14"/>
      <c r="F477" s="4"/>
      <c r="G477" s="14"/>
      <c r="H477" s="22"/>
      <c r="I477" s="4"/>
      <c r="J477" s="4"/>
      <c r="K477" s="4"/>
      <c r="L477" s="4"/>
      <c r="M477" s="4"/>
    </row>
    <row r="478" spans="1:13">
      <c r="A478" s="4"/>
      <c r="B478" s="11"/>
      <c r="C478" s="11"/>
      <c r="D478" s="11"/>
      <c r="E478" s="14"/>
      <c r="F478" s="4"/>
      <c r="G478" s="14"/>
      <c r="H478" s="22"/>
      <c r="I478" s="4"/>
      <c r="J478" s="4"/>
      <c r="K478" s="4"/>
      <c r="L478" s="4"/>
      <c r="M478" s="4"/>
    </row>
    <row r="479" spans="1:13">
      <c r="A479" s="4"/>
      <c r="B479" s="11"/>
      <c r="C479" s="11"/>
      <c r="D479" s="11"/>
      <c r="E479" s="14"/>
      <c r="F479" s="4"/>
      <c r="G479" s="14"/>
      <c r="H479" s="22"/>
      <c r="I479" s="4"/>
      <c r="J479" s="4"/>
      <c r="K479" s="4"/>
      <c r="L479" s="4"/>
      <c r="M479" s="4"/>
    </row>
    <row r="480" spans="1:13">
      <c r="A480" s="4"/>
      <c r="B480" s="11"/>
      <c r="C480" s="11"/>
      <c r="D480" s="11"/>
      <c r="E480" s="14"/>
      <c r="F480" s="4"/>
      <c r="G480" s="14"/>
      <c r="H480" s="22"/>
      <c r="I480" s="4"/>
      <c r="J480" s="4"/>
      <c r="K480" s="4"/>
      <c r="L480" s="4"/>
      <c r="M480" s="4"/>
    </row>
    <row r="481" spans="1:13">
      <c r="A481" s="4"/>
      <c r="B481" s="11"/>
      <c r="C481" s="11"/>
      <c r="D481" s="11"/>
      <c r="E481" s="14"/>
      <c r="F481" s="4"/>
      <c r="G481" s="14"/>
      <c r="H481" s="22"/>
      <c r="I481" s="4"/>
      <c r="J481" s="4"/>
      <c r="K481" s="4"/>
      <c r="L481" s="4"/>
      <c r="M481" s="4"/>
    </row>
    <row r="482" spans="1:13">
      <c r="A482" s="4"/>
      <c r="B482" s="11"/>
      <c r="C482" s="11"/>
      <c r="D482" s="11"/>
      <c r="E482" s="14"/>
      <c r="F482" s="4"/>
      <c r="G482" s="14"/>
      <c r="H482" s="22"/>
      <c r="I482" s="4"/>
      <c r="J482" s="4"/>
      <c r="K482" s="4"/>
      <c r="L482" s="4"/>
      <c r="M482" s="4"/>
    </row>
    <row r="483" spans="1:13">
      <c r="A483" s="4"/>
      <c r="B483" s="11"/>
      <c r="C483" s="11"/>
      <c r="D483" s="11"/>
      <c r="E483" s="14"/>
      <c r="F483" s="4"/>
      <c r="G483" s="14"/>
      <c r="H483" s="22"/>
      <c r="I483" s="4"/>
      <c r="J483" s="4"/>
      <c r="K483" s="4"/>
      <c r="L483" s="4"/>
      <c r="M483" s="4"/>
    </row>
    <row r="484" spans="1:13">
      <c r="A484" s="4"/>
      <c r="B484" s="11"/>
      <c r="C484" s="11"/>
      <c r="D484" s="11"/>
      <c r="E484" s="14"/>
      <c r="F484" s="4"/>
      <c r="G484" s="14"/>
      <c r="H484" s="22"/>
      <c r="I484" s="4"/>
      <c r="J484" s="4"/>
      <c r="K484" s="4"/>
      <c r="L484" s="4"/>
      <c r="M484" s="4"/>
    </row>
    <row r="485" spans="1:13">
      <c r="A485" s="4"/>
      <c r="B485" s="11"/>
      <c r="C485" s="11"/>
      <c r="D485" s="11"/>
      <c r="E485" s="14"/>
      <c r="F485" s="4"/>
      <c r="G485" s="14"/>
      <c r="H485" s="22"/>
      <c r="I485" s="4"/>
      <c r="J485" s="4"/>
      <c r="K485" s="4"/>
      <c r="L485" s="4"/>
      <c r="M485" s="4"/>
    </row>
    <row r="486" spans="1:13">
      <c r="A486" s="4"/>
      <c r="B486" s="11"/>
      <c r="C486" s="11"/>
      <c r="D486" s="11"/>
      <c r="E486" s="14"/>
      <c r="F486" s="4"/>
      <c r="G486" s="14"/>
      <c r="H486" s="22"/>
      <c r="I486" s="4"/>
      <c r="J486" s="4"/>
      <c r="K486" s="4"/>
      <c r="L486" s="4"/>
      <c r="M486" s="4"/>
    </row>
    <row r="487" spans="1:13">
      <c r="A487" s="4"/>
      <c r="B487" s="11"/>
      <c r="C487" s="11"/>
      <c r="D487" s="11"/>
      <c r="E487" s="14"/>
      <c r="F487" s="4"/>
      <c r="G487" s="14"/>
      <c r="H487" s="22"/>
      <c r="I487" s="4"/>
      <c r="J487" s="4"/>
      <c r="K487" s="4"/>
      <c r="L487" s="4"/>
      <c r="M487" s="4"/>
    </row>
    <row r="488" spans="1:13">
      <c r="A488" s="4"/>
      <c r="B488" s="11"/>
      <c r="C488" s="11"/>
      <c r="D488" s="11"/>
      <c r="E488" s="14"/>
      <c r="F488" s="4"/>
      <c r="G488" s="14"/>
      <c r="H488" s="22"/>
      <c r="I488" s="4"/>
      <c r="J488" s="4"/>
      <c r="K488" s="4"/>
      <c r="L488" s="4"/>
      <c r="M488" s="4"/>
    </row>
    <row r="489" spans="1:13">
      <c r="A489" s="4"/>
      <c r="B489" s="11"/>
      <c r="C489" s="11"/>
      <c r="D489" s="11"/>
      <c r="E489" s="14"/>
      <c r="F489" s="4"/>
      <c r="G489" s="14"/>
      <c r="H489" s="22"/>
      <c r="I489" s="4"/>
      <c r="J489" s="4"/>
      <c r="K489" s="4"/>
      <c r="L489" s="4"/>
      <c r="M489" s="4"/>
    </row>
    <row r="490" spans="1:13">
      <c r="A490" s="4"/>
      <c r="B490" s="11"/>
      <c r="C490" s="11"/>
      <c r="D490" s="11"/>
      <c r="E490" s="14"/>
      <c r="F490" s="4"/>
      <c r="G490" s="14"/>
      <c r="H490" s="22"/>
      <c r="I490" s="4"/>
      <c r="J490" s="4"/>
      <c r="K490" s="4"/>
      <c r="L490" s="4"/>
      <c r="M490" s="4"/>
    </row>
    <row r="491" spans="1:13">
      <c r="A491" s="4"/>
      <c r="B491" s="11"/>
      <c r="C491" s="11"/>
      <c r="D491" s="11"/>
      <c r="E491" s="14"/>
      <c r="F491" s="4"/>
      <c r="G491" s="14"/>
      <c r="H491" s="22"/>
      <c r="I491" s="4"/>
      <c r="J491" s="4"/>
      <c r="K491" s="4"/>
      <c r="L491" s="4"/>
      <c r="M491" s="4"/>
    </row>
    <row r="492" spans="1:13">
      <c r="A492" s="4"/>
      <c r="B492" s="11"/>
      <c r="C492" s="11"/>
      <c r="D492" s="11"/>
      <c r="E492" s="14"/>
      <c r="F492" s="4"/>
      <c r="G492" s="14"/>
      <c r="H492" s="22"/>
      <c r="I492" s="4"/>
      <c r="J492" s="4"/>
      <c r="K492" s="4"/>
      <c r="L492" s="4"/>
      <c r="M492" s="4"/>
    </row>
    <row r="493" spans="1:13">
      <c r="A493" s="4"/>
      <c r="B493" s="11"/>
      <c r="C493" s="11"/>
      <c r="D493" s="11"/>
      <c r="E493" s="14"/>
      <c r="F493" s="4"/>
      <c r="G493" s="14"/>
      <c r="H493" s="22"/>
      <c r="I493" s="4"/>
      <c r="J493" s="4"/>
      <c r="K493" s="4"/>
      <c r="L493" s="4"/>
      <c r="M493" s="4"/>
    </row>
    <row r="494" spans="1:13">
      <c r="A494" s="4"/>
      <c r="B494" s="11"/>
      <c r="C494" s="11"/>
      <c r="D494" s="11"/>
      <c r="E494" s="14"/>
      <c r="F494" s="4"/>
      <c r="G494" s="14"/>
      <c r="H494" s="22"/>
      <c r="I494" s="4"/>
      <c r="J494" s="4"/>
      <c r="K494" s="4"/>
      <c r="L494" s="4"/>
      <c r="M494" s="4"/>
    </row>
    <row r="495" spans="1:13">
      <c r="A495" s="4"/>
      <c r="B495" s="11"/>
      <c r="C495" s="11"/>
      <c r="D495" s="11"/>
      <c r="E495" s="14"/>
      <c r="F495" s="4"/>
      <c r="G495" s="14"/>
      <c r="H495" s="22"/>
      <c r="I495" s="4"/>
      <c r="J495" s="4"/>
      <c r="K495" s="4"/>
      <c r="L495" s="4"/>
      <c r="M495" s="4"/>
    </row>
    <row r="496" spans="1:13">
      <c r="A496" s="4"/>
      <c r="B496" s="11"/>
      <c r="C496" s="11"/>
      <c r="D496" s="11"/>
      <c r="E496" s="14"/>
      <c r="F496" s="4"/>
      <c r="G496" s="14"/>
      <c r="H496" s="22"/>
      <c r="I496" s="4"/>
      <c r="J496" s="4"/>
      <c r="K496" s="4"/>
      <c r="L496" s="4"/>
      <c r="M496" s="4"/>
    </row>
    <row r="497" spans="1:13">
      <c r="A497" s="4"/>
      <c r="B497" s="11"/>
      <c r="C497" s="11"/>
      <c r="D497" s="11"/>
      <c r="E497" s="14"/>
      <c r="F497" s="4"/>
      <c r="G497" s="14"/>
      <c r="H497" s="22"/>
      <c r="I497" s="4"/>
      <c r="J497" s="4"/>
      <c r="K497" s="4"/>
      <c r="L497" s="4"/>
      <c r="M497" s="4"/>
    </row>
    <row r="498" spans="1:13">
      <c r="A498" s="4"/>
      <c r="B498" s="11"/>
      <c r="C498" s="11"/>
      <c r="D498" s="11"/>
      <c r="E498" s="14"/>
      <c r="F498" s="4"/>
      <c r="G498" s="14"/>
      <c r="H498" s="22"/>
      <c r="I498" s="4"/>
      <c r="J498" s="4"/>
      <c r="K498" s="4"/>
      <c r="L498" s="4"/>
      <c r="M498" s="4"/>
    </row>
    <row r="499" spans="1:13">
      <c r="A499" s="4"/>
      <c r="B499" s="11"/>
      <c r="C499" s="11"/>
      <c r="D499" s="11"/>
      <c r="E499" s="14"/>
      <c r="F499" s="4"/>
      <c r="G499" s="14"/>
      <c r="H499" s="22"/>
      <c r="I499" s="4"/>
      <c r="J499" s="4"/>
      <c r="K499" s="4"/>
      <c r="L499" s="4"/>
      <c r="M499" s="4"/>
    </row>
    <row r="500" spans="1:13">
      <c r="A500" s="4"/>
      <c r="B500" s="11"/>
      <c r="C500" s="11"/>
      <c r="D500" s="11"/>
      <c r="E500" s="14"/>
      <c r="F500" s="4"/>
      <c r="G500" s="14"/>
      <c r="H500" s="22"/>
      <c r="I500" s="4"/>
      <c r="J500" s="4"/>
      <c r="K500" s="4"/>
      <c r="L500" s="4"/>
      <c r="M500" s="4"/>
    </row>
  </sheetData>
  <mergeCells count="4">
    <mergeCell ref="B1:H1"/>
    <mergeCell ref="B2:E2"/>
    <mergeCell ref="J2:M2"/>
    <mergeCell ref="J1:M1"/>
  </mergeCells>
  <phoneticPr fontId="24" type="noConversion"/>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workbookViewId="0">
      <pane xSplit="3" ySplit="3" topLeftCell="D4" activePane="bottomRight" state="frozen"/>
      <selection pane="topRight" activeCell="D1" sqref="D1"/>
      <selection pane="bottomLeft" activeCell="A4" sqref="A4"/>
      <selection pane="bottomRight" activeCell="E6" sqref="E6"/>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13" width="8.75" customWidth="1"/>
  </cols>
  <sheetData>
    <row r="1" spans="1:13" ht="30.75" customHeight="1">
      <c r="A1" s="4"/>
      <c r="B1" s="67" t="s">
        <v>1</v>
      </c>
      <c r="C1" s="68"/>
      <c r="D1" s="68"/>
      <c r="E1" s="68"/>
      <c r="F1" s="68"/>
      <c r="G1" s="68"/>
      <c r="H1" s="68"/>
      <c r="I1" s="4"/>
      <c r="J1" s="4"/>
      <c r="K1" s="4"/>
      <c r="L1" s="4"/>
      <c r="M1" s="4"/>
    </row>
    <row r="2" spans="1:13" ht="27.75" customHeight="1">
      <c r="A2" s="4"/>
      <c r="B2" s="69" t="s">
        <v>222</v>
      </c>
      <c r="C2" s="66"/>
      <c r="D2" s="66"/>
      <c r="E2" s="66"/>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김권위</v>
      </c>
      <c r="D4" s="2">
        <v>8</v>
      </c>
      <c r="E4" s="12" t="str">
        <f>IF(IF(D4=0,"",VLOOKUP(D4,$G$4:$H$153,2,FALSE))=0,종합의견!$F$1,(IF(D4=0,"",VLOOKUP(D4,$G$4:$H$153,2,FALSE))))</f>
        <v>언행이 고우며 명랑한 얼굴로 급우들에게 친절하게 대하는 등 타인을 위한 이해와 배려심을 가지고 있음.</v>
      </c>
      <c r="F4" s="9"/>
      <c r="G4" s="8">
        <v>1</v>
      </c>
      <c r="H4" s="13" t="s">
        <v>223</v>
      </c>
      <c r="I4" s="4"/>
      <c r="J4" s="4"/>
      <c r="K4" s="4"/>
      <c r="L4" s="4"/>
      <c r="M4" s="4"/>
    </row>
    <row r="5" spans="1:13" ht="27" customHeight="1">
      <c r="A5" s="4"/>
      <c r="B5" s="6">
        <f>IF(인성!B5&gt;0,인성!B5,"")</f>
        <v>2</v>
      </c>
      <c r="C5" s="6" t="str">
        <f>IF(인성!C5&gt;0,인성!C5,"")</f>
        <v>김상현</v>
      </c>
      <c r="D5" s="2">
        <v>7</v>
      </c>
      <c r="E5" s="12" t="str">
        <f>IF(IF(D5=0,"",VLOOKUP(D5,$G$4:$H$153,2,FALSE))=0,종합의견!$F$1,(IF(D5=0,"",VLOOKUP(D5,$G$4:$H$153,2,FALSE))))</f>
        <v>담임교사를 도와 급우들이 쾌적한 환경에서 생활할 수 있도록 환경도우미 역할을 충실히 수행함.</v>
      </c>
      <c r="F5" s="9"/>
      <c r="G5" s="8">
        <v>2</v>
      </c>
      <c r="H5" s="13" t="s">
        <v>224</v>
      </c>
      <c r="I5" s="4"/>
      <c r="J5" s="4"/>
      <c r="K5" s="4"/>
      <c r="L5" s="4"/>
      <c r="M5" s="4"/>
    </row>
    <row r="6" spans="1:13" ht="27" customHeight="1">
      <c r="A6" s="4"/>
      <c r="B6" s="6">
        <f>IF(인성!B6&gt;0,인성!B6,"")</f>
        <v>3</v>
      </c>
      <c r="C6" s="6" t="str">
        <f>IF(인성!C6&gt;0,인성!C6,"")</f>
        <v>김승길</v>
      </c>
      <c r="D6" s="2">
        <v>4</v>
      </c>
      <c r="E6" s="12" t="str">
        <f>IF(IF(D6=0,"",VLOOKUP(D6,$G$4:$H$153,2,FALSE))=0,종합의견!$F$1,(IF(D6=0,"",VLOOKUP(D6,$G$4:$H$153,2,FALSE))))</f>
        <v>자신의 의견을 피력하기 전에 항상 주변 여건과 상황을 고려하여 합리적이고 공손한 자세로 의견을 제시하는 등 긍정적이고 고운 심성을 가짐.</v>
      </c>
      <c r="F6" s="9"/>
      <c r="G6" s="8">
        <v>3</v>
      </c>
      <c r="H6" s="13" t="s">
        <v>225</v>
      </c>
      <c r="I6" s="4"/>
      <c r="J6" s="4"/>
      <c r="K6" s="4"/>
      <c r="L6" s="4"/>
      <c r="M6" s="4"/>
    </row>
    <row r="7" spans="1:13" ht="27" customHeight="1">
      <c r="A7" s="4"/>
      <c r="B7" s="6">
        <f>IF(인성!B7&gt;0,인성!B7,"")</f>
        <v>4</v>
      </c>
      <c r="C7" s="6" t="str">
        <f>IF(인성!C7&gt;0,인성!C7,"")</f>
        <v>김하얀</v>
      </c>
      <c r="D7" s="2">
        <v>18</v>
      </c>
      <c r="E7" s="12" t="str">
        <f>IF(IF(D7=0,"",VLOOKUP(D7,$G$4:$H$153,2,FALSE))=0,종합의견!$F$1,(IF(D7=0,"",VLOOKUP(D7,$G$4:$H$153,2,FALSE))))</f>
        <v>상대방의 말을 잘 경청하고 상대방의 입장에서 먼저 이해하려고 노력함.</v>
      </c>
      <c r="F7" s="9"/>
      <c r="G7" s="8">
        <v>4</v>
      </c>
      <c r="H7" s="13" t="s">
        <v>226</v>
      </c>
      <c r="I7" s="4"/>
      <c r="J7" s="4"/>
      <c r="K7" s="4"/>
      <c r="L7" s="4"/>
      <c r="M7" s="4"/>
    </row>
    <row r="8" spans="1:13" ht="27" customHeight="1">
      <c r="A8" s="4"/>
      <c r="B8" s="6">
        <f>IF(인성!B8&gt;0,인성!B8,"")</f>
        <v>5</v>
      </c>
      <c r="C8" s="6" t="str">
        <f>IF(인성!C8&gt;0,인성!C8,"")</f>
        <v>김호찬</v>
      </c>
      <c r="D8" s="2">
        <v>8</v>
      </c>
      <c r="E8" s="12" t="str">
        <f>IF(IF(D8=0,"",VLOOKUP(D8,$G$4:$H$153,2,FALSE))=0,종합의견!$F$1,(IF(D8=0,"",VLOOKUP(D8,$G$4:$H$153,2,FALSE))))</f>
        <v>언행이 고우며 명랑한 얼굴로 급우들에게 친절하게 대하는 등 타인을 위한 이해와 배려심을 가지고 있음.</v>
      </c>
      <c r="F8" s="9"/>
      <c r="G8" s="8">
        <v>5</v>
      </c>
      <c r="H8" s="13" t="s">
        <v>560</v>
      </c>
      <c r="I8" s="4"/>
      <c r="J8" s="4"/>
      <c r="K8" s="4"/>
      <c r="L8" s="4"/>
      <c r="M8" s="4"/>
    </row>
    <row r="9" spans="1:13" ht="27" customHeight="1">
      <c r="A9" s="4"/>
      <c r="B9" s="6">
        <f>IF(인성!B9&gt;0,인성!B9,"")</f>
        <v>6</v>
      </c>
      <c r="C9" s="6" t="str">
        <f>IF(인성!C9&gt;0,인성!C9,"")</f>
        <v>노지형</v>
      </c>
      <c r="D9" s="2">
        <v>8</v>
      </c>
      <c r="E9" s="12" t="str">
        <f>IF(IF(D9=0,"",VLOOKUP(D9,$G$4:$H$153,2,FALSE))=0,종합의견!$F$1,(IF(D9=0,"",VLOOKUP(D9,$G$4:$H$153,2,FALSE))))</f>
        <v>언행이 고우며 명랑한 얼굴로 급우들에게 친절하게 대하는 등 타인을 위한 이해와 배려심을 가지고 있음.</v>
      </c>
      <c r="F9" s="9"/>
      <c r="G9" s="8">
        <v>6</v>
      </c>
      <c r="H9" s="52" t="s">
        <v>599</v>
      </c>
      <c r="I9" s="4"/>
      <c r="J9" s="4"/>
      <c r="K9" s="4"/>
      <c r="L9" s="4"/>
      <c r="M9" s="4"/>
    </row>
    <row r="10" spans="1:13" ht="27" customHeight="1">
      <c r="A10" s="4"/>
      <c r="B10" s="6">
        <f>IF(인성!B10&gt;0,인성!B10,"")</f>
        <v>7</v>
      </c>
      <c r="C10" s="6" t="str">
        <f>IF(인성!C10&gt;0,인성!C10,"")</f>
        <v>류나경</v>
      </c>
      <c r="D10" s="2">
        <v>33</v>
      </c>
      <c r="E10" s="12" t="str">
        <f>IF(IF(D10=0,"",VLOOKUP(D10,$G$4:$H$153,2,FALSE))=0,종합의견!$F$1,(IF(D10=0,"",VLOOKUP(D10,$G$4:$H$153,2,FALSE))))</f>
        <v>자신이 먼저 하고 싶은 일이 있어도 상대방을 배려하여 흔쾌히 양보하는 미덕을 가졌음.</v>
      </c>
      <c r="F10" s="9"/>
      <c r="G10" s="8">
        <v>7</v>
      </c>
      <c r="H10" s="13" t="s">
        <v>227</v>
      </c>
      <c r="I10" s="4"/>
      <c r="J10" s="4"/>
      <c r="K10" s="4"/>
      <c r="L10" s="4"/>
      <c r="M10" s="4"/>
    </row>
    <row r="11" spans="1:13" ht="27" customHeight="1">
      <c r="A11" s="4"/>
      <c r="B11" s="6">
        <f>IF(인성!B11&gt;0,인성!B11,"")</f>
        <v>8</v>
      </c>
      <c r="C11" s="6" t="str">
        <f>IF(인성!C11&gt;0,인성!C11,"")</f>
        <v>박건하</v>
      </c>
      <c r="D11" s="2">
        <v>8</v>
      </c>
      <c r="E11" s="12" t="str">
        <f>IF(IF(D11=0,"",VLOOKUP(D11,$G$4:$H$153,2,FALSE))=0,종합의견!$F$1,(IF(D11=0,"",VLOOKUP(D11,$G$4:$H$153,2,FALSE))))</f>
        <v>언행이 고우며 명랑한 얼굴로 급우들에게 친절하게 대하는 등 타인을 위한 이해와 배려심을 가지고 있음.</v>
      </c>
      <c r="F11" s="9"/>
      <c r="G11" s="8">
        <v>8</v>
      </c>
      <c r="H11" s="13" t="s">
        <v>228</v>
      </c>
      <c r="I11" s="4"/>
      <c r="J11" s="4"/>
      <c r="K11" s="4"/>
      <c r="L11" s="4"/>
      <c r="M11" s="4"/>
    </row>
    <row r="12" spans="1:13" ht="27" customHeight="1">
      <c r="A12" s="4"/>
      <c r="B12" s="6">
        <f>IF(인성!B12&gt;0,인성!B12,"")</f>
        <v>9</v>
      </c>
      <c r="C12" s="6" t="str">
        <f>IF(인성!C12&gt;0,인성!C12,"")</f>
        <v>서형찬</v>
      </c>
      <c r="D12" s="2">
        <v>4</v>
      </c>
      <c r="E12" s="12" t="str">
        <f>IF(IF(D12=0,"",VLOOKUP(D12,$G$4:$H$153,2,FALSE))=0,종합의견!$F$1,(IF(D12=0,"",VLOOKUP(D12,$G$4:$H$153,2,FALSE))))</f>
        <v>자신의 의견을 피력하기 전에 항상 주변 여건과 상황을 고려하여 합리적이고 공손한 자세로 의견을 제시하는 등 긍정적이고 고운 심성을 가짐.</v>
      </c>
      <c r="F12" s="9"/>
      <c r="G12" s="8">
        <v>9</v>
      </c>
      <c r="H12" s="13" t="s">
        <v>229</v>
      </c>
      <c r="I12" s="4"/>
      <c r="J12" s="4"/>
      <c r="K12" s="4"/>
      <c r="L12" s="4"/>
      <c r="M12" s="4"/>
    </row>
    <row r="13" spans="1:13" ht="27" customHeight="1">
      <c r="A13" s="4"/>
      <c r="B13" s="6">
        <f>IF(인성!B13&gt;0,인성!B13,"")</f>
        <v>10</v>
      </c>
      <c r="C13" s="6" t="str">
        <f>IF(인성!C13&gt;0,인성!C13,"")</f>
        <v>손우진</v>
      </c>
      <c r="D13" s="2">
        <v>69</v>
      </c>
      <c r="E13" s="12" t="str">
        <f>IF(IF(D13=0,"",VLOOKUP(D13,$G$4:$H$153,2,FALSE))=0,종합의견!$F$1,(IF(D13=0,"",VLOOKUP(D13,$G$4:$H$153,2,FALSE))))</f>
        <v>친구의 이야기를 끝까지 잘 경청하며 상대방의 장점을 찾아 칭찬해주는 등 타인을 존중하는 마음을 적극적으로 실천함.</v>
      </c>
      <c r="F13" s="9"/>
      <c r="G13" s="8">
        <v>10</v>
      </c>
      <c r="H13" s="13" t="s">
        <v>230</v>
      </c>
      <c r="I13" s="4"/>
      <c r="J13" s="4"/>
      <c r="K13" s="4"/>
      <c r="L13" s="4"/>
      <c r="M13" s="4"/>
    </row>
    <row r="14" spans="1:13" ht="27" customHeight="1">
      <c r="A14" s="4"/>
      <c r="B14" s="6">
        <f>IF(인성!B14&gt;0,인성!B14,"")</f>
        <v>11</v>
      </c>
      <c r="C14" s="6" t="str">
        <f>IF(인성!C14&gt;0,인성!C14,"")</f>
        <v>송정연</v>
      </c>
      <c r="D14" s="2">
        <v>27</v>
      </c>
      <c r="E14" s="12" t="str">
        <f>IF(IF(D14=0,"",VLOOKUP(D14,$G$4:$H$153,2,FALSE))=0,종합의견!$F$1,(IF(D14=0,"",VLOOKUP(D14,$G$4:$H$153,2,FALSE))))</f>
        <v xml:space="preserve">친구가 청소당번 일 때 기다려 주거나 같이 청소를 도와주며 급우가 빌려달라는 준비물을 잘 빌려 줌. </v>
      </c>
      <c r="F14" s="9"/>
      <c r="G14" s="8">
        <v>11</v>
      </c>
      <c r="H14" s="13" t="s">
        <v>231</v>
      </c>
      <c r="I14" s="4"/>
      <c r="J14" s="4"/>
      <c r="K14" s="4"/>
      <c r="L14" s="4"/>
      <c r="M14" s="4"/>
    </row>
    <row r="15" spans="1:13" ht="27" customHeight="1">
      <c r="A15" s="4"/>
      <c r="B15" s="6">
        <f>IF(인성!B15&gt;0,인성!B15,"")</f>
        <v>12</v>
      </c>
      <c r="C15" s="6" t="str">
        <f>IF(인성!C15&gt;0,인성!C15,"")</f>
        <v>양민국</v>
      </c>
      <c r="D15" s="2">
        <v>67</v>
      </c>
      <c r="E15" s="12" t="str">
        <f>IF(IF(D15=0,"",VLOOKUP(D15,$G$4:$H$153,2,FALSE))=0,종합의견!$F$1,(IF(D15=0,"",VLOOKUP(D15,$G$4:$H$153,2,FALSE))))</f>
        <v>자신의 의견만 고집하지 않고 상대방의 의견을 존중하여 인정함으로써 화기애애한 학급분위기 조성을 위해 노력함.</v>
      </c>
      <c r="F15" s="9"/>
      <c r="G15" s="8">
        <v>12</v>
      </c>
      <c r="H15" s="13" t="s">
        <v>646</v>
      </c>
      <c r="I15" s="4"/>
      <c r="J15" s="4"/>
      <c r="K15" s="4"/>
      <c r="L15" s="4"/>
      <c r="M15" s="4"/>
    </row>
    <row r="16" spans="1:13" ht="27" customHeight="1">
      <c r="A16" s="4"/>
      <c r="B16" s="6">
        <f>IF(인성!B16&gt;0,인성!B16,"")</f>
        <v>13</v>
      </c>
      <c r="C16" s="6" t="str">
        <f>IF(인성!C16&gt;0,인성!C16,"")</f>
        <v>오서현</v>
      </c>
      <c r="D16" s="2">
        <v>9</v>
      </c>
      <c r="E16" s="12" t="str">
        <f>IF(IF(D16=0,"",VLOOKUP(D16,$G$4:$H$153,2,FALSE))=0,종합의견!$F$1,(IF(D16=0,"",VLOOKUP(D16,$G$4:$H$153,2,FALSE))))</f>
        <v>다정한 성격으로 약한 급우들에 대한 관심과 이해심이 많아 몸이 아픈 친구를 앞장서서 도와줌.</v>
      </c>
      <c r="F16" s="9"/>
      <c r="G16" s="8">
        <v>13</v>
      </c>
      <c r="H16" s="13" t="s">
        <v>232</v>
      </c>
      <c r="I16" s="4"/>
      <c r="J16" s="4"/>
      <c r="K16" s="4"/>
      <c r="L16" s="4"/>
      <c r="M16" s="4"/>
    </row>
    <row r="17" spans="1:13" ht="27">
      <c r="A17" s="4"/>
      <c r="B17" s="6">
        <f>IF(인성!B17&gt;0,인성!B17,"")</f>
        <v>14</v>
      </c>
      <c r="C17" s="6" t="str">
        <f>IF(인성!C17&gt;0,인성!C17,"")</f>
        <v>윤재영</v>
      </c>
      <c r="D17" s="2">
        <v>75</v>
      </c>
      <c r="E17" s="12" t="str">
        <f>IF(IF(D17=0,"",VLOOKUP(D17,$G$4:$H$153,2,FALSE))=0,종합의견!$F$1,(IF(D17=0,"",VLOOKUP(D17,$G$4:$H$153,2,FALSE))))</f>
        <v>친구를 가리지 않고 두루 잘 어울리며 항상 긍정적인 마음으로 상대방을 이해하고 친구의 부탁을 거절할 때 상대방의 기분이 상하지 않도록 잘 이해하도록 함.</v>
      </c>
      <c r="F17" s="9"/>
      <c r="G17" s="8">
        <v>14</v>
      </c>
      <c r="H17" s="13" t="s">
        <v>233</v>
      </c>
      <c r="I17" s="4"/>
      <c r="J17" s="4"/>
      <c r="K17" s="4"/>
      <c r="L17" s="4"/>
      <c r="M17" s="4"/>
    </row>
    <row r="18" spans="1:13" ht="27" customHeight="1">
      <c r="A18" s="4"/>
      <c r="B18" s="6">
        <f>IF(인성!B18&gt;0,인성!B18,"")</f>
        <v>15</v>
      </c>
      <c r="C18" s="6" t="str">
        <f>IF(인성!C18&gt;0,인성!C18,"")</f>
        <v>이승민</v>
      </c>
      <c r="D18" s="2">
        <v>8</v>
      </c>
      <c r="E18" s="12" t="str">
        <f>IF(IF(D18=0,"",VLOOKUP(D18,$G$4:$H$153,2,FALSE))=0,종합의견!$F$1,(IF(D18=0,"",VLOOKUP(D18,$G$4:$H$153,2,FALSE))))</f>
        <v>언행이 고우며 명랑한 얼굴로 급우들에게 친절하게 대하는 등 타인을 위한 이해와 배려심을 가지고 있음.</v>
      </c>
      <c r="F18" s="9"/>
      <c r="G18" s="8">
        <v>15</v>
      </c>
      <c r="H18" s="13" t="s">
        <v>234</v>
      </c>
      <c r="I18" s="4"/>
      <c r="J18" s="4"/>
      <c r="K18" s="4"/>
      <c r="L18" s="4"/>
      <c r="M18" s="4"/>
    </row>
    <row r="19" spans="1:13" ht="27" customHeight="1">
      <c r="A19" s="4"/>
      <c r="B19" s="6">
        <f>IF(인성!B19&gt;0,인성!B19,"")</f>
        <v>16</v>
      </c>
      <c r="C19" s="6" t="str">
        <f>IF(인성!C19&gt;0,인성!C19,"")</f>
        <v>조도울</v>
      </c>
      <c r="D19" s="2">
        <v>1</v>
      </c>
      <c r="E19" s="12" t="str">
        <f>IF(IF(D19=0,"",VLOOKUP(D19,$G$4:$H$153,2,FALSE))=0,종합의견!$F$1,(IF(D19=0,"",VLOOKUP(D19,$G$4:$H$153,2,FALSE))))</f>
        <v>청소시간에 자신의 활동을 마친 후 다른 학생들을 도와주는 등 학급의 학생들을 위해 배려하는 모습을 보임.</v>
      </c>
      <c r="F19" s="9"/>
      <c r="G19" s="8">
        <v>16</v>
      </c>
      <c r="H19" s="13" t="s">
        <v>235</v>
      </c>
      <c r="I19" s="4"/>
      <c r="J19" s="4"/>
      <c r="K19" s="4"/>
      <c r="L19" s="4"/>
      <c r="M19" s="4"/>
    </row>
    <row r="20" spans="1:13" ht="40.5" customHeight="1">
      <c r="A20" s="4"/>
      <c r="B20" s="6">
        <f>IF(인성!B20&gt;0,인성!B20,"")</f>
        <v>17</v>
      </c>
      <c r="C20" s="6" t="str">
        <f>IF(인성!C20&gt;0,인성!C20,"")</f>
        <v>차명준</v>
      </c>
      <c r="D20" s="2">
        <v>74</v>
      </c>
      <c r="E20" s="12" t="str">
        <f>IF(IF(D20=0,"",VLOOKUP(D20,$G$4:$H$153,2,FALSE))=0,종합의견!$F$1,(IF(D20=0,"",VLOOKUP(D20,$G$4:$H$153,2,FALSE))))</f>
        <v xml:space="preserve">재치 있는 말과 행동으로 친구들을 즐겁게 하거나 친구의 말을 경청하여 잘 들어줌. </v>
      </c>
      <c r="F20" s="9"/>
      <c r="G20" s="8">
        <v>17</v>
      </c>
      <c r="H20" s="13" t="s">
        <v>236</v>
      </c>
      <c r="I20" s="4"/>
      <c r="J20" s="4"/>
      <c r="K20" s="4"/>
      <c r="L20" s="4"/>
      <c r="M20" s="4"/>
    </row>
    <row r="21" spans="1:13" ht="27">
      <c r="A21" s="4"/>
      <c r="B21" s="6">
        <f>IF(인성!B21&gt;0,인성!B21,"")</f>
        <v>18</v>
      </c>
      <c r="C21" s="6" t="str">
        <f>IF(인성!C21&gt;0,인성!C21,"")</f>
        <v>최가영</v>
      </c>
      <c r="D21" s="2">
        <v>10</v>
      </c>
      <c r="E21" s="12" t="str">
        <f>IF(IF(D21=0,"",VLOOKUP(D21,$G$4:$H$153,2,FALSE))=0,종합의견!$F$1,(IF(D21=0,"",VLOOKUP(D21,$G$4:$H$153,2,FALSE))))</f>
        <v>고민을 가지고 있는 친구들의 이야기를 성심껏 들어주며 교과에 대한 질문에도 친절하게 응답함.</v>
      </c>
      <c r="F21" s="9"/>
      <c r="G21" s="8">
        <v>18</v>
      </c>
      <c r="H21" s="13" t="s">
        <v>237</v>
      </c>
      <c r="I21" s="4"/>
      <c r="J21" s="4"/>
      <c r="K21" s="4"/>
      <c r="L21" s="4"/>
      <c r="M21" s="4"/>
    </row>
    <row r="22" spans="1:13" ht="27">
      <c r="A22" s="4"/>
      <c r="B22" s="6">
        <f>IF(인성!B22&gt;0,인성!B22,"")</f>
        <v>19</v>
      </c>
      <c r="C22" s="6" t="str">
        <f>IF(인성!C22&gt;0,인성!C22,"")</f>
        <v>최다빈</v>
      </c>
      <c r="D22" s="2">
        <v>32</v>
      </c>
      <c r="E22" s="12" t="str">
        <f>IF(IF(D22=0,"",VLOOKUP(D22,$G$4:$H$153,2,FALSE))=0,종합의견!$F$1,(IF(D22=0,"",VLOOKUP(D22,$G$4:$H$153,2,FALSE))))</f>
        <v>따뜻한 마음을 지닌 학생으로 학급에서 소외된 친구가 없는지 살피고 상대방의 입장에서 말하고 행동하는 등 배려심이 많아 학급 친구들에게 긍정적인 영향을 줌.</v>
      </c>
      <c r="F22" s="9"/>
      <c r="G22" s="8">
        <v>19</v>
      </c>
      <c r="H22" s="13" t="s">
        <v>238</v>
      </c>
      <c r="I22" s="4"/>
      <c r="J22" s="4"/>
      <c r="K22" s="4"/>
      <c r="L22" s="4"/>
      <c r="M22" s="4"/>
    </row>
    <row r="23" spans="1:13" ht="27">
      <c r="A23" s="4"/>
      <c r="B23" s="6">
        <f>IF(인성!B23&gt;0,인성!B23,"")</f>
        <v>20</v>
      </c>
      <c r="C23" s="6" t="str">
        <f>IF(인성!C23&gt;0,인성!C23,"")</f>
        <v>홍준석</v>
      </c>
      <c r="D23" s="2">
        <v>5</v>
      </c>
      <c r="E23" s="12" t="str">
        <f>IF(IF(D23=0,"",VLOOKUP(D23,$G$4:$H$153,2,FALSE))=0,종합의견!$F$1,(IF(D23=0,"",VLOOKUP(D23,$G$4:$H$153,2,FALSE))))</f>
        <v>학교 행사에서 무거운 짐을 솔선하여 나르고 모두가 싫어하는 일을 스스로 맡아 구성원들이 제 역할을 즐겁고 열심히 수행하도록 동기부여를 함.</v>
      </c>
      <c r="F23" s="9"/>
      <c r="G23" s="8">
        <v>20</v>
      </c>
      <c r="H23" s="13" t="s">
        <v>239</v>
      </c>
      <c r="I23" s="4"/>
      <c r="J23" s="4"/>
      <c r="K23" s="4"/>
      <c r="L23" s="4"/>
      <c r="M23" s="4"/>
    </row>
    <row r="24" spans="1:13" ht="16.5" customHeight="1">
      <c r="A24" s="4"/>
      <c r="B24" s="6" t="str">
        <f>IF(인성!B24&gt;0,인성!B24,"")</f>
        <v/>
      </c>
      <c r="C24" s="6" t="str">
        <f>IF(인성!C24&gt;0,인성!C24,"")</f>
        <v/>
      </c>
      <c r="D24" s="2"/>
      <c r="E24" s="12" t="str">
        <f>IF(IF(D24=0,"",VLOOKUP(D24,$G$4:$H$153,2,FALSE))=0,종합의견!$F$1,(IF(D24=0,"",VLOOKUP(D24,$G$4:$H$153,2,FALSE))))</f>
        <v/>
      </c>
      <c r="F24" s="9"/>
      <c r="G24" s="8">
        <v>21</v>
      </c>
      <c r="H24" s="13" t="s">
        <v>240</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241</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242</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679</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244</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245</v>
      </c>
      <c r="I29" s="4"/>
      <c r="J29" s="4"/>
      <c r="K29" s="4"/>
      <c r="L29" s="4"/>
      <c r="M29" s="4"/>
    </row>
    <row r="30" spans="1:13" ht="27" customHeight="1">
      <c r="A30" s="4"/>
      <c r="B30" s="6" t="str">
        <f>IF(인성!B30&gt;0,인성!B30,"")</f>
        <v/>
      </c>
      <c r="C30" s="6" t="str">
        <f>IF(인성!C30&gt;0,인성!C30,"")</f>
        <v/>
      </c>
      <c r="D30" s="2"/>
      <c r="E30" s="12" t="str">
        <f>IF(IF(D30=0,"",VLOOKUP(D30,$G$4:$H$153,2,FALSE))=0,종합의견!$F$1,(IF(D30=0,"",VLOOKUP(D30,$G$4:$H$153,2,FALSE))))</f>
        <v/>
      </c>
      <c r="F30" s="9"/>
      <c r="G30" s="8">
        <v>27</v>
      </c>
      <c r="H30" s="13" t="s">
        <v>246</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247</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248</v>
      </c>
      <c r="I32" s="4"/>
      <c r="J32" s="4"/>
      <c r="K32" s="4"/>
      <c r="L32" s="4"/>
      <c r="M32" s="4"/>
    </row>
    <row r="33" spans="1:13" ht="16.5" customHeight="1">
      <c r="A33" s="4"/>
      <c r="B33" s="6" t="str">
        <f>IF(인성!B33&gt;0,인성!B33,"")</f>
        <v/>
      </c>
      <c r="C33" s="6" t="str">
        <f>IF(인성!C33&gt;0,인성!C33,"")</f>
        <v/>
      </c>
      <c r="D33" s="2"/>
      <c r="E33" s="12" t="str">
        <f>IF(IF(D33=0,"",VLOOKUP(D33,$G$4:$H$153,2,FALSE))=0,종합의견!$F$1,(IF(D33=0,"",VLOOKUP(D33,$G$4:$H$153,2,FALSE))))</f>
        <v/>
      </c>
      <c r="F33" s="9"/>
      <c r="G33" s="8">
        <v>30</v>
      </c>
      <c r="H33" s="13" t="s">
        <v>249</v>
      </c>
      <c r="I33" s="4"/>
      <c r="J33" s="4"/>
      <c r="K33" s="4"/>
      <c r="L33" s="4"/>
      <c r="M33" s="4"/>
    </row>
    <row r="34" spans="1:13" ht="16.5" customHeight="1">
      <c r="A34" s="4"/>
      <c r="B34" s="6" t="str">
        <f>IF(인성!B34&gt;0,인성!B34,"")</f>
        <v/>
      </c>
      <c r="C34" s="6" t="str">
        <f>IF(인성!C34&gt;0,인성!C34,"")</f>
        <v/>
      </c>
      <c r="D34" s="2"/>
      <c r="E34" s="12" t="str">
        <f>IF(IF(D34=0,"",VLOOKUP(D34,$G$4:$H$153,2,FALSE))=0,종합의견!$F$1,(IF(D34=0,"",VLOOKUP(D34,$G$4:$H$153,2,FALSE))))</f>
        <v/>
      </c>
      <c r="F34" s="9"/>
      <c r="G34" s="8">
        <v>31</v>
      </c>
      <c r="H34" s="13" t="s">
        <v>250</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251</v>
      </c>
      <c r="I35" s="4"/>
      <c r="J35" s="4"/>
      <c r="K35" s="4"/>
      <c r="L35" s="4"/>
      <c r="M35" s="4"/>
    </row>
    <row r="36" spans="1:13" ht="16.5" customHeight="1">
      <c r="A36" s="4"/>
      <c r="B36" s="6" t="str">
        <f>IF(인성!B36&gt;0,인성!B36,"")</f>
        <v/>
      </c>
      <c r="C36" s="6" t="str">
        <f>IF(인성!C36&gt;0,인성!C36,"")</f>
        <v/>
      </c>
      <c r="D36" s="2"/>
      <c r="E36" s="12" t="str">
        <f>IF(IF(D36=0,"",VLOOKUP(D36,$G$4:$H$153,2,FALSE))=0,종합의견!$F$1,(IF(D36=0,"",VLOOKUP(D36,$G$4:$H$153,2,FALSE))))</f>
        <v/>
      </c>
      <c r="F36" s="9"/>
      <c r="G36" s="8">
        <v>33</v>
      </c>
      <c r="H36" s="13" t="s">
        <v>252</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253</v>
      </c>
      <c r="I37" s="4"/>
      <c r="J37" s="4"/>
      <c r="K37" s="4"/>
      <c r="L37" s="4"/>
      <c r="M37" s="4"/>
    </row>
    <row r="38" spans="1:13" ht="16.5" customHeight="1">
      <c r="A38" s="4"/>
      <c r="B38" s="6" t="str">
        <f>IF(인성!B38&gt;0,인성!B38,"")</f>
        <v/>
      </c>
      <c r="C38" s="6" t="str">
        <f>IF(인성!C38&gt;0,인성!C38,"")</f>
        <v/>
      </c>
      <c r="D38" s="2"/>
      <c r="E38" s="12" t="str">
        <f>IF(IF(D38=0,"",VLOOKUP(D38,$G$4:$H$153,2,FALSE))=0,종합의견!$F$1,(IF(D38=0,"",VLOOKUP(D38,$G$4:$H$153,2,FALSE))))</f>
        <v/>
      </c>
      <c r="F38" s="9"/>
      <c r="G38" s="8">
        <v>35</v>
      </c>
      <c r="H38" s="13" t="s">
        <v>254</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255</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256</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257</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258</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259</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260</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261</v>
      </c>
      <c r="I45" s="4"/>
      <c r="J45" s="4"/>
      <c r="K45" s="4"/>
      <c r="L45" s="4"/>
      <c r="M45" s="4"/>
    </row>
    <row r="46" spans="1:13" ht="16.5" customHeight="1">
      <c r="A46" s="4"/>
      <c r="B46" s="6" t="str">
        <f>IF(인성!B46&gt;0,인성!B46,"")</f>
        <v/>
      </c>
      <c r="C46" s="6" t="str">
        <f>IF(인성!C46&gt;0,인성!C46,"")</f>
        <v/>
      </c>
      <c r="D46" s="2"/>
      <c r="E46" s="12" t="str">
        <f>IF(IF(D46=0,"",VLOOKUP(D46,$G$4:$H$153,2,FALSE))=0,종합의견!$F$1,(IF(D46=0,"",VLOOKUP(D46,$G$4:$H$153,2,FALSE))))</f>
        <v/>
      </c>
      <c r="F46" s="9"/>
      <c r="G46" s="8">
        <v>43</v>
      </c>
      <c r="H46" s="13" t="s">
        <v>262</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263</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264</v>
      </c>
      <c r="I48" s="4"/>
      <c r="J48" s="4"/>
      <c r="K48" s="4"/>
      <c r="L48" s="4"/>
      <c r="M48" s="4"/>
    </row>
    <row r="49" spans="1:13" ht="27" customHeight="1">
      <c r="A49" s="4"/>
      <c r="B49" s="11"/>
      <c r="C49" s="11"/>
      <c r="D49" s="11"/>
      <c r="E49" s="14"/>
      <c r="F49" s="4"/>
      <c r="G49" s="8">
        <v>46</v>
      </c>
      <c r="H49" s="13" t="s">
        <v>265</v>
      </c>
      <c r="I49" s="4"/>
      <c r="J49" s="4"/>
      <c r="K49" s="4"/>
      <c r="L49" s="4"/>
      <c r="M49" s="4"/>
    </row>
    <row r="50" spans="1:13" ht="16.5" customHeight="1">
      <c r="A50" s="4"/>
      <c r="B50" s="11"/>
      <c r="C50" s="11"/>
      <c r="D50" s="11"/>
      <c r="E50" s="14"/>
      <c r="F50" s="4"/>
      <c r="G50" s="8">
        <v>47</v>
      </c>
      <c r="H50" s="13" t="s">
        <v>266</v>
      </c>
      <c r="I50" s="4"/>
      <c r="J50" s="4"/>
      <c r="K50" s="4"/>
      <c r="L50" s="4"/>
      <c r="M50" s="4"/>
    </row>
    <row r="51" spans="1:13" ht="16.5" customHeight="1">
      <c r="A51" s="4"/>
      <c r="B51" s="11"/>
      <c r="C51" s="11"/>
      <c r="D51" s="11"/>
      <c r="E51" s="14"/>
      <c r="F51" s="4"/>
      <c r="G51" s="8">
        <v>48</v>
      </c>
      <c r="H51" s="13" t="s">
        <v>267</v>
      </c>
      <c r="I51" s="4"/>
      <c r="J51" s="4"/>
      <c r="K51" s="4"/>
      <c r="L51" s="4"/>
      <c r="M51" s="4"/>
    </row>
    <row r="52" spans="1:13" ht="40.5">
      <c r="A52" s="4"/>
      <c r="B52" s="11"/>
      <c r="C52" s="11"/>
      <c r="D52" s="11"/>
      <c r="E52" s="14"/>
      <c r="F52" s="4"/>
      <c r="G52" s="8">
        <v>49</v>
      </c>
      <c r="H52" s="13" t="s">
        <v>268</v>
      </c>
      <c r="I52" s="4"/>
      <c r="J52" s="4"/>
      <c r="K52" s="4"/>
      <c r="L52" s="4"/>
      <c r="M52" s="4"/>
    </row>
    <row r="53" spans="1:13" ht="27">
      <c r="A53" s="4"/>
      <c r="B53" s="11"/>
      <c r="C53" s="11"/>
      <c r="D53" s="11"/>
      <c r="E53" s="14"/>
      <c r="F53" s="4"/>
      <c r="G53" s="8">
        <v>50</v>
      </c>
      <c r="H53" s="13" t="s">
        <v>269</v>
      </c>
      <c r="I53" s="4"/>
      <c r="J53" s="4"/>
      <c r="K53" s="4"/>
      <c r="L53" s="4"/>
      <c r="M53" s="4"/>
    </row>
    <row r="54" spans="1:13" ht="27" customHeight="1">
      <c r="A54" s="4"/>
      <c r="B54" s="11"/>
      <c r="C54" s="11"/>
      <c r="D54" s="11"/>
      <c r="E54" s="14"/>
      <c r="F54" s="4"/>
      <c r="G54" s="8">
        <v>51</v>
      </c>
      <c r="H54" s="13" t="s">
        <v>270</v>
      </c>
      <c r="I54" s="4"/>
      <c r="J54" s="4"/>
      <c r="K54" s="4"/>
      <c r="L54" s="4"/>
      <c r="M54" s="4"/>
    </row>
    <row r="55" spans="1:13" ht="40.5" customHeight="1">
      <c r="A55" s="4"/>
      <c r="B55" s="11"/>
      <c r="C55" s="11"/>
      <c r="D55" s="11"/>
      <c r="E55" s="14"/>
      <c r="F55" s="4"/>
      <c r="G55" s="8">
        <v>52</v>
      </c>
      <c r="H55" s="13" t="s">
        <v>271</v>
      </c>
      <c r="I55" s="4"/>
      <c r="J55" s="4"/>
      <c r="K55" s="4"/>
      <c r="L55" s="4"/>
      <c r="M55" s="4"/>
    </row>
    <row r="56" spans="1:13" ht="27" customHeight="1">
      <c r="A56" s="4"/>
      <c r="B56" s="11"/>
      <c r="C56" s="11"/>
      <c r="D56" s="11"/>
      <c r="E56" s="14"/>
      <c r="F56" s="4"/>
      <c r="G56" s="8">
        <v>53</v>
      </c>
      <c r="H56" s="13" t="s">
        <v>272</v>
      </c>
      <c r="I56" s="4"/>
      <c r="J56" s="4"/>
      <c r="K56" s="4"/>
      <c r="L56" s="4"/>
      <c r="M56" s="4"/>
    </row>
    <row r="57" spans="1:13" ht="27" customHeight="1">
      <c r="A57" s="4"/>
      <c r="B57" s="11"/>
      <c r="C57" s="11"/>
      <c r="D57" s="11"/>
      <c r="E57" s="14"/>
      <c r="F57" s="4"/>
      <c r="G57" s="8">
        <v>54</v>
      </c>
      <c r="H57" s="13" t="s">
        <v>273</v>
      </c>
      <c r="I57" s="4"/>
      <c r="J57" s="4"/>
      <c r="K57" s="4"/>
      <c r="L57" s="4"/>
      <c r="M57" s="4"/>
    </row>
    <row r="58" spans="1:13" ht="27" customHeight="1">
      <c r="A58" s="4"/>
      <c r="B58" s="11"/>
      <c r="C58" s="11"/>
      <c r="D58" s="11"/>
      <c r="E58" s="14"/>
      <c r="F58" s="4"/>
      <c r="G58" s="8">
        <v>55</v>
      </c>
      <c r="H58" s="13" t="s">
        <v>274</v>
      </c>
      <c r="I58" s="4"/>
      <c r="J58" s="4"/>
      <c r="K58" s="4"/>
      <c r="L58" s="4"/>
      <c r="M58" s="4"/>
    </row>
    <row r="59" spans="1:13" ht="27" customHeight="1">
      <c r="A59" s="4"/>
      <c r="B59" s="11"/>
      <c r="C59" s="11"/>
      <c r="D59" s="11"/>
      <c r="E59" s="14"/>
      <c r="F59" s="4"/>
      <c r="G59" s="8">
        <v>56</v>
      </c>
      <c r="H59" s="13" t="s">
        <v>275</v>
      </c>
      <c r="I59" s="4"/>
      <c r="J59" s="4"/>
      <c r="K59" s="4"/>
      <c r="L59" s="4"/>
      <c r="M59" s="4"/>
    </row>
    <row r="60" spans="1:13" ht="27" customHeight="1">
      <c r="A60" s="4"/>
      <c r="B60" s="11"/>
      <c r="C60" s="11"/>
      <c r="D60" s="11"/>
      <c r="E60" s="14"/>
      <c r="F60" s="4"/>
      <c r="G60" s="8">
        <v>57</v>
      </c>
      <c r="H60" s="13" t="s">
        <v>276</v>
      </c>
      <c r="I60" s="4"/>
      <c r="J60" s="4"/>
      <c r="K60" s="4"/>
      <c r="L60" s="4"/>
      <c r="M60" s="4"/>
    </row>
    <row r="61" spans="1:13" ht="27" customHeight="1">
      <c r="A61" s="4"/>
      <c r="B61" s="11"/>
      <c r="C61" s="11"/>
      <c r="D61" s="11"/>
      <c r="E61" s="14"/>
      <c r="F61" s="4"/>
      <c r="G61" s="8">
        <v>58</v>
      </c>
      <c r="H61" s="13" t="s">
        <v>277</v>
      </c>
      <c r="I61" s="4"/>
      <c r="J61" s="4"/>
      <c r="K61" s="4"/>
      <c r="L61" s="4"/>
      <c r="M61" s="4"/>
    </row>
    <row r="62" spans="1:13" ht="27" customHeight="1">
      <c r="A62" s="4"/>
      <c r="B62" s="11"/>
      <c r="C62" s="11"/>
      <c r="D62" s="11"/>
      <c r="E62" s="14"/>
      <c r="F62" s="4"/>
      <c r="G62" s="8">
        <v>59</v>
      </c>
      <c r="H62" s="13" t="s">
        <v>278</v>
      </c>
      <c r="I62" s="4"/>
      <c r="J62" s="4"/>
      <c r="K62" s="4"/>
      <c r="L62" s="4"/>
      <c r="M62" s="4"/>
    </row>
    <row r="63" spans="1:13" ht="27" customHeight="1">
      <c r="A63" s="4"/>
      <c r="B63" s="11"/>
      <c r="C63" s="11"/>
      <c r="D63" s="11"/>
      <c r="E63" s="14"/>
      <c r="F63" s="4"/>
      <c r="G63" s="8">
        <v>60</v>
      </c>
      <c r="H63" s="13" t="s">
        <v>279</v>
      </c>
      <c r="I63" s="4"/>
      <c r="J63" s="4"/>
      <c r="K63" s="4"/>
      <c r="L63" s="4"/>
      <c r="M63" s="4"/>
    </row>
    <row r="64" spans="1:13" ht="27" customHeight="1">
      <c r="A64" s="4"/>
      <c r="B64" s="11"/>
      <c r="C64" s="11"/>
      <c r="D64" s="11"/>
      <c r="E64" s="14"/>
      <c r="F64" s="4"/>
      <c r="G64" s="8">
        <v>61</v>
      </c>
      <c r="H64" s="13" t="s">
        <v>280</v>
      </c>
      <c r="I64" s="4"/>
      <c r="J64" s="4"/>
      <c r="K64" s="4"/>
      <c r="L64" s="4"/>
      <c r="M64" s="4"/>
    </row>
    <row r="65" spans="1:13" ht="27">
      <c r="A65" s="4"/>
      <c r="B65" s="11"/>
      <c r="C65" s="11"/>
      <c r="D65" s="11"/>
      <c r="E65" s="14"/>
      <c r="F65" s="4"/>
      <c r="G65" s="8">
        <v>62</v>
      </c>
      <c r="H65" s="13" t="s">
        <v>281</v>
      </c>
      <c r="I65" s="4"/>
      <c r="J65" s="4"/>
      <c r="K65" s="4"/>
      <c r="L65" s="4"/>
      <c r="M65" s="4"/>
    </row>
    <row r="66" spans="1:13" ht="27" customHeight="1">
      <c r="A66" s="4"/>
      <c r="B66" s="11"/>
      <c r="C66" s="11"/>
      <c r="D66" s="11"/>
      <c r="E66" s="14"/>
      <c r="F66" s="4"/>
      <c r="G66" s="8">
        <v>63</v>
      </c>
      <c r="H66" s="13" t="s">
        <v>282</v>
      </c>
      <c r="I66" s="4"/>
      <c r="J66" s="4"/>
      <c r="K66" s="4"/>
      <c r="L66" s="4"/>
      <c r="M66" s="4"/>
    </row>
    <row r="67" spans="1:13" ht="27" customHeight="1">
      <c r="A67" s="4"/>
      <c r="B67" s="11"/>
      <c r="C67" s="11"/>
      <c r="D67" s="11"/>
      <c r="E67" s="14"/>
      <c r="F67" s="4"/>
      <c r="G67" s="8">
        <v>64</v>
      </c>
      <c r="H67" s="13" t="s">
        <v>283</v>
      </c>
      <c r="I67" s="4"/>
      <c r="J67" s="4"/>
      <c r="K67" s="4"/>
      <c r="L67" s="4"/>
      <c r="M67" s="4"/>
    </row>
    <row r="68" spans="1:13" ht="27">
      <c r="A68" s="4"/>
      <c r="B68" s="11"/>
      <c r="C68" s="11"/>
      <c r="D68" s="11"/>
      <c r="E68" s="14"/>
      <c r="F68" s="4"/>
      <c r="G68" s="8">
        <v>65</v>
      </c>
      <c r="H68" s="13" t="s">
        <v>284</v>
      </c>
      <c r="I68" s="4"/>
      <c r="J68" s="4"/>
      <c r="K68" s="4"/>
      <c r="L68" s="4"/>
      <c r="M68" s="4"/>
    </row>
    <row r="69" spans="1:13" ht="27" customHeight="1">
      <c r="A69" s="4"/>
      <c r="B69" s="11"/>
      <c r="C69" s="11"/>
      <c r="D69" s="11"/>
      <c r="E69" s="14"/>
      <c r="F69" s="4"/>
      <c r="G69" s="8">
        <v>66</v>
      </c>
      <c r="H69" s="13" t="s">
        <v>285</v>
      </c>
      <c r="I69" s="4"/>
      <c r="J69" s="4"/>
      <c r="K69" s="4"/>
      <c r="L69" s="4"/>
      <c r="M69" s="4"/>
    </row>
    <row r="70" spans="1:13" ht="27" customHeight="1">
      <c r="A70" s="4"/>
      <c r="B70" s="11"/>
      <c r="C70" s="11"/>
      <c r="D70" s="11"/>
      <c r="E70" s="14"/>
      <c r="F70" s="4"/>
      <c r="G70" s="8">
        <v>67</v>
      </c>
      <c r="H70" s="13" t="s">
        <v>286</v>
      </c>
      <c r="I70" s="4"/>
      <c r="J70" s="4"/>
      <c r="K70" s="4"/>
      <c r="L70" s="4"/>
      <c r="M70" s="4"/>
    </row>
    <row r="71" spans="1:13" ht="27" customHeight="1">
      <c r="A71" s="4"/>
      <c r="B71" s="11"/>
      <c r="C71" s="11"/>
      <c r="D71" s="11"/>
      <c r="E71" s="14"/>
      <c r="F71" s="4"/>
      <c r="G71" s="8">
        <v>68</v>
      </c>
      <c r="H71" s="13" t="s">
        <v>287</v>
      </c>
      <c r="I71" s="4"/>
      <c r="J71" s="4"/>
      <c r="K71" s="4"/>
      <c r="L71" s="4"/>
      <c r="M71" s="4"/>
    </row>
    <row r="72" spans="1:13" ht="27" customHeight="1">
      <c r="A72" s="4"/>
      <c r="B72" s="11"/>
      <c r="C72" s="11"/>
      <c r="D72" s="11"/>
      <c r="E72" s="14"/>
      <c r="F72" s="4"/>
      <c r="G72" s="8">
        <v>69</v>
      </c>
      <c r="H72" s="13" t="s">
        <v>288</v>
      </c>
      <c r="I72" s="4"/>
      <c r="J72" s="4"/>
      <c r="K72" s="4"/>
      <c r="L72" s="4"/>
      <c r="M72" s="4"/>
    </row>
    <row r="73" spans="1:13" ht="27" customHeight="1">
      <c r="A73" s="4"/>
      <c r="B73" s="11"/>
      <c r="C73" s="11"/>
      <c r="D73" s="11"/>
      <c r="E73" s="14"/>
      <c r="F73" s="4"/>
      <c r="G73" s="8">
        <v>70</v>
      </c>
      <c r="H73" s="13" t="s">
        <v>289</v>
      </c>
      <c r="I73" s="4"/>
      <c r="J73" s="4"/>
      <c r="K73" s="4"/>
      <c r="L73" s="4"/>
      <c r="M73" s="4"/>
    </row>
    <row r="74" spans="1:13" ht="16.5" customHeight="1">
      <c r="A74" s="4"/>
      <c r="B74" s="11"/>
      <c r="C74" s="11"/>
      <c r="D74" s="11"/>
      <c r="E74" s="14"/>
      <c r="F74" s="4"/>
      <c r="G74" s="8">
        <v>71</v>
      </c>
      <c r="H74" s="13" t="s">
        <v>290</v>
      </c>
      <c r="I74" s="4"/>
      <c r="J74" s="4"/>
      <c r="K74" s="4"/>
      <c r="L74" s="4"/>
      <c r="M74" s="4"/>
    </row>
    <row r="75" spans="1:13" ht="27">
      <c r="A75" s="4"/>
      <c r="B75" s="11"/>
      <c r="C75" s="11"/>
      <c r="D75" s="11"/>
      <c r="E75" s="14"/>
      <c r="F75" s="4"/>
      <c r="G75" s="8">
        <v>72</v>
      </c>
      <c r="H75" s="13" t="s">
        <v>291</v>
      </c>
      <c r="I75" s="4"/>
      <c r="J75" s="4"/>
      <c r="K75" s="4"/>
      <c r="L75" s="4"/>
      <c r="M75" s="4"/>
    </row>
    <row r="76" spans="1:13" ht="27" customHeight="1">
      <c r="A76" s="4"/>
      <c r="B76" s="11"/>
      <c r="C76" s="11"/>
      <c r="D76" s="11"/>
      <c r="E76" s="14"/>
      <c r="F76" s="4"/>
      <c r="G76" s="8">
        <v>73</v>
      </c>
      <c r="H76" s="13" t="s">
        <v>292</v>
      </c>
      <c r="I76" s="4"/>
      <c r="J76" s="4"/>
      <c r="K76" s="4"/>
      <c r="L76" s="4"/>
      <c r="M76" s="4"/>
    </row>
    <row r="77" spans="1:13" ht="27" customHeight="1">
      <c r="A77" s="4"/>
      <c r="B77" s="11"/>
      <c r="C77" s="11"/>
      <c r="D77" s="11"/>
      <c r="E77" s="14"/>
      <c r="F77" s="4"/>
      <c r="G77" s="8">
        <v>74</v>
      </c>
      <c r="H77" s="13" t="s">
        <v>293</v>
      </c>
      <c r="I77" s="4"/>
      <c r="J77" s="4"/>
      <c r="K77" s="4"/>
      <c r="L77" s="4"/>
      <c r="M77" s="4"/>
    </row>
    <row r="78" spans="1:13" ht="27">
      <c r="A78" s="4"/>
      <c r="B78" s="11"/>
      <c r="C78" s="11"/>
      <c r="D78" s="11"/>
      <c r="E78" s="14"/>
      <c r="F78" s="4"/>
      <c r="G78" s="8">
        <v>75</v>
      </c>
      <c r="H78" s="13" t="s">
        <v>294</v>
      </c>
      <c r="I78" s="4"/>
      <c r="J78" s="4"/>
      <c r="K78" s="4"/>
      <c r="L78" s="4"/>
      <c r="M78" s="4"/>
    </row>
    <row r="79" spans="1:13" ht="27" customHeight="1">
      <c r="A79" s="4"/>
      <c r="B79" s="11"/>
      <c r="C79" s="11"/>
      <c r="D79" s="11"/>
      <c r="E79" s="14"/>
      <c r="F79" s="4"/>
      <c r="G79" s="8">
        <v>76</v>
      </c>
      <c r="H79" s="13" t="s">
        <v>295</v>
      </c>
      <c r="I79" s="4"/>
      <c r="J79" s="4"/>
      <c r="K79" s="4"/>
      <c r="L79" s="4"/>
      <c r="M79" s="4"/>
    </row>
    <row r="80" spans="1:13" ht="27" customHeight="1">
      <c r="A80" s="4"/>
      <c r="B80" s="11"/>
      <c r="C80" s="11"/>
      <c r="D80" s="11"/>
      <c r="E80" s="14"/>
      <c r="F80" s="4"/>
      <c r="G80" s="8">
        <v>77</v>
      </c>
      <c r="H80" s="13" t="s">
        <v>296</v>
      </c>
      <c r="I80" s="4"/>
      <c r="J80" s="4"/>
      <c r="K80" s="4"/>
      <c r="L80" s="4"/>
      <c r="M80" s="4"/>
    </row>
    <row r="81" spans="1:13" ht="27" customHeight="1">
      <c r="A81" s="4"/>
      <c r="B81" s="11"/>
      <c r="C81" s="11"/>
      <c r="D81" s="11"/>
      <c r="E81" s="14"/>
      <c r="F81" s="4"/>
      <c r="G81" s="8">
        <v>78</v>
      </c>
      <c r="H81" s="13" t="s">
        <v>297</v>
      </c>
      <c r="I81" s="4"/>
      <c r="J81" s="4"/>
      <c r="K81" s="4"/>
      <c r="L81" s="4"/>
      <c r="M81" s="4"/>
    </row>
    <row r="82" spans="1:13" ht="27" customHeight="1">
      <c r="A82" s="4"/>
      <c r="B82" s="11"/>
      <c r="C82" s="11"/>
      <c r="D82" s="11"/>
      <c r="E82" s="14"/>
      <c r="F82" s="4"/>
      <c r="G82" s="8">
        <v>79</v>
      </c>
      <c r="H82" s="54" t="s">
        <v>574</v>
      </c>
      <c r="I82" s="4"/>
      <c r="J82" s="4"/>
      <c r="K82" s="4"/>
      <c r="L82" s="4"/>
      <c r="M82" s="4"/>
    </row>
    <row r="83" spans="1:13" ht="16.5" customHeight="1">
      <c r="A83" s="4"/>
      <c r="B83" s="11"/>
      <c r="C83" s="11"/>
      <c r="D83" s="11"/>
      <c r="E83" s="14"/>
      <c r="F83" s="4"/>
      <c r="G83" s="8">
        <v>80</v>
      </c>
      <c r="H83" t="s">
        <v>598</v>
      </c>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workbookViewId="0">
      <pane xSplit="3" ySplit="3" topLeftCell="D4" activePane="bottomRight" state="frozen"/>
      <selection pane="topRight" activeCell="D1" sqref="D1"/>
      <selection pane="bottomLeft" activeCell="A4" sqref="A4"/>
      <selection pane="bottomRight" activeCell="E8" sqref="E8"/>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13" width="8.75" customWidth="1"/>
  </cols>
  <sheetData>
    <row r="1" spans="1:13" ht="33.75" customHeight="1">
      <c r="A1" s="4"/>
      <c r="B1" s="67" t="s">
        <v>1</v>
      </c>
      <c r="C1" s="68"/>
      <c r="D1" s="68"/>
      <c r="E1" s="68"/>
      <c r="F1" s="68"/>
      <c r="G1" s="68"/>
      <c r="H1" s="68"/>
      <c r="I1" s="4"/>
      <c r="J1" s="4"/>
      <c r="K1" s="4"/>
      <c r="L1" s="4"/>
      <c r="M1" s="4"/>
    </row>
    <row r="2" spans="1:13" ht="27.75" customHeight="1">
      <c r="A2" s="4"/>
      <c r="B2" s="69" t="s">
        <v>298</v>
      </c>
      <c r="C2" s="66"/>
      <c r="D2" s="66"/>
      <c r="E2" s="66"/>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김권위</v>
      </c>
      <c r="D4" s="23">
        <v>51</v>
      </c>
      <c r="E4" s="12" t="str">
        <f>IF(IF(D4=0,"",VLOOKUP(D4,$G$4:$H$153,2,FALSE))=0,종합의견!$F$1,(IF(D4=0,"",VLOOKUP(D4,$G$4:$H$153,2,FALSE))))</f>
        <v>학교나 학급 행사가 있을 때 질서유지에 힘쓰고 매사 협조적인 자세로 임함.</v>
      </c>
      <c r="F4" s="9"/>
      <c r="G4" s="8">
        <v>1</v>
      </c>
      <c r="H4" s="13" t="s">
        <v>647</v>
      </c>
      <c r="I4" s="4"/>
      <c r="J4" s="4"/>
      <c r="K4" s="4"/>
      <c r="L4" s="4"/>
      <c r="M4" s="4"/>
    </row>
    <row r="5" spans="1:13" ht="40.5">
      <c r="A5" s="4"/>
      <c r="B5" s="6">
        <f>IF(인성!B5&gt;0,인성!B5,"")</f>
        <v>2</v>
      </c>
      <c r="C5" s="6" t="str">
        <f>IF(인성!C5&gt;0,인성!C5,"")</f>
        <v>김상현</v>
      </c>
      <c r="D5" s="2">
        <v>63</v>
      </c>
      <c r="E5" s="12" t="str">
        <f>IF(IF(D5=0,"",VLOOKUP(D5,$G$4:$H$153,2,FALSE))=0,종합의견!$F$1,(IF(D5=0,"",VLOOKUP(D5,$G$4:$H$153,2,FALSE))))</f>
        <v>남들이 하기 싫어하는 학급의 에너지지킴이를 먼저 자청하여 맡았으며, 1년 동안 성실하게 전열기구를 소등하고 문단속을 잘 처리함으로써 학급 전체에 크게 보탬이 됨.</v>
      </c>
      <c r="F5" s="9"/>
      <c r="G5" s="8">
        <v>2</v>
      </c>
      <c r="H5" s="13" t="s">
        <v>680</v>
      </c>
      <c r="I5" s="4"/>
      <c r="J5" s="4"/>
      <c r="K5" s="4"/>
      <c r="L5" s="4"/>
      <c r="M5" s="4"/>
    </row>
    <row r="6" spans="1:13" ht="27" customHeight="1">
      <c r="A6" s="4"/>
      <c r="B6" s="6">
        <f>IF(인성!B6&gt;0,인성!B6,"")</f>
        <v>3</v>
      </c>
      <c r="C6" s="6" t="str">
        <f>IF(인성!C6&gt;0,인성!C6,"")</f>
        <v>김승길</v>
      </c>
      <c r="D6" s="2"/>
      <c r="E6" s="12" t="str">
        <f>IF(IF(D6=0,"",VLOOKUP(D6,$G$4:$H$153,2,FALSE))=0,종합의견!$F$1,(IF(D6=0,"",VLOOKUP(D6,$G$4:$H$153,2,FALSE))))</f>
        <v/>
      </c>
      <c r="F6" s="9"/>
      <c r="G6" s="8">
        <v>3</v>
      </c>
      <c r="H6" s="13" t="s">
        <v>299</v>
      </c>
      <c r="I6" s="4"/>
      <c r="J6" s="4"/>
      <c r="K6" s="4"/>
      <c r="L6" s="4"/>
      <c r="M6" s="4"/>
    </row>
    <row r="7" spans="1:13" ht="54">
      <c r="A7" s="4"/>
      <c r="B7" s="6">
        <f>IF(인성!B7&gt;0,인성!B7,"")</f>
        <v>4</v>
      </c>
      <c r="C7" s="6" t="str">
        <f>IF(인성!C7&gt;0,인성!C7,"")</f>
        <v>김하얀</v>
      </c>
      <c r="D7" s="2">
        <v>3</v>
      </c>
      <c r="E7" s="12" t="str">
        <f>IF(IF(D7=0,"",VLOOKUP(D7,$G$4:$H$153,2,FALSE))=0,종합의견!$F$1,(IF(D7=0,"",VLOOKUP(D7,$G$4:$H$153,2,FALSE))))</f>
        <v>자신의 학습능력을 활용하여 도움이 필요한 친구들에게 학습에 대한 의문점을 자세하게 잘 설명하여 알려 줌.</v>
      </c>
      <c r="F7" s="9"/>
      <c r="G7" s="8">
        <v>4</v>
      </c>
      <c r="H7" s="13" t="s">
        <v>300</v>
      </c>
      <c r="I7" s="4"/>
      <c r="J7" s="4"/>
      <c r="K7" s="4"/>
      <c r="L7" s="4"/>
      <c r="M7" s="4"/>
    </row>
    <row r="8" spans="1:13" ht="27" customHeight="1">
      <c r="A8" s="4"/>
      <c r="B8" s="6">
        <f>IF(인성!B8&gt;0,인성!B8,"")</f>
        <v>5</v>
      </c>
      <c r="C8" s="6" t="str">
        <f>IF(인성!C8&gt;0,인성!C8,"")</f>
        <v>김호찬</v>
      </c>
      <c r="D8" s="2">
        <v>51</v>
      </c>
      <c r="E8" s="12" t="str">
        <f>IF(IF(D8=0,"",VLOOKUP(D8,$G$4:$H$153,2,FALSE))=0,종합의견!$F$1,(IF(D8=0,"",VLOOKUP(D8,$G$4:$H$153,2,FALSE))))</f>
        <v>학교나 학급 행사가 있을 때 질서유지에 힘쓰고 매사 협조적인 자세로 임함.</v>
      </c>
      <c r="F8" s="9"/>
      <c r="G8" s="8">
        <v>5</v>
      </c>
      <c r="H8" s="13" t="s">
        <v>301</v>
      </c>
      <c r="I8" s="4"/>
      <c r="J8" s="4"/>
      <c r="K8" s="4"/>
      <c r="L8" s="4"/>
      <c r="M8" s="4"/>
    </row>
    <row r="9" spans="1:13" ht="16.5">
      <c r="A9" s="4"/>
      <c r="B9" s="6">
        <f>IF(인성!B9&gt;0,인성!B9,"")</f>
        <v>6</v>
      </c>
      <c r="C9" s="6" t="str">
        <f>IF(인성!C9&gt;0,인성!C9,"")</f>
        <v>노지형</v>
      </c>
      <c r="D9" s="2"/>
      <c r="E9" s="12" t="str">
        <f>IF(IF(D9=0,"",VLOOKUP(D9,$G$4:$H$153,2,FALSE))=0,종합의견!$F$1,(IF(D9=0,"",VLOOKUP(D9,$G$4:$H$153,2,FALSE))))</f>
        <v/>
      </c>
      <c r="F9" s="9"/>
      <c r="G9" s="8">
        <v>6</v>
      </c>
      <c r="H9" s="13" t="s">
        <v>302</v>
      </c>
      <c r="I9" s="4"/>
      <c r="J9" s="4"/>
      <c r="K9" s="4"/>
      <c r="L9" s="4"/>
      <c r="M9" s="4"/>
    </row>
    <row r="10" spans="1:13" ht="27" customHeight="1">
      <c r="A10" s="4"/>
      <c r="B10" s="6">
        <f>IF(인성!B10&gt;0,인성!B10,"")</f>
        <v>7</v>
      </c>
      <c r="C10" s="6" t="str">
        <f>IF(인성!C10&gt;0,인성!C10,"")</f>
        <v>류나경</v>
      </c>
      <c r="D10" s="2"/>
      <c r="E10" s="12" t="str">
        <f>IF(IF(D10=0,"",VLOOKUP(D10,$G$4:$H$153,2,FALSE))=0,종합의견!$F$1,(IF(D10=0,"",VLOOKUP(D10,$G$4:$H$153,2,FALSE))))</f>
        <v/>
      </c>
      <c r="F10" s="9"/>
      <c r="G10" s="8">
        <v>7</v>
      </c>
      <c r="H10" s="13" t="s">
        <v>694</v>
      </c>
      <c r="I10" s="4"/>
      <c r="J10" s="4"/>
      <c r="K10" s="4"/>
      <c r="L10" s="4"/>
      <c r="M10" s="4"/>
    </row>
    <row r="11" spans="1:13" ht="27" customHeight="1">
      <c r="A11" s="4"/>
      <c r="B11" s="6">
        <f>IF(인성!B11&gt;0,인성!B11,"")</f>
        <v>8</v>
      </c>
      <c r="C11" s="6" t="str">
        <f>IF(인성!C11&gt;0,인성!C11,"")</f>
        <v>박건하</v>
      </c>
      <c r="D11" s="2">
        <v>58</v>
      </c>
      <c r="E11" s="12" t="str">
        <f>IF(IF(D11=0,"",VLOOKUP(D11,$G$4:$H$153,2,FALSE))=0,종합의견!$F$1,(IF(D11=0,"",VLOOKUP(D11,$G$4:$H$153,2,FALSE))))</f>
        <v>모둠활동 수업 시 급우들과 어울려 함께 공부하는 것을 매우 좋아하고 과제를 해결함에 있어 적극 협력하여 모둠활동에 도움이 되고자 노력함.</v>
      </c>
      <c r="F11" s="9"/>
      <c r="G11" s="8">
        <v>8</v>
      </c>
      <c r="H11" s="13" t="s">
        <v>303</v>
      </c>
      <c r="I11" s="4"/>
      <c r="J11" s="4"/>
      <c r="K11" s="4"/>
      <c r="L11" s="4"/>
      <c r="M11" s="4"/>
    </row>
    <row r="12" spans="1:13" ht="27" customHeight="1">
      <c r="A12" s="4"/>
      <c r="B12" s="6">
        <f>IF(인성!B12&gt;0,인성!B12,"")</f>
        <v>9</v>
      </c>
      <c r="C12" s="6" t="str">
        <f>IF(인성!C12&gt;0,인성!C12,"")</f>
        <v>서형찬</v>
      </c>
      <c r="D12" s="2">
        <v>59</v>
      </c>
      <c r="E12" s="12" t="str">
        <f>IF(IF(D12=0,"",VLOOKUP(D12,$G$4:$H$153,2,FALSE))=0,종합의견!$F$1,(IF(D12=0,"",VLOOKUP(D12,$G$4:$H$153,2,FALSE))))</f>
        <v>친구들이 전공과 관련된 공부를 하다가 어려움에 처했을 때 친절하게 도움을 주고 적절한 해결 방향을 제시해줌.</v>
      </c>
      <c r="F12" s="9"/>
      <c r="G12" s="8">
        <v>9</v>
      </c>
      <c r="H12" s="13" t="s">
        <v>304</v>
      </c>
      <c r="I12" s="4"/>
      <c r="J12" s="4"/>
      <c r="K12" s="4"/>
      <c r="L12" s="4"/>
      <c r="M12" s="4"/>
    </row>
    <row r="13" spans="1:13" ht="16.5">
      <c r="A13" s="4"/>
      <c r="B13" s="6">
        <f>IF(인성!B13&gt;0,인성!B13,"")</f>
        <v>10</v>
      </c>
      <c r="C13" s="6" t="str">
        <f>IF(인성!C13&gt;0,인성!C13,"")</f>
        <v>손우진</v>
      </c>
      <c r="D13" s="2"/>
      <c r="E13" s="12" t="str">
        <f>IF(IF(D13=0,"",VLOOKUP(D13,$G$4:$H$153,2,FALSE))=0,종합의견!$F$1,(IF(D13=0,"",VLOOKUP(D13,$G$4:$H$153,2,FALSE))))</f>
        <v/>
      </c>
      <c r="F13" s="9"/>
      <c r="G13" s="8">
        <v>10</v>
      </c>
      <c r="H13" s="13" t="s">
        <v>305</v>
      </c>
      <c r="I13" s="4"/>
      <c r="J13" s="4"/>
      <c r="K13" s="4"/>
      <c r="L13" s="4"/>
      <c r="M13" s="4"/>
    </row>
    <row r="14" spans="1:13" ht="27" customHeight="1">
      <c r="A14" s="4"/>
      <c r="B14" s="6">
        <f>IF(인성!B14&gt;0,인성!B14,"")</f>
        <v>11</v>
      </c>
      <c r="C14" s="6" t="str">
        <f>IF(인성!C14&gt;0,인성!C14,"")</f>
        <v>송정연</v>
      </c>
      <c r="D14" s="2"/>
      <c r="E14" s="12" t="str">
        <f>IF(IF(D14=0,"",VLOOKUP(D14,$G$4:$H$153,2,FALSE))=0,종합의견!$F$1,(IF(D14=0,"",VLOOKUP(D14,$G$4:$H$153,2,FALSE))))</f>
        <v/>
      </c>
      <c r="F14" s="9"/>
      <c r="G14" s="8">
        <v>11</v>
      </c>
      <c r="H14" s="13" t="s">
        <v>306</v>
      </c>
      <c r="I14" s="4"/>
      <c r="J14" s="4"/>
      <c r="K14" s="4"/>
      <c r="L14" s="4"/>
      <c r="M14" s="4"/>
    </row>
    <row r="15" spans="1:13" ht="40.5" customHeight="1">
      <c r="A15" s="4"/>
      <c r="B15" s="6">
        <f>IF(인성!B15&gt;0,인성!B15,"")</f>
        <v>12</v>
      </c>
      <c r="C15" s="6" t="str">
        <f>IF(인성!C15&gt;0,인성!C15,"")</f>
        <v>양민국</v>
      </c>
      <c r="D15" s="2">
        <v>56</v>
      </c>
      <c r="E15" s="12" t="str">
        <f>IF(IF(D15=0,"",VLOOKUP(D15,$G$4:$H$153,2,FALSE))=0,종합의견!$F$1,(IF(D15=0,"",VLOOKUP(D15,$G$4:$H$153,2,FALSE))))</f>
        <v>학교행사 및 과제 수행 시 구성원들이 할 일을 분담하여 할 수 있도록 조언을 하고 서로 격려하며 잘 할 수 있도록 분위기를 조성함.</v>
      </c>
      <c r="F15" s="9"/>
      <c r="G15" s="8">
        <v>12</v>
      </c>
      <c r="H15" s="13" t="s">
        <v>307</v>
      </c>
      <c r="I15" s="4"/>
      <c r="J15" s="4"/>
      <c r="K15" s="4"/>
      <c r="L15" s="4"/>
      <c r="M15" s="4"/>
    </row>
    <row r="16" spans="1:13" ht="27" customHeight="1">
      <c r="A16" s="4"/>
      <c r="B16" s="6">
        <f>IF(인성!B16&gt;0,인성!B16,"")</f>
        <v>13</v>
      </c>
      <c r="C16" s="6" t="str">
        <f>IF(인성!C16&gt;0,인성!C16,"")</f>
        <v>오서현</v>
      </c>
      <c r="D16" s="2"/>
      <c r="E16" s="12" t="str">
        <f>IF(IF(D16=0,"",VLOOKUP(D16,$G$4:$H$153,2,FALSE))=0,종합의견!$F$1,(IF(D16=0,"",VLOOKUP(D16,$G$4:$H$153,2,FALSE))))</f>
        <v/>
      </c>
      <c r="F16" s="9"/>
      <c r="G16" s="8">
        <v>13</v>
      </c>
      <c r="H16" s="13" t="s">
        <v>308</v>
      </c>
      <c r="I16" s="4"/>
      <c r="J16" s="4"/>
      <c r="K16" s="4"/>
      <c r="L16" s="4"/>
      <c r="M16" s="4"/>
    </row>
    <row r="17" spans="1:13" ht="27" customHeight="1">
      <c r="A17" s="4"/>
      <c r="B17" s="6">
        <f>IF(인성!B17&gt;0,인성!B17,"")</f>
        <v>14</v>
      </c>
      <c r="C17" s="6" t="str">
        <f>IF(인성!C17&gt;0,인성!C17,"")</f>
        <v>윤재영</v>
      </c>
      <c r="D17" s="2">
        <v>7</v>
      </c>
      <c r="E17" s="12" t="str">
        <f>IF(IF(D17=0,"",VLOOKUP(D17,$G$4:$H$153,2,FALSE))=0,종합의견!$F$1,(IF(D17=0,"",VLOOKUP(D17,$G$4:$H$153,2,FALSE))))</f>
        <v>임베디드 작품을 개발하는 전공동아리에 참여하여 다른 학생들의 학습계획 수립 및 꾸준한 학습활동을 도움으로써 자신의 재능을 나누는 일에 즐거운 마음으로 참여함.</v>
      </c>
      <c r="F17" s="9"/>
      <c r="G17" s="8">
        <v>14</v>
      </c>
      <c r="H17" s="13" t="s">
        <v>309</v>
      </c>
      <c r="I17" s="4"/>
      <c r="J17" s="4"/>
      <c r="K17" s="4"/>
      <c r="L17" s="4"/>
      <c r="M17" s="4"/>
    </row>
    <row r="18" spans="1:13" ht="27" customHeight="1">
      <c r="A18" s="4"/>
      <c r="B18" s="6">
        <f>IF(인성!B18&gt;0,인성!B18,"")</f>
        <v>15</v>
      </c>
      <c r="C18" s="6" t="str">
        <f>IF(인성!C18&gt;0,인성!C18,"")</f>
        <v>이승민</v>
      </c>
      <c r="D18" s="2">
        <v>16</v>
      </c>
      <c r="E18" s="12" t="str">
        <f>IF(IF(D18=0,"",VLOOKUP(D18,$G$4:$H$153,2,FALSE))=0,종합의견!$F$1,(IF(D18=0,"",VLOOKUP(D18,$G$4:$H$153,2,FALSE))))</f>
        <v>자신이 알고 있는 지식을 친구들에게 자세히 설명해 주는 등 교우들의 학습능력을 높이고 학급의 학습 분위기 조성에 힘쓰는 모습을 보임.</v>
      </c>
      <c r="F18" s="9"/>
      <c r="G18" s="8">
        <v>15</v>
      </c>
      <c r="H18" s="13" t="s">
        <v>310</v>
      </c>
      <c r="I18" s="4"/>
      <c r="J18" s="4"/>
      <c r="K18" s="4"/>
      <c r="L18" s="4"/>
      <c r="M18" s="4"/>
    </row>
    <row r="19" spans="1:13" ht="27" customHeight="1">
      <c r="A19" s="4"/>
      <c r="B19" s="6">
        <f>IF(인성!B19&gt;0,인성!B19,"")</f>
        <v>16</v>
      </c>
      <c r="C19" s="6" t="str">
        <f>IF(인성!C19&gt;0,인성!C19,"")</f>
        <v>조도울</v>
      </c>
      <c r="D19" s="2">
        <v>19</v>
      </c>
      <c r="E19" s="12" t="str">
        <f>IF(IF(D19=0,"",VLOOKUP(D19,$G$4:$H$153,2,FALSE))=0,종합의견!$F$1,(IF(D19=0,"",VLOOKUP(D19,$G$4:$H$153,2,FALSE))))</f>
        <v xml:space="preserve">자신이 가진 것을 남에게 나눠주기를 좋아하고 남을 돕는 일에 즐거운 마음으로 참여함. </v>
      </c>
      <c r="F19" s="9"/>
      <c r="G19" s="8">
        <v>16</v>
      </c>
      <c r="H19" s="13" t="s">
        <v>311</v>
      </c>
      <c r="I19" s="4"/>
      <c r="J19" s="4"/>
      <c r="K19" s="4"/>
      <c r="L19" s="4"/>
      <c r="M19" s="4"/>
    </row>
    <row r="20" spans="1:13" ht="27" customHeight="1">
      <c r="A20" s="4"/>
      <c r="B20" s="6">
        <f>IF(인성!B20&gt;0,인성!B20,"")</f>
        <v>17</v>
      </c>
      <c r="C20" s="6" t="str">
        <f>IF(인성!C20&gt;0,인성!C20,"")</f>
        <v>차명준</v>
      </c>
      <c r="D20" s="2"/>
      <c r="E20" s="12" t="str">
        <f>IF(IF(D20=0,"",VLOOKUP(D20,$G$4:$H$153,2,FALSE))=0,종합의견!$F$1,(IF(D20=0,"",VLOOKUP(D20,$G$4:$H$153,2,FALSE))))</f>
        <v/>
      </c>
      <c r="F20" s="9"/>
      <c r="G20" s="8">
        <v>17</v>
      </c>
      <c r="H20" s="13" t="s">
        <v>312</v>
      </c>
      <c r="I20" s="4"/>
      <c r="J20" s="4"/>
      <c r="K20" s="4"/>
      <c r="L20" s="4"/>
      <c r="M20" s="4"/>
    </row>
    <row r="21" spans="1:13" ht="27">
      <c r="A21" s="4"/>
      <c r="B21" s="6">
        <f>IF(인성!B21&gt;0,인성!B21,"")</f>
        <v>18</v>
      </c>
      <c r="C21" s="6" t="str">
        <f>IF(인성!C21&gt;0,인성!C21,"")</f>
        <v>최가영</v>
      </c>
      <c r="D21" s="2">
        <v>25</v>
      </c>
      <c r="E21" s="12" t="str">
        <f>IF(IF(D21=0,"",VLOOKUP(D21,$G$4:$H$153,2,FALSE))=0,종합의견!$F$1,(IF(D21=0,"",VLOOKUP(D21,$G$4:$H$153,2,FALSE))))</f>
        <v>모둠학습 시 자신의 역할을 잘 수행하고 조원들의 의견을 존중하며 조화로운 협력분위기를 잘 조성할 뿐만 아니라 모둠학습의 좋은 결과를 이끌어내기 위한 주도적인 역할을 함.</v>
      </c>
      <c r="F21" s="9"/>
      <c r="G21" s="8">
        <v>18</v>
      </c>
      <c r="H21" s="13" t="s">
        <v>244</v>
      </c>
      <c r="I21" s="4"/>
      <c r="J21" s="4"/>
      <c r="K21" s="4"/>
      <c r="L21" s="4"/>
      <c r="M21" s="4"/>
    </row>
    <row r="22" spans="1:13" ht="27" customHeight="1">
      <c r="A22" s="4"/>
      <c r="B22" s="6">
        <f>IF(인성!B22&gt;0,인성!B22,"")</f>
        <v>19</v>
      </c>
      <c r="C22" s="6" t="str">
        <f>IF(인성!C22&gt;0,인성!C22,"")</f>
        <v>최다빈</v>
      </c>
      <c r="D22" s="2"/>
      <c r="E22" s="12" t="str">
        <f>IF(IF(D22=0,"",VLOOKUP(D22,$G$4:$H$153,2,FALSE))=0,종합의견!$F$1,(IF(D22=0,"",VLOOKUP(D22,$G$4:$H$153,2,FALSE))))</f>
        <v/>
      </c>
      <c r="F22" s="9"/>
      <c r="G22" s="8">
        <v>19</v>
      </c>
      <c r="H22" s="13" t="s">
        <v>313</v>
      </c>
      <c r="I22" s="4"/>
      <c r="J22" s="4"/>
      <c r="K22" s="4"/>
      <c r="L22" s="4"/>
      <c r="M22" s="4"/>
    </row>
    <row r="23" spans="1:13" ht="40.5">
      <c r="A23" s="4"/>
      <c r="B23" s="6">
        <f>IF(인성!B23&gt;0,인성!B23,"")</f>
        <v>20</v>
      </c>
      <c r="C23" s="6" t="str">
        <f>IF(인성!C23&gt;0,인성!C23,"")</f>
        <v>홍준석</v>
      </c>
      <c r="D23" s="2">
        <v>2</v>
      </c>
      <c r="E23" s="12" t="str">
        <f>IF(IF(D23=0,"",VLOOKUP(D23,$G$4:$H$153,2,FALSE))=0,종합의견!$F$1,(IF(D23=0,"",VLOOKUP(D23,$G$4:$H$153,2,FALSE))))</f>
        <v>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F23" s="9"/>
      <c r="G23" s="8">
        <v>20</v>
      </c>
      <c r="H23" s="13" t="s">
        <v>314</v>
      </c>
      <c r="I23" s="4"/>
      <c r="J23" s="4"/>
      <c r="K23" s="4"/>
      <c r="L23" s="4"/>
      <c r="M23" s="4"/>
    </row>
    <row r="24" spans="1:13" ht="27" customHeight="1">
      <c r="A24" s="4"/>
      <c r="B24" s="6" t="str">
        <f>IF(인성!B24&gt;0,인성!B24,"")</f>
        <v/>
      </c>
      <c r="C24" s="6" t="str">
        <f>IF(인성!C24&gt;0,인성!C24,"")</f>
        <v/>
      </c>
      <c r="D24" s="2"/>
      <c r="E24" s="12" t="str">
        <f>IF(IF(D24=0,"",VLOOKUP(D24,$G$4:$H$153,2,FALSE))=0,종합의견!$F$1,(IF(D24=0,"",VLOOKUP(D24,$G$4:$H$153,2,FALSE))))</f>
        <v/>
      </c>
      <c r="F24" s="9"/>
      <c r="G24" s="8">
        <v>21</v>
      </c>
      <c r="H24" s="13" t="s">
        <v>315</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316</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317</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651</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318</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319</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320</v>
      </c>
      <c r="I30" s="4"/>
      <c r="J30" s="4"/>
      <c r="K30" s="4"/>
      <c r="L30" s="4"/>
      <c r="M30" s="4"/>
    </row>
    <row r="31" spans="1:13" ht="40.5">
      <c r="A31" s="4"/>
      <c r="B31" s="6" t="str">
        <f>IF(인성!B31&gt;0,인성!B31,"")</f>
        <v/>
      </c>
      <c r="C31" s="6" t="str">
        <f>IF(인성!C31&gt;0,인성!C31,"")</f>
        <v/>
      </c>
      <c r="D31" s="2"/>
      <c r="E31" s="12" t="str">
        <f>IF(IF(D31=0,"",VLOOKUP(D31,$G$4:$H$153,2,FALSE))=0,종합의견!$F$1,(IF(D31=0,"",VLOOKUP(D31,$G$4:$H$153,2,FALSE))))</f>
        <v/>
      </c>
      <c r="F31" s="9"/>
      <c r="G31" s="8">
        <v>28</v>
      </c>
      <c r="H31" s="13" t="s">
        <v>321</v>
      </c>
      <c r="I31" s="4"/>
      <c r="J31" s="4"/>
      <c r="K31" s="4"/>
      <c r="L31" s="4"/>
      <c r="M31" s="4"/>
    </row>
    <row r="32" spans="1:13" ht="40.5" customHeight="1">
      <c r="A32" s="4"/>
      <c r="B32" s="6" t="str">
        <f>IF(인성!B32&gt;0,인성!B32,"")</f>
        <v/>
      </c>
      <c r="C32" s="6" t="str">
        <f>IF(인성!C32&gt;0,인성!C32,"")</f>
        <v/>
      </c>
      <c r="D32" s="2"/>
      <c r="E32" s="12" t="str">
        <f>IF(IF(D32=0,"",VLOOKUP(D32,$G$4:$H$153,2,FALSE))=0,종합의견!$F$1,(IF(D32=0,"",VLOOKUP(D32,$G$4:$H$153,2,FALSE))))</f>
        <v/>
      </c>
      <c r="F32" s="9"/>
      <c r="G32" s="8">
        <v>29</v>
      </c>
      <c r="H32" s="13" t="s">
        <v>652</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322</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323</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324</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325</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326</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c r="I38" s="4"/>
      <c r="J38" s="4"/>
      <c r="K38" s="4"/>
      <c r="L38" s="4"/>
      <c r="M38" s="4"/>
    </row>
    <row r="39" spans="1:13" ht="27">
      <c r="A39" s="4"/>
      <c r="B39" s="6" t="str">
        <f>IF(인성!B39&gt;0,인성!B39,"")</f>
        <v/>
      </c>
      <c r="C39" s="6" t="str">
        <f>IF(인성!C39&gt;0,인성!C39,"")</f>
        <v/>
      </c>
      <c r="D39" s="2"/>
      <c r="E39" s="12" t="str">
        <f>IF(IF(D39=0,"",VLOOKUP(D39,$G$4:$H$153,2,FALSE))=0,종합의견!$F$1,(IF(D39=0,"",VLOOKUP(D39,$G$4:$H$153,2,FALSE))))</f>
        <v/>
      </c>
      <c r="F39" s="9"/>
      <c r="G39" s="8">
        <v>36</v>
      </c>
      <c r="H39" s="13" t="s">
        <v>327</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328</v>
      </c>
      <c r="I40" s="4"/>
      <c r="J40" s="4"/>
      <c r="K40" s="4"/>
      <c r="L40" s="4"/>
      <c r="M40" s="4"/>
    </row>
    <row r="41" spans="1:13" ht="16.5" customHeight="1">
      <c r="A41" s="4"/>
      <c r="B41" s="6" t="str">
        <f>IF(인성!B41&gt;0,인성!B41,"")</f>
        <v/>
      </c>
      <c r="C41" s="6" t="str">
        <f>IF(인성!C41&gt;0,인성!C41,"")</f>
        <v/>
      </c>
      <c r="D41" s="2"/>
      <c r="E41" s="12" t="str">
        <f>IF(IF(D41=0,"",VLOOKUP(D41,$G$4:$H$153,2,FALSE))=0,종합의견!$F$1,(IF(D41=0,"",VLOOKUP(D41,$G$4:$H$153,2,FALSE))))</f>
        <v/>
      </c>
      <c r="F41" s="9"/>
      <c r="G41" s="8">
        <v>38</v>
      </c>
      <c r="H41" s="13" t="s">
        <v>329</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330</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331</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332</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333</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334</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335</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336</v>
      </c>
      <c r="I48" s="4"/>
      <c r="J48" s="4"/>
      <c r="K48" s="4"/>
      <c r="L48" s="4"/>
      <c r="M48" s="4"/>
    </row>
    <row r="49" spans="1:13" ht="27" customHeight="1">
      <c r="A49" s="4"/>
      <c r="B49" s="11"/>
      <c r="C49" s="11"/>
      <c r="D49" s="11"/>
      <c r="E49" s="14"/>
      <c r="F49" s="4"/>
      <c r="G49" s="8">
        <v>46</v>
      </c>
      <c r="H49" s="13" t="s">
        <v>337</v>
      </c>
      <c r="I49" s="4"/>
      <c r="J49" s="4"/>
      <c r="K49" s="4"/>
      <c r="L49" s="4"/>
      <c r="M49" s="4"/>
    </row>
    <row r="50" spans="1:13" ht="27" customHeight="1">
      <c r="A50" s="4"/>
      <c r="B50" s="11"/>
      <c r="C50" s="11"/>
      <c r="D50" s="11"/>
      <c r="E50" s="14"/>
      <c r="F50" s="4"/>
      <c r="G50" s="8">
        <v>47</v>
      </c>
      <c r="H50" s="13" t="s">
        <v>338</v>
      </c>
      <c r="I50" s="4"/>
      <c r="J50" s="4"/>
      <c r="K50" s="4"/>
      <c r="L50" s="4"/>
      <c r="M50" s="4"/>
    </row>
    <row r="51" spans="1:13" ht="27" customHeight="1">
      <c r="A51" s="4"/>
      <c r="B51" s="11"/>
      <c r="C51" s="11"/>
      <c r="D51" s="11"/>
      <c r="E51" s="14"/>
      <c r="F51" s="4"/>
      <c r="G51" s="8">
        <v>48</v>
      </c>
      <c r="H51" s="13" t="s">
        <v>339</v>
      </c>
      <c r="I51" s="4"/>
      <c r="J51" s="4"/>
      <c r="K51" s="4"/>
      <c r="L51" s="4"/>
      <c r="M51" s="4"/>
    </row>
    <row r="52" spans="1:13" ht="27" customHeight="1">
      <c r="A52" s="4"/>
      <c r="B52" s="11"/>
      <c r="C52" s="11"/>
      <c r="D52" s="11"/>
      <c r="E52" s="14"/>
      <c r="F52" s="4"/>
      <c r="G52" s="8">
        <v>49</v>
      </c>
      <c r="H52" s="13" t="s">
        <v>340</v>
      </c>
      <c r="I52" s="4"/>
      <c r="J52" s="4"/>
      <c r="K52" s="4"/>
      <c r="L52" s="4"/>
      <c r="M52" s="4"/>
    </row>
    <row r="53" spans="1:13" ht="16.5" customHeight="1">
      <c r="A53" s="4"/>
      <c r="B53" s="11"/>
      <c r="C53" s="11"/>
      <c r="D53" s="11"/>
      <c r="E53" s="14"/>
      <c r="F53" s="4"/>
      <c r="G53" s="8">
        <v>50</v>
      </c>
      <c r="H53" s="13" t="s">
        <v>341</v>
      </c>
      <c r="I53" s="4"/>
      <c r="J53" s="4"/>
      <c r="K53" s="4"/>
      <c r="L53" s="4"/>
      <c r="M53" s="4"/>
    </row>
    <row r="54" spans="1:13" ht="16.5" customHeight="1">
      <c r="A54" s="4"/>
      <c r="B54" s="11"/>
      <c r="C54" s="11"/>
      <c r="D54" s="11"/>
      <c r="E54" s="14"/>
      <c r="F54" s="4"/>
      <c r="G54" s="8">
        <v>51</v>
      </c>
      <c r="H54" s="13" t="s">
        <v>342</v>
      </c>
      <c r="I54" s="4"/>
      <c r="J54" s="4"/>
      <c r="K54" s="4"/>
      <c r="L54" s="4"/>
      <c r="M54" s="4"/>
    </row>
    <row r="55" spans="1:13" ht="27">
      <c r="A55" s="4"/>
      <c r="B55" s="11"/>
      <c r="C55" s="11"/>
      <c r="D55" s="11"/>
      <c r="E55" s="14"/>
      <c r="F55" s="4"/>
      <c r="G55" s="8">
        <v>52</v>
      </c>
      <c r="H55" s="13" t="s">
        <v>649</v>
      </c>
      <c r="I55" s="4"/>
      <c r="J55" s="4"/>
      <c r="K55" s="4"/>
      <c r="L55" s="4"/>
      <c r="M55" s="4"/>
    </row>
    <row r="56" spans="1:13" ht="27">
      <c r="A56" s="4"/>
      <c r="B56" s="11"/>
      <c r="C56" s="11"/>
      <c r="D56" s="11"/>
      <c r="E56" s="14"/>
      <c r="F56" s="4"/>
      <c r="G56" s="8">
        <v>53</v>
      </c>
      <c r="H56" s="13" t="s">
        <v>648</v>
      </c>
      <c r="I56" s="4"/>
      <c r="J56" s="4"/>
      <c r="K56" s="4"/>
      <c r="L56" s="4"/>
      <c r="M56" s="4"/>
    </row>
    <row r="57" spans="1:13" ht="27" customHeight="1">
      <c r="A57" s="4"/>
      <c r="B57" s="11"/>
      <c r="C57" s="11"/>
      <c r="D57" s="11"/>
      <c r="E57" s="14"/>
      <c r="F57" s="4"/>
      <c r="G57" s="8">
        <v>54</v>
      </c>
      <c r="H57" s="53" t="s">
        <v>575</v>
      </c>
      <c r="I57" s="4"/>
      <c r="J57" s="4"/>
      <c r="K57" s="4"/>
      <c r="L57" s="4"/>
      <c r="M57" s="4"/>
    </row>
    <row r="58" spans="1:13" ht="27" customHeight="1">
      <c r="A58" s="4"/>
      <c r="B58" s="11"/>
      <c r="C58" s="11"/>
      <c r="D58" s="11"/>
      <c r="E58" s="14"/>
      <c r="F58" s="4"/>
      <c r="G58" s="8">
        <v>55</v>
      </c>
      <c r="H58" s="53" t="s">
        <v>576</v>
      </c>
      <c r="I58" s="4"/>
      <c r="J58" s="4"/>
      <c r="K58" s="4"/>
      <c r="L58" s="4"/>
      <c r="M58" s="4"/>
    </row>
    <row r="59" spans="1:13" ht="27">
      <c r="A59" s="4"/>
      <c r="B59" s="11"/>
      <c r="C59" s="11"/>
      <c r="D59" s="11"/>
      <c r="E59" s="14"/>
      <c r="F59" s="4"/>
      <c r="G59" s="8">
        <v>56</v>
      </c>
      <c r="H59" s="53" t="s">
        <v>577</v>
      </c>
      <c r="I59" s="4"/>
      <c r="J59" s="4"/>
      <c r="K59" s="4"/>
      <c r="L59" s="4"/>
      <c r="M59" s="4"/>
    </row>
    <row r="60" spans="1:13" ht="27">
      <c r="A60" s="4"/>
      <c r="B60" s="11"/>
      <c r="C60" s="11"/>
      <c r="D60" s="11"/>
      <c r="E60" s="14"/>
      <c r="F60" s="4"/>
      <c r="G60" s="8">
        <v>57</v>
      </c>
      <c r="H60" s="53" t="s">
        <v>578</v>
      </c>
      <c r="I60" s="4"/>
      <c r="J60" s="4"/>
      <c r="K60" s="4"/>
      <c r="L60" s="4"/>
      <c r="M60" s="4"/>
    </row>
    <row r="61" spans="1:13" ht="27">
      <c r="A61" s="4"/>
      <c r="B61" s="11"/>
      <c r="C61" s="11"/>
      <c r="D61" s="11"/>
      <c r="E61" s="14"/>
      <c r="F61" s="4"/>
      <c r="G61" s="8">
        <v>58</v>
      </c>
      <c r="H61" s="53" t="s">
        <v>579</v>
      </c>
      <c r="I61" s="4"/>
      <c r="J61" s="4"/>
      <c r="K61" s="4"/>
      <c r="L61" s="4"/>
      <c r="M61" s="4"/>
    </row>
    <row r="62" spans="1:13" ht="27">
      <c r="A62" s="4"/>
      <c r="B62" s="11"/>
      <c r="C62" s="11"/>
      <c r="D62" s="11"/>
      <c r="E62" s="14"/>
      <c r="F62" s="4"/>
      <c r="G62" s="8">
        <v>59</v>
      </c>
      <c r="H62" s="53" t="s">
        <v>650</v>
      </c>
      <c r="I62" s="4"/>
      <c r="J62" s="4"/>
      <c r="K62" s="4"/>
      <c r="L62" s="4"/>
      <c r="M62" s="4"/>
    </row>
    <row r="63" spans="1:13" ht="27">
      <c r="A63" s="4"/>
      <c r="B63" s="11"/>
      <c r="C63" s="11"/>
      <c r="D63" s="11"/>
      <c r="E63" s="14"/>
      <c r="F63" s="4"/>
      <c r="G63" s="8">
        <v>60</v>
      </c>
      <c r="H63" s="49" t="s">
        <v>243</v>
      </c>
      <c r="I63" s="4"/>
      <c r="J63" s="4"/>
      <c r="K63" s="4"/>
      <c r="L63" s="4"/>
      <c r="M63" s="4"/>
    </row>
    <row r="64" spans="1:13" ht="27">
      <c r="A64" s="4"/>
      <c r="B64" s="11"/>
      <c r="C64" s="11"/>
      <c r="D64" s="11"/>
      <c r="E64" s="14"/>
      <c r="F64" s="4"/>
      <c r="G64" s="8">
        <v>61</v>
      </c>
      <c r="H64" s="49" t="s">
        <v>580</v>
      </c>
      <c r="I64" s="4"/>
      <c r="J64" s="4"/>
      <c r="K64" s="4"/>
      <c r="L64" s="4"/>
      <c r="M64" s="4"/>
    </row>
    <row r="65" spans="1:13" ht="27">
      <c r="A65" s="4"/>
      <c r="B65" s="11"/>
      <c r="C65" s="11"/>
      <c r="D65" s="11"/>
      <c r="E65" s="14"/>
      <c r="F65" s="4"/>
      <c r="G65" s="8">
        <v>62</v>
      </c>
      <c r="H65" s="49" t="s">
        <v>695</v>
      </c>
      <c r="I65" s="4"/>
      <c r="J65" s="4"/>
      <c r="K65" s="4"/>
      <c r="L65" s="4"/>
      <c r="M65" s="4"/>
    </row>
    <row r="66" spans="1:13" ht="27">
      <c r="A66" s="4"/>
      <c r="B66" s="11"/>
      <c r="C66" s="11"/>
      <c r="D66" s="11"/>
      <c r="E66" s="14"/>
      <c r="F66" s="4"/>
      <c r="G66" s="8">
        <v>63</v>
      </c>
      <c r="H66" s="49" t="s">
        <v>696</v>
      </c>
      <c r="I66" s="4"/>
      <c r="J66" s="4"/>
      <c r="K66" s="4"/>
      <c r="L66" s="4"/>
      <c r="M66" s="4"/>
    </row>
    <row r="67" spans="1:13" ht="16.5">
      <c r="A67" s="4"/>
      <c r="B67" s="11"/>
      <c r="C67" s="11"/>
      <c r="D67" s="11"/>
      <c r="E67" s="14"/>
      <c r="F67" s="4"/>
      <c r="G67" s="8">
        <v>64</v>
      </c>
      <c r="I67" s="4"/>
      <c r="J67" s="4"/>
      <c r="K67" s="4"/>
      <c r="L67" s="4"/>
      <c r="M67" s="4"/>
    </row>
    <row r="68" spans="1:13" ht="16.5">
      <c r="A68" s="4"/>
      <c r="B68" s="11"/>
      <c r="C68" s="11"/>
      <c r="D68" s="11"/>
      <c r="E68" s="14"/>
      <c r="F68" s="4"/>
      <c r="G68" s="8">
        <v>65</v>
      </c>
      <c r="I68" s="4"/>
      <c r="J68" s="4"/>
      <c r="K68" s="4"/>
      <c r="L68" s="4"/>
      <c r="M68" s="4"/>
    </row>
    <row r="69" spans="1:13" ht="16.5">
      <c r="A69" s="4"/>
      <c r="B69" s="11"/>
      <c r="C69" s="11"/>
      <c r="D69" s="11"/>
      <c r="E69" s="14"/>
      <c r="F69" s="4"/>
      <c r="G69" s="8">
        <v>66</v>
      </c>
      <c r="I69" s="4"/>
      <c r="J69" s="4"/>
      <c r="K69" s="4"/>
      <c r="L69" s="4"/>
      <c r="M69" s="4"/>
    </row>
    <row r="70" spans="1:13" ht="16.5">
      <c r="A70" s="4"/>
      <c r="B70" s="11"/>
      <c r="C70" s="11"/>
      <c r="D70" s="11"/>
      <c r="E70" s="14"/>
      <c r="F70" s="4"/>
      <c r="G70" s="8">
        <v>67</v>
      </c>
      <c r="I70" s="4"/>
      <c r="J70" s="4"/>
      <c r="K70" s="4"/>
      <c r="L70" s="4"/>
      <c r="M70" s="4"/>
    </row>
    <row r="71" spans="1:13" ht="16.5">
      <c r="A71" s="4"/>
      <c r="B71" s="11"/>
      <c r="C71" s="11"/>
      <c r="D71" s="11"/>
      <c r="E71" s="14"/>
      <c r="F71" s="4"/>
      <c r="G71" s="8">
        <v>68</v>
      </c>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workbookViewId="0">
      <pane xSplit="3" ySplit="3" topLeftCell="D13" activePane="bottomRight" state="frozen"/>
      <selection pane="topRight" activeCell="D1" sqref="D1"/>
      <selection pane="bottomLeft" activeCell="A4" sqref="A4"/>
      <selection pane="bottomRight" activeCell="E17" sqref="E17"/>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625" customWidth="1"/>
    <col min="9" max="13" width="8.75" customWidth="1"/>
  </cols>
  <sheetData>
    <row r="1" spans="1:13" ht="32.25" customHeight="1">
      <c r="A1" s="4"/>
      <c r="B1" s="67" t="s">
        <v>1</v>
      </c>
      <c r="C1" s="68"/>
      <c r="D1" s="68"/>
      <c r="E1" s="68"/>
      <c r="F1" s="68"/>
      <c r="G1" s="68"/>
      <c r="H1" s="68"/>
      <c r="I1" s="4"/>
      <c r="J1" s="4"/>
      <c r="K1" s="4"/>
      <c r="L1" s="4"/>
      <c r="M1" s="4"/>
    </row>
    <row r="2" spans="1:13" ht="27.75" customHeight="1">
      <c r="A2" s="4"/>
      <c r="B2" s="69" t="s">
        <v>343</v>
      </c>
      <c r="C2" s="66"/>
      <c r="D2" s="66"/>
      <c r="E2" s="66"/>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김권위</v>
      </c>
      <c r="D4" s="23">
        <v>6</v>
      </c>
      <c r="E4" s="12" t="str">
        <f>IF(IF(D4=0,"",VLOOKUP(D4,$G$4:$H$153,2,FALSE))=0,종합의견!$F$1,(IF(D4=0,"",VLOOKUP(D4,$G$4:$H$153,2,FALSE))))</f>
        <v>긍정적인 마인드로 항상 밝고 친절하게 상대방을 대함으로써 원만한 친구관계가 잘 형성되고 유지됨.</v>
      </c>
      <c r="F4" s="9"/>
      <c r="G4" s="8">
        <v>1</v>
      </c>
      <c r="H4" s="13" t="s">
        <v>344</v>
      </c>
      <c r="I4" s="4"/>
      <c r="J4" s="4"/>
      <c r="K4" s="4"/>
      <c r="L4" s="4"/>
      <c r="M4" s="4"/>
    </row>
    <row r="5" spans="1:13" ht="27">
      <c r="A5" s="4"/>
      <c r="B5" s="6">
        <f>IF(인성!B5&gt;0,인성!B5,"")</f>
        <v>2</v>
      </c>
      <c r="C5" s="6" t="str">
        <f>IF(인성!C5&gt;0,인성!C5,"")</f>
        <v>김상현</v>
      </c>
      <c r="D5" s="2">
        <v>4</v>
      </c>
      <c r="E5" s="12" t="str">
        <f>IF(IF(D5=0,"",VLOOKUP(D5,$G$4:$H$153,2,FALSE))=0,종합의견!$F$1,(IF(D5=0,"",VLOOKUP(D5,$G$4:$H$153,2,FALSE))))</f>
        <v>학급의 모든 친구들과 잘 어울리고 교사의 지도와 조언을 경청하고 수용하려는 자세가 돋보임.</v>
      </c>
      <c r="F5" s="9"/>
      <c r="G5" s="8">
        <v>2</v>
      </c>
      <c r="H5" s="13" t="s">
        <v>345</v>
      </c>
      <c r="I5" s="4"/>
      <c r="J5" s="4"/>
      <c r="K5" s="4"/>
      <c r="L5" s="4"/>
      <c r="M5" s="4"/>
    </row>
    <row r="6" spans="1:13" ht="27" customHeight="1">
      <c r="A6" s="4"/>
      <c r="B6" s="6">
        <f>IF(인성!B6&gt;0,인성!B6,"")</f>
        <v>3</v>
      </c>
      <c r="C6" s="6" t="str">
        <f>IF(인성!C6&gt;0,인성!C6,"")</f>
        <v>김승길</v>
      </c>
      <c r="D6" s="2">
        <v>23</v>
      </c>
      <c r="E6" s="12" t="str">
        <f>IF(IF(D6=0,"",VLOOKUP(D6,$G$4:$H$153,2,FALSE))=0,종합의견!$F$1,(IF(D6=0,"",VLOOKUP(D6,$G$4:$H$153,2,FALSE))))</f>
        <v>매사 진지한 자세와 공손함으로 상대방을 대하며 긍정적인 태도로 학급의 모든 친구들과 잘 어울리고 교사의 지도와 조언을 경청하고 수용하려는 자세가 돋보임.</v>
      </c>
      <c r="F6" s="9"/>
      <c r="G6" s="8">
        <v>3</v>
      </c>
      <c r="H6" s="13" t="s">
        <v>346</v>
      </c>
      <c r="I6" s="4"/>
      <c r="J6" s="4"/>
      <c r="K6" s="4"/>
      <c r="L6" s="4"/>
      <c r="M6" s="4"/>
    </row>
    <row r="7" spans="1:13" ht="27" customHeight="1">
      <c r="A7" s="4"/>
      <c r="B7" s="6">
        <f>IF(인성!B7&gt;0,인성!B7,"")</f>
        <v>4</v>
      </c>
      <c r="C7" s="6" t="str">
        <f>IF(인성!C7&gt;0,인성!C7,"")</f>
        <v>김하얀</v>
      </c>
      <c r="D7" s="2">
        <v>17</v>
      </c>
      <c r="E7" s="12" t="str">
        <f>IF(IF(D7=0,"",VLOOKUP(D7,$G$4:$H$153,2,FALSE))=0,종합의견!$F$1,(IF(D7=0,"",VLOOKUP(D7,$G$4:$H$153,2,FALSE))))</f>
        <v>낯선 사람에게 선뜻 잘 다가서지 못하지만 한번 사귀면 지속적으로 좋은 친구관계를 잘 유지함.</v>
      </c>
      <c r="F7" s="9"/>
      <c r="G7" s="8">
        <v>4</v>
      </c>
      <c r="H7" s="13" t="s">
        <v>347</v>
      </c>
      <c r="I7" s="4"/>
      <c r="J7" s="4"/>
      <c r="K7" s="4"/>
      <c r="L7" s="4"/>
      <c r="M7" s="4"/>
    </row>
    <row r="8" spans="1:13" ht="27" customHeight="1">
      <c r="A8" s="4"/>
      <c r="B8" s="6">
        <f>IF(인성!B8&gt;0,인성!B8,"")</f>
        <v>5</v>
      </c>
      <c r="C8" s="6" t="str">
        <f>IF(인성!C8&gt;0,인성!C8,"")</f>
        <v>김호찬</v>
      </c>
      <c r="D8" s="2">
        <v>6</v>
      </c>
      <c r="E8" s="12" t="str">
        <f>IF(IF(D8=0,"",VLOOKUP(D8,$G$4:$H$153,2,FALSE))=0,종합의견!$F$1,(IF(D8=0,"",VLOOKUP(D8,$G$4:$H$153,2,FALSE))))</f>
        <v>긍정적인 마인드로 항상 밝고 친절하게 상대방을 대함으로써 원만한 친구관계가 잘 형성되고 유지됨.</v>
      </c>
      <c r="F8" s="9"/>
      <c r="G8" s="8">
        <v>5</v>
      </c>
      <c r="H8" s="13" t="s">
        <v>348</v>
      </c>
      <c r="I8" s="4"/>
      <c r="J8" s="4"/>
      <c r="K8" s="4"/>
      <c r="L8" s="4"/>
      <c r="M8" s="4"/>
    </row>
    <row r="9" spans="1:13" ht="27" customHeight="1">
      <c r="A9" s="4"/>
      <c r="B9" s="6">
        <f>IF(인성!B9&gt;0,인성!B9,"")</f>
        <v>6</v>
      </c>
      <c r="C9" s="6" t="str">
        <f>IF(인성!C9&gt;0,인성!C9,"")</f>
        <v>노지형</v>
      </c>
      <c r="D9" s="2">
        <v>47</v>
      </c>
      <c r="E9" s="12" t="str">
        <f>IF(IF(D9=0,"",VLOOKUP(D9,$G$4:$H$153,2,FALSE))=0,종합의견!$F$1,(IF(D9=0,"",VLOOKUP(D9,$G$4:$H$153,2,FALSE))))</f>
        <v>친구와의 갈등이 생기면 먼저 다가가 사과하고 화해를 요청함으로써 친구관계를 더욱 돈독하게 유지할 수 있도록 노력함.</v>
      </c>
      <c r="F9" s="9"/>
      <c r="G9" s="8">
        <v>6</v>
      </c>
      <c r="H9" s="13" t="s">
        <v>349</v>
      </c>
      <c r="I9" s="4"/>
      <c r="J9" s="4"/>
      <c r="K9" s="4"/>
      <c r="L9" s="4"/>
      <c r="M9" s="4"/>
    </row>
    <row r="10" spans="1:13" ht="16.5" customHeight="1">
      <c r="A10" s="4"/>
      <c r="B10" s="6">
        <f>IF(인성!B10&gt;0,인성!B10,"")</f>
        <v>7</v>
      </c>
      <c r="C10" s="6" t="str">
        <f>IF(인성!C10&gt;0,인성!C10,"")</f>
        <v>류나경</v>
      </c>
      <c r="D10" s="2"/>
      <c r="E10" s="12" t="str">
        <f>IF(IF(D10=0,"",VLOOKUP(D10,$G$4:$H$153,2,FALSE))=0,종합의견!$F$1,(IF(D10=0,"",VLOOKUP(D10,$G$4:$H$153,2,FALSE))))</f>
        <v/>
      </c>
      <c r="F10" s="9"/>
      <c r="G10" s="8">
        <v>7</v>
      </c>
      <c r="H10" s="13" t="s">
        <v>350</v>
      </c>
      <c r="I10" s="4"/>
      <c r="J10" s="4"/>
      <c r="K10" s="4"/>
      <c r="L10" s="4"/>
      <c r="M10" s="4"/>
    </row>
    <row r="11" spans="1:13" ht="27" customHeight="1">
      <c r="A11" s="4"/>
      <c r="B11" s="6">
        <f>IF(인성!B11&gt;0,인성!B11,"")</f>
        <v>8</v>
      </c>
      <c r="C11" s="6" t="str">
        <f>IF(인성!C11&gt;0,인성!C11,"")</f>
        <v>박건하</v>
      </c>
      <c r="D11" s="2">
        <v>17</v>
      </c>
      <c r="E11" s="12" t="str">
        <f>IF(IF(D11=0,"",VLOOKUP(D11,$G$4:$H$153,2,FALSE))=0,종합의견!$F$1,(IF(D11=0,"",VLOOKUP(D11,$G$4:$H$153,2,FALSE))))</f>
        <v>낯선 사람에게 선뜻 잘 다가서지 못하지만 한번 사귀면 지속적으로 좋은 친구관계를 잘 유지함.</v>
      </c>
      <c r="F11" s="9"/>
      <c r="G11" s="8">
        <v>8</v>
      </c>
      <c r="H11" s="13" t="s">
        <v>351</v>
      </c>
      <c r="I11" s="4"/>
      <c r="J11" s="4"/>
      <c r="K11" s="4"/>
      <c r="L11" s="4"/>
      <c r="M11" s="4"/>
    </row>
    <row r="12" spans="1:13" ht="27" customHeight="1">
      <c r="A12" s="4"/>
      <c r="B12" s="6">
        <f>IF(인성!B12&gt;0,인성!B12,"")</f>
        <v>9</v>
      </c>
      <c r="C12" s="6" t="str">
        <f>IF(인성!C12&gt;0,인성!C12,"")</f>
        <v>서형찬</v>
      </c>
      <c r="D12" s="2">
        <v>3</v>
      </c>
      <c r="E12" s="12" t="str">
        <f>IF(IF(D12=0,"",VLOOKUP(D12,$G$4:$H$153,2,FALSE))=0,종합의견!$F$1,(IF(D12=0,"",VLOOKUP(D12,$G$4:$H$153,2,FALSE))))</f>
        <v>매사 진지한 자세와 공손함으로 상대방을 대하며 가끔 친구의 잘못도 지적할 줄 아는 정의감이 있는 학생임.</v>
      </c>
      <c r="F12" s="9"/>
      <c r="G12" s="8">
        <v>9</v>
      </c>
      <c r="H12" s="13" t="s">
        <v>352</v>
      </c>
      <c r="I12" s="4"/>
      <c r="J12" s="4"/>
      <c r="K12" s="4"/>
      <c r="L12" s="4"/>
      <c r="M12" s="4"/>
    </row>
    <row r="13" spans="1:13" ht="27" customHeight="1">
      <c r="A13" s="4"/>
      <c r="B13" s="6">
        <f>IF(인성!B13&gt;0,인성!B13,"")</f>
        <v>10</v>
      </c>
      <c r="C13" s="6" t="str">
        <f>IF(인성!C13&gt;0,인성!C13,"")</f>
        <v>손우진</v>
      </c>
      <c r="D13" s="2">
        <v>19</v>
      </c>
      <c r="E13" s="12" t="str">
        <f>IF(IF(D13=0,"",VLOOKUP(D13,$G$4:$H$153,2,FALSE))=0,종합의견!$F$1,(IF(D13=0,"",VLOOKUP(D13,$G$4:$H$153,2,FALSE))))</f>
        <v>재치있는 말과 행동으로 주변 친구들에게 호감을 주며 학급내의 즐거운 학습분위기 조성에 일조함.</v>
      </c>
      <c r="F13" s="9"/>
      <c r="G13" s="8">
        <v>10</v>
      </c>
      <c r="H13" s="13" t="s">
        <v>353</v>
      </c>
      <c r="I13" s="4"/>
      <c r="J13" s="4"/>
      <c r="K13" s="4"/>
      <c r="L13" s="4"/>
      <c r="M13" s="4"/>
    </row>
    <row r="14" spans="1:13" ht="27" customHeight="1">
      <c r="A14" s="4"/>
      <c r="B14" s="6">
        <f>IF(인성!B14&gt;0,인성!B14,"")</f>
        <v>11</v>
      </c>
      <c r="C14" s="6" t="str">
        <f>IF(인성!C14&gt;0,인성!C14,"")</f>
        <v>송정연</v>
      </c>
      <c r="D14" s="2">
        <v>17</v>
      </c>
      <c r="E14" s="12" t="str">
        <f>IF(IF(D14=0,"",VLOOKUP(D14,$G$4:$H$153,2,FALSE))=0,종합의견!$F$1,(IF(D14=0,"",VLOOKUP(D14,$G$4:$H$153,2,FALSE))))</f>
        <v>낯선 사람에게 선뜻 잘 다가서지 못하지만 한번 사귀면 지속적으로 좋은 친구관계를 잘 유지함.</v>
      </c>
      <c r="F14" s="9"/>
      <c r="G14" s="8">
        <v>11</v>
      </c>
      <c r="H14" s="13" t="s">
        <v>354</v>
      </c>
      <c r="I14" s="4"/>
      <c r="J14" s="4"/>
      <c r="K14" s="4"/>
      <c r="L14" s="4"/>
      <c r="M14" s="4"/>
    </row>
    <row r="15" spans="1:13" ht="27" customHeight="1">
      <c r="A15" s="4"/>
      <c r="B15" s="6">
        <f>IF(인성!B15&gt;0,인성!B15,"")</f>
        <v>12</v>
      </c>
      <c r="C15" s="6" t="str">
        <f>IF(인성!C15&gt;0,인성!C15,"")</f>
        <v>양민국</v>
      </c>
      <c r="D15" s="2">
        <v>26</v>
      </c>
      <c r="E15" s="12" t="str">
        <f>IF(IF(D15=0,"",VLOOKUP(D15,$G$4:$H$153,2,FALSE))=0,종합의견!$F$1,(IF(D15=0,"",VLOOKUP(D15,$G$4:$H$153,2,FALSE))))</f>
        <v>친구들 끼리 갈등이 생겼을 때 자진하여 친구들의 사정을 잘 들어주고 서로 갈등을 잘 해결할 수 있도록 중재함.</v>
      </c>
      <c r="F15" s="9"/>
      <c r="G15" s="8">
        <v>12</v>
      </c>
      <c r="H15" s="13" t="s">
        <v>355</v>
      </c>
      <c r="I15" s="4"/>
      <c r="J15" s="4"/>
      <c r="K15" s="4"/>
      <c r="L15" s="4"/>
      <c r="M15" s="4"/>
    </row>
    <row r="16" spans="1:13" ht="27" customHeight="1">
      <c r="A16" s="4"/>
      <c r="B16" s="6">
        <f>IF(인성!B16&gt;0,인성!B16,"")</f>
        <v>13</v>
      </c>
      <c r="C16" s="6" t="str">
        <f>IF(인성!C16&gt;0,인성!C16,"")</f>
        <v>오서현</v>
      </c>
      <c r="D16" s="2">
        <v>19</v>
      </c>
      <c r="E16" s="12" t="str">
        <f>IF(IF(D16=0,"",VLOOKUP(D16,$G$4:$H$153,2,FALSE))=0,종합의견!$F$1,(IF(D16=0,"",VLOOKUP(D16,$G$4:$H$153,2,FALSE))))</f>
        <v>재치있는 말과 행동으로 주변 친구들에게 호감을 주며 학급내의 즐거운 학습분위기 조성에 일조함.</v>
      </c>
      <c r="F16" s="9"/>
      <c r="G16" s="8">
        <v>13</v>
      </c>
      <c r="H16" s="13" t="s">
        <v>356</v>
      </c>
      <c r="I16" s="4"/>
      <c r="J16" s="4"/>
      <c r="K16" s="4"/>
      <c r="L16" s="4"/>
      <c r="M16" s="4"/>
    </row>
    <row r="17" spans="1:13" ht="27" customHeight="1">
      <c r="A17" s="4"/>
      <c r="B17" s="6">
        <f>IF(인성!B17&gt;0,인성!B17,"")</f>
        <v>14</v>
      </c>
      <c r="C17" s="6" t="str">
        <f>IF(인성!C17&gt;0,인성!C17,"")</f>
        <v>윤재영</v>
      </c>
      <c r="D17" s="2">
        <v>52</v>
      </c>
      <c r="E17" s="12" t="str">
        <f>IF(IF(D17=0,"",VLOOKUP(D17,$G$4:$H$153,2,FALSE))=0,종합의견!$F$1,(IF(D17=0,"",VLOOKUP(D17,$G$4:$H$153,2,FALSE))))</f>
        <v>사소한 일로 화를 잘 내지 않고 긍정적인 마음으로 상대방을 대함으로써 싸우는 일이 없음.</v>
      </c>
      <c r="F17" s="9"/>
      <c r="G17" s="8">
        <v>14</v>
      </c>
      <c r="H17" s="13" t="s">
        <v>357</v>
      </c>
      <c r="I17" s="4"/>
      <c r="J17" s="4"/>
      <c r="K17" s="4"/>
      <c r="L17" s="4"/>
      <c r="M17" s="4"/>
    </row>
    <row r="18" spans="1:13" ht="27" customHeight="1">
      <c r="A18" s="4"/>
      <c r="B18" s="6">
        <f>IF(인성!B18&gt;0,인성!B18,"")</f>
        <v>15</v>
      </c>
      <c r="C18" s="6" t="str">
        <f>IF(인성!C18&gt;0,인성!C18,"")</f>
        <v>이승민</v>
      </c>
      <c r="D18" s="2">
        <v>20</v>
      </c>
      <c r="E18" s="12" t="str">
        <f>IF(IF(D18=0,"",VLOOKUP(D18,$G$4:$H$153,2,FALSE))=0,종합의견!$F$1,(IF(D18=0,"",VLOOKUP(D18,$G$4:$H$153,2,FALSE))))</f>
        <v>상대방을 배려하고 존중하는 마음이 깊고 따뜻하고 밝은 성품을 지녀 친구들로 부터 항상 신뢰와 호감을 받음.</v>
      </c>
      <c r="F18" s="9"/>
      <c r="G18" s="8">
        <v>15</v>
      </c>
      <c r="H18" s="13" t="s">
        <v>358</v>
      </c>
      <c r="I18" s="4"/>
      <c r="J18" s="4"/>
      <c r="K18" s="4"/>
      <c r="L18" s="4"/>
      <c r="M18" s="4"/>
    </row>
    <row r="19" spans="1:13" ht="27" customHeight="1">
      <c r="A19" s="4"/>
      <c r="B19" s="6">
        <f>IF(인성!B19&gt;0,인성!B19,"")</f>
        <v>16</v>
      </c>
      <c r="C19" s="6" t="str">
        <f>IF(인성!C19&gt;0,인성!C19,"")</f>
        <v>조도울</v>
      </c>
      <c r="D19" s="2">
        <v>4</v>
      </c>
      <c r="E19" s="12" t="str">
        <f>IF(IF(D19=0,"",VLOOKUP(D19,$G$4:$H$153,2,FALSE))=0,종합의견!$F$1,(IF(D19=0,"",VLOOKUP(D19,$G$4:$H$153,2,FALSE))))</f>
        <v>학급의 모든 친구들과 잘 어울리고 교사의 지도와 조언을 경청하고 수용하려는 자세가 돋보임.</v>
      </c>
      <c r="F19" s="9"/>
      <c r="G19" s="8">
        <v>16</v>
      </c>
      <c r="H19" s="13" t="s">
        <v>359</v>
      </c>
      <c r="I19" s="4"/>
      <c r="J19" s="4"/>
      <c r="K19" s="4"/>
      <c r="L19" s="4"/>
      <c r="M19" s="4"/>
    </row>
    <row r="20" spans="1:13" ht="27" customHeight="1">
      <c r="A20" s="4"/>
      <c r="B20" s="6">
        <f>IF(인성!B20&gt;0,인성!B20,"")</f>
        <v>17</v>
      </c>
      <c r="C20" s="6" t="str">
        <f>IF(인성!C20&gt;0,인성!C20,"")</f>
        <v>차명준</v>
      </c>
      <c r="D20" s="2">
        <v>19</v>
      </c>
      <c r="E20" s="12" t="str">
        <f>IF(IF(D20=0,"",VLOOKUP(D20,$G$4:$H$153,2,FALSE))=0,종합의견!$F$1,(IF(D20=0,"",VLOOKUP(D20,$G$4:$H$153,2,FALSE))))</f>
        <v>재치있는 말과 행동으로 주변 친구들에게 호감을 주며 학급내의 즐거운 학습분위기 조성에 일조함.</v>
      </c>
      <c r="F20" s="9"/>
      <c r="G20" s="8">
        <v>17</v>
      </c>
      <c r="H20" s="13" t="s">
        <v>360</v>
      </c>
      <c r="I20" s="4"/>
      <c r="J20" s="4"/>
      <c r="K20" s="4"/>
      <c r="L20" s="4"/>
      <c r="M20" s="4"/>
    </row>
    <row r="21" spans="1:13" ht="27" customHeight="1">
      <c r="A21" s="4"/>
      <c r="B21" s="6">
        <f>IF(인성!B21&gt;0,인성!B21,"")</f>
        <v>18</v>
      </c>
      <c r="C21" s="6" t="str">
        <f>IF(인성!C21&gt;0,인성!C21,"")</f>
        <v>최가영</v>
      </c>
      <c r="D21" s="2">
        <v>4</v>
      </c>
      <c r="E21" s="12" t="str">
        <f>IF(IF(D21=0,"",VLOOKUP(D21,$G$4:$H$153,2,FALSE))=0,종합의견!$F$1,(IF(D21=0,"",VLOOKUP(D21,$G$4:$H$153,2,FALSE))))</f>
        <v>학급의 모든 친구들과 잘 어울리고 교사의 지도와 조언을 경청하고 수용하려는 자세가 돋보임.</v>
      </c>
      <c r="F21" s="9"/>
      <c r="G21" s="8">
        <v>18</v>
      </c>
      <c r="H21" s="13" t="s">
        <v>361</v>
      </c>
      <c r="I21" s="4"/>
      <c r="J21" s="4"/>
      <c r="K21" s="4"/>
      <c r="L21" s="4"/>
      <c r="M21" s="4"/>
    </row>
    <row r="22" spans="1:13" ht="27" customHeight="1">
      <c r="A22" s="4"/>
      <c r="B22" s="6">
        <f>IF(인성!B22&gt;0,인성!B22,"")</f>
        <v>19</v>
      </c>
      <c r="C22" s="6" t="str">
        <f>IF(인성!C22&gt;0,인성!C22,"")</f>
        <v>최다빈</v>
      </c>
      <c r="D22" s="2">
        <v>31</v>
      </c>
      <c r="E22" s="12" t="str">
        <f>IF(IF(D22=0,"",VLOOKUP(D22,$G$4:$H$153,2,FALSE))=0,종합의견!$F$1,(IF(D22=0,"",VLOOKUP(D22,$G$4:$H$153,2,FALSE))))</f>
        <v>친구들과의 다툼을 잘 중재하고 합리적인 의사소통을 통해 어려움을 도와 주고 문제를 원만하게 해결하려고 힘써 노력함.</v>
      </c>
      <c r="F22" s="9"/>
      <c r="G22" s="8">
        <v>19</v>
      </c>
      <c r="H22" s="13" t="s">
        <v>362</v>
      </c>
      <c r="I22" s="4"/>
      <c r="J22" s="4"/>
      <c r="K22" s="4"/>
      <c r="L22" s="4"/>
      <c r="M22" s="4"/>
    </row>
    <row r="23" spans="1:13" ht="27" customHeight="1">
      <c r="A23" s="4"/>
      <c r="B23" s="6">
        <f>IF(인성!B23&gt;0,인성!B23,"")</f>
        <v>20</v>
      </c>
      <c r="C23" s="6" t="str">
        <f>IF(인성!C23&gt;0,인성!C23,"")</f>
        <v>홍준석</v>
      </c>
      <c r="D23" s="2">
        <v>35</v>
      </c>
      <c r="E23" s="12" t="str">
        <f>IF(IF(D23=0,"",VLOOKUP(D23,$G$4:$H$153,2,FALSE))=0,종합의견!$F$1,(IF(D23=0,"",VLOOKUP(D23,$G$4:$H$153,2,FALSE))))</f>
        <v>학급회의 진행 시 다른 의견을 가진 급우들의 의사를 존중하고 공동의 목표를 위해 서로 토론하고 타협하도록 회의를 이끌어 감.</v>
      </c>
      <c r="F23" s="9"/>
      <c r="G23" s="8">
        <v>20</v>
      </c>
      <c r="H23" s="13" t="s">
        <v>363</v>
      </c>
      <c r="I23" s="4"/>
      <c r="J23" s="4"/>
      <c r="K23" s="4"/>
      <c r="L23" s="4"/>
      <c r="M23" s="4"/>
    </row>
    <row r="24" spans="1:13" ht="16.5">
      <c r="A24" s="4"/>
      <c r="B24" s="6" t="str">
        <f>IF(인성!B24&gt;0,인성!B24,"")</f>
        <v/>
      </c>
      <c r="C24" s="6" t="str">
        <f>IF(인성!C24&gt;0,인성!C24,"")</f>
        <v/>
      </c>
      <c r="D24" s="2"/>
      <c r="E24" s="12" t="str">
        <f>IF(IF(D24=0,"",VLOOKUP(D24,$G$4:$H$153,2,FALSE))=0,종합의견!$F$1,(IF(D24=0,"",VLOOKUP(D24,$G$4:$H$153,2,FALSE))))</f>
        <v/>
      </c>
      <c r="F24" s="9"/>
      <c r="G24" s="8">
        <v>21</v>
      </c>
      <c r="H24" s="13" t="s">
        <v>364</v>
      </c>
      <c r="I24" s="4"/>
      <c r="J24" s="4"/>
      <c r="K24" s="4"/>
      <c r="L24" s="4"/>
      <c r="M24" s="4"/>
    </row>
    <row r="25" spans="1:13" ht="16.5" customHeight="1">
      <c r="A25" s="4"/>
      <c r="B25" s="6" t="str">
        <f>IF(인성!B25&gt;0,인성!B25,"")</f>
        <v/>
      </c>
      <c r="C25" s="6" t="str">
        <f>IF(인성!C25&gt;0,인성!C25,"")</f>
        <v/>
      </c>
      <c r="D25" s="2"/>
      <c r="E25" s="12" t="str">
        <f>IF(IF(D25=0,"",VLOOKUP(D25,$G$4:$H$153,2,FALSE))=0,종합의견!$F$1,(IF(D25=0,"",VLOOKUP(D25,$G$4:$H$153,2,FALSE))))</f>
        <v/>
      </c>
      <c r="F25" s="9"/>
      <c r="G25" s="8">
        <v>22</v>
      </c>
      <c r="H25" s="13" t="s">
        <v>365</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366</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367</v>
      </c>
      <c r="I27" s="4"/>
      <c r="J27" s="4"/>
      <c r="K27" s="4"/>
      <c r="L27" s="4"/>
      <c r="M27" s="4"/>
    </row>
    <row r="28" spans="1:13" ht="40.5" customHeight="1">
      <c r="A28" s="4"/>
      <c r="B28" s="6" t="str">
        <f>IF(인성!B28&gt;0,인성!B28,"")</f>
        <v/>
      </c>
      <c r="C28" s="6" t="str">
        <f>IF(인성!C28&gt;0,인성!C28,"")</f>
        <v/>
      </c>
      <c r="D28" s="2"/>
      <c r="E28" s="12" t="str">
        <f>IF(IF(D28=0,"",VLOOKUP(D28,$G$4:$H$153,2,FALSE))=0,종합의견!$F$1,(IF(D28=0,"",VLOOKUP(D28,$G$4:$H$153,2,FALSE))))</f>
        <v/>
      </c>
      <c r="F28" s="9"/>
      <c r="G28" s="8">
        <v>25</v>
      </c>
      <c r="H28" s="13" t="s">
        <v>368</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369</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370</v>
      </c>
      <c r="I30" s="4"/>
      <c r="J30" s="4"/>
      <c r="K30" s="4"/>
      <c r="L30" s="4"/>
      <c r="M30" s="4"/>
    </row>
    <row r="31" spans="1:13" ht="16.5" customHeight="1">
      <c r="A31" s="4"/>
      <c r="B31" s="6" t="str">
        <f>IF(인성!B31&gt;0,인성!B31,"")</f>
        <v/>
      </c>
      <c r="C31" s="6" t="str">
        <f>IF(인성!C31&gt;0,인성!C31,"")</f>
        <v/>
      </c>
      <c r="D31" s="2"/>
      <c r="E31" s="12" t="str">
        <f>IF(IF(D31=0,"",VLOOKUP(D31,$G$4:$H$153,2,FALSE))=0,종합의견!$F$1,(IF(D31=0,"",VLOOKUP(D31,$G$4:$H$153,2,FALSE))))</f>
        <v/>
      </c>
      <c r="F31" s="9"/>
      <c r="G31" s="8">
        <v>28</v>
      </c>
      <c r="H31" s="13" t="s">
        <v>371</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372</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373</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374</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375</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376</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377</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t="s">
        <v>378</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379</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380</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381</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382</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383</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384</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385</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386</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387</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388</v>
      </c>
      <c r="I48" s="4"/>
      <c r="J48" s="4"/>
      <c r="K48" s="4"/>
      <c r="L48" s="4"/>
      <c r="M48" s="4"/>
    </row>
    <row r="49" spans="1:13" ht="27" customHeight="1">
      <c r="A49" s="4"/>
      <c r="B49" s="11"/>
      <c r="C49" s="11"/>
      <c r="D49" s="11"/>
      <c r="E49" s="14"/>
      <c r="F49" s="4"/>
      <c r="G49" s="8">
        <v>46</v>
      </c>
      <c r="H49" s="13" t="s">
        <v>389</v>
      </c>
      <c r="I49" s="4"/>
      <c r="J49" s="4"/>
      <c r="K49" s="4"/>
      <c r="L49" s="4"/>
      <c r="M49" s="4"/>
    </row>
    <row r="50" spans="1:13" ht="27" customHeight="1">
      <c r="A50" s="4"/>
      <c r="B50" s="11"/>
      <c r="C50" s="11"/>
      <c r="D50" s="11"/>
      <c r="E50" s="14"/>
      <c r="F50" s="4"/>
      <c r="G50" s="8">
        <v>47</v>
      </c>
      <c r="H50" s="13" t="s">
        <v>697</v>
      </c>
      <c r="I50" s="4"/>
      <c r="J50" s="4"/>
      <c r="K50" s="4"/>
      <c r="L50" s="4"/>
      <c r="M50" s="4"/>
    </row>
    <row r="51" spans="1:13" ht="27" customHeight="1">
      <c r="A51" s="4"/>
      <c r="B51" s="11"/>
      <c r="C51" s="11"/>
      <c r="D51" s="11"/>
      <c r="E51" s="14"/>
      <c r="F51" s="4"/>
      <c r="G51" s="8">
        <v>48</v>
      </c>
      <c r="H51" s="13" t="s">
        <v>390</v>
      </c>
      <c r="I51" s="4"/>
      <c r="J51" s="4"/>
      <c r="K51" s="4"/>
      <c r="L51" s="4"/>
      <c r="M51" s="4"/>
    </row>
    <row r="52" spans="1:13" ht="27" customHeight="1">
      <c r="A52" s="4"/>
      <c r="B52" s="11"/>
      <c r="C52" s="11"/>
      <c r="D52" s="11"/>
      <c r="E52" s="14"/>
      <c r="F52" s="4"/>
      <c r="G52" s="8">
        <v>49</v>
      </c>
      <c r="H52" s="13" t="s">
        <v>391</v>
      </c>
      <c r="I52" s="4"/>
      <c r="J52" s="4"/>
      <c r="K52" s="4"/>
      <c r="L52" s="4"/>
      <c r="M52" s="4"/>
    </row>
    <row r="53" spans="1:13" ht="27" customHeight="1">
      <c r="A53" s="4"/>
      <c r="B53" s="11"/>
      <c r="C53" s="11"/>
      <c r="D53" s="11"/>
      <c r="E53" s="14"/>
      <c r="F53" s="4"/>
      <c r="G53" s="8">
        <v>50</v>
      </c>
      <c r="H53" s="13" t="s">
        <v>392</v>
      </c>
      <c r="I53" s="4"/>
      <c r="J53" s="4"/>
      <c r="K53" s="4"/>
      <c r="L53" s="4"/>
      <c r="M53" s="4"/>
    </row>
    <row r="54" spans="1:13" ht="16.5" customHeight="1">
      <c r="A54" s="4"/>
      <c r="B54" s="11"/>
      <c r="C54" s="11"/>
      <c r="D54" s="11"/>
      <c r="E54" s="14"/>
      <c r="F54" s="4"/>
      <c r="G54" s="8">
        <v>51</v>
      </c>
      <c r="H54" s="13" t="s">
        <v>393</v>
      </c>
      <c r="I54" s="4"/>
      <c r="J54" s="4"/>
      <c r="K54" s="4"/>
      <c r="L54" s="4"/>
      <c r="M54" s="4"/>
    </row>
    <row r="55" spans="1:13" ht="16.5" customHeight="1">
      <c r="A55" s="4"/>
      <c r="B55" s="11"/>
      <c r="C55" s="11"/>
      <c r="D55" s="11"/>
      <c r="E55" s="14"/>
      <c r="F55" s="4"/>
      <c r="G55" s="8">
        <v>52</v>
      </c>
      <c r="H55" s="13" t="s">
        <v>394</v>
      </c>
      <c r="I55" s="4"/>
      <c r="J55" s="4"/>
      <c r="K55" s="4"/>
      <c r="L55" s="4"/>
      <c r="M55" s="4"/>
    </row>
    <row r="56" spans="1:13" ht="40.5" customHeight="1">
      <c r="A56" s="4"/>
      <c r="B56" s="11"/>
      <c r="C56" s="11"/>
      <c r="D56" s="11"/>
      <c r="E56" s="14"/>
      <c r="F56" s="4"/>
      <c r="G56" s="8">
        <v>53</v>
      </c>
      <c r="H56" s="13" t="s">
        <v>395</v>
      </c>
      <c r="I56" s="4"/>
      <c r="J56" s="4"/>
      <c r="K56" s="4"/>
      <c r="L56" s="4"/>
      <c r="M56" s="4"/>
    </row>
    <row r="57" spans="1:13" ht="27" customHeight="1">
      <c r="A57" s="4"/>
      <c r="B57" s="11"/>
      <c r="C57" s="11"/>
      <c r="D57" s="11"/>
      <c r="E57" s="14"/>
      <c r="F57" s="4"/>
      <c r="G57" s="8">
        <v>54</v>
      </c>
      <c r="H57" s="13" t="s">
        <v>396</v>
      </c>
      <c r="I57" s="4"/>
      <c r="J57" s="4"/>
      <c r="K57" s="4"/>
      <c r="L57" s="4"/>
      <c r="M57" s="4"/>
    </row>
    <row r="58" spans="1:13" ht="27" customHeight="1">
      <c r="A58" s="4"/>
      <c r="B58" s="11"/>
      <c r="C58" s="11"/>
      <c r="D58" s="11"/>
      <c r="E58" s="14"/>
      <c r="F58" s="4"/>
      <c r="G58" s="8">
        <v>55</v>
      </c>
      <c r="H58" s="13" t="s">
        <v>397</v>
      </c>
      <c r="I58" s="4"/>
      <c r="J58" s="4"/>
      <c r="K58" s="4"/>
      <c r="L58" s="4"/>
      <c r="M58" s="4"/>
    </row>
    <row r="59" spans="1:13" ht="27" customHeight="1">
      <c r="A59" s="4"/>
      <c r="B59" s="11"/>
      <c r="C59" s="11"/>
      <c r="D59" s="11"/>
      <c r="E59" s="14"/>
      <c r="F59" s="4"/>
      <c r="G59" s="8">
        <v>56</v>
      </c>
      <c r="H59" s="13" t="s">
        <v>398</v>
      </c>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00"/>
  <sheetViews>
    <sheetView workbookViewId="0">
      <pane xSplit="3" ySplit="3" topLeftCell="D4" activePane="bottomRight" state="frozen"/>
      <selection pane="topRight" activeCell="D1" sqref="D1"/>
      <selection pane="bottomLeft" activeCell="A4" sqref="A4"/>
      <selection pane="bottomRight" activeCell="D19" sqref="D19"/>
    </sheetView>
  </sheetViews>
  <sheetFormatPr defaultColWidth="17.25" defaultRowHeight="15" customHeight="1"/>
  <cols>
    <col min="1" max="1" width="2.1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9" width="1.75" customWidth="1"/>
    <col min="10" max="10" width="4.375" customWidth="1"/>
    <col min="11" max="11" width="8.375" customWidth="1"/>
    <col min="12" max="12" width="6.625" customWidth="1"/>
    <col min="13" max="13" width="7.375" customWidth="1"/>
    <col min="14" max="14" width="6.25" customWidth="1"/>
    <col min="15" max="16" width="7.375" customWidth="1"/>
    <col min="17" max="17" width="10.625" customWidth="1"/>
    <col min="18" max="18" width="10" customWidth="1"/>
    <col min="19" max="19" width="6.125" customWidth="1"/>
  </cols>
  <sheetData>
    <row r="1" spans="1:19" ht="34.5" customHeight="1">
      <c r="A1" s="4"/>
      <c r="B1" s="67" t="s">
        <v>1</v>
      </c>
      <c r="C1" s="68"/>
      <c r="D1" s="68"/>
      <c r="E1" s="68"/>
      <c r="F1" s="68"/>
      <c r="G1" s="68"/>
      <c r="H1" s="68"/>
      <c r="I1" s="4"/>
      <c r="J1" s="79" t="s">
        <v>399</v>
      </c>
      <c r="K1" s="66"/>
      <c r="L1" s="66"/>
      <c r="M1" s="66"/>
      <c r="N1" s="66"/>
      <c r="O1" s="66"/>
      <c r="P1" s="66"/>
      <c r="Q1" s="66"/>
      <c r="R1" s="4"/>
      <c r="S1" s="4"/>
    </row>
    <row r="2" spans="1:19" ht="27.75" customHeight="1">
      <c r="A2" s="4"/>
      <c r="B2" s="69" t="s">
        <v>400</v>
      </c>
      <c r="C2" s="66"/>
      <c r="D2" s="66"/>
      <c r="E2" s="66"/>
      <c r="F2" s="5"/>
      <c r="G2" s="5"/>
      <c r="H2" s="5"/>
      <c r="I2" s="4"/>
      <c r="J2" s="80" t="s">
        <v>401</v>
      </c>
      <c r="K2" s="81"/>
      <c r="L2" s="81"/>
      <c r="M2" s="81"/>
      <c r="N2" s="81"/>
      <c r="O2" s="81"/>
      <c r="P2" s="81"/>
      <c r="Q2" s="81"/>
      <c r="R2" s="30">
        <v>20151228</v>
      </c>
      <c r="S2" s="31" t="s">
        <v>402</v>
      </c>
    </row>
    <row r="3" spans="1:19" ht="18" customHeight="1">
      <c r="A3" s="4"/>
      <c r="B3" s="6" t="s">
        <v>3</v>
      </c>
      <c r="C3" s="6" t="s">
        <v>4</v>
      </c>
      <c r="D3" s="7" t="s">
        <v>5</v>
      </c>
      <c r="E3" s="7" t="s">
        <v>6</v>
      </c>
      <c r="F3" s="15"/>
      <c r="G3" s="7" t="s">
        <v>7</v>
      </c>
      <c r="H3" s="7" t="s">
        <v>8</v>
      </c>
      <c r="I3" s="4"/>
      <c r="J3" s="32" t="s">
        <v>3</v>
      </c>
      <c r="K3" s="32" t="s">
        <v>4</v>
      </c>
      <c r="L3" s="32" t="s">
        <v>403</v>
      </c>
      <c r="M3" s="32" t="s">
        <v>404</v>
      </c>
      <c r="N3" s="32" t="s">
        <v>405</v>
      </c>
      <c r="O3" s="32" t="s">
        <v>406</v>
      </c>
      <c r="P3" s="33" t="s">
        <v>407</v>
      </c>
      <c r="Q3" s="34" t="s">
        <v>408</v>
      </c>
      <c r="R3" s="4"/>
      <c r="S3" s="4"/>
    </row>
    <row r="4" spans="1:19" ht="27" customHeight="1">
      <c r="A4" s="4"/>
      <c r="B4" s="6">
        <f>IF(인성!B4&gt;0,인성!B4,"")</f>
        <v>1</v>
      </c>
      <c r="C4" s="6" t="str">
        <f>IF(인성!C4&gt;0,인성!C4,"")</f>
        <v>김권위</v>
      </c>
      <c r="D4" s="23"/>
      <c r="E4" s="12" t="str">
        <f>IF(IF(D4=0,"",VLOOKUP(D4,$G$4:$H$153,2,FALSE))=0,종합의견!$F$1,(IF(D4=0,"",VLOOKUP(D4,$G$4:$H$153,2,FALSE))))</f>
        <v/>
      </c>
      <c r="F4" s="9"/>
      <c r="G4" s="8">
        <v>1</v>
      </c>
      <c r="H4" s="13" t="s">
        <v>409</v>
      </c>
      <c r="I4" s="4"/>
      <c r="J4" s="32">
        <f t="shared" ref="J4:K4" si="0">IF(B4&gt;0,B4,"")</f>
        <v>1</v>
      </c>
      <c r="K4" s="32" t="str">
        <f t="shared" si="0"/>
        <v>김권위</v>
      </c>
      <c r="L4" s="32" t="s">
        <v>110</v>
      </c>
      <c r="M4" s="32" t="s">
        <v>410</v>
      </c>
      <c r="N4" s="32" t="s">
        <v>411</v>
      </c>
      <c r="O4" s="32" t="s">
        <v>104</v>
      </c>
      <c r="P4" s="33" t="s">
        <v>412</v>
      </c>
      <c r="Q4" s="35">
        <v>12</v>
      </c>
      <c r="R4" s="4"/>
      <c r="S4" s="4"/>
    </row>
    <row r="5" spans="1:19" ht="27" customHeight="1">
      <c r="A5" s="4"/>
      <c r="B5" s="6">
        <f>IF(인성!B5&gt;0,인성!B5,"")</f>
        <v>2</v>
      </c>
      <c r="C5" s="6" t="str">
        <f>IF(인성!C5&gt;0,인성!C5,"")</f>
        <v>김상현</v>
      </c>
      <c r="D5" s="2"/>
      <c r="E5" s="12" t="str">
        <f>IF(IF(D5=0,"",VLOOKUP(D5,$G$4:$H$153,2,FALSE))=0,종합의견!$F$1,(IF(D5=0,"",VLOOKUP(D5,$G$4:$H$153,2,FALSE))))</f>
        <v/>
      </c>
      <c r="F5" s="9"/>
      <c r="G5" s="8">
        <v>2</v>
      </c>
      <c r="H5" s="13" t="s">
        <v>413</v>
      </c>
      <c r="I5" s="4"/>
      <c r="J5" s="32">
        <f t="shared" ref="J5:K5" si="1">IF(B5&gt;0,B5,"")</f>
        <v>2</v>
      </c>
      <c r="K5" s="32" t="str">
        <f t="shared" si="1"/>
        <v>김상현</v>
      </c>
      <c r="L5" s="32" t="s">
        <v>414</v>
      </c>
      <c r="M5" s="32" t="s">
        <v>415</v>
      </c>
      <c r="N5" s="32" t="s">
        <v>416</v>
      </c>
      <c r="O5" s="32" t="s">
        <v>417</v>
      </c>
      <c r="P5" s="33" t="s">
        <v>418</v>
      </c>
      <c r="Q5" s="35">
        <v>2</v>
      </c>
      <c r="R5" s="4"/>
      <c r="S5" s="4"/>
    </row>
    <row r="6" spans="1:19" ht="40.5" customHeight="1">
      <c r="A6" s="4"/>
      <c r="B6" s="6">
        <f>IF(인성!B6&gt;0,인성!B6,"")</f>
        <v>3</v>
      </c>
      <c r="C6" s="6" t="str">
        <f>IF(인성!C6&gt;0,인성!C6,"")</f>
        <v>김승길</v>
      </c>
      <c r="D6" s="2"/>
      <c r="E6" s="12" t="str">
        <f>IF(IF(D6=0,"",VLOOKUP(D6,$G$4:$H$153,2,FALSE))=0,종합의견!$F$1,(IF(D6=0,"",VLOOKUP(D6,$G$4:$H$153,2,FALSE))))</f>
        <v/>
      </c>
      <c r="F6" s="9"/>
      <c r="G6" s="8">
        <v>3</v>
      </c>
      <c r="H6" s="13" t="s">
        <v>419</v>
      </c>
      <c r="I6" s="4"/>
      <c r="J6" s="32">
        <f t="shared" ref="J6:K6" si="2">IF(B6&gt;0,B6,"")</f>
        <v>3</v>
      </c>
      <c r="K6" s="32" t="str">
        <f t="shared" si="2"/>
        <v>김승길</v>
      </c>
      <c r="L6" s="32" t="s">
        <v>415</v>
      </c>
      <c r="M6" s="32" t="s">
        <v>102</v>
      </c>
      <c r="N6" s="32" t="s">
        <v>420</v>
      </c>
      <c r="O6" s="32" t="s">
        <v>421</v>
      </c>
      <c r="P6" s="33" t="s">
        <v>422</v>
      </c>
      <c r="Q6" s="35">
        <v>3</v>
      </c>
      <c r="R6" s="4"/>
      <c r="S6" s="4"/>
    </row>
    <row r="7" spans="1:19" ht="27" customHeight="1">
      <c r="A7" s="4"/>
      <c r="B7" s="6">
        <f>IF(인성!B7&gt;0,인성!B7,"")</f>
        <v>4</v>
      </c>
      <c r="C7" s="6" t="str">
        <f>IF(인성!C7&gt;0,인성!C7,"")</f>
        <v>김하얀</v>
      </c>
      <c r="D7" s="2"/>
      <c r="E7" s="12" t="str">
        <f>IF(IF(D7=0,"",VLOOKUP(D7,$G$4:$H$153,2,FALSE))=0,종합의견!$F$1,(IF(D7=0,"",VLOOKUP(D7,$G$4:$H$153,2,FALSE))))</f>
        <v/>
      </c>
      <c r="F7" s="9"/>
      <c r="G7" s="8">
        <v>4</v>
      </c>
      <c r="H7" s="13" t="s">
        <v>423</v>
      </c>
      <c r="I7" s="4"/>
      <c r="J7" s="32">
        <f t="shared" ref="J7:K7" si="3">IF(B7&gt;0,B7,"")</f>
        <v>4</v>
      </c>
      <c r="K7" s="32" t="str">
        <f t="shared" si="3"/>
        <v>김하얀</v>
      </c>
      <c r="L7" s="32" t="s">
        <v>424</v>
      </c>
      <c r="M7" s="32" t="s">
        <v>115</v>
      </c>
      <c r="N7" s="32" t="s">
        <v>416</v>
      </c>
      <c r="O7" s="32" t="s">
        <v>425</v>
      </c>
      <c r="P7" s="33" t="s">
        <v>426</v>
      </c>
      <c r="Q7" s="35"/>
      <c r="R7" s="4"/>
      <c r="S7" s="4"/>
    </row>
    <row r="8" spans="1:19" ht="27" customHeight="1">
      <c r="A8" s="4"/>
      <c r="B8" s="6">
        <f>IF(인성!B8&gt;0,인성!B8,"")</f>
        <v>5</v>
      </c>
      <c r="C8" s="6" t="str">
        <f>IF(인성!C8&gt;0,인성!C8,"")</f>
        <v>김호찬</v>
      </c>
      <c r="D8" s="2"/>
      <c r="E8" s="12" t="str">
        <f>IF(IF(D8=0,"",VLOOKUP(D8,$G$4:$H$153,2,FALSE))=0,종합의견!$F$1,(IF(D8=0,"",VLOOKUP(D8,$G$4:$H$153,2,FALSE))))</f>
        <v/>
      </c>
      <c r="F8" s="9"/>
      <c r="G8" s="8">
        <v>5</v>
      </c>
      <c r="H8" s="13" t="s">
        <v>427</v>
      </c>
      <c r="I8" s="4"/>
      <c r="J8" s="32">
        <f t="shared" ref="J8:K8" si="4">IF(B8&gt;0,B8,"")</f>
        <v>5</v>
      </c>
      <c r="K8" s="32" t="str">
        <f t="shared" si="4"/>
        <v>김호찬</v>
      </c>
      <c r="L8" s="32" t="s">
        <v>102</v>
      </c>
      <c r="M8" s="32" t="s">
        <v>428</v>
      </c>
      <c r="N8" s="32" t="s">
        <v>429</v>
      </c>
      <c r="O8" s="32" t="s">
        <v>429</v>
      </c>
      <c r="P8" s="33" t="s">
        <v>430</v>
      </c>
      <c r="Q8" s="35"/>
      <c r="R8" s="4"/>
      <c r="S8" s="4"/>
    </row>
    <row r="9" spans="1:19" ht="27" customHeight="1">
      <c r="A9" s="4"/>
      <c r="B9" s="6">
        <f>IF(인성!B9&gt;0,인성!B9,"")</f>
        <v>6</v>
      </c>
      <c r="C9" s="6" t="str">
        <f>IF(인성!C9&gt;0,인성!C9,"")</f>
        <v>노지형</v>
      </c>
      <c r="D9" s="2"/>
      <c r="E9" s="12" t="str">
        <f>IF(IF(D9=0,"",VLOOKUP(D9,$G$4:$H$153,2,FALSE))=0,종합의견!$F$1,(IF(D9=0,"",VLOOKUP(D9,$G$4:$H$153,2,FALSE))))</f>
        <v/>
      </c>
      <c r="F9" s="9"/>
      <c r="G9" s="8">
        <v>6</v>
      </c>
      <c r="H9" s="13" t="s">
        <v>431</v>
      </c>
      <c r="I9" s="4"/>
      <c r="J9" s="32">
        <f t="shared" ref="J9:K9" si="5">IF(B9&gt;0,B9,"")</f>
        <v>6</v>
      </c>
      <c r="K9" s="32" t="str">
        <f t="shared" si="5"/>
        <v>노지형</v>
      </c>
      <c r="L9" s="32" t="s">
        <v>107</v>
      </c>
      <c r="M9" s="32" t="s">
        <v>116</v>
      </c>
      <c r="N9" s="32" t="s">
        <v>432</v>
      </c>
      <c r="O9" s="32" t="s">
        <v>433</v>
      </c>
      <c r="P9" s="33" t="s">
        <v>434</v>
      </c>
      <c r="Q9" s="35"/>
      <c r="R9" s="4"/>
      <c r="S9" s="4"/>
    </row>
    <row r="10" spans="1:19" ht="27" customHeight="1">
      <c r="A10" s="4"/>
      <c r="B10" s="6">
        <f>IF(인성!B10&gt;0,인성!B10,"")</f>
        <v>7</v>
      </c>
      <c r="C10" s="6" t="str">
        <f>IF(인성!C10&gt;0,인성!C10,"")</f>
        <v>류나경</v>
      </c>
      <c r="D10" s="2"/>
      <c r="E10" s="12" t="str">
        <f>IF(IF(D10=0,"",VLOOKUP(D10,$G$4:$H$153,2,FALSE))=0,종합의견!$F$1,(IF(D10=0,"",VLOOKUP(D10,$G$4:$H$153,2,FALSE))))</f>
        <v/>
      </c>
      <c r="F10" s="9"/>
      <c r="G10" s="8">
        <v>7</v>
      </c>
      <c r="H10" s="13" t="s">
        <v>435</v>
      </c>
      <c r="I10" s="4"/>
      <c r="J10" s="32">
        <f t="shared" ref="J10:K10" si="6">IF(B10&gt;0,B10,"")</f>
        <v>7</v>
      </c>
      <c r="K10" s="32" t="str">
        <f t="shared" si="6"/>
        <v>류나경</v>
      </c>
      <c r="L10" s="32" t="s">
        <v>110</v>
      </c>
      <c r="M10" s="32" t="s">
        <v>116</v>
      </c>
      <c r="N10" s="32" t="s">
        <v>436</v>
      </c>
      <c r="O10" s="32" t="s">
        <v>425</v>
      </c>
      <c r="P10" s="33" t="s">
        <v>437</v>
      </c>
      <c r="Q10" s="35">
        <v>3</v>
      </c>
      <c r="R10" s="4"/>
      <c r="S10" s="4"/>
    </row>
    <row r="11" spans="1:19" ht="27" customHeight="1">
      <c r="A11" s="4"/>
      <c r="B11" s="6">
        <f>IF(인성!B11&gt;0,인성!B11,"")</f>
        <v>8</v>
      </c>
      <c r="C11" s="6" t="str">
        <f>IF(인성!C11&gt;0,인성!C11,"")</f>
        <v>박건하</v>
      </c>
      <c r="D11" s="2"/>
      <c r="E11" s="12" t="str">
        <f>IF(IF(D11=0,"",VLOOKUP(D11,$G$4:$H$153,2,FALSE))=0,종합의견!$F$1,(IF(D11=0,"",VLOOKUP(D11,$G$4:$H$153,2,FALSE))))</f>
        <v/>
      </c>
      <c r="F11" s="9"/>
      <c r="G11" s="8">
        <v>8</v>
      </c>
      <c r="H11" s="13" t="s">
        <v>438</v>
      </c>
      <c r="I11" s="4"/>
      <c r="J11" s="32">
        <f t="shared" ref="J11:K11" si="7">IF(B11&gt;0,B11,"")</f>
        <v>8</v>
      </c>
      <c r="K11" s="32" t="str">
        <f t="shared" si="7"/>
        <v>박건하</v>
      </c>
      <c r="L11" s="32" t="s">
        <v>103</v>
      </c>
      <c r="M11" s="32" t="s">
        <v>439</v>
      </c>
      <c r="N11" s="32" t="s">
        <v>411</v>
      </c>
      <c r="O11" s="32" t="s">
        <v>104</v>
      </c>
      <c r="P11" s="33" t="s">
        <v>440</v>
      </c>
      <c r="Q11" s="35">
        <v>2</v>
      </c>
      <c r="R11" s="4"/>
      <c r="S11" s="4"/>
    </row>
    <row r="12" spans="1:19" ht="27" customHeight="1">
      <c r="A12" s="4"/>
      <c r="B12" s="6">
        <f>IF(인성!B12&gt;0,인성!B12,"")</f>
        <v>9</v>
      </c>
      <c r="C12" s="6" t="str">
        <f>IF(인성!C12&gt;0,인성!C12,"")</f>
        <v>서형찬</v>
      </c>
      <c r="D12" s="2"/>
      <c r="E12" s="12" t="str">
        <f>IF(IF(D12=0,"",VLOOKUP(D12,$G$4:$H$153,2,FALSE))=0,종합의견!$F$1,(IF(D12=0,"",VLOOKUP(D12,$G$4:$H$153,2,FALSE))))</f>
        <v/>
      </c>
      <c r="F12" s="9"/>
      <c r="G12" s="8">
        <v>9</v>
      </c>
      <c r="H12" s="13" t="s">
        <v>441</v>
      </c>
      <c r="I12" s="4"/>
      <c r="J12" s="32">
        <f t="shared" ref="J12:K12" si="8">IF(B12&gt;0,B12,"")</f>
        <v>9</v>
      </c>
      <c r="K12" s="32" t="str">
        <f t="shared" si="8"/>
        <v>서형찬</v>
      </c>
      <c r="L12" s="32" t="s">
        <v>442</v>
      </c>
      <c r="M12" s="32" t="s">
        <v>443</v>
      </c>
      <c r="N12" s="32" t="s">
        <v>444</v>
      </c>
      <c r="O12" s="32" t="s">
        <v>445</v>
      </c>
      <c r="P12" s="33" t="s">
        <v>446</v>
      </c>
      <c r="Q12" s="35">
        <v>27</v>
      </c>
      <c r="R12" s="4"/>
      <c r="S12" s="4"/>
    </row>
    <row r="13" spans="1:19" ht="27" customHeight="1">
      <c r="A13" s="4"/>
      <c r="B13" s="6">
        <f>IF(인성!B13&gt;0,인성!B13,"")</f>
        <v>10</v>
      </c>
      <c r="C13" s="6" t="str">
        <f>IF(인성!C13&gt;0,인성!C13,"")</f>
        <v>손우진</v>
      </c>
      <c r="D13" s="2"/>
      <c r="E13" s="12" t="str">
        <f>IF(IF(D13=0,"",VLOOKUP(D13,$G$4:$H$153,2,FALSE))=0,종합의견!$F$1,(IF(D13=0,"",VLOOKUP(D13,$G$4:$H$153,2,FALSE))))</f>
        <v/>
      </c>
      <c r="F13" s="9"/>
      <c r="G13" s="8">
        <v>10</v>
      </c>
      <c r="H13" s="13" t="s">
        <v>447</v>
      </c>
      <c r="I13" s="4"/>
      <c r="J13" s="32">
        <f t="shared" ref="J13:K13" si="9">IF(B13&gt;0,B13,"")</f>
        <v>10</v>
      </c>
      <c r="K13" s="32" t="str">
        <f t="shared" si="9"/>
        <v>손우진</v>
      </c>
      <c r="L13" s="32" t="s">
        <v>442</v>
      </c>
      <c r="M13" s="32" t="s">
        <v>103</v>
      </c>
      <c r="N13" s="32" t="s">
        <v>448</v>
      </c>
      <c r="O13" s="32" t="s">
        <v>428</v>
      </c>
      <c r="P13" s="33" t="s">
        <v>449</v>
      </c>
      <c r="Q13" s="35">
        <v>19</v>
      </c>
      <c r="R13" s="4"/>
      <c r="S13" s="4"/>
    </row>
    <row r="14" spans="1:19" ht="16.5">
      <c r="A14" s="4"/>
      <c r="B14" s="6">
        <f>IF(인성!B14&gt;0,인성!B14,"")</f>
        <v>11</v>
      </c>
      <c r="C14" s="6" t="str">
        <f>IF(인성!C14&gt;0,인성!C14,"")</f>
        <v>송정연</v>
      </c>
      <c r="D14" s="2"/>
      <c r="E14" s="12" t="str">
        <f>IF(IF(D14=0,"",VLOOKUP(D14,$G$4:$H$153,2,FALSE))=0,종합의견!$F$1,(IF(D14=0,"",VLOOKUP(D14,$G$4:$H$153,2,FALSE))))</f>
        <v/>
      </c>
      <c r="F14" s="9"/>
      <c r="G14" s="8">
        <v>11</v>
      </c>
      <c r="H14" s="13" t="s">
        <v>450</v>
      </c>
      <c r="I14" s="4"/>
      <c r="J14" s="32">
        <f t="shared" ref="J14:K14" si="10">IF(B14&gt;0,B14,"")</f>
        <v>11</v>
      </c>
      <c r="K14" s="32" t="str">
        <f t="shared" si="10"/>
        <v>송정연</v>
      </c>
      <c r="L14" s="32" t="s">
        <v>451</v>
      </c>
      <c r="M14" s="32" t="s">
        <v>452</v>
      </c>
      <c r="N14" s="32" t="s">
        <v>453</v>
      </c>
      <c r="O14" s="32" t="s">
        <v>454</v>
      </c>
      <c r="P14" s="33" t="s">
        <v>430</v>
      </c>
      <c r="Q14" s="35">
        <v>1</v>
      </c>
      <c r="R14" s="4"/>
      <c r="S14" s="4"/>
    </row>
    <row r="15" spans="1:19" ht="27" customHeight="1">
      <c r="A15" s="4"/>
      <c r="B15" s="6">
        <f>IF(인성!B15&gt;0,인성!B15,"")</f>
        <v>12</v>
      </c>
      <c r="C15" s="6" t="str">
        <f>IF(인성!C15&gt;0,인성!C15,"")</f>
        <v>양민국</v>
      </c>
      <c r="D15" s="2"/>
      <c r="E15" s="12" t="str">
        <f>IF(IF(D15=0,"",VLOOKUP(D15,$G$4:$H$153,2,FALSE))=0,종합의견!$F$1,(IF(D15=0,"",VLOOKUP(D15,$G$4:$H$153,2,FALSE))))</f>
        <v/>
      </c>
      <c r="F15" s="9"/>
      <c r="G15" s="8">
        <v>12</v>
      </c>
      <c r="H15" s="13" t="s">
        <v>455</v>
      </c>
      <c r="I15" s="4"/>
      <c r="J15" s="32">
        <f t="shared" ref="J15:K15" si="11">IF(B15&gt;0,B15,"")</f>
        <v>12</v>
      </c>
      <c r="K15" s="32" t="str">
        <f t="shared" si="11"/>
        <v>양민국</v>
      </c>
      <c r="L15" s="32" t="s">
        <v>456</v>
      </c>
      <c r="M15" s="32" t="s">
        <v>442</v>
      </c>
      <c r="N15" s="32" t="s">
        <v>457</v>
      </c>
      <c r="O15" s="32" t="s">
        <v>458</v>
      </c>
      <c r="P15" s="33" t="s">
        <v>459</v>
      </c>
      <c r="Q15" s="35">
        <v>1</v>
      </c>
      <c r="R15" s="4"/>
      <c r="S15" s="4"/>
    </row>
    <row r="16" spans="1:19" ht="27" customHeight="1">
      <c r="A16" s="4"/>
      <c r="B16" s="6">
        <f>IF(인성!B16&gt;0,인성!B16,"")</f>
        <v>13</v>
      </c>
      <c r="C16" s="6" t="str">
        <f>IF(인성!C16&gt;0,인성!C16,"")</f>
        <v>오서현</v>
      </c>
      <c r="D16" s="2"/>
      <c r="E16" s="12" t="str">
        <f>IF(IF(D16=0,"",VLOOKUP(D16,$G$4:$H$153,2,FALSE))=0,종합의견!$F$1,(IF(D16=0,"",VLOOKUP(D16,$G$4:$H$153,2,FALSE))))</f>
        <v/>
      </c>
      <c r="F16" s="9"/>
      <c r="G16" s="8">
        <v>13</v>
      </c>
      <c r="H16" s="13" t="s">
        <v>460</v>
      </c>
      <c r="I16" s="4"/>
      <c r="J16" s="32">
        <f t="shared" ref="J16:K16" si="12">IF(B16&gt;0,B16,"")</f>
        <v>13</v>
      </c>
      <c r="K16" s="32" t="str">
        <f t="shared" si="12"/>
        <v>오서현</v>
      </c>
      <c r="L16" s="32" t="s">
        <v>451</v>
      </c>
      <c r="M16" s="32" t="s">
        <v>452</v>
      </c>
      <c r="N16" s="32" t="s">
        <v>432</v>
      </c>
      <c r="O16" s="32" t="s">
        <v>454</v>
      </c>
      <c r="P16" s="33" t="s">
        <v>461</v>
      </c>
      <c r="Q16" s="35"/>
      <c r="R16" s="4"/>
      <c r="S16" s="4"/>
    </row>
    <row r="17" spans="1:19" ht="27" customHeight="1">
      <c r="A17" s="4"/>
      <c r="B17" s="6">
        <f>IF(인성!B17&gt;0,인성!B17,"")</f>
        <v>14</v>
      </c>
      <c r="C17" s="6" t="str">
        <f>IF(인성!C17&gt;0,인성!C17,"")</f>
        <v>윤재영</v>
      </c>
      <c r="D17" s="2"/>
      <c r="E17" s="12" t="str">
        <f>IF(IF(D17=0,"",VLOOKUP(D17,$G$4:$H$153,2,FALSE))=0,종합의견!$F$1,(IF(D17=0,"",VLOOKUP(D17,$G$4:$H$153,2,FALSE))))</f>
        <v/>
      </c>
      <c r="F17" s="9"/>
      <c r="G17" s="8">
        <v>14</v>
      </c>
      <c r="H17" s="13" t="s">
        <v>462</v>
      </c>
      <c r="I17" s="4"/>
      <c r="J17" s="32">
        <f t="shared" ref="J17:K17" si="13">IF(B17&gt;0,B17,"")</f>
        <v>14</v>
      </c>
      <c r="K17" s="32" t="str">
        <f t="shared" si="13"/>
        <v>윤재영</v>
      </c>
      <c r="L17" s="32" t="s">
        <v>116</v>
      </c>
      <c r="M17" s="32" t="s">
        <v>463</v>
      </c>
      <c r="N17" s="32" t="s">
        <v>464</v>
      </c>
      <c r="O17" s="32" t="s">
        <v>465</v>
      </c>
      <c r="P17" s="33" t="s">
        <v>466</v>
      </c>
      <c r="Q17" s="35">
        <v>11</v>
      </c>
      <c r="R17" s="4"/>
      <c r="S17" s="4"/>
    </row>
    <row r="18" spans="1:19" ht="27" customHeight="1">
      <c r="A18" s="4"/>
      <c r="B18" s="6">
        <f>IF(인성!B18&gt;0,인성!B18,"")</f>
        <v>15</v>
      </c>
      <c r="C18" s="6" t="str">
        <f>IF(인성!C18&gt;0,인성!C18,"")</f>
        <v>이승민</v>
      </c>
      <c r="D18" s="2">
        <v>42</v>
      </c>
      <c r="E18" s="12" t="str">
        <f>IF(IF(D18=0,"",VLOOKUP(D18,$G$4:$H$153,2,FALSE))=0,종합의견!$F$1,(IF(D18=0,"",VLOOKUP(D18,$G$4:$H$153,2,FALSE))))</f>
        <v xml:space="preserve">교내외에서 타인의 행동에 동요되지 않고 양심적으로 학교규칙이나 교통법규 및 공중도덕을 잘 지킴. </v>
      </c>
      <c r="F18" s="9"/>
      <c r="G18" s="8">
        <v>15</v>
      </c>
      <c r="H18" s="13" t="s">
        <v>467</v>
      </c>
      <c r="I18" s="4"/>
      <c r="J18" s="32">
        <f t="shared" ref="J18:K18" si="14">IF(B18&gt;0,B18,"")</f>
        <v>15</v>
      </c>
      <c r="K18" s="32" t="str">
        <f t="shared" si="14"/>
        <v>이승민</v>
      </c>
      <c r="L18" s="32" t="s">
        <v>468</v>
      </c>
      <c r="M18" s="32" t="s">
        <v>115</v>
      </c>
      <c r="N18" s="32" t="s">
        <v>464</v>
      </c>
      <c r="O18" s="32" t="s">
        <v>469</v>
      </c>
      <c r="P18" s="33" t="s">
        <v>470</v>
      </c>
      <c r="Q18" s="35">
        <v>3</v>
      </c>
      <c r="R18" s="4"/>
      <c r="S18" s="4"/>
    </row>
    <row r="19" spans="1:19" ht="27" customHeight="1">
      <c r="A19" s="4"/>
      <c r="B19" s="6">
        <f>IF(인성!B19&gt;0,인성!B19,"")</f>
        <v>16</v>
      </c>
      <c r="C19" s="6" t="str">
        <f>IF(인성!C19&gt;0,인성!C19,"")</f>
        <v>조도울</v>
      </c>
      <c r="D19" s="2">
        <v>2</v>
      </c>
      <c r="E19" s="12" t="str">
        <f>IF(IF(D19=0,"",VLOOKUP(D19,$G$4:$H$153,2,FALSE))=0,종합의견!$F$1,(IF(D19=0,"",VLOOKUP(D19,$G$4:$H$153,2,FALSE))))</f>
        <v>사소한 학교 규칙을 준수하는 태도를 함양한다면 향후에는 모범적인 생활태도를 가진 학생으로의 변화가 기대되는 학생임.</v>
      </c>
      <c r="F19" s="9"/>
      <c r="G19" s="8">
        <v>16</v>
      </c>
      <c r="H19" s="13" t="s">
        <v>471</v>
      </c>
      <c r="I19" s="4"/>
      <c r="J19" s="32">
        <f t="shared" ref="J19:K19" si="15">IF(B19&gt;0,B19,"")</f>
        <v>16</v>
      </c>
      <c r="K19" s="32" t="str">
        <f t="shared" si="15"/>
        <v>조도울</v>
      </c>
      <c r="L19" s="32" t="s">
        <v>115</v>
      </c>
      <c r="M19" s="32" t="s">
        <v>102</v>
      </c>
      <c r="N19" s="32" t="s">
        <v>472</v>
      </c>
      <c r="O19" s="32" t="s">
        <v>454</v>
      </c>
      <c r="P19" s="33" t="s">
        <v>434</v>
      </c>
      <c r="Q19" s="35"/>
      <c r="R19" s="4"/>
      <c r="S19" s="4"/>
    </row>
    <row r="20" spans="1:19" ht="27" customHeight="1">
      <c r="A20" s="4"/>
      <c r="B20" s="6">
        <f>IF(인성!B20&gt;0,인성!B20,"")</f>
        <v>17</v>
      </c>
      <c r="C20" s="6" t="str">
        <f>IF(인성!C20&gt;0,인성!C20,"")</f>
        <v>차명준</v>
      </c>
      <c r="D20" s="2"/>
      <c r="E20" s="12" t="str">
        <f>IF(IF(D20=0,"",VLOOKUP(D20,$G$4:$H$153,2,FALSE))=0,종합의견!$F$1,(IF(D20=0,"",VLOOKUP(D20,$G$4:$H$153,2,FALSE))))</f>
        <v/>
      </c>
      <c r="F20" s="9"/>
      <c r="G20" s="8">
        <v>17</v>
      </c>
      <c r="H20" s="13" t="s">
        <v>474</v>
      </c>
      <c r="I20" s="4"/>
      <c r="J20" s="32">
        <f t="shared" ref="J20:K20" si="16">IF(B20&gt;0,B20,"")</f>
        <v>17</v>
      </c>
      <c r="K20" s="32" t="str">
        <f t="shared" si="16"/>
        <v>차명준</v>
      </c>
      <c r="L20" s="32" t="s">
        <v>439</v>
      </c>
      <c r="M20" s="32" t="s">
        <v>469</v>
      </c>
      <c r="N20" s="32" t="s">
        <v>457</v>
      </c>
      <c r="O20" s="32" t="s">
        <v>465</v>
      </c>
      <c r="P20" s="33" t="s">
        <v>473</v>
      </c>
      <c r="Q20" s="35">
        <v>9</v>
      </c>
      <c r="R20" s="4"/>
      <c r="S20" s="4"/>
    </row>
    <row r="21" spans="1:19" ht="27" customHeight="1">
      <c r="A21" s="4"/>
      <c r="B21" s="6">
        <f>IF(인성!B21&gt;0,인성!B21,"")</f>
        <v>18</v>
      </c>
      <c r="C21" s="6" t="str">
        <f>IF(인성!C21&gt;0,인성!C21,"")</f>
        <v>최가영</v>
      </c>
      <c r="D21" s="2"/>
      <c r="E21" s="12" t="str">
        <f>IF(IF(D21=0,"",VLOOKUP(D21,$G$4:$H$153,2,FALSE))=0,종합의견!$F$1,(IF(D21=0,"",VLOOKUP(D21,$G$4:$H$153,2,FALSE))))</f>
        <v/>
      </c>
      <c r="F21" s="9"/>
      <c r="G21" s="8">
        <v>18</v>
      </c>
      <c r="H21" s="13" t="s">
        <v>478</v>
      </c>
      <c r="I21" s="4"/>
      <c r="J21" s="32">
        <f t="shared" ref="J21:K21" si="17">IF(B21&gt;0,B21,"")</f>
        <v>18</v>
      </c>
      <c r="K21" s="32" t="str">
        <f t="shared" si="17"/>
        <v>최가영</v>
      </c>
      <c r="L21" s="32" t="s">
        <v>101</v>
      </c>
      <c r="M21" s="32" t="s">
        <v>475</v>
      </c>
      <c r="N21" s="32" t="s">
        <v>476</v>
      </c>
      <c r="O21" s="32" t="s">
        <v>148</v>
      </c>
      <c r="P21" s="33" t="s">
        <v>477</v>
      </c>
      <c r="Q21" s="35">
        <v>51</v>
      </c>
      <c r="R21" s="4"/>
      <c r="S21" s="4"/>
    </row>
    <row r="22" spans="1:19" ht="27" customHeight="1">
      <c r="A22" s="4"/>
      <c r="B22" s="6">
        <f>IF(인성!B22&gt;0,인성!B22,"")</f>
        <v>19</v>
      </c>
      <c r="C22" s="6" t="str">
        <f>IF(인성!C22&gt;0,인성!C22,"")</f>
        <v>최다빈</v>
      </c>
      <c r="D22" s="2"/>
      <c r="E22" s="12" t="str">
        <f>IF(IF(D22=0,"",VLOOKUP(D22,$G$4:$H$153,2,FALSE))=0,종합의견!$F$1,(IF(D22=0,"",VLOOKUP(D22,$G$4:$H$153,2,FALSE))))</f>
        <v/>
      </c>
      <c r="F22" s="9"/>
      <c r="G22" s="8">
        <v>19</v>
      </c>
      <c r="H22" s="13" t="s">
        <v>479</v>
      </c>
      <c r="I22" s="4"/>
      <c r="J22" s="32">
        <f t="shared" ref="J22:K22" si="18">IF(B22&gt;0,B22,"")</f>
        <v>19</v>
      </c>
      <c r="K22" s="32" t="str">
        <f t="shared" si="18"/>
        <v>최다빈</v>
      </c>
      <c r="L22" s="32" t="s">
        <v>130</v>
      </c>
      <c r="M22" s="32" t="s">
        <v>111</v>
      </c>
      <c r="N22" s="32" t="s">
        <v>432</v>
      </c>
      <c r="O22" s="32" t="s">
        <v>469</v>
      </c>
      <c r="P22" s="33" t="s">
        <v>459</v>
      </c>
      <c r="Q22" s="35">
        <v>11</v>
      </c>
      <c r="R22" s="4"/>
      <c r="S22" s="4"/>
    </row>
    <row r="23" spans="1:19" ht="27" customHeight="1">
      <c r="A23" s="4"/>
      <c r="B23" s="6">
        <f>IF(인성!B23&gt;0,인성!B23,"")</f>
        <v>20</v>
      </c>
      <c r="C23" s="6" t="str">
        <f>IF(인성!C23&gt;0,인성!C23,"")</f>
        <v>홍준석</v>
      </c>
      <c r="D23" s="2"/>
      <c r="E23" s="12" t="str">
        <f>IF(IF(D23=0,"",VLOOKUP(D23,$G$4:$H$153,2,FALSE))=0,종합의견!$F$1,(IF(D23=0,"",VLOOKUP(D23,$G$4:$H$153,2,FALSE))))</f>
        <v/>
      </c>
      <c r="F23" s="9"/>
      <c r="G23" s="8">
        <v>20</v>
      </c>
      <c r="H23" s="13" t="s">
        <v>482</v>
      </c>
      <c r="I23" s="4"/>
      <c r="J23" s="32">
        <f t="shared" ref="J23:K23" si="19">IF(B23&gt;0,B23,"")</f>
        <v>20</v>
      </c>
      <c r="K23" s="32" t="str">
        <f t="shared" si="19"/>
        <v>홍준석</v>
      </c>
      <c r="L23" s="32" t="s">
        <v>415</v>
      </c>
      <c r="M23" s="32" t="s">
        <v>102</v>
      </c>
      <c r="N23" s="32" t="s">
        <v>480</v>
      </c>
      <c r="O23" s="32" t="s">
        <v>108</v>
      </c>
      <c r="P23" s="33" t="s">
        <v>481</v>
      </c>
      <c r="Q23" s="35">
        <v>8</v>
      </c>
      <c r="R23" s="4"/>
      <c r="S23" s="4"/>
    </row>
    <row r="24" spans="1:19" ht="27" customHeight="1">
      <c r="A24" s="4"/>
      <c r="B24" s="6" t="str">
        <f>IF(인성!B24&gt;0,인성!B24,"")</f>
        <v/>
      </c>
      <c r="C24" s="6" t="str">
        <f>IF(인성!C24&gt;0,인성!C24,"")</f>
        <v/>
      </c>
      <c r="D24" s="2"/>
      <c r="E24" s="12" t="str">
        <f>IF(IF(D24=0,"",VLOOKUP(D24,$G$4:$H$153,2,FALSE))=0,종합의견!$F$1,(IF(D24=0,"",VLOOKUP(D24,$G$4:$H$153,2,FALSE))))</f>
        <v/>
      </c>
      <c r="F24" s="9"/>
      <c r="G24" s="8">
        <v>21</v>
      </c>
      <c r="H24" s="13" t="s">
        <v>485</v>
      </c>
      <c r="I24" s="4"/>
      <c r="J24" s="32" t="str">
        <f t="shared" ref="J24:K24" si="20">IF(B24&gt;0,B24,"")</f>
        <v/>
      </c>
      <c r="K24" s="32" t="str">
        <f t="shared" si="20"/>
        <v/>
      </c>
      <c r="L24" s="32" t="s">
        <v>483</v>
      </c>
      <c r="M24" s="32" t="s">
        <v>109</v>
      </c>
      <c r="N24" s="32" t="s">
        <v>457</v>
      </c>
      <c r="O24" s="32" t="s">
        <v>433</v>
      </c>
      <c r="P24" s="33" t="s">
        <v>484</v>
      </c>
      <c r="Q24" s="35"/>
      <c r="R24" s="4"/>
      <c r="S24" s="4"/>
    </row>
    <row r="25" spans="1:19" ht="27" customHeight="1">
      <c r="A25" s="4"/>
      <c r="B25" s="6" t="str">
        <f>IF(인성!B25&gt;0,인성!B25,"")</f>
        <v/>
      </c>
      <c r="C25" s="6" t="str">
        <f>IF(인성!C25&gt;0,인성!C25,"")</f>
        <v/>
      </c>
      <c r="D25" s="2"/>
      <c r="E25" s="12" t="str">
        <f>IF(IF(D25=0,"",VLOOKUP(D25,$G$4:$H$153,2,FALSE))=0,종합의견!$F$1,(IF(D25=0,"",VLOOKUP(D25,$G$4:$H$153,2,FALSE))))</f>
        <v/>
      </c>
      <c r="F25" s="9"/>
      <c r="G25" s="8">
        <v>22</v>
      </c>
      <c r="H25" s="13" t="s">
        <v>487</v>
      </c>
      <c r="I25" s="4"/>
      <c r="J25" s="32" t="str">
        <f t="shared" ref="J25:K25" si="21">IF(B25&gt;0,B25,"")</f>
        <v/>
      </c>
      <c r="K25" s="32" t="str">
        <f t="shared" si="21"/>
        <v/>
      </c>
      <c r="L25" s="32" t="s">
        <v>410</v>
      </c>
      <c r="M25" s="32" t="s">
        <v>452</v>
      </c>
      <c r="N25" s="32" t="s">
        <v>436</v>
      </c>
      <c r="O25" s="32" t="s">
        <v>425</v>
      </c>
      <c r="P25" s="33" t="s">
        <v>486</v>
      </c>
      <c r="Q25" s="35">
        <v>1</v>
      </c>
      <c r="R25" s="4"/>
      <c r="S25" s="4"/>
    </row>
    <row r="26" spans="1:19" ht="27" customHeight="1">
      <c r="A26" s="4"/>
      <c r="B26" s="6" t="str">
        <f>IF(인성!B26&gt;0,인성!B26,"")</f>
        <v/>
      </c>
      <c r="C26" s="6" t="str">
        <f>IF(인성!C26&gt;0,인성!C26,"")</f>
        <v/>
      </c>
      <c r="D26" s="2"/>
      <c r="E26" s="12" t="str">
        <f>IF(IF(D26=0,"",VLOOKUP(D26,$G$4:$H$153,2,FALSE))=0,종합의견!$F$1,(IF(D26=0,"",VLOOKUP(D26,$G$4:$H$153,2,FALSE))))</f>
        <v/>
      </c>
      <c r="F26" s="9"/>
      <c r="G26" s="8">
        <v>23</v>
      </c>
      <c r="H26" s="13" t="s">
        <v>490</v>
      </c>
      <c r="I26" s="4"/>
      <c r="J26" s="32" t="str">
        <f t="shared" ref="J26:K26" si="22">IF(B26&gt;0,B26,"")</f>
        <v/>
      </c>
      <c r="K26" s="32" t="str">
        <f t="shared" si="22"/>
        <v/>
      </c>
      <c r="L26" s="32" t="s">
        <v>101</v>
      </c>
      <c r="M26" s="32" t="s">
        <v>108</v>
      </c>
      <c r="N26" s="32" t="s">
        <v>488</v>
      </c>
      <c r="O26" s="32" t="s">
        <v>410</v>
      </c>
      <c r="P26" s="33" t="s">
        <v>489</v>
      </c>
      <c r="Q26" s="35"/>
      <c r="R26" s="4"/>
      <c r="S26" s="4"/>
    </row>
    <row r="27" spans="1:19" ht="27">
      <c r="A27" s="4"/>
      <c r="B27" s="6" t="str">
        <f>IF(인성!B27&gt;0,인성!B27,"")</f>
        <v/>
      </c>
      <c r="C27" s="6" t="str">
        <f>IF(인성!C27&gt;0,인성!C27,"")</f>
        <v/>
      </c>
      <c r="D27" s="2"/>
      <c r="E27" s="12" t="str">
        <f>IF(IF(D27=0,"",VLOOKUP(D27,$G$4:$H$153,2,FALSE))=0,종합의견!$F$1,(IF(D27=0,"",VLOOKUP(D27,$G$4:$H$153,2,FALSE))))</f>
        <v/>
      </c>
      <c r="F27" s="9"/>
      <c r="G27" s="8">
        <v>24</v>
      </c>
      <c r="H27" s="13" t="s">
        <v>492</v>
      </c>
      <c r="I27" s="4"/>
      <c r="J27" s="32" t="str">
        <f t="shared" ref="J27:K27" si="23">IF(B27&gt;0,B27,"")</f>
        <v/>
      </c>
      <c r="K27" s="32" t="str">
        <f t="shared" si="23"/>
        <v/>
      </c>
      <c r="L27" s="32" t="s">
        <v>445</v>
      </c>
      <c r="M27" s="32" t="s">
        <v>463</v>
      </c>
      <c r="N27" s="32" t="s">
        <v>464</v>
      </c>
      <c r="O27" s="32" t="s">
        <v>433</v>
      </c>
      <c r="P27" s="33" t="s">
        <v>491</v>
      </c>
      <c r="Q27" s="35">
        <v>9</v>
      </c>
      <c r="R27" s="4"/>
      <c r="S27" s="4"/>
    </row>
    <row r="28" spans="1:19" ht="27" customHeight="1">
      <c r="A28" s="4"/>
      <c r="B28" s="6" t="str">
        <f>IF(인성!B28&gt;0,인성!B28,"")</f>
        <v/>
      </c>
      <c r="C28" s="6" t="str">
        <f>IF(인성!C28&gt;0,인성!C28,"")</f>
        <v/>
      </c>
      <c r="D28" s="2"/>
      <c r="E28" s="12" t="str">
        <f>IF(IF(D28=0,"",VLOOKUP(D28,$G$4:$H$153,2,FALSE))=0,종합의견!$F$1,(IF(D28=0,"",VLOOKUP(D28,$G$4:$H$153,2,FALSE))))</f>
        <v/>
      </c>
      <c r="F28" s="9"/>
      <c r="G28" s="8">
        <v>25</v>
      </c>
      <c r="H28" s="13" t="s">
        <v>495</v>
      </c>
      <c r="I28" s="4"/>
      <c r="J28" s="32" t="str">
        <f t="shared" ref="J28:K28" si="24">IF(B28&gt;0,B28,"")</f>
        <v/>
      </c>
      <c r="K28" s="32" t="str">
        <f t="shared" si="24"/>
        <v/>
      </c>
      <c r="L28" s="32" t="s">
        <v>442</v>
      </c>
      <c r="M28" s="32" t="s">
        <v>116</v>
      </c>
      <c r="N28" s="32" t="s">
        <v>493</v>
      </c>
      <c r="O28" s="32" t="s">
        <v>107</v>
      </c>
      <c r="P28" s="33" t="s">
        <v>494</v>
      </c>
      <c r="Q28" s="35">
        <v>2</v>
      </c>
      <c r="R28" s="4"/>
      <c r="S28" s="4"/>
    </row>
    <row r="29" spans="1:19" ht="27" customHeight="1">
      <c r="A29" s="4"/>
      <c r="B29" s="6" t="str">
        <f>IF(인성!B29&gt;0,인성!B29,"")</f>
        <v/>
      </c>
      <c r="C29" s="6" t="str">
        <f>IF(인성!C29&gt;0,인성!C29,"")</f>
        <v/>
      </c>
      <c r="D29" s="2"/>
      <c r="E29" s="12" t="str">
        <f>IF(IF(D29=0,"",VLOOKUP(D29,$G$4:$H$153,2,FALSE))=0,종합의견!$F$1,(IF(D29=0,"",VLOOKUP(D29,$G$4:$H$153,2,FALSE))))</f>
        <v/>
      </c>
      <c r="F29" s="9"/>
      <c r="G29" s="8">
        <v>26</v>
      </c>
      <c r="H29" s="13" t="s">
        <v>496</v>
      </c>
      <c r="I29" s="4"/>
      <c r="J29" s="32" t="str">
        <f t="shared" ref="J29:K29" si="25">IF(B29&gt;0,B29,"")</f>
        <v/>
      </c>
      <c r="K29" s="32" t="str">
        <f t="shared" si="25"/>
        <v/>
      </c>
      <c r="L29" s="32" t="s">
        <v>475</v>
      </c>
      <c r="M29" s="32" t="s">
        <v>463</v>
      </c>
      <c r="N29" s="32" t="s">
        <v>444</v>
      </c>
      <c r="O29" s="32" t="s">
        <v>115</v>
      </c>
      <c r="P29" s="33" t="s">
        <v>477</v>
      </c>
      <c r="Q29" s="35">
        <v>7</v>
      </c>
      <c r="R29" s="4"/>
      <c r="S29" s="4"/>
    </row>
    <row r="30" spans="1:19" ht="27" customHeight="1">
      <c r="A30" s="4"/>
      <c r="B30" s="6" t="str">
        <f>IF(인성!B30&gt;0,인성!B30,"")</f>
        <v/>
      </c>
      <c r="C30" s="6" t="str">
        <f>IF(인성!C30&gt;0,인성!C30,"")</f>
        <v/>
      </c>
      <c r="D30" s="2"/>
      <c r="E30" s="12" t="str">
        <f>IF(IF(D30=0,"",VLOOKUP(D30,$G$4:$H$153,2,FALSE))=0,종합의견!$F$1,(IF(D30=0,"",VLOOKUP(D30,$G$4:$H$153,2,FALSE))))</f>
        <v/>
      </c>
      <c r="F30" s="9"/>
      <c r="G30" s="8">
        <v>27</v>
      </c>
      <c r="H30" s="13" t="s">
        <v>497</v>
      </c>
      <c r="I30" s="4"/>
      <c r="J30" s="32" t="str">
        <f t="shared" ref="J30:K30" si="26">IF(B30&gt;0,B30,"")</f>
        <v/>
      </c>
      <c r="K30" s="32" t="str">
        <f t="shared" si="26"/>
        <v/>
      </c>
      <c r="L30" s="32" t="s">
        <v>110</v>
      </c>
      <c r="M30" s="32" t="s">
        <v>451</v>
      </c>
      <c r="N30" s="32" t="s">
        <v>411</v>
      </c>
      <c r="O30" s="32" t="s">
        <v>439</v>
      </c>
      <c r="P30" s="33" t="s">
        <v>412</v>
      </c>
      <c r="Q30" s="35">
        <v>40</v>
      </c>
      <c r="R30" s="4"/>
      <c r="S30" s="4"/>
    </row>
    <row r="31" spans="1:19" ht="27" customHeight="1">
      <c r="A31" s="4"/>
      <c r="B31" s="6" t="str">
        <f>IF(인성!B31&gt;0,인성!B31,"")</f>
        <v/>
      </c>
      <c r="C31" s="6" t="str">
        <f>IF(인성!C31&gt;0,인성!C31,"")</f>
        <v/>
      </c>
      <c r="D31" s="2"/>
      <c r="E31" s="12" t="str">
        <f>IF(IF(D31=0,"",VLOOKUP(D31,$G$4:$H$153,2,FALSE))=0,종합의견!$F$1,(IF(D31=0,"",VLOOKUP(D31,$G$4:$H$153,2,FALSE))))</f>
        <v/>
      </c>
      <c r="F31" s="9"/>
      <c r="G31" s="8">
        <v>28</v>
      </c>
      <c r="H31" s="13" t="s">
        <v>502</v>
      </c>
      <c r="I31" s="4"/>
      <c r="J31" s="32" t="str">
        <f t="shared" ref="J31:K31" si="27">IF(B31&gt;0,B31,"")</f>
        <v/>
      </c>
      <c r="K31" s="32" t="str">
        <f t="shared" si="27"/>
        <v/>
      </c>
      <c r="L31" s="32" t="s">
        <v>498</v>
      </c>
      <c r="M31" s="32" t="s">
        <v>499</v>
      </c>
      <c r="N31" s="32" t="s">
        <v>500</v>
      </c>
      <c r="O31" s="32" t="s">
        <v>454</v>
      </c>
      <c r="P31" s="33" t="s">
        <v>501</v>
      </c>
      <c r="Q31" s="35">
        <v>6</v>
      </c>
      <c r="R31" s="4"/>
      <c r="S31" s="4"/>
    </row>
    <row r="32" spans="1:19" ht="27" customHeight="1">
      <c r="A32" s="4"/>
      <c r="B32" s="6" t="str">
        <f>IF(인성!B32&gt;0,인성!B32,"")</f>
        <v/>
      </c>
      <c r="C32" s="6" t="str">
        <f>IF(인성!C32&gt;0,인성!C32,"")</f>
        <v/>
      </c>
      <c r="D32" s="2"/>
      <c r="E32" s="12" t="str">
        <f>IF(IF(D32=0,"",VLOOKUP(D32,$G$4:$H$153,2,FALSE))=0,종합의견!$F$1,(IF(D32=0,"",VLOOKUP(D32,$G$4:$H$153,2,FALSE))))</f>
        <v/>
      </c>
      <c r="F32" s="9"/>
      <c r="G32" s="8">
        <v>29</v>
      </c>
      <c r="H32" s="13" t="s">
        <v>505</v>
      </c>
      <c r="I32" s="4"/>
      <c r="J32" s="32" t="str">
        <f t="shared" ref="J32:K32" si="28">IF(B32&gt;0,B32,"")</f>
        <v/>
      </c>
      <c r="K32" s="32" t="str">
        <f t="shared" si="28"/>
        <v/>
      </c>
      <c r="L32" s="32" t="s">
        <v>125</v>
      </c>
      <c r="M32" s="32" t="s">
        <v>456</v>
      </c>
      <c r="N32" s="32" t="s">
        <v>503</v>
      </c>
      <c r="O32" s="32" t="s">
        <v>458</v>
      </c>
      <c r="P32" s="33" t="s">
        <v>504</v>
      </c>
      <c r="Q32" s="35"/>
      <c r="R32" s="4"/>
      <c r="S32" s="4"/>
    </row>
    <row r="33" spans="1:19" ht="27" customHeight="1">
      <c r="A33" s="4"/>
      <c r="B33" s="6" t="str">
        <f>IF(인성!B33&gt;0,인성!B33,"")</f>
        <v/>
      </c>
      <c r="C33" s="6" t="str">
        <f>IF(인성!C33&gt;0,인성!C33,"")</f>
        <v/>
      </c>
      <c r="D33" s="2"/>
      <c r="E33" s="12" t="str">
        <f>IF(IF(D33=0,"",VLOOKUP(D33,$G$4:$H$153,2,FALSE))=0,종합의견!$F$1,(IF(D33=0,"",VLOOKUP(D33,$G$4:$H$153,2,FALSE))))</f>
        <v/>
      </c>
      <c r="F33" s="9"/>
      <c r="G33" s="8">
        <v>30</v>
      </c>
      <c r="H33" s="13" t="s">
        <v>507</v>
      </c>
      <c r="I33" s="4"/>
      <c r="J33" s="32" t="str">
        <f t="shared" ref="J33:K33" si="29">IF(B33&gt;0,B33,"")</f>
        <v/>
      </c>
      <c r="K33" s="32" t="str">
        <f t="shared" si="29"/>
        <v/>
      </c>
      <c r="L33" s="32" t="s">
        <v>483</v>
      </c>
      <c r="M33" s="32" t="s">
        <v>465</v>
      </c>
      <c r="N33" s="32" t="s">
        <v>429</v>
      </c>
      <c r="O33" s="32" t="s">
        <v>429</v>
      </c>
      <c r="P33" s="33" t="s">
        <v>506</v>
      </c>
      <c r="Q33" s="35">
        <v>1</v>
      </c>
      <c r="R33" s="4"/>
      <c r="S33" s="4"/>
    </row>
    <row r="34" spans="1:19" ht="27" customHeight="1">
      <c r="A34" s="4"/>
      <c r="B34" s="6" t="str">
        <f>IF(인성!B34&gt;0,인성!B34,"")</f>
        <v/>
      </c>
      <c r="C34" s="6" t="str">
        <f>IF(인성!C34&gt;0,인성!C34,"")</f>
        <v/>
      </c>
      <c r="D34" s="2"/>
      <c r="E34" s="12" t="str">
        <f>IF(IF(D34=0,"",VLOOKUP(D34,$G$4:$H$153,2,FALSE))=0,종합의견!$F$1,(IF(D34=0,"",VLOOKUP(D34,$G$4:$H$153,2,FALSE))))</f>
        <v/>
      </c>
      <c r="F34" s="9"/>
      <c r="G34" s="8">
        <v>31</v>
      </c>
      <c r="H34" s="13" t="s">
        <v>509</v>
      </c>
      <c r="I34" s="4"/>
      <c r="J34" s="32" t="str">
        <f t="shared" ref="J34:K34" si="30">IF(B34&gt;0,B34,"")</f>
        <v/>
      </c>
      <c r="K34" s="32" t="str">
        <f t="shared" si="30"/>
        <v/>
      </c>
      <c r="L34" s="32" t="s">
        <v>116</v>
      </c>
      <c r="M34" s="32" t="s">
        <v>102</v>
      </c>
      <c r="N34" s="32" t="s">
        <v>508</v>
      </c>
      <c r="O34" s="32" t="s">
        <v>417</v>
      </c>
      <c r="P34" s="33" t="s">
        <v>430</v>
      </c>
      <c r="Q34" s="35"/>
      <c r="R34" s="4"/>
      <c r="S34" s="4"/>
    </row>
    <row r="35" spans="1:19" ht="27" customHeight="1">
      <c r="A35" s="4"/>
      <c r="B35" s="6" t="str">
        <f>IF(인성!B35&gt;0,인성!B35,"")</f>
        <v/>
      </c>
      <c r="C35" s="6" t="str">
        <f>IF(인성!C35&gt;0,인성!C35,"")</f>
        <v/>
      </c>
      <c r="D35" s="2"/>
      <c r="E35" s="12" t="str">
        <f>IF(IF(D35=0,"",VLOOKUP(D35,$G$4:$H$153,2,FALSE))=0,종합의견!$F$1,(IF(D35=0,"",VLOOKUP(D35,$G$4:$H$153,2,FALSE))))</f>
        <v/>
      </c>
      <c r="F35" s="9"/>
      <c r="G35" s="8">
        <v>32</v>
      </c>
      <c r="H35" s="13" t="s">
        <v>511</v>
      </c>
      <c r="I35" s="4"/>
      <c r="J35" s="32" t="str">
        <f t="shared" ref="J35:K35" si="31">IF(B35&gt;0,B35,"")</f>
        <v/>
      </c>
      <c r="K35" s="32" t="str">
        <f t="shared" si="31"/>
        <v/>
      </c>
      <c r="L35" s="32" t="s">
        <v>475</v>
      </c>
      <c r="M35" s="32" t="s">
        <v>483</v>
      </c>
      <c r="N35" s="32" t="s">
        <v>493</v>
      </c>
      <c r="O35" s="32" t="s">
        <v>499</v>
      </c>
      <c r="P35" s="33" t="s">
        <v>510</v>
      </c>
      <c r="Q35" s="35">
        <v>8</v>
      </c>
      <c r="R35" s="4"/>
      <c r="S35" s="4"/>
    </row>
    <row r="36" spans="1:19" ht="27">
      <c r="A36" s="4"/>
      <c r="B36" s="6" t="str">
        <f>IF(인성!B36&gt;0,인성!B36,"")</f>
        <v/>
      </c>
      <c r="C36" s="6" t="str">
        <f>IF(인성!C36&gt;0,인성!C36,"")</f>
        <v/>
      </c>
      <c r="D36" s="2"/>
      <c r="E36" s="12" t="str">
        <f>IF(IF(D36=0,"",VLOOKUP(D36,$G$4:$H$153,2,FALSE))=0,종합의견!$F$1,(IF(D36=0,"",VLOOKUP(D36,$G$4:$H$153,2,FALSE))))</f>
        <v/>
      </c>
      <c r="F36" s="9"/>
      <c r="G36" s="8">
        <v>33</v>
      </c>
      <c r="H36" s="13" t="s">
        <v>514</v>
      </c>
      <c r="I36" s="4"/>
      <c r="J36" s="32" t="str">
        <f t="shared" ref="J36:K36" si="32">IF(B36&gt;0,B36,"")</f>
        <v/>
      </c>
      <c r="K36" s="32" t="str">
        <f t="shared" si="32"/>
        <v/>
      </c>
      <c r="L36" s="32" t="s">
        <v>452</v>
      </c>
      <c r="M36" s="32" t="s">
        <v>428</v>
      </c>
      <c r="N36" s="32" t="s">
        <v>512</v>
      </c>
      <c r="O36" s="32" t="s">
        <v>456</v>
      </c>
      <c r="P36" s="33" t="s">
        <v>513</v>
      </c>
      <c r="Q36" s="35">
        <v>41</v>
      </c>
      <c r="R36" s="4"/>
      <c r="S36" s="4"/>
    </row>
    <row r="37" spans="1:19" ht="40.5">
      <c r="A37" s="4"/>
      <c r="B37" s="6" t="str">
        <f>IF(인성!B37&gt;0,인성!B37,"")</f>
        <v/>
      </c>
      <c r="C37" s="6" t="str">
        <f>IF(인성!C37&gt;0,인성!C37,"")</f>
        <v/>
      </c>
      <c r="D37" s="2"/>
      <c r="E37" s="12" t="str">
        <f>IF(IF(D37=0,"",VLOOKUP(D37,$G$4:$H$153,2,FALSE))=0,종합의견!$F$1,(IF(D37=0,"",VLOOKUP(D37,$G$4:$H$153,2,FALSE))))</f>
        <v/>
      </c>
      <c r="F37" s="9"/>
      <c r="G37" s="8">
        <v>34</v>
      </c>
      <c r="H37" s="13" t="s">
        <v>518</v>
      </c>
      <c r="I37" s="4"/>
      <c r="J37" s="32" t="str">
        <f t="shared" ref="J37:K37" si="33">IF(B37&gt;0,B37,"")</f>
        <v/>
      </c>
      <c r="K37" s="32" t="str">
        <f t="shared" si="33"/>
        <v/>
      </c>
      <c r="L37" s="32" t="s">
        <v>442</v>
      </c>
      <c r="M37" s="32" t="s">
        <v>483</v>
      </c>
      <c r="N37" s="32" t="s">
        <v>515</v>
      </c>
      <c r="O37" s="32" t="s">
        <v>516</v>
      </c>
      <c r="P37" s="33" t="s">
        <v>517</v>
      </c>
      <c r="Q37" s="35">
        <v>44</v>
      </c>
      <c r="R37" s="4"/>
      <c r="S37" s="4"/>
    </row>
    <row r="38" spans="1:19" ht="27">
      <c r="A38" s="4"/>
      <c r="B38" s="6" t="str">
        <f>IF(인성!B38&gt;0,인성!B38,"")</f>
        <v/>
      </c>
      <c r="C38" s="6" t="str">
        <f>IF(인성!C38&gt;0,인성!C38,"")</f>
        <v/>
      </c>
      <c r="D38" s="2"/>
      <c r="E38" s="12" t="str">
        <f>IF(IF(D38=0,"",VLOOKUP(D38,$G$4:$H$153,2,FALSE))=0,종합의견!$F$1,(IF(D38=0,"",VLOOKUP(D38,$G$4:$H$153,2,FALSE))))</f>
        <v/>
      </c>
      <c r="F38" s="9"/>
      <c r="G38" s="8">
        <v>35</v>
      </c>
      <c r="H38" s="53" t="s">
        <v>581</v>
      </c>
      <c r="I38" s="4"/>
      <c r="J38" s="32" t="str">
        <f t="shared" ref="J38:K38" si="34">IF(B38&gt;0,B38,"")</f>
        <v/>
      </c>
      <c r="K38" s="32" t="str">
        <f t="shared" si="34"/>
        <v/>
      </c>
      <c r="L38" s="32" t="s">
        <v>519</v>
      </c>
      <c r="M38" s="32" t="s">
        <v>117</v>
      </c>
      <c r="N38" s="32" t="s">
        <v>520</v>
      </c>
      <c r="O38" s="32" t="s">
        <v>521</v>
      </c>
      <c r="P38" s="33" t="s">
        <v>522</v>
      </c>
      <c r="Q38" s="35">
        <v>56</v>
      </c>
      <c r="R38" s="4"/>
      <c r="S38" s="4"/>
    </row>
    <row r="39" spans="1:19" ht="40.5">
      <c r="A39" s="4"/>
      <c r="B39" s="6" t="str">
        <f>IF(인성!B39&gt;0,인성!B39,"")</f>
        <v/>
      </c>
      <c r="C39" s="6" t="str">
        <f>IF(인성!C39&gt;0,인성!C39,"")</f>
        <v/>
      </c>
      <c r="D39" s="2"/>
      <c r="E39" s="12" t="str">
        <f>IF(IF(D39=0,"",VLOOKUP(D39,$G$4:$H$153,2,FALSE))=0,종합의견!$F$1,(IF(D39=0,"",VLOOKUP(D39,$G$4:$H$153,2,FALSE))))</f>
        <v/>
      </c>
      <c r="F39" s="9"/>
      <c r="G39" s="8">
        <v>36</v>
      </c>
      <c r="H39" s="49" t="s">
        <v>582</v>
      </c>
      <c r="I39" s="4"/>
      <c r="J39" s="32" t="str">
        <f t="shared" ref="J39:K39" si="35">IF(B39&gt;0,B39,"")</f>
        <v/>
      </c>
      <c r="K39" s="32" t="str">
        <f t="shared" si="35"/>
        <v/>
      </c>
      <c r="L39" s="32" t="s">
        <v>117</v>
      </c>
      <c r="M39" s="32" t="s">
        <v>102</v>
      </c>
      <c r="N39" s="32" t="s">
        <v>503</v>
      </c>
      <c r="O39" s="32" t="s">
        <v>433</v>
      </c>
      <c r="P39" s="33" t="s">
        <v>470</v>
      </c>
      <c r="Q39" s="35"/>
      <c r="R39" s="4"/>
      <c r="S39" s="4"/>
    </row>
    <row r="40" spans="1:19" ht="16.5">
      <c r="A40" s="4"/>
      <c r="B40" s="6" t="str">
        <f>IF(인성!B40&gt;0,인성!B40,"")</f>
        <v/>
      </c>
      <c r="C40" s="6" t="str">
        <f>IF(인성!C40&gt;0,인성!C40,"")</f>
        <v/>
      </c>
      <c r="D40" s="2"/>
      <c r="E40" s="12" t="str">
        <f>IF(IF(D40=0,"",VLOOKUP(D40,$G$4:$H$153,2,FALSE))=0,종합의견!$F$1,(IF(D40=0,"",VLOOKUP(D40,$G$4:$H$153,2,FALSE))))</f>
        <v/>
      </c>
      <c r="F40" s="9"/>
      <c r="G40" s="8">
        <v>37</v>
      </c>
      <c r="H40" s="49" t="s">
        <v>583</v>
      </c>
      <c r="I40" s="4"/>
      <c r="J40" s="32" t="str">
        <f t="shared" ref="J40:K40" si="36">IF(B40&gt;0,B40,"")</f>
        <v/>
      </c>
      <c r="K40" s="32" t="str">
        <f t="shared" si="36"/>
        <v/>
      </c>
      <c r="L40" s="32" t="s">
        <v>523</v>
      </c>
      <c r="M40" s="32" t="s">
        <v>104</v>
      </c>
      <c r="N40" s="32" t="s">
        <v>524</v>
      </c>
      <c r="O40" s="32" t="s">
        <v>120</v>
      </c>
      <c r="P40" s="33" t="s">
        <v>525</v>
      </c>
      <c r="Q40" s="35">
        <v>49</v>
      </c>
      <c r="R40" s="4"/>
      <c r="S40" s="4"/>
    </row>
    <row r="41" spans="1:19" ht="27">
      <c r="A41" s="4"/>
      <c r="B41" s="6" t="str">
        <f>IF(인성!B41&gt;0,인성!B41,"")</f>
        <v/>
      </c>
      <c r="C41" s="6" t="str">
        <f>IF(인성!C41&gt;0,인성!C41,"")</f>
        <v/>
      </c>
      <c r="D41" s="2"/>
      <c r="E41" s="12" t="str">
        <f>IF(IF(D41=0,"",VLOOKUP(D41,$G$4:$H$153,2,FALSE))=0,종합의견!$F$1,(IF(D41=0,"",VLOOKUP(D41,$G$4:$H$153,2,FALSE))))</f>
        <v/>
      </c>
      <c r="F41" s="9"/>
      <c r="G41" s="8">
        <v>38</v>
      </c>
      <c r="H41" s="49" t="s">
        <v>584</v>
      </c>
      <c r="I41" s="4"/>
      <c r="J41" s="32" t="str">
        <f t="shared" ref="J41:K41" si="37">IF(B41&gt;0,B41,"")</f>
        <v/>
      </c>
      <c r="K41" s="32" t="str">
        <f t="shared" si="37"/>
        <v/>
      </c>
      <c r="L41" s="32"/>
      <c r="M41" s="32"/>
      <c r="N41" s="32"/>
      <c r="O41" s="32"/>
      <c r="P41" s="33"/>
      <c r="Q41" s="35"/>
      <c r="R41" s="4"/>
      <c r="S41" s="4"/>
    </row>
    <row r="42" spans="1:19" ht="27">
      <c r="A42" s="4"/>
      <c r="B42" s="6" t="str">
        <f>IF(인성!B42&gt;0,인성!B42,"")</f>
        <v/>
      </c>
      <c r="C42" s="6" t="str">
        <f>IF(인성!C42&gt;0,인성!C42,"")</f>
        <v/>
      </c>
      <c r="D42" s="2"/>
      <c r="E42" s="12" t="str">
        <f>IF(IF(D42=0,"",VLOOKUP(D42,$G$4:$H$153,2,FALSE))=0,종합의견!$F$1,(IF(D42=0,"",VLOOKUP(D42,$G$4:$H$153,2,FALSE))))</f>
        <v/>
      </c>
      <c r="F42" s="9"/>
      <c r="G42" s="8">
        <v>39</v>
      </c>
      <c r="H42" s="49" t="s">
        <v>585</v>
      </c>
      <c r="I42" s="4"/>
      <c r="J42" s="32" t="str">
        <f t="shared" ref="J42:K42" si="38">IF(B42&gt;0,B42,"")</f>
        <v/>
      </c>
      <c r="K42" s="32" t="str">
        <f t="shared" si="38"/>
        <v/>
      </c>
      <c r="L42" s="32"/>
      <c r="M42" s="32"/>
      <c r="N42" s="32"/>
      <c r="O42" s="32"/>
      <c r="P42" s="33"/>
      <c r="Q42" s="35"/>
      <c r="R42" s="4"/>
      <c r="S42" s="4"/>
    </row>
    <row r="43" spans="1:19" ht="16.5">
      <c r="A43" s="4"/>
      <c r="B43" s="6" t="str">
        <f>IF(인성!B43&gt;0,인성!B43,"")</f>
        <v/>
      </c>
      <c r="C43" s="6" t="str">
        <f>IF(인성!C43&gt;0,인성!C43,"")</f>
        <v/>
      </c>
      <c r="D43" s="2"/>
      <c r="E43" s="12" t="str">
        <f>IF(IF(D43=0,"",VLOOKUP(D43,$G$4:$H$153,2,FALSE))=0,종합의견!$F$1,(IF(D43=0,"",VLOOKUP(D43,$G$4:$H$153,2,FALSE))))</f>
        <v/>
      </c>
      <c r="F43" s="9"/>
      <c r="G43" s="8">
        <v>40</v>
      </c>
      <c r="H43" s="49" t="s">
        <v>586</v>
      </c>
      <c r="I43" s="4"/>
      <c r="J43" s="32" t="str">
        <f t="shared" ref="J43:K43" si="39">IF(B43&gt;0,B43,"")</f>
        <v/>
      </c>
      <c r="K43" s="32" t="str">
        <f t="shared" si="39"/>
        <v/>
      </c>
      <c r="L43" s="32"/>
      <c r="M43" s="32"/>
      <c r="N43" s="32"/>
      <c r="O43" s="32"/>
      <c r="P43" s="33"/>
      <c r="Q43" s="35"/>
      <c r="R43" s="4"/>
      <c r="S43" s="4"/>
    </row>
    <row r="44" spans="1:19" ht="27">
      <c r="A44" s="4"/>
      <c r="B44" s="6" t="str">
        <f>IF(인성!B44&gt;0,인성!B44,"")</f>
        <v/>
      </c>
      <c r="C44" s="6" t="str">
        <f>IF(인성!C44&gt;0,인성!C44,"")</f>
        <v/>
      </c>
      <c r="D44" s="2"/>
      <c r="E44" s="12" t="str">
        <f>IF(IF(D44=0,"",VLOOKUP(D44,$G$4:$H$153,2,FALSE))=0,종합의견!$F$1,(IF(D44=0,"",VLOOKUP(D44,$G$4:$H$153,2,FALSE))))</f>
        <v/>
      </c>
      <c r="F44" s="9"/>
      <c r="G44" s="8">
        <v>41</v>
      </c>
      <c r="H44" s="49" t="s">
        <v>587</v>
      </c>
      <c r="I44" s="4"/>
      <c r="J44" s="32" t="str">
        <f t="shared" ref="J44:K44" si="40">IF(B44&gt;0,B44,"")</f>
        <v/>
      </c>
      <c r="K44" s="32" t="str">
        <f t="shared" si="40"/>
        <v/>
      </c>
      <c r="L44" s="32"/>
      <c r="M44" s="32"/>
      <c r="N44" s="32"/>
      <c r="O44" s="32"/>
      <c r="P44" s="33"/>
      <c r="Q44" s="35"/>
      <c r="R44" s="4"/>
      <c r="S44" s="4"/>
    </row>
    <row r="45" spans="1:19" ht="27">
      <c r="A45" s="4"/>
      <c r="B45" s="6" t="str">
        <f>IF(인성!B45&gt;0,인성!B45,"")</f>
        <v/>
      </c>
      <c r="C45" s="6" t="str">
        <f>IF(인성!C45&gt;0,인성!C45,"")</f>
        <v/>
      </c>
      <c r="D45" s="2"/>
      <c r="E45" s="12" t="str">
        <f>IF(IF(D45=0,"",VLOOKUP(D45,$G$4:$H$153,2,FALSE))=0,종합의견!$F$1,(IF(D45=0,"",VLOOKUP(D45,$G$4:$H$153,2,FALSE))))</f>
        <v/>
      </c>
      <c r="F45" s="9"/>
      <c r="G45" s="8">
        <v>42</v>
      </c>
      <c r="H45" s="49" t="s">
        <v>588</v>
      </c>
      <c r="I45" s="4"/>
      <c r="J45" s="32" t="str">
        <f t="shared" ref="J45:K45" si="41">IF(B45&gt;0,B45,"")</f>
        <v/>
      </c>
      <c r="K45" s="32" t="str">
        <f t="shared" si="41"/>
        <v/>
      </c>
      <c r="L45" s="32"/>
      <c r="M45" s="32"/>
      <c r="N45" s="32"/>
      <c r="O45" s="32"/>
      <c r="P45" s="33"/>
      <c r="Q45" s="35"/>
      <c r="R45" s="4"/>
      <c r="S45" s="4"/>
    </row>
    <row r="46" spans="1:19" ht="27">
      <c r="A46" s="4"/>
      <c r="B46" s="6" t="str">
        <f>IF(인성!B46&gt;0,인성!B46,"")</f>
        <v/>
      </c>
      <c r="C46" s="6" t="str">
        <f>IF(인성!C46&gt;0,인성!C46,"")</f>
        <v/>
      </c>
      <c r="D46" s="2"/>
      <c r="E46" s="12" t="str">
        <f>IF(IF(D46=0,"",VLOOKUP(D46,$G$4:$H$153,2,FALSE))=0,종합의견!$F$1,(IF(D46=0,"",VLOOKUP(D46,$G$4:$H$153,2,FALSE))))</f>
        <v/>
      </c>
      <c r="F46" s="9"/>
      <c r="G46" s="62">
        <v>43</v>
      </c>
      <c r="H46" s="49" t="s">
        <v>589</v>
      </c>
      <c r="I46" s="4"/>
      <c r="J46" s="32" t="str">
        <f t="shared" ref="J46:K46" si="42">IF(B46&gt;0,B46,"")</f>
        <v/>
      </c>
      <c r="K46" s="32" t="str">
        <f t="shared" si="42"/>
        <v/>
      </c>
      <c r="L46" s="32"/>
      <c r="M46" s="32"/>
      <c r="N46" s="32"/>
      <c r="O46" s="32"/>
      <c r="P46" s="33"/>
      <c r="Q46" s="35"/>
      <c r="R46" s="4"/>
      <c r="S46" s="4"/>
    </row>
    <row r="47" spans="1:19" ht="16.5">
      <c r="A47" s="4"/>
      <c r="B47" s="6" t="str">
        <f>IF(인성!B47&gt;0,인성!B47,"")</f>
        <v/>
      </c>
      <c r="C47" s="6" t="str">
        <f>IF(인성!C47&gt;0,인성!C47,"")</f>
        <v/>
      </c>
      <c r="D47" s="2"/>
      <c r="E47" s="12" t="str">
        <f>IF(IF(D47=0,"",VLOOKUP(D47,$G$4:$H$153,2,FALSE))=0,종합의견!$F$1,(IF(D47=0,"",VLOOKUP(D47,$G$4:$H$153,2,FALSE))))</f>
        <v/>
      </c>
      <c r="F47" s="9"/>
      <c r="G47" s="62">
        <v>44</v>
      </c>
      <c r="H47" s="64"/>
      <c r="I47" s="4"/>
      <c r="J47" s="32" t="str">
        <f t="shared" ref="J47:K47" si="43">IF(B47&gt;0,B47,"")</f>
        <v/>
      </c>
      <c r="K47" s="32" t="str">
        <f t="shared" si="43"/>
        <v/>
      </c>
      <c r="L47" s="32"/>
      <c r="M47" s="32"/>
      <c r="N47" s="32"/>
      <c r="O47" s="32"/>
      <c r="P47" s="33"/>
      <c r="Q47" s="35"/>
      <c r="R47" s="4"/>
      <c r="S47" s="4"/>
    </row>
    <row r="48" spans="1:19" ht="16.5">
      <c r="A48" s="4"/>
      <c r="B48" s="6" t="str">
        <f>IF(인성!B48&gt;0,인성!B48,"")</f>
        <v/>
      </c>
      <c r="C48" s="6" t="str">
        <f>IF(인성!C48&gt;0,인성!C48,"")</f>
        <v/>
      </c>
      <c r="D48" s="2"/>
      <c r="E48" s="12" t="str">
        <f>IF(IF(D48=0,"",VLOOKUP(D48,$G$4:$H$153,2,FALSE))=0,종합의견!$F$1,(IF(D48=0,"",VLOOKUP(D48,$G$4:$H$153,2,FALSE))))</f>
        <v/>
      </c>
      <c r="F48" s="9"/>
      <c r="G48" s="62">
        <v>45</v>
      </c>
      <c r="H48" s="64"/>
      <c r="I48" s="4"/>
      <c r="J48" s="32" t="str">
        <f t="shared" ref="J48:K48" si="44">IF(B48&gt;0,B48,"")</f>
        <v/>
      </c>
      <c r="K48" s="32" t="str">
        <f t="shared" si="44"/>
        <v/>
      </c>
      <c r="L48" s="32"/>
      <c r="M48" s="32"/>
      <c r="N48" s="32"/>
      <c r="O48" s="32"/>
      <c r="P48" s="33"/>
      <c r="Q48" s="35"/>
      <c r="R48" s="4"/>
      <c r="S48" s="4"/>
    </row>
    <row r="49" spans="1:19" ht="16.5">
      <c r="A49" s="4"/>
      <c r="B49" s="11"/>
      <c r="C49" s="11"/>
      <c r="D49" s="11"/>
      <c r="E49" s="14"/>
      <c r="F49" s="4"/>
      <c r="G49" s="62">
        <v>46</v>
      </c>
      <c r="H49" s="64"/>
      <c r="I49" s="4"/>
      <c r="J49" s="4"/>
      <c r="K49" s="4"/>
      <c r="L49" s="4"/>
      <c r="M49" s="4"/>
      <c r="N49" s="4"/>
      <c r="O49" s="4"/>
      <c r="P49" s="4"/>
      <c r="Q49" s="4"/>
      <c r="R49" s="4"/>
      <c r="S49" s="4"/>
    </row>
    <row r="50" spans="1:19" ht="16.5">
      <c r="A50" s="4"/>
      <c r="B50" s="11"/>
      <c r="C50" s="11"/>
      <c r="D50" s="11"/>
      <c r="E50" s="14"/>
      <c r="F50" s="4"/>
      <c r="G50" s="62">
        <v>47</v>
      </c>
      <c r="H50" s="64"/>
      <c r="I50" s="4"/>
      <c r="J50" s="4"/>
      <c r="K50" s="4"/>
      <c r="L50" s="4"/>
      <c r="M50" s="4"/>
      <c r="N50" s="4"/>
      <c r="O50" s="4"/>
      <c r="P50" s="4"/>
      <c r="Q50" s="4"/>
      <c r="R50" s="4"/>
      <c r="S50" s="4"/>
    </row>
    <row r="51" spans="1:19" ht="16.5">
      <c r="A51" s="4"/>
      <c r="B51" s="11"/>
      <c r="C51" s="11"/>
      <c r="D51" s="11"/>
      <c r="E51" s="14"/>
      <c r="F51" s="4"/>
      <c r="G51" s="8">
        <v>48</v>
      </c>
      <c r="H51" s="63"/>
      <c r="I51" s="4"/>
      <c r="J51" s="4"/>
      <c r="K51" s="4"/>
      <c r="L51" s="4"/>
      <c r="M51" s="4"/>
      <c r="N51" s="4"/>
      <c r="O51" s="4"/>
      <c r="P51" s="4"/>
      <c r="Q51" s="4"/>
      <c r="R51" s="4"/>
      <c r="S51" s="4"/>
    </row>
    <row r="52" spans="1:19" ht="16.5">
      <c r="A52" s="4"/>
      <c r="B52" s="11"/>
      <c r="C52" s="11"/>
      <c r="D52" s="11"/>
      <c r="E52" s="14"/>
      <c r="F52" s="4"/>
      <c r="G52" s="8">
        <v>49</v>
      </c>
      <c r="H52" s="13"/>
      <c r="I52" s="4"/>
      <c r="J52" s="4"/>
      <c r="K52" s="4"/>
      <c r="L52" s="4"/>
      <c r="M52" s="4"/>
      <c r="N52" s="4"/>
      <c r="O52" s="4"/>
      <c r="P52" s="4"/>
      <c r="Q52" s="4"/>
      <c r="R52" s="4"/>
      <c r="S52" s="4"/>
    </row>
    <row r="53" spans="1:19" ht="16.5">
      <c r="A53" s="4"/>
      <c r="B53" s="11"/>
      <c r="C53" s="11"/>
      <c r="D53" s="11"/>
      <c r="E53" s="14"/>
      <c r="F53" s="4"/>
      <c r="G53" s="8">
        <v>50</v>
      </c>
      <c r="H53" s="13"/>
      <c r="I53" s="4"/>
      <c r="J53" s="4"/>
      <c r="K53" s="4"/>
      <c r="L53" s="4"/>
      <c r="M53" s="4"/>
      <c r="N53" s="4"/>
      <c r="O53" s="4"/>
      <c r="P53" s="4"/>
      <c r="Q53" s="4"/>
      <c r="R53" s="4"/>
      <c r="S53" s="4"/>
    </row>
    <row r="54" spans="1:19" ht="16.5">
      <c r="A54" s="4"/>
      <c r="B54" s="11"/>
      <c r="C54" s="11"/>
      <c r="D54" s="11"/>
      <c r="E54" s="14"/>
      <c r="F54" s="4"/>
      <c r="G54" s="8">
        <v>51</v>
      </c>
      <c r="H54" s="13"/>
      <c r="I54" s="4"/>
      <c r="J54" s="4"/>
      <c r="K54" s="4"/>
      <c r="L54" s="4"/>
      <c r="M54" s="4"/>
      <c r="N54" s="4"/>
      <c r="O54" s="4"/>
      <c r="P54" s="4"/>
      <c r="Q54" s="4"/>
      <c r="R54" s="4"/>
      <c r="S54" s="4"/>
    </row>
    <row r="55" spans="1:19" ht="16.5" customHeight="1">
      <c r="A55" s="4"/>
      <c r="B55" s="11"/>
      <c r="C55" s="11"/>
      <c r="D55" s="11"/>
      <c r="E55" s="14"/>
      <c r="F55" s="4"/>
      <c r="G55" s="8">
        <v>52</v>
      </c>
      <c r="H55" s="13"/>
      <c r="I55" s="4"/>
      <c r="J55" s="4"/>
      <c r="K55" s="4"/>
      <c r="L55" s="4"/>
      <c r="M55" s="4"/>
      <c r="N55" s="4"/>
      <c r="O55" s="4"/>
      <c r="P55" s="4"/>
      <c r="Q55" s="4"/>
      <c r="R55" s="4"/>
      <c r="S55" s="4"/>
    </row>
    <row r="56" spans="1:19" ht="16.5" customHeight="1">
      <c r="A56" s="4"/>
      <c r="B56" s="11"/>
      <c r="C56" s="11"/>
      <c r="D56" s="11"/>
      <c r="E56" s="14"/>
      <c r="F56" s="4"/>
      <c r="G56" s="8">
        <v>53</v>
      </c>
      <c r="H56" s="13"/>
      <c r="I56" s="4"/>
      <c r="J56" s="4"/>
      <c r="K56" s="4"/>
      <c r="L56" s="4"/>
      <c r="M56" s="4"/>
      <c r="N56" s="4"/>
      <c r="O56" s="4"/>
      <c r="P56" s="4"/>
      <c r="Q56" s="4"/>
      <c r="R56" s="4"/>
      <c r="S56" s="4"/>
    </row>
    <row r="57" spans="1:19" ht="16.5" customHeight="1">
      <c r="A57" s="4"/>
      <c r="B57" s="11"/>
      <c r="C57" s="11"/>
      <c r="D57" s="11"/>
      <c r="E57" s="14"/>
      <c r="F57" s="4"/>
      <c r="G57" s="8">
        <v>54</v>
      </c>
      <c r="H57" s="13"/>
      <c r="I57" s="4"/>
      <c r="J57" s="4"/>
      <c r="K57" s="4"/>
      <c r="L57" s="4"/>
      <c r="M57" s="4"/>
      <c r="N57" s="4"/>
      <c r="O57" s="4"/>
      <c r="P57" s="4"/>
      <c r="Q57" s="4"/>
      <c r="R57" s="4"/>
      <c r="S57" s="4"/>
    </row>
    <row r="58" spans="1:19" ht="16.5" customHeight="1">
      <c r="A58" s="4"/>
      <c r="B58" s="11"/>
      <c r="C58" s="11"/>
      <c r="D58" s="11"/>
      <c r="E58" s="14"/>
      <c r="F58" s="4"/>
      <c r="G58" s="8">
        <v>55</v>
      </c>
      <c r="H58" s="13"/>
      <c r="I58" s="4"/>
      <c r="J58" s="4"/>
      <c r="K58" s="4"/>
      <c r="L58" s="4"/>
      <c r="M58" s="4"/>
      <c r="N58" s="4"/>
      <c r="O58" s="4"/>
      <c r="P58" s="4"/>
      <c r="Q58" s="4"/>
      <c r="R58" s="4"/>
      <c r="S58" s="4"/>
    </row>
    <row r="59" spans="1:19" ht="16.5" customHeight="1">
      <c r="A59" s="4"/>
      <c r="B59" s="11"/>
      <c r="C59" s="11"/>
      <c r="D59" s="11"/>
      <c r="E59" s="14"/>
      <c r="F59" s="4"/>
      <c r="G59" s="8">
        <v>56</v>
      </c>
      <c r="H59" s="13"/>
      <c r="I59" s="4"/>
      <c r="J59" s="4"/>
      <c r="K59" s="4"/>
      <c r="L59" s="4"/>
      <c r="M59" s="4"/>
      <c r="N59" s="4"/>
      <c r="O59" s="4"/>
      <c r="P59" s="4"/>
      <c r="Q59" s="4"/>
      <c r="R59" s="4"/>
      <c r="S59" s="4"/>
    </row>
    <row r="60" spans="1:19" ht="16.5" customHeight="1">
      <c r="A60" s="4"/>
      <c r="B60" s="11"/>
      <c r="C60" s="11"/>
      <c r="D60" s="11"/>
      <c r="E60" s="14"/>
      <c r="F60" s="4"/>
      <c r="G60" s="8">
        <v>57</v>
      </c>
      <c r="H60" s="13"/>
      <c r="I60" s="4"/>
      <c r="J60" s="4"/>
      <c r="K60" s="4"/>
      <c r="L60" s="4"/>
      <c r="M60" s="4"/>
      <c r="N60" s="4"/>
      <c r="O60" s="4"/>
      <c r="P60" s="4"/>
      <c r="Q60" s="4"/>
      <c r="R60" s="4"/>
      <c r="S60" s="4"/>
    </row>
    <row r="61" spans="1:19" ht="16.5" customHeight="1">
      <c r="A61" s="4"/>
      <c r="B61" s="11"/>
      <c r="C61" s="11"/>
      <c r="D61" s="11"/>
      <c r="E61" s="14"/>
      <c r="F61" s="4"/>
      <c r="G61" s="8">
        <v>58</v>
      </c>
      <c r="H61" s="13"/>
      <c r="I61" s="4"/>
      <c r="J61" s="4"/>
      <c r="K61" s="4"/>
      <c r="L61" s="4"/>
      <c r="M61" s="4"/>
      <c r="N61" s="4"/>
      <c r="O61" s="4"/>
      <c r="P61" s="4"/>
      <c r="Q61" s="4"/>
      <c r="R61" s="4"/>
      <c r="S61" s="4"/>
    </row>
    <row r="62" spans="1:19" ht="16.5" customHeight="1">
      <c r="A62" s="4"/>
      <c r="B62" s="11"/>
      <c r="C62" s="11"/>
      <c r="D62" s="11"/>
      <c r="E62" s="14"/>
      <c r="F62" s="4"/>
      <c r="G62" s="8">
        <v>59</v>
      </c>
      <c r="H62" s="13"/>
      <c r="I62" s="4"/>
      <c r="J62" s="4"/>
      <c r="K62" s="4"/>
      <c r="L62" s="4"/>
      <c r="M62" s="4"/>
      <c r="N62" s="4"/>
      <c r="O62" s="4"/>
      <c r="P62" s="4"/>
      <c r="Q62" s="4"/>
      <c r="R62" s="4"/>
      <c r="S62" s="4"/>
    </row>
    <row r="63" spans="1:19" ht="16.5" customHeight="1">
      <c r="A63" s="4"/>
      <c r="B63" s="11"/>
      <c r="C63" s="11"/>
      <c r="D63" s="11"/>
      <c r="E63" s="14"/>
      <c r="F63" s="4"/>
      <c r="G63" s="8">
        <v>60</v>
      </c>
      <c r="H63" s="13"/>
      <c r="I63" s="4"/>
      <c r="J63" s="4"/>
      <c r="K63" s="4"/>
      <c r="L63" s="4"/>
      <c r="M63" s="4"/>
      <c r="N63" s="4"/>
      <c r="O63" s="4"/>
      <c r="P63" s="4"/>
      <c r="Q63" s="4"/>
      <c r="R63" s="4"/>
      <c r="S63" s="4"/>
    </row>
    <row r="64" spans="1:19" ht="16.5" customHeight="1">
      <c r="A64" s="4"/>
      <c r="B64" s="11"/>
      <c r="C64" s="11"/>
      <c r="D64" s="11"/>
      <c r="E64" s="14"/>
      <c r="F64" s="4"/>
      <c r="G64" s="8">
        <v>61</v>
      </c>
      <c r="H64" s="13"/>
      <c r="I64" s="4"/>
      <c r="J64" s="4"/>
      <c r="K64" s="4"/>
      <c r="L64" s="4"/>
      <c r="M64" s="4"/>
      <c r="N64" s="4"/>
      <c r="O64" s="4"/>
      <c r="P64" s="4"/>
      <c r="Q64" s="4"/>
      <c r="R64" s="4"/>
      <c r="S64" s="4"/>
    </row>
    <row r="65" spans="1:19" ht="16.5" customHeight="1">
      <c r="A65" s="4"/>
      <c r="B65" s="11"/>
      <c r="C65" s="11"/>
      <c r="D65" s="11"/>
      <c r="E65" s="14"/>
      <c r="F65" s="4"/>
      <c r="G65" s="8">
        <v>62</v>
      </c>
      <c r="H65" s="13"/>
      <c r="I65" s="4"/>
      <c r="J65" s="4"/>
      <c r="K65" s="4"/>
      <c r="L65" s="4"/>
      <c r="M65" s="4"/>
      <c r="N65" s="4"/>
      <c r="O65" s="4"/>
      <c r="P65" s="4"/>
      <c r="Q65" s="4"/>
      <c r="R65" s="4"/>
      <c r="S65" s="4"/>
    </row>
    <row r="66" spans="1:19" ht="16.5" customHeight="1">
      <c r="A66" s="4"/>
      <c r="B66" s="11"/>
      <c r="C66" s="11"/>
      <c r="D66" s="11"/>
      <c r="E66" s="14"/>
      <c r="F66" s="4"/>
      <c r="G66" s="8">
        <v>63</v>
      </c>
      <c r="H66" s="13"/>
      <c r="I66" s="4"/>
      <c r="J66" s="4"/>
      <c r="K66" s="4"/>
      <c r="L66" s="4"/>
      <c r="M66" s="4"/>
      <c r="N66" s="4"/>
      <c r="O66" s="4"/>
      <c r="P66" s="4"/>
      <c r="Q66" s="4"/>
      <c r="R66" s="4"/>
      <c r="S66" s="4"/>
    </row>
    <row r="67" spans="1:19" ht="16.5" customHeight="1">
      <c r="A67" s="4"/>
      <c r="B67" s="11"/>
      <c r="C67" s="11"/>
      <c r="D67" s="11"/>
      <c r="E67" s="14"/>
      <c r="F67" s="4"/>
      <c r="G67" s="8">
        <v>64</v>
      </c>
      <c r="H67" s="13"/>
      <c r="I67" s="4"/>
      <c r="J67" s="4"/>
      <c r="K67" s="4"/>
      <c r="L67" s="4"/>
      <c r="M67" s="4"/>
      <c r="N67" s="4"/>
      <c r="O67" s="4"/>
      <c r="P67" s="4"/>
      <c r="Q67" s="4"/>
      <c r="R67" s="4"/>
      <c r="S67" s="4"/>
    </row>
    <row r="68" spans="1:19" ht="16.5" customHeight="1">
      <c r="A68" s="4"/>
      <c r="B68" s="11"/>
      <c r="C68" s="11"/>
      <c r="D68" s="11"/>
      <c r="E68" s="14"/>
      <c r="F68" s="4"/>
      <c r="G68" s="8">
        <v>65</v>
      </c>
      <c r="H68" s="13"/>
      <c r="I68" s="4"/>
      <c r="J68" s="4"/>
      <c r="K68" s="4"/>
      <c r="L68" s="4"/>
      <c r="M68" s="4"/>
      <c r="N68" s="4"/>
      <c r="O68" s="4"/>
      <c r="P68" s="4"/>
      <c r="Q68" s="4"/>
      <c r="R68" s="4"/>
      <c r="S68" s="4"/>
    </row>
    <row r="69" spans="1:19" ht="16.5" customHeight="1">
      <c r="A69" s="4"/>
      <c r="B69" s="11"/>
      <c r="C69" s="11"/>
      <c r="D69" s="11"/>
      <c r="E69" s="14"/>
      <c r="F69" s="4"/>
      <c r="G69" s="8">
        <v>66</v>
      </c>
      <c r="H69" s="13"/>
      <c r="I69" s="4"/>
      <c r="J69" s="4"/>
      <c r="K69" s="4"/>
      <c r="L69" s="4"/>
      <c r="M69" s="4"/>
      <c r="N69" s="4"/>
      <c r="O69" s="4"/>
      <c r="P69" s="4"/>
      <c r="Q69" s="4"/>
      <c r="R69" s="4"/>
      <c r="S69" s="4"/>
    </row>
    <row r="70" spans="1:19" ht="16.5" customHeight="1">
      <c r="A70" s="4"/>
      <c r="B70" s="11"/>
      <c r="C70" s="11"/>
      <c r="D70" s="11"/>
      <c r="E70" s="14"/>
      <c r="F70" s="4"/>
      <c r="G70" s="8">
        <v>67</v>
      </c>
      <c r="H70" s="13"/>
      <c r="I70" s="4"/>
      <c r="J70" s="4"/>
      <c r="K70" s="4"/>
      <c r="L70" s="4"/>
      <c r="M70" s="4"/>
      <c r="N70" s="4"/>
      <c r="O70" s="4"/>
      <c r="P70" s="4"/>
      <c r="Q70" s="4"/>
      <c r="R70" s="4"/>
      <c r="S70" s="4"/>
    </row>
    <row r="71" spans="1:19" ht="16.5" customHeight="1">
      <c r="A71" s="4"/>
      <c r="B71" s="11"/>
      <c r="C71" s="11"/>
      <c r="D71" s="11"/>
      <c r="E71" s="14"/>
      <c r="F71" s="4"/>
      <c r="G71" s="8">
        <v>68</v>
      </c>
      <c r="H71" s="13"/>
      <c r="I71" s="4"/>
      <c r="J71" s="4"/>
      <c r="K71" s="4"/>
      <c r="L71" s="4"/>
      <c r="M71" s="4"/>
      <c r="N71" s="4"/>
      <c r="O71" s="4"/>
      <c r="P71" s="4"/>
      <c r="Q71" s="4"/>
      <c r="R71" s="4"/>
      <c r="S71" s="4"/>
    </row>
    <row r="72" spans="1:19" ht="16.5" customHeight="1">
      <c r="A72" s="4"/>
      <c r="B72" s="11"/>
      <c r="C72" s="11"/>
      <c r="D72" s="11"/>
      <c r="E72" s="14"/>
      <c r="F72" s="4"/>
      <c r="G72" s="8">
        <v>69</v>
      </c>
      <c r="H72" s="13"/>
      <c r="I72" s="4"/>
      <c r="J72" s="4"/>
      <c r="K72" s="4"/>
      <c r="L72" s="4"/>
      <c r="M72" s="4"/>
      <c r="N72" s="4"/>
      <c r="O72" s="4"/>
      <c r="P72" s="4"/>
      <c r="Q72" s="4"/>
      <c r="R72" s="4"/>
      <c r="S72" s="4"/>
    </row>
    <row r="73" spans="1:19" ht="16.5" customHeight="1">
      <c r="A73" s="4"/>
      <c r="B73" s="11"/>
      <c r="C73" s="11"/>
      <c r="D73" s="11"/>
      <c r="E73" s="14"/>
      <c r="F73" s="4"/>
      <c r="G73" s="8">
        <v>70</v>
      </c>
      <c r="H73" s="13"/>
      <c r="I73" s="4"/>
      <c r="J73" s="4"/>
      <c r="K73" s="4"/>
      <c r="L73" s="4"/>
      <c r="M73" s="4"/>
      <c r="N73" s="4"/>
      <c r="O73" s="4"/>
      <c r="P73" s="4"/>
      <c r="Q73" s="4"/>
      <c r="R73" s="4"/>
      <c r="S73" s="4"/>
    </row>
    <row r="74" spans="1:19" ht="16.5" customHeight="1">
      <c r="A74" s="4"/>
      <c r="B74" s="11"/>
      <c r="C74" s="11"/>
      <c r="D74" s="11"/>
      <c r="E74" s="14"/>
      <c r="F74" s="4"/>
      <c r="G74" s="8">
        <v>71</v>
      </c>
      <c r="H74" s="13"/>
      <c r="I74" s="4"/>
      <c r="J74" s="4"/>
      <c r="K74" s="4"/>
      <c r="L74" s="4"/>
      <c r="M74" s="4"/>
      <c r="N74" s="4"/>
      <c r="O74" s="4"/>
      <c r="P74" s="4"/>
      <c r="Q74" s="4"/>
      <c r="R74" s="4"/>
      <c r="S74" s="4"/>
    </row>
    <row r="75" spans="1:19" ht="16.5" customHeight="1">
      <c r="A75" s="4"/>
      <c r="B75" s="11"/>
      <c r="C75" s="11"/>
      <c r="D75" s="11"/>
      <c r="E75" s="14"/>
      <c r="F75" s="4"/>
      <c r="G75" s="8">
        <v>72</v>
      </c>
      <c r="H75" s="13"/>
      <c r="I75" s="4"/>
      <c r="J75" s="4"/>
      <c r="K75" s="4"/>
      <c r="L75" s="4"/>
      <c r="M75" s="4"/>
      <c r="N75" s="4"/>
      <c r="O75" s="4"/>
      <c r="P75" s="4"/>
      <c r="Q75" s="4"/>
      <c r="R75" s="4"/>
      <c r="S75" s="4"/>
    </row>
    <row r="76" spans="1:19" ht="16.5" customHeight="1">
      <c r="A76" s="4"/>
      <c r="B76" s="11"/>
      <c r="C76" s="11"/>
      <c r="D76" s="11"/>
      <c r="E76" s="14"/>
      <c r="F76" s="4"/>
      <c r="G76" s="8">
        <v>73</v>
      </c>
      <c r="H76" s="13"/>
      <c r="I76" s="4"/>
      <c r="J76" s="4"/>
      <c r="K76" s="4"/>
      <c r="L76" s="4"/>
      <c r="M76" s="4"/>
      <c r="N76" s="4"/>
      <c r="O76" s="4"/>
      <c r="P76" s="4"/>
      <c r="Q76" s="4"/>
      <c r="R76" s="4"/>
      <c r="S76" s="4"/>
    </row>
    <row r="77" spans="1:19" ht="16.5" customHeight="1">
      <c r="A77" s="4"/>
      <c r="B77" s="11"/>
      <c r="C77" s="11"/>
      <c r="D77" s="11"/>
      <c r="E77" s="14"/>
      <c r="F77" s="4"/>
      <c r="G77" s="8">
        <v>74</v>
      </c>
      <c r="H77" s="13"/>
      <c r="I77" s="4"/>
      <c r="J77" s="4"/>
      <c r="K77" s="4"/>
      <c r="L77" s="4"/>
      <c r="M77" s="4"/>
      <c r="N77" s="4"/>
      <c r="O77" s="4"/>
      <c r="P77" s="4"/>
      <c r="Q77" s="4"/>
      <c r="R77" s="4"/>
      <c r="S77" s="4"/>
    </row>
    <row r="78" spans="1:19" ht="16.5" customHeight="1">
      <c r="A78" s="4"/>
      <c r="B78" s="11"/>
      <c r="C78" s="11"/>
      <c r="D78" s="11"/>
      <c r="E78" s="14"/>
      <c r="F78" s="4"/>
      <c r="G78" s="8">
        <v>75</v>
      </c>
      <c r="H78" s="13"/>
      <c r="I78" s="4"/>
      <c r="J78" s="4"/>
      <c r="K78" s="4"/>
      <c r="L78" s="4"/>
      <c r="M78" s="4"/>
      <c r="N78" s="4"/>
      <c r="O78" s="4"/>
      <c r="P78" s="4"/>
      <c r="Q78" s="4"/>
      <c r="R78" s="4"/>
      <c r="S78" s="4"/>
    </row>
    <row r="79" spans="1:19" ht="16.5" customHeight="1">
      <c r="A79" s="4"/>
      <c r="B79" s="11"/>
      <c r="C79" s="11"/>
      <c r="D79" s="11"/>
      <c r="E79" s="14"/>
      <c r="F79" s="4"/>
      <c r="G79" s="8">
        <v>76</v>
      </c>
      <c r="H79" s="13"/>
      <c r="I79" s="4"/>
      <c r="J79" s="4"/>
      <c r="K79" s="4"/>
      <c r="L79" s="4"/>
      <c r="M79" s="4"/>
      <c r="N79" s="4"/>
      <c r="O79" s="4"/>
      <c r="P79" s="4"/>
      <c r="Q79" s="4"/>
      <c r="R79" s="4"/>
      <c r="S79" s="4"/>
    </row>
    <row r="80" spans="1:19" ht="16.5" customHeight="1">
      <c r="A80" s="4"/>
      <c r="B80" s="11"/>
      <c r="C80" s="11"/>
      <c r="D80" s="11"/>
      <c r="E80" s="14"/>
      <c r="F80" s="4"/>
      <c r="G80" s="8">
        <v>77</v>
      </c>
      <c r="H80" s="13"/>
      <c r="I80" s="4"/>
      <c r="J80" s="4"/>
      <c r="K80" s="4"/>
      <c r="L80" s="4"/>
      <c r="M80" s="4"/>
      <c r="N80" s="4"/>
      <c r="O80" s="4"/>
      <c r="P80" s="4"/>
      <c r="Q80" s="4"/>
      <c r="R80" s="4"/>
      <c r="S80" s="4"/>
    </row>
    <row r="81" spans="1:19" ht="16.5" customHeight="1">
      <c r="A81" s="4"/>
      <c r="B81" s="11"/>
      <c r="C81" s="11"/>
      <c r="D81" s="11"/>
      <c r="E81" s="14"/>
      <c r="F81" s="4"/>
      <c r="G81" s="8">
        <v>78</v>
      </c>
      <c r="H81" s="13"/>
      <c r="I81" s="4"/>
      <c r="J81" s="4"/>
      <c r="K81" s="4"/>
      <c r="L81" s="4"/>
      <c r="M81" s="4"/>
      <c r="N81" s="4"/>
      <c r="O81" s="4"/>
      <c r="P81" s="4"/>
      <c r="Q81" s="4"/>
      <c r="R81" s="4"/>
      <c r="S81" s="4"/>
    </row>
    <row r="82" spans="1:19" ht="16.5" customHeight="1">
      <c r="A82" s="4"/>
      <c r="B82" s="11"/>
      <c r="C82" s="11"/>
      <c r="D82" s="11"/>
      <c r="E82" s="14"/>
      <c r="F82" s="4"/>
      <c r="G82" s="8">
        <v>79</v>
      </c>
      <c r="H82" s="13"/>
      <c r="I82" s="4"/>
      <c r="J82" s="4"/>
      <c r="K82" s="4"/>
      <c r="L82" s="4"/>
      <c r="M82" s="4"/>
      <c r="N82" s="4"/>
      <c r="O82" s="4"/>
      <c r="P82" s="4"/>
      <c r="Q82" s="4"/>
      <c r="R82" s="4"/>
      <c r="S82" s="4"/>
    </row>
    <row r="83" spans="1:19" ht="16.5" customHeight="1">
      <c r="A83" s="4"/>
      <c r="B83" s="11"/>
      <c r="C83" s="11"/>
      <c r="D83" s="11"/>
      <c r="E83" s="14"/>
      <c r="F83" s="4"/>
      <c r="G83" s="8">
        <v>80</v>
      </c>
      <c r="H83" s="13"/>
      <c r="I83" s="4"/>
      <c r="J83" s="4"/>
      <c r="K83" s="4"/>
      <c r="L83" s="4"/>
      <c r="M83" s="4"/>
      <c r="N83" s="4"/>
      <c r="O83" s="4"/>
      <c r="P83" s="4"/>
      <c r="Q83" s="4"/>
      <c r="R83" s="4"/>
      <c r="S83" s="4"/>
    </row>
    <row r="84" spans="1:19" ht="16.5" customHeight="1">
      <c r="A84" s="4"/>
      <c r="B84" s="11"/>
      <c r="C84" s="11"/>
      <c r="D84" s="11"/>
      <c r="E84" s="14"/>
      <c r="F84" s="4"/>
      <c r="G84" s="8">
        <v>81</v>
      </c>
      <c r="H84" s="13"/>
      <c r="I84" s="4"/>
      <c r="J84" s="4"/>
      <c r="K84" s="4"/>
      <c r="L84" s="4"/>
      <c r="M84" s="4"/>
      <c r="N84" s="4"/>
      <c r="O84" s="4"/>
      <c r="P84" s="4"/>
      <c r="Q84" s="4"/>
      <c r="R84" s="4"/>
      <c r="S84" s="4"/>
    </row>
    <row r="85" spans="1:19" ht="16.5" customHeight="1">
      <c r="A85" s="4"/>
      <c r="B85" s="11"/>
      <c r="C85" s="11"/>
      <c r="D85" s="11"/>
      <c r="E85" s="14"/>
      <c r="F85" s="4"/>
      <c r="G85" s="8">
        <v>82</v>
      </c>
      <c r="H85" s="13"/>
      <c r="I85" s="4"/>
      <c r="J85" s="4"/>
      <c r="K85" s="4"/>
      <c r="L85" s="4"/>
      <c r="M85" s="4"/>
      <c r="N85" s="4"/>
      <c r="O85" s="4"/>
      <c r="P85" s="4"/>
      <c r="Q85" s="4"/>
      <c r="R85" s="4"/>
      <c r="S85" s="4"/>
    </row>
    <row r="86" spans="1:19" ht="16.5" customHeight="1">
      <c r="A86" s="4"/>
      <c r="B86" s="11"/>
      <c r="C86" s="11"/>
      <c r="D86" s="11"/>
      <c r="E86" s="14"/>
      <c r="F86" s="4"/>
      <c r="G86" s="8">
        <v>83</v>
      </c>
      <c r="H86" s="13"/>
      <c r="I86" s="4"/>
      <c r="J86" s="4"/>
      <c r="K86" s="4"/>
      <c r="L86" s="4"/>
      <c r="M86" s="4"/>
      <c r="N86" s="4"/>
      <c r="O86" s="4"/>
      <c r="P86" s="4"/>
      <c r="Q86" s="4"/>
      <c r="R86" s="4"/>
      <c r="S86" s="4"/>
    </row>
    <row r="87" spans="1:19" ht="16.5" customHeight="1">
      <c r="A87" s="4"/>
      <c r="B87" s="11"/>
      <c r="C87" s="11"/>
      <c r="D87" s="11"/>
      <c r="E87" s="14"/>
      <c r="F87" s="4"/>
      <c r="G87" s="8">
        <v>84</v>
      </c>
      <c r="H87" s="13"/>
      <c r="I87" s="4"/>
      <c r="J87" s="4"/>
      <c r="K87" s="4"/>
      <c r="L87" s="4"/>
      <c r="M87" s="4"/>
      <c r="N87" s="4"/>
      <c r="O87" s="4"/>
      <c r="P87" s="4"/>
      <c r="Q87" s="4"/>
      <c r="R87" s="4"/>
      <c r="S87" s="4"/>
    </row>
    <row r="88" spans="1:19" ht="16.5" customHeight="1">
      <c r="A88" s="4"/>
      <c r="B88" s="11"/>
      <c r="C88" s="11"/>
      <c r="D88" s="11"/>
      <c r="E88" s="14"/>
      <c r="F88" s="4"/>
      <c r="G88" s="8">
        <v>85</v>
      </c>
      <c r="H88" s="13"/>
      <c r="I88" s="4"/>
      <c r="J88" s="4"/>
      <c r="K88" s="4"/>
      <c r="L88" s="4"/>
      <c r="M88" s="4"/>
      <c r="N88" s="4"/>
      <c r="O88" s="4"/>
      <c r="P88" s="4"/>
      <c r="Q88" s="4"/>
      <c r="R88" s="4"/>
      <c r="S88" s="4"/>
    </row>
    <row r="89" spans="1:19" ht="16.5" customHeight="1">
      <c r="A89" s="4"/>
      <c r="B89" s="11"/>
      <c r="C89" s="11"/>
      <c r="D89" s="11"/>
      <c r="E89" s="14"/>
      <c r="F89" s="4"/>
      <c r="G89" s="8">
        <v>86</v>
      </c>
      <c r="H89" s="13"/>
      <c r="I89" s="4"/>
      <c r="J89" s="4"/>
      <c r="K89" s="4"/>
      <c r="L89" s="4"/>
      <c r="M89" s="4"/>
      <c r="N89" s="4"/>
      <c r="O89" s="4"/>
      <c r="P89" s="4"/>
      <c r="Q89" s="4"/>
      <c r="R89" s="4"/>
      <c r="S89" s="4"/>
    </row>
    <row r="90" spans="1:19" ht="16.5" customHeight="1">
      <c r="A90" s="4"/>
      <c r="B90" s="11"/>
      <c r="C90" s="11"/>
      <c r="D90" s="11"/>
      <c r="E90" s="14"/>
      <c r="F90" s="4"/>
      <c r="G90" s="8">
        <v>87</v>
      </c>
      <c r="H90" s="13"/>
      <c r="I90" s="4"/>
      <c r="J90" s="4"/>
      <c r="K90" s="4"/>
      <c r="L90" s="4"/>
      <c r="M90" s="4"/>
      <c r="N90" s="4"/>
      <c r="O90" s="4"/>
      <c r="P90" s="4"/>
      <c r="Q90" s="4"/>
      <c r="R90" s="4"/>
      <c r="S90" s="4"/>
    </row>
    <row r="91" spans="1:19" ht="16.5" customHeight="1">
      <c r="A91" s="4"/>
      <c r="B91" s="11"/>
      <c r="C91" s="11"/>
      <c r="D91" s="11"/>
      <c r="E91" s="14"/>
      <c r="F91" s="4"/>
      <c r="G91" s="8">
        <v>88</v>
      </c>
      <c r="H91" s="13"/>
      <c r="I91" s="4"/>
      <c r="J91" s="4"/>
      <c r="K91" s="4"/>
      <c r="L91" s="4"/>
      <c r="M91" s="4"/>
      <c r="N91" s="4"/>
      <c r="O91" s="4"/>
      <c r="P91" s="4"/>
      <c r="Q91" s="4"/>
      <c r="R91" s="4"/>
      <c r="S91" s="4"/>
    </row>
    <row r="92" spans="1:19" ht="16.5" customHeight="1">
      <c r="A92" s="4"/>
      <c r="B92" s="11"/>
      <c r="C92" s="11"/>
      <c r="D92" s="11"/>
      <c r="E92" s="14"/>
      <c r="F92" s="4"/>
      <c r="G92" s="8">
        <v>89</v>
      </c>
      <c r="H92" s="13"/>
      <c r="I92" s="4"/>
      <c r="J92" s="4"/>
      <c r="K92" s="4"/>
      <c r="L92" s="4"/>
      <c r="M92" s="4"/>
      <c r="N92" s="4"/>
      <c r="O92" s="4"/>
      <c r="P92" s="4"/>
      <c r="Q92" s="4"/>
      <c r="R92" s="4"/>
      <c r="S92" s="4"/>
    </row>
    <row r="93" spans="1:19" ht="16.5" customHeight="1">
      <c r="A93" s="4"/>
      <c r="B93" s="11"/>
      <c r="C93" s="11"/>
      <c r="D93" s="11"/>
      <c r="E93" s="14"/>
      <c r="F93" s="4"/>
      <c r="G93" s="8">
        <v>90</v>
      </c>
      <c r="H93" s="13"/>
      <c r="I93" s="4"/>
      <c r="J93" s="4"/>
      <c r="K93" s="4"/>
      <c r="L93" s="4"/>
      <c r="M93" s="4"/>
      <c r="N93" s="4"/>
      <c r="O93" s="4"/>
      <c r="P93" s="4"/>
      <c r="Q93" s="4"/>
      <c r="R93" s="4"/>
      <c r="S93" s="4"/>
    </row>
    <row r="94" spans="1:19" ht="16.5" customHeight="1">
      <c r="A94" s="4"/>
      <c r="B94" s="11"/>
      <c r="C94" s="11"/>
      <c r="D94" s="11"/>
      <c r="E94" s="14"/>
      <c r="F94" s="4"/>
      <c r="G94" s="8">
        <v>91</v>
      </c>
      <c r="H94" s="13"/>
      <c r="I94" s="4"/>
      <c r="J94" s="4"/>
      <c r="K94" s="4"/>
      <c r="L94" s="4"/>
      <c r="M94" s="4"/>
      <c r="N94" s="4"/>
      <c r="O94" s="4"/>
      <c r="P94" s="4"/>
      <c r="Q94" s="4"/>
      <c r="R94" s="4"/>
      <c r="S94" s="4"/>
    </row>
    <row r="95" spans="1:19" ht="16.5" customHeight="1">
      <c r="A95" s="4"/>
      <c r="B95" s="11"/>
      <c r="C95" s="11"/>
      <c r="D95" s="11"/>
      <c r="E95" s="14"/>
      <c r="F95" s="4"/>
      <c r="G95" s="8">
        <v>92</v>
      </c>
      <c r="H95" s="13"/>
      <c r="I95" s="4"/>
      <c r="J95" s="4"/>
      <c r="K95" s="4"/>
      <c r="L95" s="4"/>
      <c r="M95" s="4"/>
      <c r="N95" s="4"/>
      <c r="O95" s="4"/>
      <c r="P95" s="4"/>
      <c r="Q95" s="4"/>
      <c r="R95" s="4"/>
      <c r="S95" s="4"/>
    </row>
    <row r="96" spans="1:19" ht="16.5" customHeight="1">
      <c r="A96" s="4"/>
      <c r="B96" s="11"/>
      <c r="C96" s="11"/>
      <c r="D96" s="11"/>
      <c r="E96" s="14"/>
      <c r="F96" s="4"/>
      <c r="G96" s="8">
        <v>93</v>
      </c>
      <c r="H96" s="13"/>
      <c r="I96" s="4"/>
      <c r="J96" s="4"/>
      <c r="K96" s="4"/>
      <c r="L96" s="4"/>
      <c r="M96" s="4"/>
      <c r="N96" s="4"/>
      <c r="O96" s="4"/>
      <c r="P96" s="4"/>
      <c r="Q96" s="4"/>
      <c r="R96" s="4"/>
      <c r="S96" s="4"/>
    </row>
    <row r="97" spans="1:19" ht="16.5" customHeight="1">
      <c r="A97" s="4"/>
      <c r="B97" s="11"/>
      <c r="C97" s="11"/>
      <c r="D97" s="11"/>
      <c r="E97" s="14"/>
      <c r="F97" s="4"/>
      <c r="G97" s="8">
        <v>94</v>
      </c>
      <c r="H97" s="13"/>
      <c r="I97" s="4"/>
      <c r="J97" s="4"/>
      <c r="K97" s="4"/>
      <c r="L97" s="4"/>
      <c r="M97" s="4"/>
      <c r="N97" s="4"/>
      <c r="O97" s="4"/>
      <c r="P97" s="4"/>
      <c r="Q97" s="4"/>
      <c r="R97" s="4"/>
      <c r="S97" s="4"/>
    </row>
    <row r="98" spans="1:19" ht="16.5" customHeight="1">
      <c r="A98" s="4"/>
      <c r="B98" s="11"/>
      <c r="C98" s="11"/>
      <c r="D98" s="11"/>
      <c r="E98" s="14"/>
      <c r="F98" s="4"/>
      <c r="G98" s="8">
        <v>95</v>
      </c>
      <c r="H98" s="13"/>
      <c r="I98" s="4"/>
      <c r="J98" s="4"/>
      <c r="K98" s="4"/>
      <c r="L98" s="4"/>
      <c r="M98" s="4"/>
      <c r="N98" s="4"/>
      <c r="O98" s="4"/>
      <c r="P98" s="4"/>
      <c r="Q98" s="4"/>
      <c r="R98" s="4"/>
      <c r="S98" s="4"/>
    </row>
    <row r="99" spans="1:19" ht="16.5" customHeight="1">
      <c r="A99" s="4"/>
      <c r="B99" s="11"/>
      <c r="C99" s="11"/>
      <c r="D99" s="11"/>
      <c r="E99" s="14"/>
      <c r="F99" s="4"/>
      <c r="G99" s="8">
        <v>96</v>
      </c>
      <c r="H99" s="13"/>
      <c r="I99" s="4"/>
      <c r="J99" s="4"/>
      <c r="K99" s="4"/>
      <c r="L99" s="4"/>
      <c r="M99" s="4"/>
      <c r="N99" s="4"/>
      <c r="O99" s="4"/>
      <c r="P99" s="4"/>
      <c r="Q99" s="4"/>
      <c r="R99" s="4"/>
      <c r="S99" s="4"/>
    </row>
    <row r="100" spans="1:19" ht="16.5" customHeight="1">
      <c r="A100" s="4"/>
      <c r="B100" s="11"/>
      <c r="C100" s="11"/>
      <c r="D100" s="11"/>
      <c r="E100" s="14"/>
      <c r="F100" s="4"/>
      <c r="G100" s="8">
        <v>97</v>
      </c>
      <c r="H100" s="13"/>
      <c r="I100" s="4"/>
      <c r="J100" s="4"/>
      <c r="K100" s="4"/>
      <c r="L100" s="4"/>
      <c r="M100" s="4"/>
      <c r="N100" s="4"/>
      <c r="O100" s="4"/>
      <c r="P100" s="4"/>
      <c r="Q100" s="4"/>
      <c r="R100" s="4"/>
      <c r="S100" s="4"/>
    </row>
    <row r="101" spans="1:19" ht="16.5" customHeight="1">
      <c r="A101" s="4"/>
      <c r="B101" s="11"/>
      <c r="C101" s="11"/>
      <c r="D101" s="11"/>
      <c r="E101" s="14"/>
      <c r="F101" s="4"/>
      <c r="G101" s="8">
        <v>98</v>
      </c>
      <c r="H101" s="13"/>
      <c r="I101" s="4"/>
      <c r="J101" s="4"/>
      <c r="K101" s="4"/>
      <c r="L101" s="4"/>
      <c r="M101" s="4"/>
      <c r="N101" s="4"/>
      <c r="O101" s="4"/>
      <c r="P101" s="4"/>
      <c r="Q101" s="4"/>
      <c r="R101" s="4"/>
      <c r="S101" s="4"/>
    </row>
    <row r="102" spans="1:19" ht="16.5" customHeight="1">
      <c r="A102" s="4"/>
      <c r="B102" s="11"/>
      <c r="C102" s="11"/>
      <c r="D102" s="11"/>
      <c r="E102" s="14"/>
      <c r="F102" s="4"/>
      <c r="G102" s="8">
        <v>99</v>
      </c>
      <c r="H102" s="13"/>
      <c r="I102" s="4"/>
      <c r="J102" s="4"/>
      <c r="K102" s="4"/>
      <c r="L102" s="4"/>
      <c r="M102" s="4"/>
      <c r="N102" s="4"/>
      <c r="O102" s="4"/>
      <c r="P102" s="4"/>
      <c r="Q102" s="4"/>
      <c r="R102" s="4"/>
      <c r="S102" s="4"/>
    </row>
    <row r="103" spans="1:19" ht="16.5" customHeight="1">
      <c r="A103" s="4"/>
      <c r="B103" s="11"/>
      <c r="C103" s="11"/>
      <c r="D103" s="11"/>
      <c r="E103" s="14"/>
      <c r="F103" s="4"/>
      <c r="G103" s="8">
        <v>100</v>
      </c>
      <c r="H103" s="13"/>
      <c r="I103" s="4"/>
      <c r="J103" s="4"/>
      <c r="K103" s="4"/>
      <c r="L103" s="4"/>
      <c r="M103" s="4"/>
      <c r="N103" s="4"/>
      <c r="O103" s="4"/>
      <c r="P103" s="4"/>
      <c r="Q103" s="4"/>
      <c r="R103" s="4"/>
      <c r="S103" s="4"/>
    </row>
    <row r="104" spans="1:19" ht="16.5" customHeight="1">
      <c r="A104" s="4"/>
      <c r="B104" s="11"/>
      <c r="C104" s="11"/>
      <c r="D104" s="11"/>
      <c r="E104" s="14"/>
      <c r="F104" s="4"/>
      <c r="G104" s="8">
        <v>101</v>
      </c>
      <c r="H104" s="13"/>
      <c r="I104" s="4"/>
      <c r="J104" s="4"/>
      <c r="K104" s="4"/>
      <c r="L104" s="4"/>
      <c r="M104" s="4"/>
      <c r="N104" s="4"/>
      <c r="O104" s="4"/>
      <c r="P104" s="4"/>
      <c r="Q104" s="4"/>
      <c r="R104" s="4"/>
      <c r="S104" s="4"/>
    </row>
    <row r="105" spans="1:19" ht="16.5" customHeight="1">
      <c r="A105" s="4"/>
      <c r="B105" s="11"/>
      <c r="C105" s="11"/>
      <c r="D105" s="11"/>
      <c r="E105" s="14"/>
      <c r="F105" s="4"/>
      <c r="G105" s="8">
        <v>102</v>
      </c>
      <c r="H105" s="13"/>
      <c r="I105" s="4"/>
      <c r="J105" s="4"/>
      <c r="K105" s="4"/>
      <c r="L105" s="4"/>
      <c r="M105" s="4"/>
      <c r="N105" s="4"/>
      <c r="O105" s="4"/>
      <c r="P105" s="4"/>
      <c r="Q105" s="4"/>
      <c r="R105" s="4"/>
      <c r="S105" s="4"/>
    </row>
    <row r="106" spans="1:19" ht="16.5" customHeight="1">
      <c r="A106" s="4"/>
      <c r="B106" s="11"/>
      <c r="C106" s="11"/>
      <c r="D106" s="11"/>
      <c r="E106" s="14"/>
      <c r="F106" s="4"/>
      <c r="G106" s="8">
        <v>103</v>
      </c>
      <c r="H106" s="13"/>
      <c r="I106" s="4"/>
      <c r="J106" s="4"/>
      <c r="K106" s="4"/>
      <c r="L106" s="4"/>
      <c r="M106" s="4"/>
      <c r="N106" s="4"/>
      <c r="O106" s="4"/>
      <c r="P106" s="4"/>
      <c r="Q106" s="4"/>
      <c r="R106" s="4"/>
      <c r="S106" s="4"/>
    </row>
    <row r="107" spans="1:19" ht="16.5" customHeight="1">
      <c r="A107" s="4"/>
      <c r="B107" s="11"/>
      <c r="C107" s="11"/>
      <c r="D107" s="11"/>
      <c r="E107" s="14"/>
      <c r="F107" s="4"/>
      <c r="G107" s="8">
        <v>104</v>
      </c>
      <c r="H107" s="13"/>
      <c r="I107" s="4"/>
      <c r="J107" s="4"/>
      <c r="K107" s="4"/>
      <c r="L107" s="4"/>
      <c r="M107" s="4"/>
      <c r="N107" s="4"/>
      <c r="O107" s="4"/>
      <c r="P107" s="4"/>
      <c r="Q107" s="4"/>
      <c r="R107" s="4"/>
      <c r="S107" s="4"/>
    </row>
    <row r="108" spans="1:19" ht="16.5" customHeight="1">
      <c r="A108" s="4"/>
      <c r="B108" s="11"/>
      <c r="C108" s="11"/>
      <c r="D108" s="11"/>
      <c r="E108" s="14"/>
      <c r="F108" s="4"/>
      <c r="G108" s="8">
        <v>105</v>
      </c>
      <c r="H108" s="13"/>
      <c r="I108" s="4"/>
      <c r="J108" s="4"/>
      <c r="K108" s="4"/>
      <c r="L108" s="4"/>
      <c r="M108" s="4"/>
      <c r="N108" s="4"/>
      <c r="O108" s="4"/>
      <c r="P108" s="4"/>
      <c r="Q108" s="4"/>
      <c r="R108" s="4"/>
      <c r="S108" s="4"/>
    </row>
    <row r="109" spans="1:19" ht="16.5" customHeight="1">
      <c r="A109" s="4"/>
      <c r="B109" s="11"/>
      <c r="C109" s="11"/>
      <c r="D109" s="11"/>
      <c r="E109" s="14"/>
      <c r="F109" s="4"/>
      <c r="G109" s="8">
        <v>106</v>
      </c>
      <c r="H109" s="13"/>
      <c r="I109" s="4"/>
      <c r="J109" s="4"/>
      <c r="K109" s="4"/>
      <c r="L109" s="4"/>
      <c r="M109" s="4"/>
      <c r="N109" s="4"/>
      <c r="O109" s="4"/>
      <c r="P109" s="4"/>
      <c r="Q109" s="4"/>
      <c r="R109" s="4"/>
      <c r="S109" s="4"/>
    </row>
    <row r="110" spans="1:19" ht="16.5" customHeight="1">
      <c r="A110" s="4"/>
      <c r="B110" s="11"/>
      <c r="C110" s="11"/>
      <c r="D110" s="11"/>
      <c r="E110" s="14"/>
      <c r="F110" s="4"/>
      <c r="G110" s="8">
        <v>107</v>
      </c>
      <c r="H110" s="13"/>
      <c r="I110" s="4"/>
      <c r="J110" s="4"/>
      <c r="K110" s="4"/>
      <c r="L110" s="4"/>
      <c r="M110" s="4"/>
      <c r="N110" s="4"/>
      <c r="O110" s="4"/>
      <c r="P110" s="4"/>
      <c r="Q110" s="4"/>
      <c r="R110" s="4"/>
      <c r="S110" s="4"/>
    </row>
    <row r="111" spans="1:19" ht="16.5" customHeight="1">
      <c r="A111" s="4"/>
      <c r="B111" s="11"/>
      <c r="C111" s="11"/>
      <c r="D111" s="11"/>
      <c r="E111" s="14"/>
      <c r="F111" s="4"/>
      <c r="G111" s="8">
        <v>108</v>
      </c>
      <c r="H111" s="13"/>
      <c r="I111" s="4"/>
      <c r="J111" s="4"/>
      <c r="K111" s="4"/>
      <c r="L111" s="4"/>
      <c r="M111" s="4"/>
      <c r="N111" s="4"/>
      <c r="O111" s="4"/>
      <c r="P111" s="4"/>
      <c r="Q111" s="4"/>
      <c r="R111" s="4"/>
      <c r="S111" s="4"/>
    </row>
    <row r="112" spans="1:19" ht="16.5" customHeight="1">
      <c r="A112" s="4"/>
      <c r="B112" s="11"/>
      <c r="C112" s="11"/>
      <c r="D112" s="11"/>
      <c r="E112" s="14"/>
      <c r="F112" s="4"/>
      <c r="G112" s="8">
        <v>109</v>
      </c>
      <c r="H112" s="13"/>
      <c r="I112" s="4"/>
      <c r="J112" s="4"/>
      <c r="K112" s="4"/>
      <c r="L112" s="4"/>
      <c r="M112" s="4"/>
      <c r="N112" s="4"/>
      <c r="O112" s="4"/>
      <c r="P112" s="4"/>
      <c r="Q112" s="4"/>
      <c r="R112" s="4"/>
      <c r="S112" s="4"/>
    </row>
    <row r="113" spans="1:19" ht="16.5" customHeight="1">
      <c r="A113" s="4"/>
      <c r="B113" s="11"/>
      <c r="C113" s="11"/>
      <c r="D113" s="11"/>
      <c r="E113" s="14"/>
      <c r="F113" s="4"/>
      <c r="G113" s="8">
        <v>110</v>
      </c>
      <c r="H113" s="13"/>
      <c r="I113" s="4"/>
      <c r="J113" s="4"/>
      <c r="K113" s="4"/>
      <c r="L113" s="4"/>
      <c r="M113" s="4"/>
      <c r="N113" s="4"/>
      <c r="O113" s="4"/>
      <c r="P113" s="4"/>
      <c r="Q113" s="4"/>
      <c r="R113" s="4"/>
      <c r="S113" s="4"/>
    </row>
    <row r="114" spans="1:19" ht="16.5" customHeight="1">
      <c r="A114" s="4"/>
      <c r="B114" s="11"/>
      <c r="C114" s="11"/>
      <c r="D114" s="11"/>
      <c r="E114" s="14"/>
      <c r="F114" s="4"/>
      <c r="G114" s="8">
        <v>111</v>
      </c>
      <c r="H114" s="13"/>
      <c r="I114" s="4"/>
      <c r="J114" s="4"/>
      <c r="K114" s="4"/>
      <c r="L114" s="4"/>
      <c r="M114" s="4"/>
      <c r="N114" s="4"/>
      <c r="O114" s="4"/>
      <c r="P114" s="4"/>
      <c r="Q114" s="4"/>
      <c r="R114" s="4"/>
      <c r="S114" s="4"/>
    </row>
    <row r="115" spans="1:19" ht="16.5" customHeight="1">
      <c r="A115" s="4"/>
      <c r="B115" s="11"/>
      <c r="C115" s="11"/>
      <c r="D115" s="11"/>
      <c r="E115" s="14"/>
      <c r="F115" s="4"/>
      <c r="G115" s="8">
        <v>112</v>
      </c>
      <c r="H115" s="13"/>
      <c r="I115" s="4"/>
      <c r="J115" s="4"/>
      <c r="K115" s="4"/>
      <c r="L115" s="4"/>
      <c r="M115" s="4"/>
      <c r="N115" s="4"/>
      <c r="O115" s="4"/>
      <c r="P115" s="4"/>
      <c r="Q115" s="4"/>
      <c r="R115" s="4"/>
      <c r="S115" s="4"/>
    </row>
    <row r="116" spans="1:19" ht="16.5" customHeight="1">
      <c r="A116" s="4"/>
      <c r="B116" s="11"/>
      <c r="C116" s="11"/>
      <c r="D116" s="11"/>
      <c r="E116" s="14"/>
      <c r="F116" s="4"/>
      <c r="G116" s="8">
        <v>113</v>
      </c>
      <c r="H116" s="13"/>
      <c r="I116" s="4"/>
      <c r="J116" s="4"/>
      <c r="K116" s="4"/>
      <c r="L116" s="4"/>
      <c r="M116" s="4"/>
      <c r="N116" s="4"/>
      <c r="O116" s="4"/>
      <c r="P116" s="4"/>
      <c r="Q116" s="4"/>
      <c r="R116" s="4"/>
      <c r="S116" s="4"/>
    </row>
    <row r="117" spans="1:19" ht="16.5" customHeight="1">
      <c r="A117" s="4"/>
      <c r="B117" s="11"/>
      <c r="C117" s="11"/>
      <c r="D117" s="11"/>
      <c r="E117" s="14"/>
      <c r="F117" s="4"/>
      <c r="G117" s="8">
        <v>114</v>
      </c>
      <c r="H117" s="13"/>
      <c r="I117" s="4"/>
      <c r="J117" s="4"/>
      <c r="K117" s="4"/>
      <c r="L117" s="4"/>
      <c r="M117" s="4"/>
      <c r="N117" s="4"/>
      <c r="O117" s="4"/>
      <c r="P117" s="4"/>
      <c r="Q117" s="4"/>
      <c r="R117" s="4"/>
      <c r="S117" s="4"/>
    </row>
    <row r="118" spans="1:19" ht="16.5" customHeight="1">
      <c r="A118" s="4"/>
      <c r="B118" s="11"/>
      <c r="C118" s="11"/>
      <c r="D118" s="11"/>
      <c r="E118" s="14"/>
      <c r="F118" s="4"/>
      <c r="G118" s="8">
        <v>115</v>
      </c>
      <c r="H118" s="13"/>
      <c r="I118" s="4"/>
      <c r="J118" s="4"/>
      <c r="K118" s="4"/>
      <c r="L118" s="4"/>
      <c r="M118" s="4"/>
      <c r="N118" s="4"/>
      <c r="O118" s="4"/>
      <c r="P118" s="4"/>
      <c r="Q118" s="4"/>
      <c r="R118" s="4"/>
      <c r="S118" s="4"/>
    </row>
    <row r="119" spans="1:19" ht="16.5" customHeight="1">
      <c r="A119" s="4"/>
      <c r="B119" s="11"/>
      <c r="C119" s="11"/>
      <c r="D119" s="11"/>
      <c r="E119" s="14"/>
      <c r="F119" s="4"/>
      <c r="G119" s="8">
        <v>116</v>
      </c>
      <c r="H119" s="13"/>
      <c r="I119" s="4"/>
      <c r="J119" s="4"/>
      <c r="K119" s="4"/>
      <c r="L119" s="4"/>
      <c r="M119" s="4"/>
      <c r="N119" s="4"/>
      <c r="O119" s="4"/>
      <c r="P119" s="4"/>
      <c r="Q119" s="4"/>
      <c r="R119" s="4"/>
      <c r="S119" s="4"/>
    </row>
    <row r="120" spans="1:19" ht="16.5" customHeight="1">
      <c r="A120" s="4"/>
      <c r="B120" s="11"/>
      <c r="C120" s="11"/>
      <c r="D120" s="11"/>
      <c r="E120" s="14"/>
      <c r="F120" s="4"/>
      <c r="G120" s="8">
        <v>117</v>
      </c>
      <c r="H120" s="13"/>
      <c r="I120" s="4"/>
      <c r="J120" s="4"/>
      <c r="K120" s="4"/>
      <c r="L120" s="4"/>
      <c r="M120" s="4"/>
      <c r="N120" s="4"/>
      <c r="O120" s="4"/>
      <c r="P120" s="4"/>
      <c r="Q120" s="4"/>
      <c r="R120" s="4"/>
      <c r="S120" s="4"/>
    </row>
    <row r="121" spans="1:19" ht="16.5" customHeight="1">
      <c r="A121" s="4"/>
      <c r="B121" s="11"/>
      <c r="C121" s="11"/>
      <c r="D121" s="11"/>
      <c r="E121" s="14"/>
      <c r="F121" s="4"/>
      <c r="G121" s="8">
        <v>118</v>
      </c>
      <c r="H121" s="13"/>
      <c r="I121" s="4"/>
      <c r="J121" s="4"/>
      <c r="K121" s="4"/>
      <c r="L121" s="4"/>
      <c r="M121" s="4"/>
      <c r="N121" s="4"/>
      <c r="O121" s="4"/>
      <c r="P121" s="4"/>
      <c r="Q121" s="4"/>
      <c r="R121" s="4"/>
      <c r="S121" s="4"/>
    </row>
    <row r="122" spans="1:19" ht="16.5" customHeight="1">
      <c r="A122" s="4"/>
      <c r="B122" s="11"/>
      <c r="C122" s="11"/>
      <c r="D122" s="11"/>
      <c r="E122" s="14"/>
      <c r="F122" s="4"/>
      <c r="G122" s="8">
        <v>119</v>
      </c>
      <c r="H122" s="13"/>
      <c r="I122" s="4"/>
      <c r="J122" s="4"/>
      <c r="K122" s="4"/>
      <c r="L122" s="4"/>
      <c r="M122" s="4"/>
      <c r="N122" s="4"/>
      <c r="O122" s="4"/>
      <c r="P122" s="4"/>
      <c r="Q122" s="4"/>
      <c r="R122" s="4"/>
      <c r="S122" s="4"/>
    </row>
    <row r="123" spans="1:19" ht="16.5" customHeight="1">
      <c r="A123" s="4"/>
      <c r="B123" s="11"/>
      <c r="C123" s="11"/>
      <c r="D123" s="11"/>
      <c r="E123" s="14"/>
      <c r="F123" s="4"/>
      <c r="G123" s="8">
        <v>120</v>
      </c>
      <c r="H123" s="13"/>
      <c r="I123" s="4"/>
      <c r="J123" s="4"/>
      <c r="K123" s="4"/>
      <c r="L123" s="4"/>
      <c r="M123" s="4"/>
      <c r="N123" s="4"/>
      <c r="O123" s="4"/>
      <c r="P123" s="4"/>
      <c r="Q123" s="4"/>
      <c r="R123" s="4"/>
      <c r="S123" s="4"/>
    </row>
    <row r="124" spans="1:19" ht="16.5" customHeight="1">
      <c r="A124" s="4"/>
      <c r="B124" s="11"/>
      <c r="C124" s="11"/>
      <c r="D124" s="11"/>
      <c r="E124" s="14"/>
      <c r="F124" s="4"/>
      <c r="G124" s="8">
        <v>121</v>
      </c>
      <c r="H124" s="13"/>
      <c r="I124" s="4"/>
      <c r="J124" s="4"/>
      <c r="K124" s="4"/>
      <c r="L124" s="4"/>
      <c r="M124" s="4"/>
      <c r="N124" s="4"/>
      <c r="O124" s="4"/>
      <c r="P124" s="4"/>
      <c r="Q124" s="4"/>
      <c r="R124" s="4"/>
      <c r="S124" s="4"/>
    </row>
    <row r="125" spans="1:19" ht="16.5" customHeight="1">
      <c r="A125" s="4"/>
      <c r="B125" s="11"/>
      <c r="C125" s="11"/>
      <c r="D125" s="11"/>
      <c r="E125" s="14"/>
      <c r="F125" s="4"/>
      <c r="G125" s="8">
        <v>122</v>
      </c>
      <c r="H125" s="13"/>
      <c r="I125" s="4"/>
      <c r="J125" s="4"/>
      <c r="K125" s="4"/>
      <c r="L125" s="4"/>
      <c r="M125" s="4"/>
      <c r="N125" s="4"/>
      <c r="O125" s="4"/>
      <c r="P125" s="4"/>
      <c r="Q125" s="4"/>
      <c r="R125" s="4"/>
      <c r="S125" s="4"/>
    </row>
    <row r="126" spans="1:19" ht="16.5" customHeight="1">
      <c r="A126" s="4"/>
      <c r="B126" s="11"/>
      <c r="C126" s="11"/>
      <c r="D126" s="11"/>
      <c r="E126" s="14"/>
      <c r="F126" s="4"/>
      <c r="G126" s="8">
        <v>123</v>
      </c>
      <c r="H126" s="13"/>
      <c r="I126" s="4"/>
      <c r="J126" s="4"/>
      <c r="K126" s="4"/>
      <c r="L126" s="4"/>
      <c r="M126" s="4"/>
      <c r="N126" s="4"/>
      <c r="O126" s="4"/>
      <c r="P126" s="4"/>
      <c r="Q126" s="4"/>
      <c r="R126" s="4"/>
      <c r="S126" s="4"/>
    </row>
    <row r="127" spans="1:19" ht="16.5" customHeight="1">
      <c r="A127" s="4"/>
      <c r="B127" s="11"/>
      <c r="C127" s="11"/>
      <c r="D127" s="11"/>
      <c r="E127" s="14"/>
      <c r="F127" s="4"/>
      <c r="G127" s="8">
        <v>124</v>
      </c>
      <c r="H127" s="13"/>
      <c r="I127" s="4"/>
      <c r="J127" s="4"/>
      <c r="K127" s="4"/>
      <c r="L127" s="4"/>
      <c r="M127" s="4"/>
      <c r="N127" s="4"/>
      <c r="O127" s="4"/>
      <c r="P127" s="4"/>
      <c r="Q127" s="4"/>
      <c r="R127" s="4"/>
      <c r="S127" s="4"/>
    </row>
    <row r="128" spans="1:19" ht="16.5" customHeight="1">
      <c r="A128" s="4"/>
      <c r="B128" s="11"/>
      <c r="C128" s="11"/>
      <c r="D128" s="11"/>
      <c r="E128" s="14"/>
      <c r="F128" s="4"/>
      <c r="G128" s="8">
        <v>125</v>
      </c>
      <c r="H128" s="13"/>
      <c r="I128" s="4"/>
      <c r="J128" s="4"/>
      <c r="K128" s="4"/>
      <c r="L128" s="4"/>
      <c r="M128" s="4"/>
      <c r="N128" s="4"/>
      <c r="O128" s="4"/>
      <c r="P128" s="4"/>
      <c r="Q128" s="4"/>
      <c r="R128" s="4"/>
      <c r="S128" s="4"/>
    </row>
    <row r="129" spans="1:19" ht="16.5" customHeight="1">
      <c r="A129" s="4"/>
      <c r="B129" s="11"/>
      <c r="C129" s="11"/>
      <c r="D129" s="11"/>
      <c r="E129" s="14"/>
      <c r="F129" s="4"/>
      <c r="G129" s="8">
        <v>126</v>
      </c>
      <c r="H129" s="13"/>
      <c r="I129" s="4"/>
      <c r="J129" s="4"/>
      <c r="K129" s="4"/>
      <c r="L129" s="4"/>
      <c r="M129" s="4"/>
      <c r="N129" s="4"/>
      <c r="O129" s="4"/>
      <c r="P129" s="4"/>
      <c r="Q129" s="4"/>
      <c r="R129" s="4"/>
      <c r="S129" s="4"/>
    </row>
    <row r="130" spans="1:19" ht="16.5" customHeight="1">
      <c r="A130" s="4"/>
      <c r="B130" s="11"/>
      <c r="C130" s="11"/>
      <c r="D130" s="11"/>
      <c r="E130" s="14"/>
      <c r="F130" s="4"/>
      <c r="G130" s="8">
        <v>127</v>
      </c>
      <c r="H130" s="13"/>
      <c r="I130" s="4"/>
      <c r="J130" s="4"/>
      <c r="K130" s="4"/>
      <c r="L130" s="4"/>
      <c r="M130" s="4"/>
      <c r="N130" s="4"/>
      <c r="O130" s="4"/>
      <c r="P130" s="4"/>
      <c r="Q130" s="4"/>
      <c r="R130" s="4"/>
      <c r="S130" s="4"/>
    </row>
    <row r="131" spans="1:19" ht="16.5" customHeight="1">
      <c r="A131" s="4"/>
      <c r="B131" s="11"/>
      <c r="C131" s="11"/>
      <c r="D131" s="11"/>
      <c r="E131" s="14"/>
      <c r="F131" s="4"/>
      <c r="G131" s="8">
        <v>128</v>
      </c>
      <c r="H131" s="13"/>
      <c r="I131" s="4"/>
      <c r="J131" s="4"/>
      <c r="K131" s="4"/>
      <c r="L131" s="4"/>
      <c r="M131" s="4"/>
      <c r="N131" s="4"/>
      <c r="O131" s="4"/>
      <c r="P131" s="4"/>
      <c r="Q131" s="4"/>
      <c r="R131" s="4"/>
      <c r="S131" s="4"/>
    </row>
    <row r="132" spans="1:19" ht="16.5" customHeight="1">
      <c r="A132" s="4"/>
      <c r="B132" s="11"/>
      <c r="C132" s="11"/>
      <c r="D132" s="11"/>
      <c r="E132" s="14"/>
      <c r="F132" s="4"/>
      <c r="G132" s="8">
        <v>129</v>
      </c>
      <c r="H132" s="13"/>
      <c r="I132" s="4"/>
      <c r="J132" s="4"/>
      <c r="K132" s="4"/>
      <c r="L132" s="4"/>
      <c r="M132" s="4"/>
      <c r="N132" s="4"/>
      <c r="O132" s="4"/>
      <c r="P132" s="4"/>
      <c r="Q132" s="4"/>
      <c r="R132" s="4"/>
      <c r="S132" s="4"/>
    </row>
    <row r="133" spans="1:19" ht="16.5" customHeight="1">
      <c r="A133" s="4"/>
      <c r="B133" s="11"/>
      <c r="C133" s="11"/>
      <c r="D133" s="11"/>
      <c r="E133" s="14"/>
      <c r="F133" s="4"/>
      <c r="G133" s="8">
        <v>130</v>
      </c>
      <c r="H133" s="13"/>
      <c r="I133" s="4"/>
      <c r="J133" s="4"/>
      <c r="K133" s="4"/>
      <c r="L133" s="4"/>
      <c r="M133" s="4"/>
      <c r="N133" s="4"/>
      <c r="O133" s="4"/>
      <c r="P133" s="4"/>
      <c r="Q133" s="4"/>
      <c r="R133" s="4"/>
      <c r="S133" s="4"/>
    </row>
    <row r="134" spans="1:19" ht="16.5" customHeight="1">
      <c r="A134" s="4"/>
      <c r="B134" s="11"/>
      <c r="C134" s="11"/>
      <c r="D134" s="11"/>
      <c r="E134" s="14"/>
      <c r="F134" s="4"/>
      <c r="G134" s="8">
        <v>131</v>
      </c>
      <c r="H134" s="13"/>
      <c r="I134" s="4"/>
      <c r="J134" s="4"/>
      <c r="K134" s="4"/>
      <c r="L134" s="4"/>
      <c r="M134" s="4"/>
      <c r="N134" s="4"/>
      <c r="O134" s="4"/>
      <c r="P134" s="4"/>
      <c r="Q134" s="4"/>
      <c r="R134" s="4"/>
      <c r="S134" s="4"/>
    </row>
    <row r="135" spans="1:19" ht="16.5" customHeight="1">
      <c r="A135" s="4"/>
      <c r="B135" s="11"/>
      <c r="C135" s="11"/>
      <c r="D135" s="11"/>
      <c r="E135" s="14"/>
      <c r="F135" s="4"/>
      <c r="G135" s="8">
        <v>132</v>
      </c>
      <c r="H135" s="13"/>
      <c r="I135" s="4"/>
      <c r="J135" s="4"/>
      <c r="K135" s="4"/>
      <c r="L135" s="4"/>
      <c r="M135" s="4"/>
      <c r="N135" s="4"/>
      <c r="O135" s="4"/>
      <c r="P135" s="4"/>
      <c r="Q135" s="4"/>
      <c r="R135" s="4"/>
      <c r="S135" s="4"/>
    </row>
    <row r="136" spans="1:19" ht="16.5" customHeight="1">
      <c r="A136" s="4"/>
      <c r="B136" s="11"/>
      <c r="C136" s="11"/>
      <c r="D136" s="11"/>
      <c r="E136" s="14"/>
      <c r="F136" s="4"/>
      <c r="G136" s="8">
        <v>133</v>
      </c>
      <c r="H136" s="13"/>
      <c r="I136" s="4"/>
      <c r="J136" s="4"/>
      <c r="K136" s="4"/>
      <c r="L136" s="4"/>
      <c r="M136" s="4"/>
      <c r="N136" s="4"/>
      <c r="O136" s="4"/>
      <c r="P136" s="4"/>
      <c r="Q136" s="4"/>
      <c r="R136" s="4"/>
      <c r="S136" s="4"/>
    </row>
    <row r="137" spans="1:19" ht="16.5" customHeight="1">
      <c r="A137" s="4"/>
      <c r="B137" s="11"/>
      <c r="C137" s="11"/>
      <c r="D137" s="11"/>
      <c r="E137" s="14"/>
      <c r="F137" s="4"/>
      <c r="G137" s="8">
        <v>134</v>
      </c>
      <c r="H137" s="13"/>
      <c r="I137" s="4"/>
      <c r="J137" s="4"/>
      <c r="K137" s="4"/>
      <c r="L137" s="4"/>
      <c r="M137" s="4"/>
      <c r="N137" s="4"/>
      <c r="O137" s="4"/>
      <c r="P137" s="4"/>
      <c r="Q137" s="4"/>
      <c r="R137" s="4"/>
      <c r="S137" s="4"/>
    </row>
    <row r="138" spans="1:19" ht="16.5" customHeight="1">
      <c r="A138" s="4"/>
      <c r="B138" s="11"/>
      <c r="C138" s="11"/>
      <c r="D138" s="11"/>
      <c r="E138" s="14"/>
      <c r="F138" s="4"/>
      <c r="G138" s="8">
        <v>135</v>
      </c>
      <c r="H138" s="13"/>
      <c r="I138" s="4"/>
      <c r="J138" s="4"/>
      <c r="K138" s="4"/>
      <c r="L138" s="4"/>
      <c r="M138" s="4"/>
      <c r="N138" s="4"/>
      <c r="O138" s="4"/>
      <c r="P138" s="4"/>
      <c r="Q138" s="4"/>
      <c r="R138" s="4"/>
      <c r="S138" s="4"/>
    </row>
    <row r="139" spans="1:19" ht="16.5" customHeight="1">
      <c r="A139" s="4"/>
      <c r="B139" s="11"/>
      <c r="C139" s="11"/>
      <c r="D139" s="11"/>
      <c r="E139" s="14"/>
      <c r="F139" s="4"/>
      <c r="G139" s="8">
        <v>136</v>
      </c>
      <c r="H139" s="13"/>
      <c r="I139" s="4"/>
      <c r="J139" s="4"/>
      <c r="K139" s="4"/>
      <c r="L139" s="4"/>
      <c r="M139" s="4"/>
      <c r="N139" s="4"/>
      <c r="O139" s="4"/>
      <c r="P139" s="4"/>
      <c r="Q139" s="4"/>
      <c r="R139" s="4"/>
      <c r="S139" s="4"/>
    </row>
    <row r="140" spans="1:19" ht="16.5" customHeight="1">
      <c r="A140" s="4"/>
      <c r="B140" s="11"/>
      <c r="C140" s="11"/>
      <c r="D140" s="11"/>
      <c r="E140" s="14"/>
      <c r="F140" s="4"/>
      <c r="G140" s="8">
        <v>137</v>
      </c>
      <c r="H140" s="13"/>
      <c r="I140" s="4"/>
      <c r="J140" s="4"/>
      <c r="K140" s="4"/>
      <c r="L140" s="4"/>
      <c r="M140" s="4"/>
      <c r="N140" s="4"/>
      <c r="O140" s="4"/>
      <c r="P140" s="4"/>
      <c r="Q140" s="4"/>
      <c r="R140" s="4"/>
      <c r="S140" s="4"/>
    </row>
    <row r="141" spans="1:19" ht="16.5" customHeight="1">
      <c r="A141" s="4"/>
      <c r="B141" s="11"/>
      <c r="C141" s="11"/>
      <c r="D141" s="11"/>
      <c r="E141" s="14"/>
      <c r="F141" s="4"/>
      <c r="G141" s="8">
        <v>138</v>
      </c>
      <c r="H141" s="13"/>
      <c r="I141" s="4"/>
      <c r="J141" s="4"/>
      <c r="K141" s="4"/>
      <c r="L141" s="4"/>
      <c r="M141" s="4"/>
      <c r="N141" s="4"/>
      <c r="O141" s="4"/>
      <c r="P141" s="4"/>
      <c r="Q141" s="4"/>
      <c r="R141" s="4"/>
      <c r="S141" s="4"/>
    </row>
    <row r="142" spans="1:19" ht="16.5" customHeight="1">
      <c r="A142" s="4"/>
      <c r="B142" s="11"/>
      <c r="C142" s="11"/>
      <c r="D142" s="11"/>
      <c r="E142" s="14"/>
      <c r="F142" s="4"/>
      <c r="G142" s="8">
        <v>139</v>
      </c>
      <c r="H142" s="13"/>
      <c r="I142" s="4"/>
      <c r="J142" s="4"/>
      <c r="K142" s="4"/>
      <c r="L142" s="4"/>
      <c r="M142" s="4"/>
      <c r="N142" s="4"/>
      <c r="O142" s="4"/>
      <c r="P142" s="4"/>
      <c r="Q142" s="4"/>
      <c r="R142" s="4"/>
      <c r="S142" s="4"/>
    </row>
    <row r="143" spans="1:19" ht="16.5" customHeight="1">
      <c r="A143" s="4"/>
      <c r="B143" s="11"/>
      <c r="C143" s="11"/>
      <c r="D143" s="11"/>
      <c r="E143" s="14"/>
      <c r="F143" s="4"/>
      <c r="G143" s="8">
        <v>140</v>
      </c>
      <c r="H143" s="13"/>
      <c r="I143" s="4"/>
      <c r="J143" s="4"/>
      <c r="K143" s="4"/>
      <c r="L143" s="4"/>
      <c r="M143" s="4"/>
      <c r="N143" s="4"/>
      <c r="O143" s="4"/>
      <c r="P143" s="4"/>
      <c r="Q143" s="4"/>
      <c r="R143" s="4"/>
      <c r="S143" s="4"/>
    </row>
    <row r="144" spans="1:19" ht="16.5" customHeight="1">
      <c r="A144" s="4"/>
      <c r="B144" s="11"/>
      <c r="C144" s="11"/>
      <c r="D144" s="11"/>
      <c r="E144" s="14"/>
      <c r="F144" s="4"/>
      <c r="G144" s="8">
        <v>141</v>
      </c>
      <c r="H144" s="13"/>
      <c r="I144" s="4"/>
      <c r="J144" s="4"/>
      <c r="K144" s="4"/>
      <c r="L144" s="4"/>
      <c r="M144" s="4"/>
      <c r="N144" s="4"/>
      <c r="O144" s="4"/>
      <c r="P144" s="4"/>
      <c r="Q144" s="4"/>
      <c r="R144" s="4"/>
      <c r="S144" s="4"/>
    </row>
    <row r="145" spans="1:19" ht="16.5" customHeight="1">
      <c r="A145" s="4"/>
      <c r="B145" s="11"/>
      <c r="C145" s="11"/>
      <c r="D145" s="11"/>
      <c r="E145" s="14"/>
      <c r="F145" s="4"/>
      <c r="G145" s="8">
        <v>142</v>
      </c>
      <c r="H145" s="13"/>
      <c r="I145" s="4"/>
      <c r="J145" s="4"/>
      <c r="K145" s="4"/>
      <c r="L145" s="4"/>
      <c r="M145" s="4"/>
      <c r="N145" s="4"/>
      <c r="O145" s="4"/>
      <c r="P145" s="4"/>
      <c r="Q145" s="4"/>
      <c r="R145" s="4"/>
      <c r="S145" s="4"/>
    </row>
    <row r="146" spans="1:19" ht="16.5" customHeight="1">
      <c r="A146" s="4"/>
      <c r="B146" s="11"/>
      <c r="C146" s="11"/>
      <c r="D146" s="11"/>
      <c r="E146" s="14"/>
      <c r="F146" s="4"/>
      <c r="G146" s="8">
        <v>143</v>
      </c>
      <c r="H146" s="13"/>
      <c r="I146" s="4"/>
      <c r="J146" s="4"/>
      <c r="K146" s="4"/>
      <c r="L146" s="4"/>
      <c r="M146" s="4"/>
      <c r="N146" s="4"/>
      <c r="O146" s="4"/>
      <c r="P146" s="4"/>
      <c r="Q146" s="4"/>
      <c r="R146" s="4"/>
      <c r="S146" s="4"/>
    </row>
    <row r="147" spans="1:19" ht="16.5" customHeight="1">
      <c r="A147" s="4"/>
      <c r="B147" s="11"/>
      <c r="C147" s="11"/>
      <c r="D147" s="11"/>
      <c r="E147" s="14"/>
      <c r="F147" s="4"/>
      <c r="G147" s="8">
        <v>144</v>
      </c>
      <c r="H147" s="13"/>
      <c r="I147" s="4"/>
      <c r="J147" s="4"/>
      <c r="K147" s="4"/>
      <c r="L147" s="4"/>
      <c r="M147" s="4"/>
      <c r="N147" s="4"/>
      <c r="O147" s="4"/>
      <c r="P147" s="4"/>
      <c r="Q147" s="4"/>
      <c r="R147" s="4"/>
      <c r="S147" s="4"/>
    </row>
    <row r="148" spans="1:19" ht="16.5" customHeight="1">
      <c r="A148" s="4"/>
      <c r="B148" s="11"/>
      <c r="C148" s="11"/>
      <c r="D148" s="11"/>
      <c r="E148" s="14"/>
      <c r="F148" s="4"/>
      <c r="G148" s="8">
        <v>145</v>
      </c>
      <c r="H148" s="13"/>
      <c r="I148" s="4"/>
      <c r="J148" s="4"/>
      <c r="K148" s="4"/>
      <c r="L148" s="4"/>
      <c r="M148" s="4"/>
      <c r="N148" s="4"/>
      <c r="O148" s="4"/>
      <c r="P148" s="4"/>
      <c r="Q148" s="4"/>
      <c r="R148" s="4"/>
      <c r="S148" s="4"/>
    </row>
    <row r="149" spans="1:19" ht="16.5" customHeight="1">
      <c r="A149" s="4"/>
      <c r="B149" s="11"/>
      <c r="C149" s="11"/>
      <c r="D149" s="11"/>
      <c r="E149" s="14"/>
      <c r="F149" s="4"/>
      <c r="G149" s="8">
        <v>146</v>
      </c>
      <c r="H149" s="13"/>
      <c r="I149" s="4"/>
      <c r="J149" s="4"/>
      <c r="K149" s="4"/>
      <c r="L149" s="4"/>
      <c r="M149" s="4"/>
      <c r="N149" s="4"/>
      <c r="O149" s="4"/>
      <c r="P149" s="4"/>
      <c r="Q149" s="4"/>
      <c r="R149" s="4"/>
      <c r="S149" s="4"/>
    </row>
    <row r="150" spans="1:19" ht="16.5" customHeight="1">
      <c r="A150" s="4"/>
      <c r="B150" s="11"/>
      <c r="C150" s="11"/>
      <c r="D150" s="11"/>
      <c r="E150" s="14"/>
      <c r="F150" s="4"/>
      <c r="G150" s="8">
        <v>147</v>
      </c>
      <c r="H150" s="13"/>
      <c r="I150" s="4"/>
      <c r="J150" s="4"/>
      <c r="K150" s="4"/>
      <c r="L150" s="4"/>
      <c r="M150" s="4"/>
      <c r="N150" s="4"/>
      <c r="O150" s="4"/>
      <c r="P150" s="4"/>
      <c r="Q150" s="4"/>
      <c r="R150" s="4"/>
      <c r="S150" s="4"/>
    </row>
    <row r="151" spans="1:19" ht="16.5" customHeight="1">
      <c r="A151" s="4"/>
      <c r="B151" s="11"/>
      <c r="C151" s="11"/>
      <c r="D151" s="11"/>
      <c r="E151" s="14"/>
      <c r="F151" s="4"/>
      <c r="G151" s="8">
        <v>148</v>
      </c>
      <c r="H151" s="13"/>
      <c r="I151" s="4"/>
      <c r="J151" s="4"/>
      <c r="K151" s="4"/>
      <c r="L151" s="4"/>
      <c r="M151" s="4"/>
      <c r="N151" s="4"/>
      <c r="O151" s="4"/>
      <c r="P151" s="4"/>
      <c r="Q151" s="4"/>
      <c r="R151" s="4"/>
      <c r="S151" s="4"/>
    </row>
    <row r="152" spans="1:19" ht="16.5" customHeight="1">
      <c r="A152" s="4"/>
      <c r="B152" s="11"/>
      <c r="C152" s="11"/>
      <c r="D152" s="11"/>
      <c r="E152" s="14"/>
      <c r="F152" s="4"/>
      <c r="G152" s="8">
        <v>149</v>
      </c>
      <c r="H152" s="13"/>
      <c r="I152" s="4"/>
      <c r="J152" s="4"/>
      <c r="K152" s="4"/>
      <c r="L152" s="4"/>
      <c r="M152" s="4"/>
      <c r="N152" s="4"/>
      <c r="O152" s="4"/>
      <c r="P152" s="4"/>
      <c r="Q152" s="4"/>
      <c r="R152" s="4"/>
      <c r="S152" s="4"/>
    </row>
    <row r="153" spans="1:19" ht="16.5" customHeight="1">
      <c r="A153" s="4"/>
      <c r="B153" s="11"/>
      <c r="C153" s="11"/>
      <c r="D153" s="11"/>
      <c r="E153" s="14"/>
      <c r="F153" s="4"/>
      <c r="G153" s="8">
        <v>150</v>
      </c>
      <c r="H153" s="13"/>
      <c r="I153" s="4"/>
      <c r="J153" s="4"/>
      <c r="K153" s="4"/>
      <c r="L153" s="4"/>
      <c r="M153" s="4"/>
      <c r="N153" s="4"/>
      <c r="O153" s="4"/>
      <c r="P153" s="4"/>
      <c r="Q153" s="4"/>
      <c r="R153" s="4"/>
      <c r="S153" s="4"/>
    </row>
    <row r="154" spans="1:19" ht="16.5" customHeight="1">
      <c r="A154" s="4"/>
      <c r="B154" s="11"/>
      <c r="C154" s="11"/>
      <c r="D154" s="11"/>
      <c r="E154" s="14"/>
      <c r="F154" s="4"/>
      <c r="G154" s="14"/>
      <c r="H154" s="22"/>
      <c r="I154" s="4"/>
      <c r="J154" s="4"/>
      <c r="K154" s="4"/>
      <c r="L154" s="4"/>
      <c r="M154" s="4"/>
      <c r="N154" s="4"/>
      <c r="O154" s="4"/>
      <c r="P154" s="4"/>
      <c r="Q154" s="4"/>
      <c r="R154" s="4"/>
      <c r="S154" s="4"/>
    </row>
    <row r="155" spans="1:19" ht="16.5" customHeight="1">
      <c r="A155" s="4"/>
      <c r="B155" s="11"/>
      <c r="C155" s="11"/>
      <c r="D155" s="11"/>
      <c r="E155" s="14"/>
      <c r="F155" s="4"/>
      <c r="G155" s="14"/>
      <c r="H155" s="22"/>
      <c r="I155" s="4"/>
      <c r="J155" s="4"/>
      <c r="K155" s="4"/>
      <c r="L155" s="4"/>
      <c r="M155" s="4"/>
      <c r="N155" s="4"/>
      <c r="O155" s="4"/>
      <c r="P155" s="4"/>
      <c r="Q155" s="4"/>
      <c r="R155" s="4"/>
      <c r="S155" s="4"/>
    </row>
    <row r="156" spans="1:19" ht="16.5" customHeight="1">
      <c r="A156" s="4"/>
      <c r="B156" s="11"/>
      <c r="C156" s="11"/>
      <c r="D156" s="11"/>
      <c r="E156" s="14"/>
      <c r="F156" s="4"/>
      <c r="G156" s="14"/>
      <c r="H156" s="22"/>
      <c r="I156" s="4"/>
      <c r="J156" s="4"/>
      <c r="K156" s="4"/>
      <c r="L156" s="4"/>
      <c r="M156" s="4"/>
      <c r="N156" s="4"/>
      <c r="O156" s="4"/>
      <c r="P156" s="4"/>
      <c r="Q156" s="4"/>
      <c r="R156" s="4"/>
      <c r="S156" s="4"/>
    </row>
    <row r="157" spans="1:19" ht="16.5" customHeight="1">
      <c r="A157" s="4"/>
      <c r="B157" s="11"/>
      <c r="C157" s="11"/>
      <c r="D157" s="11"/>
      <c r="E157" s="14"/>
      <c r="F157" s="4"/>
      <c r="G157" s="14"/>
      <c r="H157" s="22"/>
      <c r="I157" s="4"/>
      <c r="J157" s="4"/>
      <c r="K157" s="4"/>
      <c r="L157" s="4"/>
      <c r="M157" s="4"/>
      <c r="N157" s="4"/>
      <c r="O157" s="4"/>
      <c r="P157" s="4"/>
      <c r="Q157" s="4"/>
      <c r="R157" s="4"/>
      <c r="S157" s="4"/>
    </row>
    <row r="158" spans="1:19" ht="16.5" customHeight="1">
      <c r="A158" s="4"/>
      <c r="B158" s="11"/>
      <c r="C158" s="11"/>
      <c r="D158" s="11"/>
      <c r="E158" s="14"/>
      <c r="F158" s="4"/>
      <c r="G158" s="14"/>
      <c r="H158" s="22"/>
      <c r="I158" s="4"/>
      <c r="J158" s="4"/>
      <c r="K158" s="4"/>
      <c r="L158" s="4"/>
      <c r="M158" s="4"/>
      <c r="N158" s="4"/>
      <c r="O158" s="4"/>
      <c r="P158" s="4"/>
      <c r="Q158" s="4"/>
      <c r="R158" s="4"/>
      <c r="S158" s="4"/>
    </row>
    <row r="159" spans="1:19" ht="16.5" customHeight="1">
      <c r="A159" s="4"/>
      <c r="B159" s="11"/>
      <c r="C159" s="11"/>
      <c r="D159" s="11"/>
      <c r="E159" s="14"/>
      <c r="F159" s="4"/>
      <c r="G159" s="14"/>
      <c r="H159" s="22"/>
      <c r="I159" s="4"/>
      <c r="J159" s="4"/>
      <c r="K159" s="4"/>
      <c r="L159" s="4"/>
      <c r="M159" s="4"/>
      <c r="N159" s="4"/>
      <c r="O159" s="4"/>
      <c r="P159" s="4"/>
      <c r="Q159" s="4"/>
      <c r="R159" s="4"/>
      <c r="S159" s="4"/>
    </row>
    <row r="160" spans="1:19" ht="16.5" customHeight="1">
      <c r="A160" s="4"/>
      <c r="B160" s="11"/>
      <c r="C160" s="11"/>
      <c r="D160" s="11"/>
      <c r="E160" s="14"/>
      <c r="F160" s="4"/>
      <c r="G160" s="14"/>
      <c r="H160" s="22"/>
      <c r="I160" s="4"/>
      <c r="J160" s="4"/>
      <c r="K160" s="4"/>
      <c r="L160" s="4"/>
      <c r="M160" s="4"/>
      <c r="N160" s="4"/>
      <c r="O160" s="4"/>
      <c r="P160" s="4"/>
      <c r="Q160" s="4"/>
      <c r="R160" s="4"/>
      <c r="S160" s="4"/>
    </row>
    <row r="161" spans="1:19" ht="16.5" customHeight="1">
      <c r="A161" s="4"/>
      <c r="B161" s="11"/>
      <c r="C161" s="11"/>
      <c r="D161" s="11"/>
      <c r="E161" s="14"/>
      <c r="F161" s="4"/>
      <c r="G161" s="14"/>
      <c r="H161" s="22"/>
      <c r="I161" s="4"/>
      <c r="J161" s="4"/>
      <c r="K161" s="4"/>
      <c r="L161" s="4"/>
      <c r="M161" s="4"/>
      <c r="N161" s="4"/>
      <c r="O161" s="4"/>
      <c r="P161" s="4"/>
      <c r="Q161" s="4"/>
      <c r="R161" s="4"/>
      <c r="S161" s="4"/>
    </row>
    <row r="162" spans="1:19" ht="16.5" customHeight="1">
      <c r="A162" s="4"/>
      <c r="B162" s="11"/>
      <c r="C162" s="11"/>
      <c r="D162" s="11"/>
      <c r="E162" s="14"/>
      <c r="F162" s="4"/>
      <c r="G162" s="14"/>
      <c r="H162" s="22"/>
      <c r="I162" s="4"/>
      <c r="J162" s="4"/>
      <c r="K162" s="4"/>
      <c r="L162" s="4"/>
      <c r="M162" s="4"/>
      <c r="N162" s="4"/>
      <c r="O162" s="4"/>
      <c r="P162" s="4"/>
      <c r="Q162" s="4"/>
      <c r="R162" s="4"/>
      <c r="S162" s="4"/>
    </row>
    <row r="163" spans="1:19" ht="16.5" customHeight="1">
      <c r="A163" s="4"/>
      <c r="B163" s="11"/>
      <c r="C163" s="11"/>
      <c r="D163" s="11"/>
      <c r="E163" s="14"/>
      <c r="F163" s="4"/>
      <c r="G163" s="14"/>
      <c r="H163" s="22"/>
      <c r="I163" s="4"/>
      <c r="J163" s="4"/>
      <c r="K163" s="4"/>
      <c r="L163" s="4"/>
      <c r="M163" s="4"/>
      <c r="N163" s="4"/>
      <c r="O163" s="4"/>
      <c r="P163" s="4"/>
      <c r="Q163" s="4"/>
      <c r="R163" s="4"/>
      <c r="S163" s="4"/>
    </row>
    <row r="164" spans="1:19" ht="16.5" customHeight="1">
      <c r="A164" s="4"/>
      <c r="B164" s="11"/>
      <c r="C164" s="11"/>
      <c r="D164" s="11"/>
      <c r="E164" s="14"/>
      <c r="F164" s="4"/>
      <c r="G164" s="14"/>
      <c r="H164" s="22"/>
      <c r="I164" s="4"/>
      <c r="J164" s="4"/>
      <c r="K164" s="4"/>
      <c r="L164" s="4"/>
      <c r="M164" s="4"/>
      <c r="N164" s="4"/>
      <c r="O164" s="4"/>
      <c r="P164" s="4"/>
      <c r="Q164" s="4"/>
      <c r="R164" s="4"/>
      <c r="S164" s="4"/>
    </row>
    <row r="165" spans="1:19" ht="16.5" customHeight="1">
      <c r="A165" s="4"/>
      <c r="B165" s="11"/>
      <c r="C165" s="11"/>
      <c r="D165" s="11"/>
      <c r="E165" s="14"/>
      <c r="F165" s="4"/>
      <c r="G165" s="14"/>
      <c r="H165" s="22"/>
      <c r="I165" s="4"/>
      <c r="J165" s="4"/>
      <c r="K165" s="4"/>
      <c r="L165" s="4"/>
      <c r="M165" s="4"/>
      <c r="N165" s="4"/>
      <c r="O165" s="4"/>
      <c r="P165" s="4"/>
      <c r="Q165" s="4"/>
      <c r="R165" s="4"/>
      <c r="S165" s="4"/>
    </row>
    <row r="166" spans="1:19" ht="16.5" customHeight="1">
      <c r="A166" s="4"/>
      <c r="B166" s="11"/>
      <c r="C166" s="11"/>
      <c r="D166" s="11"/>
      <c r="E166" s="14"/>
      <c r="F166" s="4"/>
      <c r="G166" s="14"/>
      <c r="H166" s="22"/>
      <c r="I166" s="4"/>
      <c r="J166" s="4"/>
      <c r="K166" s="4"/>
      <c r="L166" s="4"/>
      <c r="M166" s="4"/>
      <c r="N166" s="4"/>
      <c r="O166" s="4"/>
      <c r="P166" s="4"/>
      <c r="Q166" s="4"/>
      <c r="R166" s="4"/>
      <c r="S166" s="4"/>
    </row>
    <row r="167" spans="1:19" ht="16.5" customHeight="1">
      <c r="A167" s="4"/>
      <c r="B167" s="11"/>
      <c r="C167" s="11"/>
      <c r="D167" s="11"/>
      <c r="E167" s="14"/>
      <c r="F167" s="4"/>
      <c r="G167" s="14"/>
      <c r="H167" s="22"/>
      <c r="I167" s="4"/>
      <c r="J167" s="4"/>
      <c r="K167" s="4"/>
      <c r="L167" s="4"/>
      <c r="M167" s="4"/>
      <c r="N167" s="4"/>
      <c r="O167" s="4"/>
      <c r="P167" s="4"/>
      <c r="Q167" s="4"/>
      <c r="R167" s="4"/>
      <c r="S167" s="4"/>
    </row>
    <row r="168" spans="1:19" ht="16.5" customHeight="1">
      <c r="A168" s="4"/>
      <c r="B168" s="11"/>
      <c r="C168" s="11"/>
      <c r="D168" s="11"/>
      <c r="E168" s="14"/>
      <c r="F168" s="4"/>
      <c r="G168" s="14"/>
      <c r="H168" s="22"/>
      <c r="I168" s="4"/>
      <c r="J168" s="4"/>
      <c r="K168" s="4"/>
      <c r="L168" s="4"/>
      <c r="M168" s="4"/>
      <c r="N168" s="4"/>
      <c r="O168" s="4"/>
      <c r="P168" s="4"/>
      <c r="Q168" s="4"/>
      <c r="R168" s="4"/>
      <c r="S168" s="4"/>
    </row>
    <row r="169" spans="1:19" ht="16.5" customHeight="1">
      <c r="A169" s="4"/>
      <c r="B169" s="11"/>
      <c r="C169" s="11"/>
      <c r="D169" s="11"/>
      <c r="E169" s="14"/>
      <c r="F169" s="4"/>
      <c r="G169" s="14"/>
      <c r="H169" s="22"/>
      <c r="I169" s="4"/>
      <c r="J169" s="4"/>
      <c r="K169" s="4"/>
      <c r="L169" s="4"/>
      <c r="M169" s="4"/>
      <c r="N169" s="4"/>
      <c r="O169" s="4"/>
      <c r="P169" s="4"/>
      <c r="Q169" s="4"/>
      <c r="R169" s="4"/>
      <c r="S169" s="4"/>
    </row>
    <row r="170" spans="1:19" ht="16.5" customHeight="1">
      <c r="A170" s="4"/>
      <c r="B170" s="11"/>
      <c r="C170" s="11"/>
      <c r="D170" s="11"/>
      <c r="E170" s="14"/>
      <c r="F170" s="4"/>
      <c r="G170" s="14"/>
      <c r="H170" s="22"/>
      <c r="I170" s="4"/>
      <c r="J170" s="4"/>
      <c r="K170" s="4"/>
      <c r="L170" s="4"/>
      <c r="M170" s="4"/>
      <c r="N170" s="4"/>
      <c r="O170" s="4"/>
      <c r="P170" s="4"/>
      <c r="Q170" s="4"/>
      <c r="R170" s="4"/>
      <c r="S170" s="4"/>
    </row>
    <row r="171" spans="1:19" ht="16.5" customHeight="1">
      <c r="A171" s="4"/>
      <c r="B171" s="11"/>
      <c r="C171" s="11"/>
      <c r="D171" s="11"/>
      <c r="E171" s="14"/>
      <c r="F171" s="4"/>
      <c r="G171" s="14"/>
      <c r="H171" s="22"/>
      <c r="I171" s="4"/>
      <c r="J171" s="4"/>
      <c r="K171" s="4"/>
      <c r="L171" s="4"/>
      <c r="M171" s="4"/>
      <c r="N171" s="4"/>
      <c r="O171" s="4"/>
      <c r="P171" s="4"/>
      <c r="Q171" s="4"/>
      <c r="R171" s="4"/>
      <c r="S171" s="4"/>
    </row>
    <row r="172" spans="1:19" ht="16.5" customHeight="1">
      <c r="A172" s="4"/>
      <c r="B172" s="11"/>
      <c r="C172" s="11"/>
      <c r="D172" s="11"/>
      <c r="E172" s="14"/>
      <c r="F172" s="4"/>
      <c r="G172" s="14"/>
      <c r="H172" s="22"/>
      <c r="I172" s="4"/>
      <c r="J172" s="4"/>
      <c r="K172" s="4"/>
      <c r="L172" s="4"/>
      <c r="M172" s="4"/>
      <c r="N172" s="4"/>
      <c r="O172" s="4"/>
      <c r="P172" s="4"/>
      <c r="Q172" s="4"/>
      <c r="R172" s="4"/>
      <c r="S172" s="4"/>
    </row>
    <row r="173" spans="1:19" ht="16.5" customHeight="1">
      <c r="A173" s="4"/>
      <c r="B173" s="11"/>
      <c r="C173" s="11"/>
      <c r="D173" s="11"/>
      <c r="E173" s="14"/>
      <c r="F173" s="4"/>
      <c r="G173" s="14"/>
      <c r="H173" s="22"/>
      <c r="I173" s="4"/>
      <c r="J173" s="4"/>
      <c r="K173" s="4"/>
      <c r="L173" s="4"/>
      <c r="M173" s="4"/>
      <c r="N173" s="4"/>
      <c r="O173" s="4"/>
      <c r="P173" s="4"/>
      <c r="Q173" s="4"/>
      <c r="R173" s="4"/>
      <c r="S173" s="4"/>
    </row>
    <row r="174" spans="1:19" ht="16.5" customHeight="1">
      <c r="A174" s="4"/>
      <c r="B174" s="11"/>
      <c r="C174" s="11"/>
      <c r="D174" s="11"/>
      <c r="E174" s="14"/>
      <c r="F174" s="4"/>
      <c r="G174" s="14"/>
      <c r="H174" s="22"/>
      <c r="I174" s="4"/>
      <c r="J174" s="4"/>
      <c r="K174" s="4"/>
      <c r="L174" s="4"/>
      <c r="M174" s="4"/>
      <c r="N174" s="4"/>
      <c r="O174" s="4"/>
      <c r="P174" s="4"/>
      <c r="Q174" s="4"/>
      <c r="R174" s="4"/>
      <c r="S174" s="4"/>
    </row>
    <row r="175" spans="1:19" ht="16.5" customHeight="1">
      <c r="A175" s="4"/>
      <c r="B175" s="11"/>
      <c r="C175" s="11"/>
      <c r="D175" s="11"/>
      <c r="E175" s="14"/>
      <c r="F175" s="4"/>
      <c r="G175" s="14"/>
      <c r="H175" s="22"/>
      <c r="I175" s="4"/>
      <c r="J175" s="4"/>
      <c r="K175" s="4"/>
      <c r="L175" s="4"/>
      <c r="M175" s="4"/>
      <c r="N175" s="4"/>
      <c r="O175" s="4"/>
      <c r="P175" s="4"/>
      <c r="Q175" s="4"/>
      <c r="R175" s="4"/>
      <c r="S175" s="4"/>
    </row>
    <row r="176" spans="1:19" ht="16.5" customHeight="1">
      <c r="A176" s="4"/>
      <c r="B176" s="11"/>
      <c r="C176" s="11"/>
      <c r="D176" s="11"/>
      <c r="E176" s="14"/>
      <c r="F176" s="4"/>
      <c r="G176" s="14"/>
      <c r="H176" s="22"/>
      <c r="I176" s="4"/>
      <c r="J176" s="4"/>
      <c r="K176" s="4"/>
      <c r="L176" s="4"/>
      <c r="M176" s="4"/>
      <c r="N176" s="4"/>
      <c r="O176" s="4"/>
      <c r="P176" s="4"/>
      <c r="Q176" s="4"/>
      <c r="R176" s="4"/>
      <c r="S176" s="4"/>
    </row>
    <row r="177" spans="1:19" ht="16.5" customHeight="1">
      <c r="A177" s="4"/>
      <c r="B177" s="11"/>
      <c r="C177" s="11"/>
      <c r="D177" s="11"/>
      <c r="E177" s="14"/>
      <c r="F177" s="4"/>
      <c r="G177" s="14"/>
      <c r="H177" s="22"/>
      <c r="I177" s="4"/>
      <c r="J177" s="4"/>
      <c r="K177" s="4"/>
      <c r="L177" s="4"/>
      <c r="M177" s="4"/>
      <c r="N177" s="4"/>
      <c r="O177" s="4"/>
      <c r="P177" s="4"/>
      <c r="Q177" s="4"/>
      <c r="R177" s="4"/>
      <c r="S177" s="4"/>
    </row>
    <row r="178" spans="1:19" ht="16.5" customHeight="1">
      <c r="A178" s="4"/>
      <c r="B178" s="11"/>
      <c r="C178" s="11"/>
      <c r="D178" s="11"/>
      <c r="E178" s="14"/>
      <c r="F178" s="4"/>
      <c r="G178" s="14"/>
      <c r="H178" s="22"/>
      <c r="I178" s="4"/>
      <c r="J178" s="4"/>
      <c r="K178" s="4"/>
      <c r="L178" s="4"/>
      <c r="M178" s="4"/>
      <c r="N178" s="4"/>
      <c r="O178" s="4"/>
      <c r="P178" s="4"/>
      <c r="Q178" s="4"/>
      <c r="R178" s="4"/>
      <c r="S178" s="4"/>
    </row>
    <row r="179" spans="1:19" ht="16.5" customHeight="1">
      <c r="A179" s="4"/>
      <c r="B179" s="11"/>
      <c r="C179" s="11"/>
      <c r="D179" s="11"/>
      <c r="E179" s="14"/>
      <c r="F179" s="4"/>
      <c r="G179" s="14"/>
      <c r="H179" s="22"/>
      <c r="I179" s="4"/>
      <c r="J179" s="4"/>
      <c r="K179" s="4"/>
      <c r="L179" s="4"/>
      <c r="M179" s="4"/>
      <c r="N179" s="4"/>
      <c r="O179" s="4"/>
      <c r="P179" s="4"/>
      <c r="Q179" s="4"/>
      <c r="R179" s="4"/>
      <c r="S179" s="4"/>
    </row>
    <row r="180" spans="1:19" ht="16.5" customHeight="1">
      <c r="A180" s="4"/>
      <c r="B180" s="11"/>
      <c r="C180" s="11"/>
      <c r="D180" s="11"/>
      <c r="E180" s="14"/>
      <c r="F180" s="4"/>
      <c r="G180" s="14"/>
      <c r="H180" s="22"/>
      <c r="I180" s="4"/>
      <c r="J180" s="4"/>
      <c r="K180" s="4"/>
      <c r="L180" s="4"/>
      <c r="M180" s="4"/>
      <c r="N180" s="4"/>
      <c r="O180" s="4"/>
      <c r="P180" s="4"/>
      <c r="Q180" s="4"/>
      <c r="R180" s="4"/>
      <c r="S180" s="4"/>
    </row>
    <row r="181" spans="1:19" ht="16.5" customHeight="1">
      <c r="A181" s="4"/>
      <c r="B181" s="11"/>
      <c r="C181" s="11"/>
      <c r="D181" s="11"/>
      <c r="E181" s="14"/>
      <c r="F181" s="4"/>
      <c r="G181" s="14"/>
      <c r="H181" s="22"/>
      <c r="I181" s="4"/>
      <c r="J181" s="4"/>
      <c r="K181" s="4"/>
      <c r="L181" s="4"/>
      <c r="M181" s="4"/>
      <c r="N181" s="4"/>
      <c r="O181" s="4"/>
      <c r="P181" s="4"/>
      <c r="Q181" s="4"/>
      <c r="R181" s="4"/>
      <c r="S181" s="4"/>
    </row>
    <row r="182" spans="1:19" ht="16.5" customHeight="1">
      <c r="A182" s="4"/>
      <c r="B182" s="11"/>
      <c r="C182" s="11"/>
      <c r="D182" s="11"/>
      <c r="E182" s="14"/>
      <c r="F182" s="4"/>
      <c r="G182" s="14"/>
      <c r="H182" s="22"/>
      <c r="I182" s="4"/>
      <c r="J182" s="4"/>
      <c r="K182" s="4"/>
      <c r="L182" s="4"/>
      <c r="M182" s="4"/>
      <c r="N182" s="4"/>
      <c r="O182" s="4"/>
      <c r="P182" s="4"/>
      <c r="Q182" s="4"/>
      <c r="R182" s="4"/>
      <c r="S182" s="4"/>
    </row>
    <row r="183" spans="1:19" ht="16.5" customHeight="1">
      <c r="A183" s="4"/>
      <c r="B183" s="11"/>
      <c r="C183" s="11"/>
      <c r="D183" s="11"/>
      <c r="E183" s="14"/>
      <c r="F183" s="4"/>
      <c r="G183" s="14"/>
      <c r="H183" s="22"/>
      <c r="I183" s="4"/>
      <c r="J183" s="4"/>
      <c r="K183" s="4"/>
      <c r="L183" s="4"/>
      <c r="M183" s="4"/>
      <c r="N183" s="4"/>
      <c r="O183" s="4"/>
      <c r="P183" s="4"/>
      <c r="Q183" s="4"/>
      <c r="R183" s="4"/>
      <c r="S183" s="4"/>
    </row>
    <row r="184" spans="1:19" ht="16.5" customHeight="1">
      <c r="A184" s="4"/>
      <c r="B184" s="11"/>
      <c r="C184" s="11"/>
      <c r="D184" s="11"/>
      <c r="E184" s="14"/>
      <c r="F184" s="4"/>
      <c r="G184" s="14"/>
      <c r="H184" s="22"/>
      <c r="I184" s="4"/>
      <c r="J184" s="4"/>
      <c r="K184" s="4"/>
      <c r="L184" s="4"/>
      <c r="M184" s="4"/>
      <c r="N184" s="4"/>
      <c r="O184" s="4"/>
      <c r="P184" s="4"/>
      <c r="Q184" s="4"/>
      <c r="R184" s="4"/>
      <c r="S184" s="4"/>
    </row>
    <row r="185" spans="1:19" ht="16.5" customHeight="1">
      <c r="A185" s="4"/>
      <c r="B185" s="11"/>
      <c r="C185" s="11"/>
      <c r="D185" s="11"/>
      <c r="E185" s="14"/>
      <c r="F185" s="4"/>
      <c r="G185" s="14"/>
      <c r="H185" s="22"/>
      <c r="I185" s="4"/>
      <c r="J185" s="4"/>
      <c r="K185" s="4"/>
      <c r="L185" s="4"/>
      <c r="M185" s="4"/>
      <c r="N185" s="4"/>
      <c r="O185" s="4"/>
      <c r="P185" s="4"/>
      <c r="Q185" s="4"/>
      <c r="R185" s="4"/>
      <c r="S185" s="4"/>
    </row>
    <row r="186" spans="1:19" ht="16.5" customHeight="1">
      <c r="A186" s="4"/>
      <c r="B186" s="11"/>
      <c r="C186" s="11"/>
      <c r="D186" s="11"/>
      <c r="E186" s="14"/>
      <c r="F186" s="4"/>
      <c r="G186" s="14"/>
      <c r="H186" s="22"/>
      <c r="I186" s="4"/>
      <c r="J186" s="4"/>
      <c r="K186" s="4"/>
      <c r="L186" s="4"/>
      <c r="M186" s="4"/>
      <c r="N186" s="4"/>
      <c r="O186" s="4"/>
      <c r="P186" s="4"/>
      <c r="Q186" s="4"/>
      <c r="R186" s="4"/>
      <c r="S186" s="4"/>
    </row>
    <row r="187" spans="1:19" ht="16.5" customHeight="1">
      <c r="A187" s="4"/>
      <c r="B187" s="11"/>
      <c r="C187" s="11"/>
      <c r="D187" s="11"/>
      <c r="E187" s="14"/>
      <c r="F187" s="4"/>
      <c r="G187" s="14"/>
      <c r="H187" s="22"/>
      <c r="I187" s="4"/>
      <c r="J187" s="4"/>
      <c r="K187" s="4"/>
      <c r="L187" s="4"/>
      <c r="M187" s="4"/>
      <c r="N187" s="4"/>
      <c r="O187" s="4"/>
      <c r="P187" s="4"/>
      <c r="Q187" s="4"/>
      <c r="R187" s="4"/>
      <c r="S187" s="4"/>
    </row>
    <row r="188" spans="1:19" ht="16.5" customHeight="1">
      <c r="A188" s="4"/>
      <c r="B188" s="11"/>
      <c r="C188" s="11"/>
      <c r="D188" s="11"/>
      <c r="E188" s="14"/>
      <c r="F188" s="4"/>
      <c r="G188" s="14"/>
      <c r="H188" s="22"/>
      <c r="I188" s="4"/>
      <c r="J188" s="4"/>
      <c r="K188" s="4"/>
      <c r="L188" s="4"/>
      <c r="M188" s="4"/>
      <c r="N188" s="4"/>
      <c r="O188" s="4"/>
      <c r="P188" s="4"/>
      <c r="Q188" s="4"/>
      <c r="R188" s="4"/>
      <c r="S188" s="4"/>
    </row>
    <row r="189" spans="1:19" ht="16.5" customHeight="1">
      <c r="A189" s="4"/>
      <c r="B189" s="11"/>
      <c r="C189" s="11"/>
      <c r="D189" s="11"/>
      <c r="E189" s="14"/>
      <c r="F189" s="4"/>
      <c r="G189" s="14"/>
      <c r="H189" s="22"/>
      <c r="I189" s="4"/>
      <c r="J189" s="4"/>
      <c r="K189" s="4"/>
      <c r="L189" s="4"/>
      <c r="M189" s="4"/>
      <c r="N189" s="4"/>
      <c r="O189" s="4"/>
      <c r="P189" s="4"/>
      <c r="Q189" s="4"/>
      <c r="R189" s="4"/>
      <c r="S189" s="4"/>
    </row>
    <row r="190" spans="1:19" ht="16.5" customHeight="1">
      <c r="A190" s="4"/>
      <c r="B190" s="11"/>
      <c r="C190" s="11"/>
      <c r="D190" s="11"/>
      <c r="E190" s="14"/>
      <c r="F190" s="4"/>
      <c r="G190" s="14"/>
      <c r="H190" s="22"/>
      <c r="I190" s="4"/>
      <c r="J190" s="4"/>
      <c r="K190" s="4"/>
      <c r="L190" s="4"/>
      <c r="M190" s="4"/>
      <c r="N190" s="4"/>
      <c r="O190" s="4"/>
      <c r="P190" s="4"/>
      <c r="Q190" s="4"/>
      <c r="R190" s="4"/>
      <c r="S190" s="4"/>
    </row>
    <row r="191" spans="1:19" ht="16.5" customHeight="1">
      <c r="A191" s="4"/>
      <c r="B191" s="11"/>
      <c r="C191" s="11"/>
      <c r="D191" s="11"/>
      <c r="E191" s="14"/>
      <c r="F191" s="4"/>
      <c r="G191" s="14"/>
      <c r="H191" s="22"/>
      <c r="I191" s="4"/>
      <c r="J191" s="4"/>
      <c r="K191" s="4"/>
      <c r="L191" s="4"/>
      <c r="M191" s="4"/>
      <c r="N191" s="4"/>
      <c r="O191" s="4"/>
      <c r="P191" s="4"/>
      <c r="Q191" s="4"/>
      <c r="R191" s="4"/>
      <c r="S191" s="4"/>
    </row>
    <row r="192" spans="1:19" ht="16.5" customHeight="1">
      <c r="A192" s="4"/>
      <c r="B192" s="11"/>
      <c r="C192" s="11"/>
      <c r="D192" s="11"/>
      <c r="E192" s="14"/>
      <c r="F192" s="4"/>
      <c r="G192" s="14"/>
      <c r="H192" s="22"/>
      <c r="I192" s="4"/>
      <c r="J192" s="4"/>
      <c r="K192" s="4"/>
      <c r="L192" s="4"/>
      <c r="M192" s="4"/>
      <c r="N192" s="4"/>
      <c r="O192" s="4"/>
      <c r="P192" s="4"/>
      <c r="Q192" s="4"/>
      <c r="R192" s="4"/>
      <c r="S192" s="4"/>
    </row>
    <row r="193" spans="1:19" ht="16.5" customHeight="1">
      <c r="A193" s="4"/>
      <c r="B193" s="11"/>
      <c r="C193" s="11"/>
      <c r="D193" s="11"/>
      <c r="E193" s="14"/>
      <c r="F193" s="4"/>
      <c r="G193" s="14"/>
      <c r="H193" s="22"/>
      <c r="I193" s="4"/>
      <c r="J193" s="4"/>
      <c r="K193" s="4"/>
      <c r="L193" s="4"/>
      <c r="M193" s="4"/>
      <c r="N193" s="4"/>
      <c r="O193" s="4"/>
      <c r="P193" s="4"/>
      <c r="Q193" s="4"/>
      <c r="R193" s="4"/>
      <c r="S193" s="4"/>
    </row>
    <row r="194" spans="1:19" ht="16.5" customHeight="1">
      <c r="A194" s="4"/>
      <c r="B194" s="11"/>
      <c r="C194" s="11"/>
      <c r="D194" s="11"/>
      <c r="E194" s="14"/>
      <c r="F194" s="4"/>
      <c r="G194" s="14"/>
      <c r="H194" s="22"/>
      <c r="I194" s="4"/>
      <c r="J194" s="4"/>
      <c r="K194" s="4"/>
      <c r="L194" s="4"/>
      <c r="M194" s="4"/>
      <c r="N194" s="4"/>
      <c r="O194" s="4"/>
      <c r="P194" s="4"/>
      <c r="Q194" s="4"/>
      <c r="R194" s="4"/>
      <c r="S194" s="4"/>
    </row>
    <row r="195" spans="1:19" ht="16.5" customHeight="1">
      <c r="A195" s="4"/>
      <c r="B195" s="11"/>
      <c r="C195" s="11"/>
      <c r="D195" s="11"/>
      <c r="E195" s="14"/>
      <c r="F195" s="4"/>
      <c r="G195" s="14"/>
      <c r="H195" s="22"/>
      <c r="I195" s="4"/>
      <c r="J195" s="4"/>
      <c r="K195" s="4"/>
      <c r="L195" s="4"/>
      <c r="M195" s="4"/>
      <c r="N195" s="4"/>
      <c r="O195" s="4"/>
      <c r="P195" s="4"/>
      <c r="Q195" s="4"/>
      <c r="R195" s="4"/>
      <c r="S195" s="4"/>
    </row>
    <row r="196" spans="1:19" ht="16.5" customHeight="1">
      <c r="A196" s="4"/>
      <c r="B196" s="11"/>
      <c r="C196" s="11"/>
      <c r="D196" s="11"/>
      <c r="E196" s="14"/>
      <c r="F196" s="4"/>
      <c r="G196" s="14"/>
      <c r="H196" s="22"/>
      <c r="I196" s="4"/>
      <c r="J196" s="4"/>
      <c r="K196" s="4"/>
      <c r="L196" s="4"/>
      <c r="M196" s="4"/>
      <c r="N196" s="4"/>
      <c r="O196" s="4"/>
      <c r="P196" s="4"/>
      <c r="Q196" s="4"/>
      <c r="R196" s="4"/>
      <c r="S196" s="4"/>
    </row>
    <row r="197" spans="1:19" ht="16.5" customHeight="1">
      <c r="A197" s="4"/>
      <c r="B197" s="11"/>
      <c r="C197" s="11"/>
      <c r="D197" s="11"/>
      <c r="E197" s="14"/>
      <c r="F197" s="4"/>
      <c r="G197" s="14"/>
      <c r="H197" s="22"/>
      <c r="I197" s="4"/>
      <c r="J197" s="4"/>
      <c r="K197" s="4"/>
      <c r="L197" s="4"/>
      <c r="M197" s="4"/>
      <c r="N197" s="4"/>
      <c r="O197" s="4"/>
      <c r="P197" s="4"/>
      <c r="Q197" s="4"/>
      <c r="R197" s="4"/>
      <c r="S197" s="4"/>
    </row>
    <row r="198" spans="1:19" ht="16.5" customHeight="1">
      <c r="A198" s="4"/>
      <c r="B198" s="11"/>
      <c r="C198" s="11"/>
      <c r="D198" s="11"/>
      <c r="E198" s="14"/>
      <c r="F198" s="4"/>
      <c r="G198" s="14"/>
      <c r="H198" s="22"/>
      <c r="I198" s="4"/>
      <c r="J198" s="4"/>
      <c r="K198" s="4"/>
      <c r="L198" s="4"/>
      <c r="M198" s="4"/>
      <c r="N198" s="4"/>
      <c r="O198" s="4"/>
      <c r="P198" s="4"/>
      <c r="Q198" s="4"/>
      <c r="R198" s="4"/>
      <c r="S198" s="4"/>
    </row>
    <row r="199" spans="1:19" ht="16.5" customHeight="1">
      <c r="A199" s="4"/>
      <c r="B199" s="11"/>
      <c r="C199" s="11"/>
      <c r="D199" s="11"/>
      <c r="E199" s="14"/>
      <c r="F199" s="4"/>
      <c r="G199" s="14"/>
      <c r="H199" s="22"/>
      <c r="I199" s="4"/>
      <c r="J199" s="4"/>
      <c r="K199" s="4"/>
      <c r="L199" s="4"/>
      <c r="M199" s="4"/>
      <c r="N199" s="4"/>
      <c r="O199" s="4"/>
      <c r="P199" s="4"/>
      <c r="Q199" s="4"/>
      <c r="R199" s="4"/>
      <c r="S199" s="4"/>
    </row>
    <row r="200" spans="1:19" ht="16.5" customHeight="1">
      <c r="A200" s="4"/>
      <c r="B200" s="11"/>
      <c r="C200" s="11"/>
      <c r="D200" s="11"/>
      <c r="E200" s="14"/>
      <c r="F200" s="4"/>
      <c r="G200" s="14"/>
      <c r="H200" s="22"/>
      <c r="I200" s="4"/>
      <c r="J200" s="4"/>
      <c r="K200" s="4"/>
      <c r="L200" s="4"/>
      <c r="M200" s="4"/>
      <c r="N200" s="4"/>
      <c r="O200" s="4"/>
      <c r="P200" s="4"/>
      <c r="Q200" s="4"/>
      <c r="R200" s="4"/>
      <c r="S200" s="4"/>
    </row>
    <row r="201" spans="1:19" ht="16.5" customHeight="1">
      <c r="A201" s="4"/>
      <c r="B201" s="11"/>
      <c r="C201" s="11"/>
      <c r="D201" s="11"/>
      <c r="E201" s="14"/>
      <c r="F201" s="4"/>
      <c r="G201" s="14"/>
      <c r="H201" s="22"/>
      <c r="I201" s="4"/>
      <c r="J201" s="4"/>
      <c r="K201" s="4"/>
      <c r="L201" s="4"/>
      <c r="M201" s="4"/>
      <c r="N201" s="4"/>
      <c r="O201" s="4"/>
      <c r="P201" s="4"/>
      <c r="Q201" s="4"/>
      <c r="R201" s="4"/>
      <c r="S201" s="4"/>
    </row>
    <row r="202" spans="1:19" ht="16.5" customHeight="1">
      <c r="A202" s="4"/>
      <c r="B202" s="11"/>
      <c r="C202" s="11"/>
      <c r="D202" s="11"/>
      <c r="E202" s="14"/>
      <c r="F202" s="4"/>
      <c r="G202" s="14"/>
      <c r="H202" s="22"/>
      <c r="I202" s="4"/>
      <c r="J202" s="4"/>
      <c r="K202" s="4"/>
      <c r="L202" s="4"/>
      <c r="M202" s="4"/>
      <c r="N202" s="4"/>
      <c r="O202" s="4"/>
      <c r="P202" s="4"/>
      <c r="Q202" s="4"/>
      <c r="R202" s="4"/>
      <c r="S202" s="4"/>
    </row>
    <row r="203" spans="1:19" ht="16.5" customHeight="1">
      <c r="A203" s="4"/>
      <c r="B203" s="11"/>
      <c r="C203" s="11"/>
      <c r="D203" s="11"/>
      <c r="E203" s="14"/>
      <c r="F203" s="4"/>
      <c r="G203" s="14"/>
      <c r="H203" s="22"/>
      <c r="I203" s="4"/>
      <c r="J203" s="4"/>
      <c r="K203" s="4"/>
      <c r="L203" s="4"/>
      <c r="M203" s="4"/>
      <c r="N203" s="4"/>
      <c r="O203" s="4"/>
      <c r="P203" s="4"/>
      <c r="Q203" s="4"/>
      <c r="R203" s="4"/>
      <c r="S203" s="4"/>
    </row>
    <row r="204" spans="1:19" ht="16.5" customHeight="1">
      <c r="A204" s="4"/>
      <c r="B204" s="11"/>
      <c r="C204" s="11"/>
      <c r="D204" s="11"/>
      <c r="E204" s="14"/>
      <c r="F204" s="4"/>
      <c r="G204" s="14"/>
      <c r="H204" s="22"/>
      <c r="I204" s="4"/>
      <c r="J204" s="4"/>
      <c r="K204" s="4"/>
      <c r="L204" s="4"/>
      <c r="M204" s="4"/>
      <c r="N204" s="4"/>
      <c r="O204" s="4"/>
      <c r="P204" s="4"/>
      <c r="Q204" s="4"/>
      <c r="R204" s="4"/>
      <c r="S204" s="4"/>
    </row>
    <row r="205" spans="1:19" ht="16.5" customHeight="1">
      <c r="A205" s="4"/>
      <c r="B205" s="11"/>
      <c r="C205" s="11"/>
      <c r="D205" s="11"/>
      <c r="E205" s="14"/>
      <c r="F205" s="4"/>
      <c r="G205" s="14"/>
      <c r="H205" s="22"/>
      <c r="I205" s="4"/>
      <c r="J205" s="4"/>
      <c r="K205" s="4"/>
      <c r="L205" s="4"/>
      <c r="M205" s="4"/>
      <c r="N205" s="4"/>
      <c r="O205" s="4"/>
      <c r="P205" s="4"/>
      <c r="Q205" s="4"/>
      <c r="R205" s="4"/>
      <c r="S205" s="4"/>
    </row>
    <row r="206" spans="1:19" ht="16.5" customHeight="1">
      <c r="A206" s="4"/>
      <c r="B206" s="11"/>
      <c r="C206" s="11"/>
      <c r="D206" s="11"/>
      <c r="E206" s="14"/>
      <c r="F206" s="4"/>
      <c r="G206" s="14"/>
      <c r="H206" s="22"/>
      <c r="I206" s="4"/>
      <c r="J206" s="4"/>
      <c r="K206" s="4"/>
      <c r="L206" s="4"/>
      <c r="M206" s="4"/>
      <c r="N206" s="4"/>
      <c r="O206" s="4"/>
      <c r="P206" s="4"/>
      <c r="Q206" s="4"/>
      <c r="R206" s="4"/>
      <c r="S206" s="4"/>
    </row>
    <row r="207" spans="1:19" ht="16.5" customHeight="1">
      <c r="A207" s="4"/>
      <c r="B207" s="11"/>
      <c r="C207" s="11"/>
      <c r="D207" s="11"/>
      <c r="E207" s="14"/>
      <c r="F207" s="4"/>
      <c r="G207" s="14"/>
      <c r="H207" s="22"/>
      <c r="I207" s="4"/>
      <c r="J207" s="4"/>
      <c r="K207" s="4"/>
      <c r="L207" s="4"/>
      <c r="M207" s="4"/>
      <c r="N207" s="4"/>
      <c r="O207" s="4"/>
      <c r="P207" s="4"/>
      <c r="Q207" s="4"/>
      <c r="R207" s="4"/>
      <c r="S207" s="4"/>
    </row>
    <row r="208" spans="1:19" ht="16.5" customHeight="1">
      <c r="A208" s="4"/>
      <c r="B208" s="11"/>
      <c r="C208" s="11"/>
      <c r="D208" s="11"/>
      <c r="E208" s="14"/>
      <c r="F208" s="4"/>
      <c r="G208" s="14"/>
      <c r="H208" s="22"/>
      <c r="I208" s="4"/>
      <c r="J208" s="4"/>
      <c r="K208" s="4"/>
      <c r="L208" s="4"/>
      <c r="M208" s="4"/>
      <c r="N208" s="4"/>
      <c r="O208" s="4"/>
      <c r="P208" s="4"/>
      <c r="Q208" s="4"/>
      <c r="R208" s="4"/>
      <c r="S208" s="4"/>
    </row>
    <row r="209" spans="1:19" ht="16.5" customHeight="1">
      <c r="A209" s="4"/>
      <c r="B209" s="11"/>
      <c r="C209" s="11"/>
      <c r="D209" s="11"/>
      <c r="E209" s="14"/>
      <c r="F209" s="4"/>
      <c r="G209" s="14"/>
      <c r="H209" s="22"/>
      <c r="I209" s="4"/>
      <c r="J209" s="4"/>
      <c r="K209" s="4"/>
      <c r="L209" s="4"/>
      <c r="M209" s="4"/>
      <c r="N209" s="4"/>
      <c r="O209" s="4"/>
      <c r="P209" s="4"/>
      <c r="Q209" s="4"/>
      <c r="R209" s="4"/>
      <c r="S209" s="4"/>
    </row>
    <row r="210" spans="1:19" ht="16.5" customHeight="1">
      <c r="A210" s="4"/>
      <c r="B210" s="11"/>
      <c r="C210" s="11"/>
      <c r="D210" s="11"/>
      <c r="E210" s="14"/>
      <c r="F210" s="4"/>
      <c r="G210" s="14"/>
      <c r="H210" s="22"/>
      <c r="I210" s="4"/>
      <c r="J210" s="4"/>
      <c r="K210" s="4"/>
      <c r="L210" s="4"/>
      <c r="M210" s="4"/>
      <c r="N210" s="4"/>
      <c r="O210" s="4"/>
      <c r="P210" s="4"/>
      <c r="Q210" s="4"/>
      <c r="R210" s="4"/>
      <c r="S210" s="4"/>
    </row>
    <row r="211" spans="1:19" ht="16.5" customHeight="1">
      <c r="A211" s="4"/>
      <c r="B211" s="11"/>
      <c r="C211" s="11"/>
      <c r="D211" s="11"/>
      <c r="E211" s="14"/>
      <c r="F211" s="4"/>
      <c r="G211" s="14"/>
      <c r="H211" s="22"/>
      <c r="I211" s="4"/>
      <c r="J211" s="4"/>
      <c r="K211" s="4"/>
      <c r="L211" s="4"/>
      <c r="M211" s="4"/>
      <c r="N211" s="4"/>
      <c r="O211" s="4"/>
      <c r="P211" s="4"/>
      <c r="Q211" s="4"/>
      <c r="R211" s="4"/>
      <c r="S211" s="4"/>
    </row>
    <row r="212" spans="1:19" ht="16.5" customHeight="1">
      <c r="A212" s="4"/>
      <c r="B212" s="11"/>
      <c r="C212" s="11"/>
      <c r="D212" s="11"/>
      <c r="E212" s="14"/>
      <c r="F212" s="4"/>
      <c r="G212" s="14"/>
      <c r="H212" s="22"/>
      <c r="I212" s="4"/>
      <c r="J212" s="4"/>
      <c r="K212" s="4"/>
      <c r="L212" s="4"/>
      <c r="M212" s="4"/>
      <c r="N212" s="4"/>
      <c r="O212" s="4"/>
      <c r="P212" s="4"/>
      <c r="Q212" s="4"/>
      <c r="R212" s="4"/>
      <c r="S212" s="4"/>
    </row>
    <row r="213" spans="1:19" ht="16.5" customHeight="1">
      <c r="A213" s="4"/>
      <c r="B213" s="11"/>
      <c r="C213" s="11"/>
      <c r="D213" s="11"/>
      <c r="E213" s="14"/>
      <c r="F213" s="4"/>
      <c r="G213" s="14"/>
      <c r="H213" s="22"/>
      <c r="I213" s="4"/>
      <c r="J213" s="4"/>
      <c r="K213" s="4"/>
      <c r="L213" s="4"/>
      <c r="M213" s="4"/>
      <c r="N213" s="4"/>
      <c r="O213" s="4"/>
      <c r="P213" s="4"/>
      <c r="Q213" s="4"/>
      <c r="R213" s="4"/>
      <c r="S213" s="4"/>
    </row>
    <row r="214" spans="1:19" ht="16.5" customHeight="1">
      <c r="A214" s="4"/>
      <c r="B214" s="11"/>
      <c r="C214" s="11"/>
      <c r="D214" s="11"/>
      <c r="E214" s="14"/>
      <c r="F214" s="4"/>
      <c r="G214" s="14"/>
      <c r="H214" s="22"/>
      <c r="I214" s="4"/>
      <c r="J214" s="4"/>
      <c r="K214" s="4"/>
      <c r="L214" s="4"/>
      <c r="M214" s="4"/>
      <c r="N214" s="4"/>
      <c r="O214" s="4"/>
      <c r="P214" s="4"/>
      <c r="Q214" s="4"/>
      <c r="R214" s="4"/>
      <c r="S214" s="4"/>
    </row>
    <row r="215" spans="1:19" ht="16.5" customHeight="1">
      <c r="A215" s="4"/>
      <c r="B215" s="11"/>
      <c r="C215" s="11"/>
      <c r="D215" s="11"/>
      <c r="E215" s="14"/>
      <c r="F215" s="4"/>
      <c r="G215" s="14"/>
      <c r="H215" s="22"/>
      <c r="I215" s="4"/>
      <c r="J215" s="4"/>
      <c r="K215" s="4"/>
      <c r="L215" s="4"/>
      <c r="M215" s="4"/>
      <c r="N215" s="4"/>
      <c r="O215" s="4"/>
      <c r="P215" s="4"/>
      <c r="Q215" s="4"/>
      <c r="R215" s="4"/>
      <c r="S215" s="4"/>
    </row>
    <row r="216" spans="1:19" ht="16.5" customHeight="1">
      <c r="A216" s="4"/>
      <c r="B216" s="11"/>
      <c r="C216" s="11"/>
      <c r="D216" s="11"/>
      <c r="E216" s="14"/>
      <c r="F216" s="4"/>
      <c r="G216" s="14"/>
      <c r="H216" s="22"/>
      <c r="I216" s="4"/>
      <c r="J216" s="4"/>
      <c r="K216" s="4"/>
      <c r="L216" s="4"/>
      <c r="M216" s="4"/>
      <c r="N216" s="4"/>
      <c r="O216" s="4"/>
      <c r="P216" s="4"/>
      <c r="Q216" s="4"/>
      <c r="R216" s="4"/>
      <c r="S216" s="4"/>
    </row>
    <row r="217" spans="1:19" ht="16.5" customHeight="1">
      <c r="A217" s="4"/>
      <c r="B217" s="11"/>
      <c r="C217" s="11"/>
      <c r="D217" s="11"/>
      <c r="E217" s="14"/>
      <c r="F217" s="4"/>
      <c r="G217" s="14"/>
      <c r="H217" s="22"/>
      <c r="I217" s="4"/>
      <c r="J217" s="4"/>
      <c r="K217" s="4"/>
      <c r="L217" s="4"/>
      <c r="M217" s="4"/>
      <c r="N217" s="4"/>
      <c r="O217" s="4"/>
      <c r="P217" s="4"/>
      <c r="Q217" s="4"/>
      <c r="R217" s="4"/>
      <c r="S217" s="4"/>
    </row>
    <row r="218" spans="1:19" ht="16.5" customHeight="1">
      <c r="A218" s="4"/>
      <c r="B218" s="11"/>
      <c r="C218" s="11"/>
      <c r="D218" s="11"/>
      <c r="E218" s="14"/>
      <c r="F218" s="4"/>
      <c r="G218" s="14"/>
      <c r="H218" s="22"/>
      <c r="I218" s="4"/>
      <c r="J218" s="4"/>
      <c r="K218" s="4"/>
      <c r="L218" s="4"/>
      <c r="M218" s="4"/>
      <c r="N218" s="4"/>
      <c r="O218" s="4"/>
      <c r="P218" s="4"/>
      <c r="Q218" s="4"/>
      <c r="R218" s="4"/>
      <c r="S218" s="4"/>
    </row>
    <row r="219" spans="1:19" ht="16.5" customHeight="1">
      <c r="A219" s="4"/>
      <c r="B219" s="11"/>
      <c r="C219" s="11"/>
      <c r="D219" s="11"/>
      <c r="E219" s="14"/>
      <c r="F219" s="4"/>
      <c r="G219" s="14"/>
      <c r="H219" s="22"/>
      <c r="I219" s="4"/>
      <c r="J219" s="4"/>
      <c r="K219" s="4"/>
      <c r="L219" s="4"/>
      <c r="M219" s="4"/>
      <c r="N219" s="4"/>
      <c r="O219" s="4"/>
      <c r="P219" s="4"/>
      <c r="Q219" s="4"/>
      <c r="R219" s="4"/>
      <c r="S219" s="4"/>
    </row>
    <row r="220" spans="1:19" ht="16.5" customHeight="1">
      <c r="A220" s="4"/>
      <c r="B220" s="11"/>
      <c r="C220" s="11"/>
      <c r="D220" s="11"/>
      <c r="E220" s="14"/>
      <c r="F220" s="4"/>
      <c r="G220" s="14"/>
      <c r="H220" s="22"/>
      <c r="I220" s="4"/>
      <c r="J220" s="4"/>
      <c r="K220" s="4"/>
      <c r="L220" s="4"/>
      <c r="M220" s="4"/>
      <c r="N220" s="4"/>
      <c r="O220" s="4"/>
      <c r="P220" s="4"/>
      <c r="Q220" s="4"/>
      <c r="R220" s="4"/>
      <c r="S220" s="4"/>
    </row>
    <row r="221" spans="1:19" ht="16.5" customHeight="1">
      <c r="A221" s="4"/>
      <c r="B221" s="11"/>
      <c r="C221" s="11"/>
      <c r="D221" s="11"/>
      <c r="E221" s="14"/>
      <c r="F221" s="4"/>
      <c r="G221" s="14"/>
      <c r="H221" s="22"/>
      <c r="I221" s="4"/>
      <c r="J221" s="4"/>
      <c r="K221" s="4"/>
      <c r="L221" s="4"/>
      <c r="M221" s="4"/>
      <c r="N221" s="4"/>
      <c r="O221" s="4"/>
      <c r="P221" s="4"/>
      <c r="Q221" s="4"/>
      <c r="R221" s="4"/>
      <c r="S221" s="4"/>
    </row>
    <row r="222" spans="1:19" ht="16.5" customHeight="1">
      <c r="A222" s="4"/>
      <c r="B222" s="11"/>
      <c r="C222" s="11"/>
      <c r="D222" s="11"/>
      <c r="E222" s="14"/>
      <c r="F222" s="4"/>
      <c r="G222" s="14"/>
      <c r="H222" s="22"/>
      <c r="I222" s="4"/>
      <c r="J222" s="4"/>
      <c r="K222" s="4"/>
      <c r="L222" s="4"/>
      <c r="M222" s="4"/>
      <c r="N222" s="4"/>
      <c r="O222" s="4"/>
      <c r="P222" s="4"/>
      <c r="Q222" s="4"/>
      <c r="R222" s="4"/>
      <c r="S222" s="4"/>
    </row>
    <row r="223" spans="1:19" ht="16.5" customHeight="1">
      <c r="A223" s="4"/>
      <c r="B223" s="11"/>
      <c r="C223" s="11"/>
      <c r="D223" s="11"/>
      <c r="E223" s="14"/>
      <c r="F223" s="4"/>
      <c r="G223" s="14"/>
      <c r="H223" s="22"/>
      <c r="I223" s="4"/>
      <c r="J223" s="4"/>
      <c r="K223" s="4"/>
      <c r="L223" s="4"/>
      <c r="M223" s="4"/>
      <c r="N223" s="4"/>
      <c r="O223" s="4"/>
      <c r="P223" s="4"/>
      <c r="Q223" s="4"/>
      <c r="R223" s="4"/>
      <c r="S223" s="4"/>
    </row>
    <row r="224" spans="1:19" ht="16.5" customHeight="1">
      <c r="A224" s="4"/>
      <c r="B224" s="11"/>
      <c r="C224" s="11"/>
      <c r="D224" s="11"/>
      <c r="E224" s="14"/>
      <c r="F224" s="4"/>
      <c r="G224" s="14"/>
      <c r="H224" s="22"/>
      <c r="I224" s="4"/>
      <c r="J224" s="4"/>
      <c r="K224" s="4"/>
      <c r="L224" s="4"/>
      <c r="M224" s="4"/>
      <c r="N224" s="4"/>
      <c r="O224" s="4"/>
      <c r="P224" s="4"/>
      <c r="Q224" s="4"/>
      <c r="R224" s="4"/>
      <c r="S224" s="4"/>
    </row>
    <row r="225" spans="1:19" ht="16.5" customHeight="1">
      <c r="A225" s="4"/>
      <c r="B225" s="11"/>
      <c r="C225" s="11"/>
      <c r="D225" s="11"/>
      <c r="E225" s="14"/>
      <c r="F225" s="4"/>
      <c r="G225" s="14"/>
      <c r="H225" s="22"/>
      <c r="I225" s="4"/>
      <c r="J225" s="4"/>
      <c r="K225" s="4"/>
      <c r="L225" s="4"/>
      <c r="M225" s="4"/>
      <c r="N225" s="4"/>
      <c r="O225" s="4"/>
      <c r="P225" s="4"/>
      <c r="Q225" s="4"/>
      <c r="R225" s="4"/>
      <c r="S225" s="4"/>
    </row>
    <row r="226" spans="1:19" ht="16.5" customHeight="1">
      <c r="A226" s="4"/>
      <c r="B226" s="11"/>
      <c r="C226" s="11"/>
      <c r="D226" s="11"/>
      <c r="E226" s="14"/>
      <c r="F226" s="4"/>
      <c r="G226" s="14"/>
      <c r="H226" s="22"/>
      <c r="I226" s="4"/>
      <c r="J226" s="4"/>
      <c r="K226" s="4"/>
      <c r="L226" s="4"/>
      <c r="M226" s="4"/>
      <c r="N226" s="4"/>
      <c r="O226" s="4"/>
      <c r="P226" s="4"/>
      <c r="Q226" s="4"/>
      <c r="R226" s="4"/>
      <c r="S226" s="4"/>
    </row>
    <row r="227" spans="1:19" ht="16.5" customHeight="1">
      <c r="A227" s="4"/>
      <c r="B227" s="11"/>
      <c r="C227" s="11"/>
      <c r="D227" s="11"/>
      <c r="E227" s="14"/>
      <c r="F227" s="4"/>
      <c r="G227" s="14"/>
      <c r="H227" s="22"/>
      <c r="I227" s="4"/>
      <c r="J227" s="4"/>
      <c r="K227" s="4"/>
      <c r="L227" s="4"/>
      <c r="M227" s="4"/>
      <c r="N227" s="4"/>
      <c r="O227" s="4"/>
      <c r="P227" s="4"/>
      <c r="Q227" s="4"/>
      <c r="R227" s="4"/>
      <c r="S227" s="4"/>
    </row>
    <row r="228" spans="1:19" ht="16.5" customHeight="1">
      <c r="A228" s="4"/>
      <c r="B228" s="11"/>
      <c r="C228" s="11"/>
      <c r="D228" s="11"/>
      <c r="E228" s="14"/>
      <c r="F228" s="4"/>
      <c r="G228" s="14"/>
      <c r="H228" s="22"/>
      <c r="I228" s="4"/>
      <c r="J228" s="4"/>
      <c r="K228" s="4"/>
      <c r="L228" s="4"/>
      <c r="M228" s="4"/>
      <c r="N228" s="4"/>
      <c r="O228" s="4"/>
      <c r="P228" s="4"/>
      <c r="Q228" s="4"/>
      <c r="R228" s="4"/>
      <c r="S228" s="4"/>
    </row>
    <row r="229" spans="1:19" ht="16.5" customHeight="1">
      <c r="A229" s="4"/>
      <c r="B229" s="11"/>
      <c r="C229" s="11"/>
      <c r="D229" s="11"/>
      <c r="E229" s="14"/>
      <c r="F229" s="4"/>
      <c r="G229" s="14"/>
      <c r="H229" s="22"/>
      <c r="I229" s="4"/>
      <c r="J229" s="4"/>
      <c r="K229" s="4"/>
      <c r="L229" s="4"/>
      <c r="M229" s="4"/>
      <c r="N229" s="4"/>
      <c r="O229" s="4"/>
      <c r="P229" s="4"/>
      <c r="Q229" s="4"/>
      <c r="R229" s="4"/>
      <c r="S229" s="4"/>
    </row>
    <row r="230" spans="1:19" ht="16.5" customHeight="1">
      <c r="A230" s="4"/>
      <c r="B230" s="11"/>
      <c r="C230" s="11"/>
      <c r="D230" s="11"/>
      <c r="E230" s="14"/>
      <c r="F230" s="4"/>
      <c r="G230" s="14"/>
      <c r="H230" s="22"/>
      <c r="I230" s="4"/>
      <c r="J230" s="4"/>
      <c r="K230" s="4"/>
      <c r="L230" s="4"/>
      <c r="M230" s="4"/>
      <c r="N230" s="4"/>
      <c r="O230" s="4"/>
      <c r="P230" s="4"/>
      <c r="Q230" s="4"/>
      <c r="R230" s="4"/>
      <c r="S230" s="4"/>
    </row>
    <row r="231" spans="1:19" ht="16.5" customHeight="1">
      <c r="A231" s="4"/>
      <c r="B231" s="11"/>
      <c r="C231" s="11"/>
      <c r="D231" s="11"/>
      <c r="E231" s="14"/>
      <c r="F231" s="4"/>
      <c r="G231" s="14"/>
      <c r="H231" s="22"/>
      <c r="I231" s="4"/>
      <c r="J231" s="4"/>
      <c r="K231" s="4"/>
      <c r="L231" s="4"/>
      <c r="M231" s="4"/>
      <c r="N231" s="4"/>
      <c r="O231" s="4"/>
      <c r="P231" s="4"/>
      <c r="Q231" s="4"/>
      <c r="R231" s="4"/>
      <c r="S231" s="4"/>
    </row>
    <row r="232" spans="1:19" ht="16.5" customHeight="1">
      <c r="A232" s="4"/>
      <c r="B232" s="11"/>
      <c r="C232" s="11"/>
      <c r="D232" s="11"/>
      <c r="E232" s="14"/>
      <c r="F232" s="4"/>
      <c r="G232" s="14"/>
      <c r="H232" s="22"/>
      <c r="I232" s="4"/>
      <c r="J232" s="4"/>
      <c r="K232" s="4"/>
      <c r="L232" s="4"/>
      <c r="M232" s="4"/>
      <c r="N232" s="4"/>
      <c r="O232" s="4"/>
      <c r="P232" s="4"/>
      <c r="Q232" s="4"/>
      <c r="R232" s="4"/>
      <c r="S232" s="4"/>
    </row>
    <row r="233" spans="1:19" ht="16.5" customHeight="1">
      <c r="A233" s="4"/>
      <c r="B233" s="11"/>
      <c r="C233" s="11"/>
      <c r="D233" s="11"/>
      <c r="E233" s="14"/>
      <c r="F233" s="4"/>
      <c r="G233" s="14"/>
      <c r="H233" s="22"/>
      <c r="I233" s="4"/>
      <c r="J233" s="4"/>
      <c r="K233" s="4"/>
      <c r="L233" s="4"/>
      <c r="M233" s="4"/>
      <c r="N233" s="4"/>
      <c r="O233" s="4"/>
      <c r="P233" s="4"/>
      <c r="Q233" s="4"/>
      <c r="R233" s="4"/>
      <c r="S233" s="4"/>
    </row>
    <row r="234" spans="1:19" ht="16.5" customHeight="1">
      <c r="A234" s="4"/>
      <c r="B234" s="11"/>
      <c r="C234" s="11"/>
      <c r="D234" s="11"/>
      <c r="E234" s="14"/>
      <c r="F234" s="4"/>
      <c r="G234" s="14"/>
      <c r="H234" s="22"/>
      <c r="I234" s="4"/>
      <c r="J234" s="4"/>
      <c r="K234" s="4"/>
      <c r="L234" s="4"/>
      <c r="M234" s="4"/>
      <c r="N234" s="4"/>
      <c r="O234" s="4"/>
      <c r="P234" s="4"/>
      <c r="Q234" s="4"/>
      <c r="R234" s="4"/>
      <c r="S234" s="4"/>
    </row>
    <row r="235" spans="1:19" ht="16.5" customHeight="1">
      <c r="A235" s="4"/>
      <c r="B235" s="11"/>
      <c r="C235" s="11"/>
      <c r="D235" s="11"/>
      <c r="E235" s="14"/>
      <c r="F235" s="4"/>
      <c r="G235" s="14"/>
      <c r="H235" s="22"/>
      <c r="I235" s="4"/>
      <c r="J235" s="4"/>
      <c r="K235" s="4"/>
      <c r="L235" s="4"/>
      <c r="M235" s="4"/>
      <c r="N235" s="4"/>
      <c r="O235" s="4"/>
      <c r="P235" s="4"/>
      <c r="Q235" s="4"/>
      <c r="R235" s="4"/>
      <c r="S235" s="4"/>
    </row>
    <row r="236" spans="1:19" ht="16.5" customHeight="1">
      <c r="A236" s="4"/>
      <c r="B236" s="11"/>
      <c r="C236" s="11"/>
      <c r="D236" s="11"/>
      <c r="E236" s="14"/>
      <c r="F236" s="4"/>
      <c r="G236" s="14"/>
      <c r="H236" s="22"/>
      <c r="I236" s="4"/>
      <c r="J236" s="4"/>
      <c r="K236" s="4"/>
      <c r="L236" s="4"/>
      <c r="M236" s="4"/>
      <c r="N236" s="4"/>
      <c r="O236" s="4"/>
      <c r="P236" s="4"/>
      <c r="Q236" s="4"/>
      <c r="R236" s="4"/>
      <c r="S236" s="4"/>
    </row>
    <row r="237" spans="1:19" ht="16.5" customHeight="1">
      <c r="A237" s="4"/>
      <c r="B237" s="11"/>
      <c r="C237" s="11"/>
      <c r="D237" s="11"/>
      <c r="E237" s="14"/>
      <c r="F237" s="4"/>
      <c r="G237" s="14"/>
      <c r="H237" s="22"/>
      <c r="I237" s="4"/>
      <c r="J237" s="4"/>
      <c r="K237" s="4"/>
      <c r="L237" s="4"/>
      <c r="M237" s="4"/>
      <c r="N237" s="4"/>
      <c r="O237" s="4"/>
      <c r="P237" s="4"/>
      <c r="Q237" s="4"/>
      <c r="R237" s="4"/>
      <c r="S237" s="4"/>
    </row>
    <row r="238" spans="1:19" ht="16.5" customHeight="1">
      <c r="A238" s="4"/>
      <c r="B238" s="11"/>
      <c r="C238" s="11"/>
      <c r="D238" s="11"/>
      <c r="E238" s="14"/>
      <c r="F238" s="4"/>
      <c r="G238" s="14"/>
      <c r="H238" s="22"/>
      <c r="I238" s="4"/>
      <c r="J238" s="4"/>
      <c r="K238" s="4"/>
      <c r="L238" s="4"/>
      <c r="M238" s="4"/>
      <c r="N238" s="4"/>
      <c r="O238" s="4"/>
      <c r="P238" s="4"/>
      <c r="Q238" s="4"/>
      <c r="R238" s="4"/>
      <c r="S238" s="4"/>
    </row>
    <row r="239" spans="1:19" ht="16.5" customHeight="1">
      <c r="A239" s="4"/>
      <c r="B239" s="11"/>
      <c r="C239" s="11"/>
      <c r="D239" s="11"/>
      <c r="E239" s="14"/>
      <c r="F239" s="4"/>
      <c r="G239" s="14"/>
      <c r="H239" s="22"/>
      <c r="I239" s="4"/>
      <c r="J239" s="4"/>
      <c r="K239" s="4"/>
      <c r="L239" s="4"/>
      <c r="M239" s="4"/>
      <c r="N239" s="4"/>
      <c r="O239" s="4"/>
      <c r="P239" s="4"/>
      <c r="Q239" s="4"/>
      <c r="R239" s="4"/>
      <c r="S239" s="4"/>
    </row>
    <row r="240" spans="1:19" ht="16.5" customHeight="1">
      <c r="A240" s="4"/>
      <c r="B240" s="11"/>
      <c r="C240" s="11"/>
      <c r="D240" s="11"/>
      <c r="E240" s="14"/>
      <c r="F240" s="4"/>
      <c r="G240" s="14"/>
      <c r="H240" s="22"/>
      <c r="I240" s="4"/>
      <c r="J240" s="4"/>
      <c r="K240" s="4"/>
      <c r="L240" s="4"/>
      <c r="M240" s="4"/>
      <c r="N240" s="4"/>
      <c r="O240" s="4"/>
      <c r="P240" s="4"/>
      <c r="Q240" s="4"/>
      <c r="R240" s="4"/>
      <c r="S240" s="4"/>
    </row>
    <row r="241" spans="1:19" ht="16.5" customHeight="1">
      <c r="A241" s="4"/>
      <c r="B241" s="11"/>
      <c r="C241" s="11"/>
      <c r="D241" s="11"/>
      <c r="E241" s="14"/>
      <c r="F241" s="4"/>
      <c r="G241" s="14"/>
      <c r="H241" s="22"/>
      <c r="I241" s="4"/>
      <c r="J241" s="4"/>
      <c r="K241" s="4"/>
      <c r="L241" s="4"/>
      <c r="M241" s="4"/>
      <c r="N241" s="4"/>
      <c r="O241" s="4"/>
      <c r="P241" s="4"/>
      <c r="Q241" s="4"/>
      <c r="R241" s="4"/>
      <c r="S241" s="4"/>
    </row>
    <row r="242" spans="1:19" ht="16.5" customHeight="1">
      <c r="A242" s="4"/>
      <c r="B242" s="11"/>
      <c r="C242" s="11"/>
      <c r="D242" s="11"/>
      <c r="E242" s="14"/>
      <c r="F242" s="4"/>
      <c r="G242" s="14"/>
      <c r="H242" s="22"/>
      <c r="I242" s="4"/>
      <c r="J242" s="4"/>
      <c r="K242" s="4"/>
      <c r="L242" s="4"/>
      <c r="M242" s="4"/>
      <c r="N242" s="4"/>
      <c r="O242" s="4"/>
      <c r="P242" s="4"/>
      <c r="Q242" s="4"/>
      <c r="R242" s="4"/>
      <c r="S242" s="4"/>
    </row>
    <row r="243" spans="1:19" ht="16.5" customHeight="1">
      <c r="A243" s="4"/>
      <c r="B243" s="11"/>
      <c r="C243" s="11"/>
      <c r="D243" s="11"/>
      <c r="E243" s="14"/>
      <c r="F243" s="4"/>
      <c r="G243" s="14"/>
      <c r="H243" s="22"/>
      <c r="I243" s="4"/>
      <c r="J243" s="4"/>
      <c r="K243" s="4"/>
      <c r="L243" s="4"/>
      <c r="M243" s="4"/>
      <c r="N243" s="4"/>
      <c r="O243" s="4"/>
      <c r="P243" s="4"/>
      <c r="Q243" s="4"/>
      <c r="R243" s="4"/>
      <c r="S243" s="4"/>
    </row>
    <row r="244" spans="1:19" ht="16.5" customHeight="1">
      <c r="A244" s="4"/>
      <c r="B244" s="11"/>
      <c r="C244" s="11"/>
      <c r="D244" s="11"/>
      <c r="E244" s="14"/>
      <c r="F244" s="4"/>
      <c r="G244" s="14"/>
      <c r="H244" s="22"/>
      <c r="I244" s="4"/>
      <c r="J244" s="4"/>
      <c r="K244" s="4"/>
      <c r="L244" s="4"/>
      <c r="M244" s="4"/>
      <c r="N244" s="4"/>
      <c r="O244" s="4"/>
      <c r="P244" s="4"/>
      <c r="Q244" s="4"/>
      <c r="R244" s="4"/>
      <c r="S244" s="4"/>
    </row>
    <row r="245" spans="1:19" ht="16.5" customHeight="1">
      <c r="A245" s="4"/>
      <c r="B245" s="11"/>
      <c r="C245" s="11"/>
      <c r="D245" s="11"/>
      <c r="E245" s="14"/>
      <c r="F245" s="4"/>
      <c r="G245" s="14"/>
      <c r="H245" s="22"/>
      <c r="I245" s="4"/>
      <c r="J245" s="4"/>
      <c r="K245" s="4"/>
      <c r="L245" s="4"/>
      <c r="M245" s="4"/>
      <c r="N245" s="4"/>
      <c r="O245" s="4"/>
      <c r="P245" s="4"/>
      <c r="Q245" s="4"/>
      <c r="R245" s="4"/>
      <c r="S245" s="4"/>
    </row>
    <row r="246" spans="1:19" ht="16.5" customHeight="1">
      <c r="A246" s="4"/>
      <c r="B246" s="11"/>
      <c r="C246" s="11"/>
      <c r="D246" s="11"/>
      <c r="E246" s="14"/>
      <c r="F246" s="4"/>
      <c r="G246" s="14"/>
      <c r="H246" s="22"/>
      <c r="I246" s="4"/>
      <c r="J246" s="4"/>
      <c r="K246" s="4"/>
      <c r="L246" s="4"/>
      <c r="M246" s="4"/>
      <c r="N246" s="4"/>
      <c r="O246" s="4"/>
      <c r="P246" s="4"/>
      <c r="Q246" s="4"/>
      <c r="R246" s="4"/>
      <c r="S246" s="4"/>
    </row>
    <row r="247" spans="1:19" ht="16.5" customHeight="1">
      <c r="A247" s="4"/>
      <c r="B247" s="11"/>
      <c r="C247" s="11"/>
      <c r="D247" s="11"/>
      <c r="E247" s="14"/>
      <c r="F247" s="4"/>
      <c r="G247" s="14"/>
      <c r="H247" s="22"/>
      <c r="I247" s="4"/>
      <c r="J247" s="4"/>
      <c r="K247" s="4"/>
      <c r="L247" s="4"/>
      <c r="M247" s="4"/>
      <c r="N247" s="4"/>
      <c r="O247" s="4"/>
      <c r="P247" s="4"/>
      <c r="Q247" s="4"/>
      <c r="R247" s="4"/>
      <c r="S247" s="4"/>
    </row>
    <row r="248" spans="1:19" ht="16.5" customHeight="1">
      <c r="A248" s="4"/>
      <c r="B248" s="11"/>
      <c r="C248" s="11"/>
      <c r="D248" s="11"/>
      <c r="E248" s="14"/>
      <c r="F248" s="4"/>
      <c r="G248" s="14"/>
      <c r="H248" s="22"/>
      <c r="I248" s="4"/>
      <c r="J248" s="4"/>
      <c r="K248" s="4"/>
      <c r="L248" s="4"/>
      <c r="M248" s="4"/>
      <c r="N248" s="4"/>
      <c r="O248" s="4"/>
      <c r="P248" s="4"/>
      <c r="Q248" s="4"/>
      <c r="R248" s="4"/>
      <c r="S248" s="4"/>
    </row>
    <row r="249" spans="1:19" ht="16.5" customHeight="1">
      <c r="A249" s="4"/>
      <c r="B249" s="11"/>
      <c r="C249" s="11"/>
      <c r="D249" s="11"/>
      <c r="E249" s="14"/>
      <c r="F249" s="4"/>
      <c r="G249" s="14"/>
      <c r="H249" s="22"/>
      <c r="I249" s="4"/>
      <c r="J249" s="4"/>
      <c r="K249" s="4"/>
      <c r="L249" s="4"/>
      <c r="M249" s="4"/>
      <c r="N249" s="4"/>
      <c r="O249" s="4"/>
      <c r="P249" s="4"/>
      <c r="Q249" s="4"/>
      <c r="R249" s="4"/>
      <c r="S249" s="4"/>
    </row>
    <row r="250" spans="1:19" ht="16.5" customHeight="1">
      <c r="A250" s="4"/>
      <c r="B250" s="11"/>
      <c r="C250" s="11"/>
      <c r="D250" s="11"/>
      <c r="E250" s="14"/>
      <c r="F250" s="4"/>
      <c r="G250" s="14"/>
      <c r="H250" s="22"/>
      <c r="I250" s="4"/>
      <c r="J250" s="4"/>
      <c r="K250" s="4"/>
      <c r="L250" s="4"/>
      <c r="M250" s="4"/>
      <c r="N250" s="4"/>
      <c r="O250" s="4"/>
      <c r="P250" s="4"/>
      <c r="Q250" s="4"/>
      <c r="R250" s="4"/>
      <c r="S250" s="4"/>
    </row>
    <row r="251" spans="1:19" ht="16.5" customHeight="1">
      <c r="A251" s="4"/>
      <c r="B251" s="11"/>
      <c r="C251" s="11"/>
      <c r="D251" s="11"/>
      <c r="E251" s="14"/>
      <c r="F251" s="4"/>
      <c r="G251" s="14"/>
      <c r="H251" s="22"/>
      <c r="I251" s="4"/>
      <c r="J251" s="4"/>
      <c r="K251" s="4"/>
      <c r="L251" s="4"/>
      <c r="M251" s="4"/>
      <c r="N251" s="4"/>
      <c r="O251" s="4"/>
      <c r="P251" s="4"/>
      <c r="Q251" s="4"/>
      <c r="R251" s="4"/>
      <c r="S251" s="4"/>
    </row>
    <row r="252" spans="1:19" ht="16.5" customHeight="1">
      <c r="A252" s="4"/>
      <c r="B252" s="11"/>
      <c r="C252" s="11"/>
      <c r="D252" s="11"/>
      <c r="E252" s="14"/>
      <c r="F252" s="4"/>
      <c r="G252" s="14"/>
      <c r="H252" s="22"/>
      <c r="I252" s="4"/>
      <c r="J252" s="4"/>
      <c r="K252" s="4"/>
      <c r="L252" s="4"/>
      <c r="M252" s="4"/>
      <c r="N252" s="4"/>
      <c r="O252" s="4"/>
      <c r="P252" s="4"/>
      <c r="Q252" s="4"/>
      <c r="R252" s="4"/>
      <c r="S252" s="4"/>
    </row>
    <row r="253" spans="1:19" ht="16.5" customHeight="1">
      <c r="A253" s="4"/>
      <c r="B253" s="11"/>
      <c r="C253" s="11"/>
      <c r="D253" s="11"/>
      <c r="E253" s="14"/>
      <c r="F253" s="4"/>
      <c r="G253" s="14"/>
      <c r="H253" s="22"/>
      <c r="I253" s="4"/>
      <c r="J253" s="4"/>
      <c r="K253" s="4"/>
      <c r="L253" s="4"/>
      <c r="M253" s="4"/>
      <c r="N253" s="4"/>
      <c r="O253" s="4"/>
      <c r="P253" s="4"/>
      <c r="Q253" s="4"/>
      <c r="R253" s="4"/>
      <c r="S253" s="4"/>
    </row>
    <row r="254" spans="1:19" ht="16.5" customHeight="1">
      <c r="A254" s="4"/>
      <c r="B254" s="11"/>
      <c r="C254" s="11"/>
      <c r="D254" s="11"/>
      <c r="E254" s="14"/>
      <c r="F254" s="4"/>
      <c r="G254" s="14"/>
      <c r="H254" s="22"/>
      <c r="I254" s="4"/>
      <c r="J254" s="4"/>
      <c r="K254" s="4"/>
      <c r="L254" s="4"/>
      <c r="M254" s="4"/>
      <c r="N254" s="4"/>
      <c r="O254" s="4"/>
      <c r="P254" s="4"/>
      <c r="Q254" s="4"/>
      <c r="R254" s="4"/>
      <c r="S254" s="4"/>
    </row>
    <row r="255" spans="1:19" ht="16.5" customHeight="1">
      <c r="A255" s="4"/>
      <c r="B255" s="11"/>
      <c r="C255" s="11"/>
      <c r="D255" s="11"/>
      <c r="E255" s="14"/>
      <c r="F255" s="4"/>
      <c r="G255" s="14"/>
      <c r="H255" s="22"/>
      <c r="I255" s="4"/>
      <c r="J255" s="4"/>
      <c r="K255" s="4"/>
      <c r="L255" s="4"/>
      <c r="M255" s="4"/>
      <c r="N255" s="4"/>
      <c r="O255" s="4"/>
      <c r="P255" s="4"/>
      <c r="Q255" s="4"/>
      <c r="R255" s="4"/>
      <c r="S255" s="4"/>
    </row>
    <row r="256" spans="1:19" ht="16.5" customHeight="1">
      <c r="A256" s="4"/>
      <c r="B256" s="11"/>
      <c r="C256" s="11"/>
      <c r="D256" s="11"/>
      <c r="E256" s="14"/>
      <c r="F256" s="4"/>
      <c r="G256" s="14"/>
      <c r="H256" s="22"/>
      <c r="I256" s="4"/>
      <c r="J256" s="4"/>
      <c r="K256" s="4"/>
      <c r="L256" s="4"/>
      <c r="M256" s="4"/>
      <c r="N256" s="4"/>
      <c r="O256" s="4"/>
      <c r="P256" s="4"/>
      <c r="Q256" s="4"/>
      <c r="R256" s="4"/>
      <c r="S256" s="4"/>
    </row>
    <row r="257" spans="1:19" ht="16.5" customHeight="1">
      <c r="A257" s="4"/>
      <c r="B257" s="11"/>
      <c r="C257" s="11"/>
      <c r="D257" s="11"/>
      <c r="E257" s="14"/>
      <c r="F257" s="4"/>
      <c r="G257" s="14"/>
      <c r="H257" s="22"/>
      <c r="I257" s="4"/>
      <c r="J257" s="4"/>
      <c r="K257" s="4"/>
      <c r="L257" s="4"/>
      <c r="M257" s="4"/>
      <c r="N257" s="4"/>
      <c r="O257" s="4"/>
      <c r="P257" s="4"/>
      <c r="Q257" s="4"/>
      <c r="R257" s="4"/>
      <c r="S257" s="4"/>
    </row>
    <row r="258" spans="1:19" ht="16.5" customHeight="1">
      <c r="A258" s="4"/>
      <c r="B258" s="11"/>
      <c r="C258" s="11"/>
      <c r="D258" s="11"/>
      <c r="E258" s="14"/>
      <c r="F258" s="4"/>
      <c r="G258" s="14"/>
      <c r="H258" s="22"/>
      <c r="I258" s="4"/>
      <c r="J258" s="4"/>
      <c r="K258" s="4"/>
      <c r="L258" s="4"/>
      <c r="M258" s="4"/>
      <c r="N258" s="4"/>
      <c r="O258" s="4"/>
      <c r="P258" s="4"/>
      <c r="Q258" s="4"/>
      <c r="R258" s="4"/>
      <c r="S258" s="4"/>
    </row>
    <row r="259" spans="1:19" ht="16.5" customHeight="1">
      <c r="A259" s="4"/>
      <c r="B259" s="11"/>
      <c r="C259" s="11"/>
      <c r="D259" s="11"/>
      <c r="E259" s="14"/>
      <c r="F259" s="4"/>
      <c r="G259" s="14"/>
      <c r="H259" s="22"/>
      <c r="I259" s="4"/>
      <c r="J259" s="4"/>
      <c r="K259" s="4"/>
      <c r="L259" s="4"/>
      <c r="M259" s="4"/>
      <c r="N259" s="4"/>
      <c r="O259" s="4"/>
      <c r="P259" s="4"/>
      <c r="Q259" s="4"/>
      <c r="R259" s="4"/>
      <c r="S259" s="4"/>
    </row>
    <row r="260" spans="1:19" ht="16.5" customHeight="1">
      <c r="A260" s="4"/>
      <c r="B260" s="11"/>
      <c r="C260" s="11"/>
      <c r="D260" s="11"/>
      <c r="E260" s="14"/>
      <c r="F260" s="4"/>
      <c r="G260" s="14"/>
      <c r="H260" s="22"/>
      <c r="I260" s="4"/>
      <c r="J260" s="4"/>
      <c r="K260" s="4"/>
      <c r="L260" s="4"/>
      <c r="M260" s="4"/>
      <c r="N260" s="4"/>
      <c r="O260" s="4"/>
      <c r="P260" s="4"/>
      <c r="Q260" s="4"/>
      <c r="R260" s="4"/>
      <c r="S260" s="4"/>
    </row>
    <row r="261" spans="1:19" ht="16.5" customHeight="1">
      <c r="A261" s="4"/>
      <c r="B261" s="11"/>
      <c r="C261" s="11"/>
      <c r="D261" s="11"/>
      <c r="E261" s="14"/>
      <c r="F261" s="4"/>
      <c r="G261" s="14"/>
      <c r="H261" s="22"/>
      <c r="I261" s="4"/>
      <c r="J261" s="4"/>
      <c r="K261" s="4"/>
      <c r="L261" s="4"/>
      <c r="M261" s="4"/>
      <c r="N261" s="4"/>
      <c r="O261" s="4"/>
      <c r="P261" s="4"/>
      <c r="Q261" s="4"/>
      <c r="R261" s="4"/>
      <c r="S261" s="4"/>
    </row>
    <row r="262" spans="1:19" ht="16.5" customHeight="1">
      <c r="A262" s="4"/>
      <c r="B262" s="11"/>
      <c r="C262" s="11"/>
      <c r="D262" s="11"/>
      <c r="E262" s="14"/>
      <c r="F262" s="4"/>
      <c r="G262" s="14"/>
      <c r="H262" s="22"/>
      <c r="I262" s="4"/>
      <c r="J262" s="4"/>
      <c r="K262" s="4"/>
      <c r="L262" s="4"/>
      <c r="M262" s="4"/>
      <c r="N262" s="4"/>
      <c r="O262" s="4"/>
      <c r="P262" s="4"/>
      <c r="Q262" s="4"/>
      <c r="R262" s="4"/>
      <c r="S262" s="4"/>
    </row>
    <row r="263" spans="1:19" ht="16.5" customHeight="1">
      <c r="A263" s="4"/>
      <c r="B263" s="11"/>
      <c r="C263" s="11"/>
      <c r="D263" s="11"/>
      <c r="E263" s="14"/>
      <c r="F263" s="4"/>
      <c r="G263" s="14"/>
      <c r="H263" s="22"/>
      <c r="I263" s="4"/>
      <c r="J263" s="4"/>
      <c r="K263" s="4"/>
      <c r="L263" s="4"/>
      <c r="M263" s="4"/>
      <c r="N263" s="4"/>
      <c r="O263" s="4"/>
      <c r="P263" s="4"/>
      <c r="Q263" s="4"/>
      <c r="R263" s="4"/>
      <c r="S263" s="4"/>
    </row>
    <row r="264" spans="1:19" ht="16.5" customHeight="1">
      <c r="A264" s="4"/>
      <c r="B264" s="11"/>
      <c r="C264" s="11"/>
      <c r="D264" s="11"/>
      <c r="E264" s="14"/>
      <c r="F264" s="4"/>
      <c r="G264" s="14"/>
      <c r="H264" s="22"/>
      <c r="I264" s="4"/>
      <c r="J264" s="4"/>
      <c r="K264" s="4"/>
      <c r="L264" s="4"/>
      <c r="M264" s="4"/>
      <c r="N264" s="4"/>
      <c r="O264" s="4"/>
      <c r="P264" s="4"/>
      <c r="Q264" s="4"/>
      <c r="R264" s="4"/>
      <c r="S264" s="4"/>
    </row>
    <row r="265" spans="1:19" ht="16.5" customHeight="1">
      <c r="A265" s="4"/>
      <c r="B265" s="11"/>
      <c r="C265" s="11"/>
      <c r="D265" s="11"/>
      <c r="E265" s="14"/>
      <c r="F265" s="4"/>
      <c r="G265" s="14"/>
      <c r="H265" s="22"/>
      <c r="I265" s="4"/>
      <c r="J265" s="4"/>
      <c r="K265" s="4"/>
      <c r="L265" s="4"/>
      <c r="M265" s="4"/>
      <c r="N265" s="4"/>
      <c r="O265" s="4"/>
      <c r="P265" s="4"/>
      <c r="Q265" s="4"/>
      <c r="R265" s="4"/>
      <c r="S265" s="4"/>
    </row>
    <row r="266" spans="1:19" ht="16.5" customHeight="1">
      <c r="A266" s="4"/>
      <c r="B266" s="11"/>
      <c r="C266" s="11"/>
      <c r="D266" s="11"/>
      <c r="E266" s="14"/>
      <c r="F266" s="4"/>
      <c r="G266" s="14"/>
      <c r="H266" s="22"/>
      <c r="I266" s="4"/>
      <c r="J266" s="4"/>
      <c r="K266" s="4"/>
      <c r="L266" s="4"/>
      <c r="M266" s="4"/>
      <c r="N266" s="4"/>
      <c r="O266" s="4"/>
      <c r="P266" s="4"/>
      <c r="Q266" s="4"/>
      <c r="R266" s="4"/>
      <c r="S266" s="4"/>
    </row>
    <row r="267" spans="1:19" ht="16.5" customHeight="1">
      <c r="A267" s="4"/>
      <c r="B267" s="11"/>
      <c r="C267" s="11"/>
      <c r="D267" s="11"/>
      <c r="E267" s="14"/>
      <c r="F267" s="4"/>
      <c r="G267" s="14"/>
      <c r="H267" s="22"/>
      <c r="I267" s="4"/>
      <c r="J267" s="4"/>
      <c r="K267" s="4"/>
      <c r="L267" s="4"/>
      <c r="M267" s="4"/>
      <c r="N267" s="4"/>
      <c r="O267" s="4"/>
      <c r="P267" s="4"/>
      <c r="Q267" s="4"/>
      <c r="R267" s="4"/>
      <c r="S267" s="4"/>
    </row>
    <row r="268" spans="1:19" ht="16.5" customHeight="1">
      <c r="A268" s="4"/>
      <c r="B268" s="11"/>
      <c r="C268" s="11"/>
      <c r="D268" s="11"/>
      <c r="E268" s="14"/>
      <c r="F268" s="4"/>
      <c r="G268" s="14"/>
      <c r="H268" s="22"/>
      <c r="I268" s="4"/>
      <c r="J268" s="4"/>
      <c r="K268" s="4"/>
      <c r="L268" s="4"/>
      <c r="M268" s="4"/>
      <c r="N268" s="4"/>
      <c r="O268" s="4"/>
      <c r="P268" s="4"/>
      <c r="Q268" s="4"/>
      <c r="R268" s="4"/>
      <c r="S268" s="4"/>
    </row>
    <row r="269" spans="1:19" ht="16.5" customHeight="1">
      <c r="A269" s="4"/>
      <c r="B269" s="11"/>
      <c r="C269" s="11"/>
      <c r="D269" s="11"/>
      <c r="E269" s="14"/>
      <c r="F269" s="4"/>
      <c r="G269" s="14"/>
      <c r="H269" s="22"/>
      <c r="I269" s="4"/>
      <c r="J269" s="4"/>
      <c r="K269" s="4"/>
      <c r="L269" s="4"/>
      <c r="M269" s="4"/>
      <c r="N269" s="4"/>
      <c r="O269" s="4"/>
      <c r="P269" s="4"/>
      <c r="Q269" s="4"/>
      <c r="R269" s="4"/>
      <c r="S269" s="4"/>
    </row>
    <row r="270" spans="1:19" ht="16.5" customHeight="1">
      <c r="A270" s="4"/>
      <c r="B270" s="11"/>
      <c r="C270" s="11"/>
      <c r="D270" s="11"/>
      <c r="E270" s="14"/>
      <c r="F270" s="4"/>
      <c r="G270" s="14"/>
      <c r="H270" s="22"/>
      <c r="I270" s="4"/>
      <c r="J270" s="4"/>
      <c r="K270" s="4"/>
      <c r="L270" s="4"/>
      <c r="M270" s="4"/>
      <c r="N270" s="4"/>
      <c r="O270" s="4"/>
      <c r="P270" s="4"/>
      <c r="Q270" s="4"/>
      <c r="R270" s="4"/>
      <c r="S270" s="4"/>
    </row>
    <row r="271" spans="1:19" ht="16.5" customHeight="1">
      <c r="A271" s="4"/>
      <c r="B271" s="11"/>
      <c r="C271" s="11"/>
      <c r="D271" s="11"/>
      <c r="E271" s="14"/>
      <c r="F271" s="4"/>
      <c r="G271" s="14"/>
      <c r="H271" s="22"/>
      <c r="I271" s="4"/>
      <c r="J271" s="4"/>
      <c r="K271" s="4"/>
      <c r="L271" s="4"/>
      <c r="M271" s="4"/>
      <c r="N271" s="4"/>
      <c r="O271" s="4"/>
      <c r="P271" s="4"/>
      <c r="Q271" s="4"/>
      <c r="R271" s="4"/>
      <c r="S271" s="4"/>
    </row>
    <row r="272" spans="1:19" ht="16.5" customHeight="1">
      <c r="A272" s="4"/>
      <c r="B272" s="11"/>
      <c r="C272" s="11"/>
      <c r="D272" s="11"/>
      <c r="E272" s="14"/>
      <c r="F272" s="4"/>
      <c r="G272" s="14"/>
      <c r="H272" s="22"/>
      <c r="I272" s="4"/>
      <c r="J272" s="4"/>
      <c r="K272" s="4"/>
      <c r="L272" s="4"/>
      <c r="M272" s="4"/>
      <c r="N272" s="4"/>
      <c r="O272" s="4"/>
      <c r="P272" s="4"/>
      <c r="Q272" s="4"/>
      <c r="R272" s="4"/>
      <c r="S272" s="4"/>
    </row>
    <row r="273" spans="1:19" ht="16.5" customHeight="1">
      <c r="A273" s="4"/>
      <c r="B273" s="11"/>
      <c r="C273" s="11"/>
      <c r="D273" s="11"/>
      <c r="E273" s="14"/>
      <c r="F273" s="4"/>
      <c r="G273" s="14"/>
      <c r="H273" s="22"/>
      <c r="I273" s="4"/>
      <c r="J273" s="4"/>
      <c r="K273" s="4"/>
      <c r="L273" s="4"/>
      <c r="M273" s="4"/>
      <c r="N273" s="4"/>
      <c r="O273" s="4"/>
      <c r="P273" s="4"/>
      <c r="Q273" s="4"/>
      <c r="R273" s="4"/>
      <c r="S273" s="4"/>
    </row>
    <row r="274" spans="1:19" ht="16.5" customHeight="1">
      <c r="A274" s="4"/>
      <c r="B274" s="11"/>
      <c r="C274" s="11"/>
      <c r="D274" s="11"/>
      <c r="E274" s="14"/>
      <c r="F274" s="4"/>
      <c r="G274" s="14"/>
      <c r="H274" s="22"/>
      <c r="I274" s="4"/>
      <c r="J274" s="4"/>
      <c r="K274" s="4"/>
      <c r="L274" s="4"/>
      <c r="M274" s="4"/>
      <c r="N274" s="4"/>
      <c r="O274" s="4"/>
      <c r="P274" s="4"/>
      <c r="Q274" s="4"/>
      <c r="R274" s="4"/>
      <c r="S274" s="4"/>
    </row>
    <row r="275" spans="1:19" ht="16.5" customHeight="1">
      <c r="A275" s="4"/>
      <c r="B275" s="11"/>
      <c r="C275" s="11"/>
      <c r="D275" s="11"/>
      <c r="E275" s="14"/>
      <c r="F275" s="4"/>
      <c r="G275" s="14"/>
      <c r="H275" s="22"/>
      <c r="I275" s="4"/>
      <c r="J275" s="4"/>
      <c r="K275" s="4"/>
      <c r="L275" s="4"/>
      <c r="M275" s="4"/>
      <c r="N275" s="4"/>
      <c r="O275" s="4"/>
      <c r="P275" s="4"/>
      <c r="Q275" s="4"/>
      <c r="R275" s="4"/>
      <c r="S275" s="4"/>
    </row>
    <row r="276" spans="1:19" ht="16.5" customHeight="1">
      <c r="A276" s="4"/>
      <c r="B276" s="11"/>
      <c r="C276" s="11"/>
      <c r="D276" s="11"/>
      <c r="E276" s="14"/>
      <c r="F276" s="4"/>
      <c r="G276" s="14"/>
      <c r="H276" s="22"/>
      <c r="I276" s="4"/>
      <c r="J276" s="4"/>
      <c r="K276" s="4"/>
      <c r="L276" s="4"/>
      <c r="M276" s="4"/>
      <c r="N276" s="4"/>
      <c r="O276" s="4"/>
      <c r="P276" s="4"/>
      <c r="Q276" s="4"/>
      <c r="R276" s="4"/>
      <c r="S276" s="4"/>
    </row>
    <row r="277" spans="1:19" ht="16.5" customHeight="1">
      <c r="A277" s="4"/>
      <c r="B277" s="11"/>
      <c r="C277" s="11"/>
      <c r="D277" s="11"/>
      <c r="E277" s="14"/>
      <c r="F277" s="4"/>
      <c r="G277" s="14"/>
      <c r="H277" s="22"/>
      <c r="I277" s="4"/>
      <c r="J277" s="4"/>
      <c r="K277" s="4"/>
      <c r="L277" s="4"/>
      <c r="M277" s="4"/>
      <c r="N277" s="4"/>
      <c r="O277" s="4"/>
      <c r="P277" s="4"/>
      <c r="Q277" s="4"/>
      <c r="R277" s="4"/>
      <c r="S277" s="4"/>
    </row>
    <row r="278" spans="1:19" ht="16.5" customHeight="1">
      <c r="A278" s="4"/>
      <c r="B278" s="11"/>
      <c r="C278" s="11"/>
      <c r="D278" s="11"/>
      <c r="E278" s="14"/>
      <c r="F278" s="4"/>
      <c r="G278" s="14"/>
      <c r="H278" s="22"/>
      <c r="I278" s="4"/>
      <c r="J278" s="4"/>
      <c r="K278" s="4"/>
      <c r="L278" s="4"/>
      <c r="M278" s="4"/>
      <c r="N278" s="4"/>
      <c r="O278" s="4"/>
      <c r="P278" s="4"/>
      <c r="Q278" s="4"/>
      <c r="R278" s="4"/>
      <c r="S278" s="4"/>
    </row>
    <row r="279" spans="1:19" ht="16.5" customHeight="1">
      <c r="A279" s="4"/>
      <c r="B279" s="11"/>
      <c r="C279" s="11"/>
      <c r="D279" s="11"/>
      <c r="E279" s="14"/>
      <c r="F279" s="4"/>
      <c r="G279" s="14"/>
      <c r="H279" s="22"/>
      <c r="I279" s="4"/>
      <c r="J279" s="4"/>
      <c r="K279" s="4"/>
      <c r="L279" s="4"/>
      <c r="M279" s="4"/>
      <c r="N279" s="4"/>
      <c r="O279" s="4"/>
      <c r="P279" s="4"/>
      <c r="Q279" s="4"/>
      <c r="R279" s="4"/>
      <c r="S279" s="4"/>
    </row>
    <row r="280" spans="1:19" ht="16.5" customHeight="1">
      <c r="A280" s="4"/>
      <c r="B280" s="11"/>
      <c r="C280" s="11"/>
      <c r="D280" s="11"/>
      <c r="E280" s="14"/>
      <c r="F280" s="4"/>
      <c r="G280" s="14"/>
      <c r="H280" s="22"/>
      <c r="I280" s="4"/>
      <c r="J280" s="4"/>
      <c r="K280" s="4"/>
      <c r="L280" s="4"/>
      <c r="M280" s="4"/>
      <c r="N280" s="4"/>
      <c r="O280" s="4"/>
      <c r="P280" s="4"/>
      <c r="Q280" s="4"/>
      <c r="R280" s="4"/>
      <c r="S280" s="4"/>
    </row>
    <row r="281" spans="1:19" ht="16.5" customHeight="1">
      <c r="A281" s="4"/>
      <c r="B281" s="11"/>
      <c r="C281" s="11"/>
      <c r="D281" s="11"/>
      <c r="E281" s="14"/>
      <c r="F281" s="4"/>
      <c r="G281" s="14"/>
      <c r="H281" s="22"/>
      <c r="I281" s="4"/>
      <c r="J281" s="4"/>
      <c r="K281" s="4"/>
      <c r="L281" s="4"/>
      <c r="M281" s="4"/>
      <c r="N281" s="4"/>
      <c r="O281" s="4"/>
      <c r="P281" s="4"/>
      <c r="Q281" s="4"/>
      <c r="R281" s="4"/>
      <c r="S281" s="4"/>
    </row>
    <row r="282" spans="1:19" ht="16.5" customHeight="1">
      <c r="A282" s="4"/>
      <c r="B282" s="11"/>
      <c r="C282" s="11"/>
      <c r="D282" s="11"/>
      <c r="E282" s="14"/>
      <c r="F282" s="4"/>
      <c r="G282" s="14"/>
      <c r="H282" s="22"/>
      <c r="I282" s="4"/>
      <c r="J282" s="4"/>
      <c r="K282" s="4"/>
      <c r="L282" s="4"/>
      <c r="M282" s="4"/>
      <c r="N282" s="4"/>
      <c r="O282" s="4"/>
      <c r="P282" s="4"/>
      <c r="Q282" s="4"/>
      <c r="R282" s="4"/>
      <c r="S282" s="4"/>
    </row>
    <row r="283" spans="1:19" ht="16.5" customHeight="1">
      <c r="A283" s="4"/>
      <c r="B283" s="11"/>
      <c r="C283" s="11"/>
      <c r="D283" s="11"/>
      <c r="E283" s="14"/>
      <c r="F283" s="4"/>
      <c r="G283" s="14"/>
      <c r="H283" s="22"/>
      <c r="I283" s="4"/>
      <c r="J283" s="4"/>
      <c r="K283" s="4"/>
      <c r="L283" s="4"/>
      <c r="M283" s="4"/>
      <c r="N283" s="4"/>
      <c r="O283" s="4"/>
      <c r="P283" s="4"/>
      <c r="Q283" s="4"/>
      <c r="R283" s="4"/>
      <c r="S283" s="4"/>
    </row>
    <row r="284" spans="1:19" ht="16.5" customHeight="1">
      <c r="A284" s="4"/>
      <c r="B284" s="11"/>
      <c r="C284" s="11"/>
      <c r="D284" s="11"/>
      <c r="E284" s="14"/>
      <c r="F284" s="4"/>
      <c r="G284" s="14"/>
      <c r="H284" s="22"/>
      <c r="I284" s="4"/>
      <c r="J284" s="4"/>
      <c r="K284" s="4"/>
      <c r="L284" s="4"/>
      <c r="M284" s="4"/>
      <c r="N284" s="4"/>
      <c r="O284" s="4"/>
      <c r="P284" s="4"/>
      <c r="Q284" s="4"/>
      <c r="R284" s="4"/>
      <c r="S284" s="4"/>
    </row>
    <row r="285" spans="1:19" ht="16.5" customHeight="1">
      <c r="A285" s="4"/>
      <c r="B285" s="11"/>
      <c r="C285" s="11"/>
      <c r="D285" s="11"/>
      <c r="E285" s="14"/>
      <c r="F285" s="4"/>
      <c r="G285" s="14"/>
      <c r="H285" s="22"/>
      <c r="I285" s="4"/>
      <c r="J285" s="4"/>
      <c r="K285" s="4"/>
      <c r="L285" s="4"/>
      <c r="M285" s="4"/>
      <c r="N285" s="4"/>
      <c r="O285" s="4"/>
      <c r="P285" s="4"/>
      <c r="Q285" s="4"/>
      <c r="R285" s="4"/>
      <c r="S285" s="4"/>
    </row>
    <row r="286" spans="1:19" ht="16.5" customHeight="1">
      <c r="A286" s="4"/>
      <c r="B286" s="11"/>
      <c r="C286" s="11"/>
      <c r="D286" s="11"/>
      <c r="E286" s="14"/>
      <c r="F286" s="4"/>
      <c r="G286" s="14"/>
      <c r="H286" s="22"/>
      <c r="I286" s="4"/>
      <c r="J286" s="4"/>
      <c r="K286" s="4"/>
      <c r="L286" s="4"/>
      <c r="M286" s="4"/>
      <c r="N286" s="4"/>
      <c r="O286" s="4"/>
      <c r="P286" s="4"/>
      <c r="Q286" s="4"/>
      <c r="R286" s="4"/>
      <c r="S286" s="4"/>
    </row>
    <row r="287" spans="1:19" ht="16.5" customHeight="1">
      <c r="A287" s="4"/>
      <c r="B287" s="11"/>
      <c r="C287" s="11"/>
      <c r="D287" s="11"/>
      <c r="E287" s="14"/>
      <c r="F287" s="4"/>
      <c r="G287" s="14"/>
      <c r="H287" s="22"/>
      <c r="I287" s="4"/>
      <c r="J287" s="4"/>
      <c r="K287" s="4"/>
      <c r="L287" s="4"/>
      <c r="M287" s="4"/>
      <c r="N287" s="4"/>
      <c r="O287" s="4"/>
      <c r="P287" s="4"/>
      <c r="Q287" s="4"/>
      <c r="R287" s="4"/>
      <c r="S287" s="4"/>
    </row>
    <row r="288" spans="1:19" ht="16.5" customHeight="1">
      <c r="A288" s="4"/>
      <c r="B288" s="11"/>
      <c r="C288" s="11"/>
      <c r="D288" s="11"/>
      <c r="E288" s="14"/>
      <c r="F288" s="4"/>
      <c r="G288" s="14"/>
      <c r="H288" s="22"/>
      <c r="I288" s="4"/>
      <c r="J288" s="4"/>
      <c r="K288" s="4"/>
      <c r="L288" s="4"/>
      <c r="M288" s="4"/>
      <c r="N288" s="4"/>
      <c r="O288" s="4"/>
      <c r="P288" s="4"/>
      <c r="Q288" s="4"/>
      <c r="R288" s="4"/>
      <c r="S288" s="4"/>
    </row>
    <row r="289" spans="1:19" ht="16.5" customHeight="1">
      <c r="A289" s="4"/>
      <c r="B289" s="11"/>
      <c r="C289" s="11"/>
      <c r="D289" s="11"/>
      <c r="E289" s="14"/>
      <c r="F289" s="4"/>
      <c r="G289" s="14"/>
      <c r="H289" s="22"/>
      <c r="I289" s="4"/>
      <c r="J289" s="4"/>
      <c r="K289" s="4"/>
      <c r="L289" s="4"/>
      <c r="M289" s="4"/>
      <c r="N289" s="4"/>
      <c r="O289" s="4"/>
      <c r="P289" s="4"/>
      <c r="Q289" s="4"/>
      <c r="R289" s="4"/>
      <c r="S289" s="4"/>
    </row>
    <row r="290" spans="1:19" ht="16.5" customHeight="1">
      <c r="A290" s="4"/>
      <c r="B290" s="11"/>
      <c r="C290" s="11"/>
      <c r="D290" s="11"/>
      <c r="E290" s="14"/>
      <c r="F290" s="4"/>
      <c r="G290" s="14"/>
      <c r="H290" s="22"/>
      <c r="I290" s="4"/>
      <c r="J290" s="4"/>
      <c r="K290" s="4"/>
      <c r="L290" s="4"/>
      <c r="M290" s="4"/>
      <c r="N290" s="4"/>
      <c r="O290" s="4"/>
      <c r="P290" s="4"/>
      <c r="Q290" s="4"/>
      <c r="R290" s="4"/>
      <c r="S290" s="4"/>
    </row>
    <row r="291" spans="1:19" ht="16.5" customHeight="1">
      <c r="A291" s="4"/>
      <c r="B291" s="11"/>
      <c r="C291" s="11"/>
      <c r="D291" s="11"/>
      <c r="E291" s="14"/>
      <c r="F291" s="4"/>
      <c r="G291" s="14"/>
      <c r="H291" s="22"/>
      <c r="I291" s="4"/>
      <c r="J291" s="4"/>
      <c r="K291" s="4"/>
      <c r="L291" s="4"/>
      <c r="M291" s="4"/>
      <c r="N291" s="4"/>
      <c r="O291" s="4"/>
      <c r="P291" s="4"/>
      <c r="Q291" s="4"/>
      <c r="R291" s="4"/>
      <c r="S291" s="4"/>
    </row>
    <row r="292" spans="1:19" ht="16.5" customHeight="1">
      <c r="A292" s="4"/>
      <c r="B292" s="11"/>
      <c r="C292" s="11"/>
      <c r="D292" s="11"/>
      <c r="E292" s="14"/>
      <c r="F292" s="4"/>
      <c r="G292" s="14"/>
      <c r="H292" s="22"/>
      <c r="I292" s="4"/>
      <c r="J292" s="4"/>
      <c r="K292" s="4"/>
      <c r="L292" s="4"/>
      <c r="M292" s="4"/>
      <c r="N292" s="4"/>
      <c r="O292" s="4"/>
      <c r="P292" s="4"/>
      <c r="Q292" s="4"/>
      <c r="R292" s="4"/>
      <c r="S292" s="4"/>
    </row>
    <row r="293" spans="1:19" ht="16.5" customHeight="1">
      <c r="A293" s="4"/>
      <c r="B293" s="11"/>
      <c r="C293" s="11"/>
      <c r="D293" s="11"/>
      <c r="E293" s="14"/>
      <c r="F293" s="4"/>
      <c r="G293" s="14"/>
      <c r="H293" s="22"/>
      <c r="I293" s="4"/>
      <c r="J293" s="4"/>
      <c r="K293" s="4"/>
      <c r="L293" s="4"/>
      <c r="M293" s="4"/>
      <c r="N293" s="4"/>
      <c r="O293" s="4"/>
      <c r="P293" s="4"/>
      <c r="Q293" s="4"/>
      <c r="R293" s="4"/>
      <c r="S293" s="4"/>
    </row>
    <row r="294" spans="1:19" ht="16.5" customHeight="1">
      <c r="A294" s="4"/>
      <c r="B294" s="11"/>
      <c r="C294" s="11"/>
      <c r="D294" s="11"/>
      <c r="E294" s="14"/>
      <c r="F294" s="4"/>
      <c r="G294" s="14"/>
      <c r="H294" s="22"/>
      <c r="I294" s="4"/>
      <c r="J294" s="4"/>
      <c r="K294" s="4"/>
      <c r="L294" s="4"/>
      <c r="M294" s="4"/>
      <c r="N294" s="4"/>
      <c r="O294" s="4"/>
      <c r="P294" s="4"/>
      <c r="Q294" s="4"/>
      <c r="R294" s="4"/>
      <c r="S294" s="4"/>
    </row>
    <row r="295" spans="1:19" ht="16.5" customHeight="1">
      <c r="A295" s="4"/>
      <c r="B295" s="11"/>
      <c r="C295" s="11"/>
      <c r="D295" s="11"/>
      <c r="E295" s="14"/>
      <c r="F295" s="4"/>
      <c r="G295" s="14"/>
      <c r="H295" s="22"/>
      <c r="I295" s="4"/>
      <c r="J295" s="4"/>
      <c r="K295" s="4"/>
      <c r="L295" s="4"/>
      <c r="M295" s="4"/>
      <c r="N295" s="4"/>
      <c r="O295" s="4"/>
      <c r="P295" s="4"/>
      <c r="Q295" s="4"/>
      <c r="R295" s="4"/>
      <c r="S295" s="4"/>
    </row>
    <row r="296" spans="1:19" ht="16.5" customHeight="1">
      <c r="A296" s="4"/>
      <c r="B296" s="11"/>
      <c r="C296" s="11"/>
      <c r="D296" s="11"/>
      <c r="E296" s="14"/>
      <c r="F296" s="4"/>
      <c r="G296" s="14"/>
      <c r="H296" s="22"/>
      <c r="I296" s="4"/>
      <c r="J296" s="4"/>
      <c r="K296" s="4"/>
      <c r="L296" s="4"/>
      <c r="M296" s="4"/>
      <c r="N296" s="4"/>
      <c r="O296" s="4"/>
      <c r="P296" s="4"/>
      <c r="Q296" s="4"/>
      <c r="R296" s="4"/>
      <c r="S296" s="4"/>
    </row>
    <row r="297" spans="1:19" ht="16.5" customHeight="1">
      <c r="A297" s="4"/>
      <c r="B297" s="11"/>
      <c r="C297" s="11"/>
      <c r="D297" s="11"/>
      <c r="E297" s="14"/>
      <c r="F297" s="4"/>
      <c r="G297" s="14"/>
      <c r="H297" s="22"/>
      <c r="I297" s="4"/>
      <c r="J297" s="4"/>
      <c r="K297" s="4"/>
      <c r="L297" s="4"/>
      <c r="M297" s="4"/>
      <c r="N297" s="4"/>
      <c r="O297" s="4"/>
      <c r="P297" s="4"/>
      <c r="Q297" s="4"/>
      <c r="R297" s="4"/>
      <c r="S297" s="4"/>
    </row>
    <row r="298" spans="1:19" ht="16.5" customHeight="1">
      <c r="A298" s="4"/>
      <c r="B298" s="11"/>
      <c r="C298" s="11"/>
      <c r="D298" s="11"/>
      <c r="E298" s="14"/>
      <c r="F298" s="4"/>
      <c r="G298" s="14"/>
      <c r="H298" s="22"/>
      <c r="I298" s="4"/>
      <c r="J298" s="4"/>
      <c r="K298" s="4"/>
      <c r="L298" s="4"/>
      <c r="M298" s="4"/>
      <c r="N298" s="4"/>
      <c r="O298" s="4"/>
      <c r="P298" s="4"/>
      <c r="Q298" s="4"/>
      <c r="R298" s="4"/>
      <c r="S298" s="4"/>
    </row>
    <row r="299" spans="1:19" ht="16.5" customHeight="1">
      <c r="A299" s="4"/>
      <c r="B299" s="11"/>
      <c r="C299" s="11"/>
      <c r="D299" s="11"/>
      <c r="E299" s="14"/>
      <c r="F299" s="4"/>
      <c r="G299" s="14"/>
      <c r="H299" s="22"/>
      <c r="I299" s="4"/>
      <c r="J299" s="4"/>
      <c r="K299" s="4"/>
      <c r="L299" s="4"/>
      <c r="M299" s="4"/>
      <c r="N299" s="4"/>
      <c r="O299" s="4"/>
      <c r="P299" s="4"/>
      <c r="Q299" s="4"/>
      <c r="R299" s="4"/>
      <c r="S299" s="4"/>
    </row>
    <row r="300" spans="1:19" ht="16.5" customHeight="1">
      <c r="A300" s="4"/>
      <c r="B300" s="11"/>
      <c r="C300" s="11"/>
      <c r="D300" s="11"/>
      <c r="E300" s="14"/>
      <c r="F300" s="4"/>
      <c r="G300" s="14"/>
      <c r="H300" s="22"/>
      <c r="I300" s="4"/>
      <c r="J300" s="4"/>
      <c r="K300" s="4"/>
      <c r="L300" s="4"/>
      <c r="M300" s="4"/>
      <c r="N300" s="4"/>
      <c r="O300" s="4"/>
      <c r="P300" s="4"/>
      <c r="Q300" s="4"/>
      <c r="R300" s="4"/>
      <c r="S300" s="4"/>
    </row>
    <row r="301" spans="1:19" ht="16.5" customHeight="1">
      <c r="A301" s="4"/>
      <c r="B301" s="11"/>
      <c r="C301" s="11"/>
      <c r="D301" s="11"/>
      <c r="E301" s="14"/>
      <c r="F301" s="4"/>
      <c r="G301" s="14"/>
      <c r="H301" s="22"/>
      <c r="I301" s="4"/>
      <c r="J301" s="4"/>
      <c r="K301" s="4"/>
      <c r="L301" s="4"/>
      <c r="M301" s="4"/>
      <c r="N301" s="4"/>
      <c r="O301" s="4"/>
      <c r="P301" s="4"/>
      <c r="Q301" s="4"/>
      <c r="R301" s="4"/>
      <c r="S301" s="4"/>
    </row>
    <row r="302" spans="1:19" ht="16.5" customHeight="1">
      <c r="A302" s="4"/>
      <c r="B302" s="11"/>
      <c r="C302" s="11"/>
      <c r="D302" s="11"/>
      <c r="E302" s="14"/>
      <c r="F302" s="4"/>
      <c r="G302" s="14"/>
      <c r="H302" s="22"/>
      <c r="I302" s="4"/>
      <c r="J302" s="4"/>
      <c r="K302" s="4"/>
      <c r="L302" s="4"/>
      <c r="M302" s="4"/>
      <c r="N302" s="4"/>
      <c r="O302" s="4"/>
      <c r="P302" s="4"/>
      <c r="Q302" s="4"/>
      <c r="R302" s="4"/>
      <c r="S302" s="4"/>
    </row>
    <row r="303" spans="1:19" ht="16.5" customHeight="1">
      <c r="A303" s="4"/>
      <c r="B303" s="11"/>
      <c r="C303" s="11"/>
      <c r="D303" s="11"/>
      <c r="E303" s="14"/>
      <c r="F303" s="4"/>
      <c r="G303" s="14"/>
      <c r="H303" s="22"/>
      <c r="I303" s="4"/>
      <c r="J303" s="4"/>
      <c r="K303" s="4"/>
      <c r="L303" s="4"/>
      <c r="M303" s="4"/>
      <c r="N303" s="4"/>
      <c r="O303" s="4"/>
      <c r="P303" s="4"/>
      <c r="Q303" s="4"/>
      <c r="R303" s="4"/>
      <c r="S303" s="4"/>
    </row>
    <row r="304" spans="1:19" ht="16.5" customHeight="1">
      <c r="A304" s="4"/>
      <c r="B304" s="11"/>
      <c r="C304" s="11"/>
      <c r="D304" s="11"/>
      <c r="E304" s="14"/>
      <c r="F304" s="4"/>
      <c r="G304" s="14"/>
      <c r="H304" s="22"/>
      <c r="I304" s="4"/>
      <c r="J304" s="4"/>
      <c r="K304" s="4"/>
      <c r="L304" s="4"/>
      <c r="M304" s="4"/>
      <c r="N304" s="4"/>
      <c r="O304" s="4"/>
      <c r="P304" s="4"/>
      <c r="Q304" s="4"/>
      <c r="R304" s="4"/>
      <c r="S304" s="4"/>
    </row>
    <row r="305" spans="1:19" ht="16.5" customHeight="1">
      <c r="A305" s="4"/>
      <c r="B305" s="11"/>
      <c r="C305" s="11"/>
      <c r="D305" s="11"/>
      <c r="E305" s="14"/>
      <c r="F305" s="4"/>
      <c r="G305" s="14"/>
      <c r="H305" s="22"/>
      <c r="I305" s="4"/>
      <c r="J305" s="4"/>
      <c r="K305" s="4"/>
      <c r="L305" s="4"/>
      <c r="M305" s="4"/>
      <c r="N305" s="4"/>
      <c r="O305" s="4"/>
      <c r="P305" s="4"/>
      <c r="Q305" s="4"/>
      <c r="R305" s="4"/>
      <c r="S305" s="4"/>
    </row>
    <row r="306" spans="1:19" ht="16.5" customHeight="1">
      <c r="A306" s="4"/>
      <c r="B306" s="11"/>
      <c r="C306" s="11"/>
      <c r="D306" s="11"/>
      <c r="E306" s="14"/>
      <c r="F306" s="4"/>
      <c r="G306" s="14"/>
      <c r="H306" s="22"/>
      <c r="I306" s="4"/>
      <c r="J306" s="4"/>
      <c r="K306" s="4"/>
      <c r="L306" s="4"/>
      <c r="M306" s="4"/>
      <c r="N306" s="4"/>
      <c r="O306" s="4"/>
      <c r="P306" s="4"/>
      <c r="Q306" s="4"/>
      <c r="R306" s="4"/>
      <c r="S306" s="4"/>
    </row>
    <row r="307" spans="1:19" ht="16.5" customHeight="1">
      <c r="A307" s="4"/>
      <c r="B307" s="11"/>
      <c r="C307" s="11"/>
      <c r="D307" s="11"/>
      <c r="E307" s="14"/>
      <c r="F307" s="4"/>
      <c r="G307" s="14"/>
      <c r="H307" s="22"/>
      <c r="I307" s="4"/>
      <c r="J307" s="4"/>
      <c r="K307" s="4"/>
      <c r="L307" s="4"/>
      <c r="M307" s="4"/>
      <c r="N307" s="4"/>
      <c r="O307" s="4"/>
      <c r="P307" s="4"/>
      <c r="Q307" s="4"/>
      <c r="R307" s="4"/>
      <c r="S307" s="4"/>
    </row>
    <row r="308" spans="1:19" ht="16.5" customHeight="1">
      <c r="A308" s="4"/>
      <c r="B308" s="11"/>
      <c r="C308" s="11"/>
      <c r="D308" s="11"/>
      <c r="E308" s="14"/>
      <c r="F308" s="4"/>
      <c r="G308" s="14"/>
      <c r="H308" s="22"/>
      <c r="I308" s="4"/>
      <c r="J308" s="4"/>
      <c r="K308" s="4"/>
      <c r="L308" s="4"/>
      <c r="M308" s="4"/>
      <c r="N308" s="4"/>
      <c r="O308" s="4"/>
      <c r="P308" s="4"/>
      <c r="Q308" s="4"/>
      <c r="R308" s="4"/>
      <c r="S308" s="4"/>
    </row>
    <row r="309" spans="1:19" ht="16.5" customHeight="1">
      <c r="A309" s="4"/>
      <c r="B309" s="11"/>
      <c r="C309" s="11"/>
      <c r="D309" s="11"/>
      <c r="E309" s="14"/>
      <c r="F309" s="4"/>
      <c r="G309" s="14"/>
      <c r="H309" s="22"/>
      <c r="I309" s="4"/>
      <c r="J309" s="4"/>
      <c r="K309" s="4"/>
      <c r="L309" s="4"/>
      <c r="M309" s="4"/>
      <c r="N309" s="4"/>
      <c r="O309" s="4"/>
      <c r="P309" s="4"/>
      <c r="Q309" s="4"/>
      <c r="R309" s="4"/>
      <c r="S309" s="4"/>
    </row>
    <row r="310" spans="1:19" ht="16.5" customHeight="1">
      <c r="A310" s="4"/>
      <c r="B310" s="11"/>
      <c r="C310" s="11"/>
      <c r="D310" s="11"/>
      <c r="E310" s="14"/>
      <c r="F310" s="4"/>
      <c r="G310" s="14"/>
      <c r="H310" s="22"/>
      <c r="I310" s="4"/>
      <c r="J310" s="4"/>
      <c r="K310" s="4"/>
      <c r="L310" s="4"/>
      <c r="M310" s="4"/>
      <c r="N310" s="4"/>
      <c r="O310" s="4"/>
      <c r="P310" s="4"/>
      <c r="Q310" s="4"/>
      <c r="R310" s="4"/>
      <c r="S310" s="4"/>
    </row>
    <row r="311" spans="1:19" ht="16.5" customHeight="1">
      <c r="A311" s="4"/>
      <c r="B311" s="11"/>
      <c r="C311" s="11"/>
      <c r="D311" s="11"/>
      <c r="E311" s="14"/>
      <c r="F311" s="4"/>
      <c r="G311" s="14"/>
      <c r="H311" s="22"/>
      <c r="I311" s="4"/>
      <c r="J311" s="4"/>
      <c r="K311" s="4"/>
      <c r="L311" s="4"/>
      <c r="M311" s="4"/>
      <c r="N311" s="4"/>
      <c r="O311" s="4"/>
      <c r="P311" s="4"/>
      <c r="Q311" s="4"/>
      <c r="R311" s="4"/>
      <c r="S311" s="4"/>
    </row>
    <row r="312" spans="1:19" ht="16.5" customHeight="1">
      <c r="A312" s="4"/>
      <c r="B312" s="11"/>
      <c r="C312" s="11"/>
      <c r="D312" s="11"/>
      <c r="E312" s="14"/>
      <c r="F312" s="4"/>
      <c r="G312" s="14"/>
      <c r="H312" s="22"/>
      <c r="I312" s="4"/>
      <c r="J312" s="4"/>
      <c r="K312" s="4"/>
      <c r="L312" s="4"/>
      <c r="M312" s="4"/>
      <c r="N312" s="4"/>
      <c r="O312" s="4"/>
      <c r="P312" s="4"/>
      <c r="Q312" s="4"/>
      <c r="R312" s="4"/>
      <c r="S312" s="4"/>
    </row>
    <row r="313" spans="1:19" ht="16.5" customHeight="1">
      <c r="A313" s="4"/>
      <c r="B313" s="11"/>
      <c r="C313" s="11"/>
      <c r="D313" s="11"/>
      <c r="E313" s="14"/>
      <c r="F313" s="4"/>
      <c r="G313" s="14"/>
      <c r="H313" s="22"/>
      <c r="I313" s="4"/>
      <c r="J313" s="4"/>
      <c r="K313" s="4"/>
      <c r="L313" s="4"/>
      <c r="M313" s="4"/>
      <c r="N313" s="4"/>
      <c r="O313" s="4"/>
      <c r="P313" s="4"/>
      <c r="Q313" s="4"/>
      <c r="R313" s="4"/>
      <c r="S313" s="4"/>
    </row>
    <row r="314" spans="1:19" ht="16.5" customHeight="1">
      <c r="A314" s="4"/>
      <c r="B314" s="11"/>
      <c r="C314" s="11"/>
      <c r="D314" s="11"/>
      <c r="E314" s="14"/>
      <c r="F314" s="4"/>
      <c r="G314" s="14"/>
      <c r="H314" s="22"/>
      <c r="I314" s="4"/>
      <c r="J314" s="4"/>
      <c r="K314" s="4"/>
      <c r="L314" s="4"/>
      <c r="M314" s="4"/>
      <c r="N314" s="4"/>
      <c r="O314" s="4"/>
      <c r="P314" s="4"/>
      <c r="Q314" s="4"/>
      <c r="R314" s="4"/>
      <c r="S314" s="4"/>
    </row>
    <row r="315" spans="1:19" ht="16.5" customHeight="1">
      <c r="A315" s="4"/>
      <c r="B315" s="11"/>
      <c r="C315" s="11"/>
      <c r="D315" s="11"/>
      <c r="E315" s="14"/>
      <c r="F315" s="4"/>
      <c r="G315" s="14"/>
      <c r="H315" s="22"/>
      <c r="I315" s="4"/>
      <c r="J315" s="4"/>
      <c r="K315" s="4"/>
      <c r="L315" s="4"/>
      <c r="M315" s="4"/>
      <c r="N315" s="4"/>
      <c r="O315" s="4"/>
      <c r="P315" s="4"/>
      <c r="Q315" s="4"/>
      <c r="R315" s="4"/>
      <c r="S315" s="4"/>
    </row>
    <row r="316" spans="1:19" ht="16.5" customHeight="1">
      <c r="A316" s="4"/>
      <c r="B316" s="11"/>
      <c r="C316" s="11"/>
      <c r="D316" s="11"/>
      <c r="E316" s="14"/>
      <c r="F316" s="4"/>
      <c r="G316" s="14"/>
      <c r="H316" s="22"/>
      <c r="I316" s="4"/>
      <c r="J316" s="4"/>
      <c r="K316" s="4"/>
      <c r="L316" s="4"/>
      <c r="M316" s="4"/>
      <c r="N316" s="4"/>
      <c r="O316" s="4"/>
      <c r="P316" s="4"/>
      <c r="Q316" s="4"/>
      <c r="R316" s="4"/>
      <c r="S316" s="4"/>
    </row>
    <row r="317" spans="1:19" ht="16.5" customHeight="1">
      <c r="A317" s="4"/>
      <c r="B317" s="11"/>
      <c r="C317" s="11"/>
      <c r="D317" s="11"/>
      <c r="E317" s="14"/>
      <c r="F317" s="4"/>
      <c r="G317" s="14"/>
      <c r="H317" s="22"/>
      <c r="I317" s="4"/>
      <c r="J317" s="4"/>
      <c r="K317" s="4"/>
      <c r="L317" s="4"/>
      <c r="M317" s="4"/>
      <c r="N317" s="4"/>
      <c r="O317" s="4"/>
      <c r="P317" s="4"/>
      <c r="Q317" s="4"/>
      <c r="R317" s="4"/>
      <c r="S317" s="4"/>
    </row>
    <row r="318" spans="1:19" ht="16.5" customHeight="1">
      <c r="A318" s="4"/>
      <c r="B318" s="11"/>
      <c r="C318" s="11"/>
      <c r="D318" s="11"/>
      <c r="E318" s="14"/>
      <c r="F318" s="4"/>
      <c r="G318" s="14"/>
      <c r="H318" s="22"/>
      <c r="I318" s="4"/>
      <c r="J318" s="4"/>
      <c r="K318" s="4"/>
      <c r="L318" s="4"/>
      <c r="M318" s="4"/>
      <c r="N318" s="4"/>
      <c r="O318" s="4"/>
      <c r="P318" s="4"/>
      <c r="Q318" s="4"/>
      <c r="R318" s="4"/>
      <c r="S318" s="4"/>
    </row>
    <row r="319" spans="1:19" ht="16.5" customHeight="1">
      <c r="A319" s="4"/>
      <c r="B319" s="11"/>
      <c r="C319" s="11"/>
      <c r="D319" s="11"/>
      <c r="E319" s="14"/>
      <c r="F319" s="4"/>
      <c r="G319" s="14"/>
      <c r="H319" s="22"/>
      <c r="I319" s="4"/>
      <c r="J319" s="4"/>
      <c r="K319" s="4"/>
      <c r="L319" s="4"/>
      <c r="M319" s="4"/>
      <c r="N319" s="4"/>
      <c r="O319" s="4"/>
      <c r="P319" s="4"/>
      <c r="Q319" s="4"/>
      <c r="R319" s="4"/>
      <c r="S319" s="4"/>
    </row>
    <row r="320" spans="1:19" ht="16.5" customHeight="1">
      <c r="A320" s="4"/>
      <c r="B320" s="11"/>
      <c r="C320" s="11"/>
      <c r="D320" s="11"/>
      <c r="E320" s="14"/>
      <c r="F320" s="4"/>
      <c r="G320" s="14"/>
      <c r="H320" s="22"/>
      <c r="I320" s="4"/>
      <c r="J320" s="4"/>
      <c r="K320" s="4"/>
      <c r="L320" s="4"/>
      <c r="M320" s="4"/>
      <c r="N320" s="4"/>
      <c r="O320" s="4"/>
      <c r="P320" s="4"/>
      <c r="Q320" s="4"/>
      <c r="R320" s="4"/>
      <c r="S320" s="4"/>
    </row>
    <row r="321" spans="1:19" ht="16.5" customHeight="1">
      <c r="A321" s="4"/>
      <c r="B321" s="11"/>
      <c r="C321" s="11"/>
      <c r="D321" s="11"/>
      <c r="E321" s="14"/>
      <c r="F321" s="4"/>
      <c r="G321" s="14"/>
      <c r="H321" s="22"/>
      <c r="I321" s="4"/>
      <c r="J321" s="4"/>
      <c r="K321" s="4"/>
      <c r="L321" s="4"/>
      <c r="M321" s="4"/>
      <c r="N321" s="4"/>
      <c r="O321" s="4"/>
      <c r="P321" s="4"/>
      <c r="Q321" s="4"/>
      <c r="R321" s="4"/>
      <c r="S321" s="4"/>
    </row>
    <row r="322" spans="1:19" ht="16.5" customHeight="1">
      <c r="A322" s="4"/>
      <c r="B322" s="11"/>
      <c r="C322" s="11"/>
      <c r="D322" s="11"/>
      <c r="E322" s="14"/>
      <c r="F322" s="4"/>
      <c r="G322" s="14"/>
      <c r="H322" s="22"/>
      <c r="I322" s="4"/>
      <c r="J322" s="4"/>
      <c r="K322" s="4"/>
      <c r="L322" s="4"/>
      <c r="M322" s="4"/>
      <c r="N322" s="4"/>
      <c r="O322" s="4"/>
      <c r="P322" s="4"/>
      <c r="Q322" s="4"/>
      <c r="R322" s="4"/>
      <c r="S322" s="4"/>
    </row>
    <row r="323" spans="1:19" ht="16.5" customHeight="1">
      <c r="A323" s="4"/>
      <c r="B323" s="11"/>
      <c r="C323" s="11"/>
      <c r="D323" s="11"/>
      <c r="E323" s="14"/>
      <c r="F323" s="4"/>
      <c r="G323" s="14"/>
      <c r="H323" s="22"/>
      <c r="I323" s="4"/>
      <c r="J323" s="4"/>
      <c r="K323" s="4"/>
      <c r="L323" s="4"/>
      <c r="M323" s="4"/>
      <c r="N323" s="4"/>
      <c r="O323" s="4"/>
      <c r="P323" s="4"/>
      <c r="Q323" s="4"/>
      <c r="R323" s="4"/>
      <c r="S323" s="4"/>
    </row>
    <row r="324" spans="1:19" ht="16.5" customHeight="1">
      <c r="A324" s="4"/>
      <c r="B324" s="11"/>
      <c r="C324" s="11"/>
      <c r="D324" s="11"/>
      <c r="E324" s="14"/>
      <c r="F324" s="4"/>
      <c r="G324" s="14"/>
      <c r="H324" s="22"/>
      <c r="I324" s="4"/>
      <c r="J324" s="4"/>
      <c r="K324" s="4"/>
      <c r="L324" s="4"/>
      <c r="M324" s="4"/>
      <c r="N324" s="4"/>
      <c r="O324" s="4"/>
      <c r="P324" s="4"/>
      <c r="Q324" s="4"/>
      <c r="R324" s="4"/>
      <c r="S324" s="4"/>
    </row>
    <row r="325" spans="1:19" ht="16.5" customHeight="1">
      <c r="A325" s="4"/>
      <c r="B325" s="11"/>
      <c r="C325" s="11"/>
      <c r="D325" s="11"/>
      <c r="E325" s="14"/>
      <c r="F325" s="4"/>
      <c r="G325" s="14"/>
      <c r="H325" s="22"/>
      <c r="I325" s="4"/>
      <c r="J325" s="4"/>
      <c r="K325" s="4"/>
      <c r="L325" s="4"/>
      <c r="M325" s="4"/>
      <c r="N325" s="4"/>
      <c r="O325" s="4"/>
      <c r="P325" s="4"/>
      <c r="Q325" s="4"/>
      <c r="R325" s="4"/>
      <c r="S325" s="4"/>
    </row>
    <row r="326" spans="1:19" ht="16.5" customHeight="1">
      <c r="A326" s="4"/>
      <c r="B326" s="11"/>
      <c r="C326" s="11"/>
      <c r="D326" s="11"/>
      <c r="E326" s="14"/>
      <c r="F326" s="4"/>
      <c r="G326" s="14"/>
      <c r="H326" s="22"/>
      <c r="I326" s="4"/>
      <c r="J326" s="4"/>
      <c r="K326" s="4"/>
      <c r="L326" s="4"/>
      <c r="M326" s="4"/>
      <c r="N326" s="4"/>
      <c r="O326" s="4"/>
      <c r="P326" s="4"/>
      <c r="Q326" s="4"/>
      <c r="R326" s="4"/>
      <c r="S326" s="4"/>
    </row>
    <row r="327" spans="1:19" ht="16.5" customHeight="1">
      <c r="A327" s="4"/>
      <c r="B327" s="11"/>
      <c r="C327" s="11"/>
      <c r="D327" s="11"/>
      <c r="E327" s="14"/>
      <c r="F327" s="4"/>
      <c r="G327" s="14"/>
      <c r="H327" s="22"/>
      <c r="I327" s="4"/>
      <c r="J327" s="4"/>
      <c r="K327" s="4"/>
      <c r="L327" s="4"/>
      <c r="M327" s="4"/>
      <c r="N327" s="4"/>
      <c r="O327" s="4"/>
      <c r="P327" s="4"/>
      <c r="Q327" s="4"/>
      <c r="R327" s="4"/>
      <c r="S327" s="4"/>
    </row>
    <row r="328" spans="1:19" ht="16.5" customHeight="1">
      <c r="A328" s="4"/>
      <c r="B328" s="11"/>
      <c r="C328" s="11"/>
      <c r="D328" s="11"/>
      <c r="E328" s="14"/>
      <c r="F328" s="4"/>
      <c r="G328" s="14"/>
      <c r="H328" s="22"/>
      <c r="I328" s="4"/>
      <c r="J328" s="4"/>
      <c r="K328" s="4"/>
      <c r="L328" s="4"/>
      <c r="M328" s="4"/>
      <c r="N328" s="4"/>
      <c r="O328" s="4"/>
      <c r="P328" s="4"/>
      <c r="Q328" s="4"/>
      <c r="R328" s="4"/>
      <c r="S328" s="4"/>
    </row>
    <row r="329" spans="1:19" ht="16.5" customHeight="1">
      <c r="A329" s="4"/>
      <c r="B329" s="11"/>
      <c r="C329" s="11"/>
      <c r="D329" s="11"/>
      <c r="E329" s="14"/>
      <c r="F329" s="4"/>
      <c r="G329" s="14"/>
      <c r="H329" s="22"/>
      <c r="I329" s="4"/>
      <c r="J329" s="4"/>
      <c r="K329" s="4"/>
      <c r="L329" s="4"/>
      <c r="M329" s="4"/>
      <c r="N329" s="4"/>
      <c r="O329" s="4"/>
      <c r="P329" s="4"/>
      <c r="Q329" s="4"/>
      <c r="R329" s="4"/>
      <c r="S329" s="4"/>
    </row>
    <row r="330" spans="1:19" ht="16.5" customHeight="1">
      <c r="A330" s="4"/>
      <c r="B330" s="11"/>
      <c r="C330" s="11"/>
      <c r="D330" s="11"/>
      <c r="E330" s="14"/>
      <c r="F330" s="4"/>
      <c r="G330" s="14"/>
      <c r="H330" s="22"/>
      <c r="I330" s="4"/>
      <c r="J330" s="4"/>
      <c r="K330" s="4"/>
      <c r="L330" s="4"/>
      <c r="M330" s="4"/>
      <c r="N330" s="4"/>
      <c r="O330" s="4"/>
      <c r="P330" s="4"/>
      <c r="Q330" s="4"/>
      <c r="R330" s="4"/>
      <c r="S330" s="4"/>
    </row>
    <row r="331" spans="1:19" ht="16.5" customHeight="1">
      <c r="A331" s="4"/>
      <c r="B331" s="11"/>
      <c r="C331" s="11"/>
      <c r="D331" s="11"/>
      <c r="E331" s="14"/>
      <c r="F331" s="4"/>
      <c r="G331" s="14"/>
      <c r="H331" s="22"/>
      <c r="I331" s="4"/>
      <c r="J331" s="4"/>
      <c r="K331" s="4"/>
      <c r="L331" s="4"/>
      <c r="M331" s="4"/>
      <c r="N331" s="4"/>
      <c r="O331" s="4"/>
      <c r="P331" s="4"/>
      <c r="Q331" s="4"/>
      <c r="R331" s="4"/>
      <c r="S331" s="4"/>
    </row>
    <row r="332" spans="1:19" ht="16.5" customHeight="1">
      <c r="A332" s="4"/>
      <c r="B332" s="11"/>
      <c r="C332" s="11"/>
      <c r="D332" s="11"/>
      <c r="E332" s="14"/>
      <c r="F332" s="4"/>
      <c r="G332" s="14"/>
      <c r="H332" s="22"/>
      <c r="I332" s="4"/>
      <c r="J332" s="4"/>
      <c r="K332" s="4"/>
      <c r="L332" s="4"/>
      <c r="M332" s="4"/>
      <c r="N332" s="4"/>
      <c r="O332" s="4"/>
      <c r="P332" s="4"/>
      <c r="Q332" s="4"/>
      <c r="R332" s="4"/>
      <c r="S332" s="4"/>
    </row>
    <row r="333" spans="1:19" ht="16.5" customHeight="1">
      <c r="A333" s="4"/>
      <c r="B333" s="11"/>
      <c r="C333" s="11"/>
      <c r="D333" s="11"/>
      <c r="E333" s="14"/>
      <c r="F333" s="4"/>
      <c r="G333" s="14"/>
      <c r="H333" s="22"/>
      <c r="I333" s="4"/>
      <c r="J333" s="4"/>
      <c r="K333" s="4"/>
      <c r="L333" s="4"/>
      <c r="M333" s="4"/>
      <c r="N333" s="4"/>
      <c r="O333" s="4"/>
      <c r="P333" s="4"/>
      <c r="Q333" s="4"/>
      <c r="R333" s="4"/>
      <c r="S333" s="4"/>
    </row>
    <row r="334" spans="1:19" ht="16.5" customHeight="1">
      <c r="A334" s="4"/>
      <c r="B334" s="11"/>
      <c r="C334" s="11"/>
      <c r="D334" s="11"/>
      <c r="E334" s="14"/>
      <c r="F334" s="4"/>
      <c r="G334" s="14"/>
      <c r="H334" s="22"/>
      <c r="I334" s="4"/>
      <c r="J334" s="4"/>
      <c r="K334" s="4"/>
      <c r="L334" s="4"/>
      <c r="M334" s="4"/>
      <c r="N334" s="4"/>
      <c r="O334" s="4"/>
      <c r="P334" s="4"/>
      <c r="Q334" s="4"/>
      <c r="R334" s="4"/>
      <c r="S334" s="4"/>
    </row>
    <row r="335" spans="1:19" ht="16.5" customHeight="1">
      <c r="A335" s="4"/>
      <c r="B335" s="11"/>
      <c r="C335" s="11"/>
      <c r="D335" s="11"/>
      <c r="E335" s="14"/>
      <c r="F335" s="4"/>
      <c r="G335" s="14"/>
      <c r="H335" s="22"/>
      <c r="I335" s="4"/>
      <c r="J335" s="4"/>
      <c r="K335" s="4"/>
      <c r="L335" s="4"/>
      <c r="M335" s="4"/>
      <c r="N335" s="4"/>
      <c r="O335" s="4"/>
      <c r="P335" s="4"/>
      <c r="Q335" s="4"/>
      <c r="R335" s="4"/>
      <c r="S335" s="4"/>
    </row>
    <row r="336" spans="1:19" ht="16.5" customHeight="1">
      <c r="A336" s="4"/>
      <c r="B336" s="11"/>
      <c r="C336" s="11"/>
      <c r="D336" s="11"/>
      <c r="E336" s="14"/>
      <c r="F336" s="4"/>
      <c r="G336" s="14"/>
      <c r="H336" s="22"/>
      <c r="I336" s="4"/>
      <c r="J336" s="4"/>
      <c r="K336" s="4"/>
      <c r="L336" s="4"/>
      <c r="M336" s="4"/>
      <c r="N336" s="4"/>
      <c r="O336" s="4"/>
      <c r="P336" s="4"/>
      <c r="Q336" s="4"/>
      <c r="R336" s="4"/>
      <c r="S336" s="4"/>
    </row>
    <row r="337" spans="1:19" ht="16.5" customHeight="1">
      <c r="A337" s="4"/>
      <c r="B337" s="11"/>
      <c r="C337" s="11"/>
      <c r="D337" s="11"/>
      <c r="E337" s="14"/>
      <c r="F337" s="4"/>
      <c r="G337" s="14"/>
      <c r="H337" s="22"/>
      <c r="I337" s="4"/>
      <c r="J337" s="4"/>
      <c r="K337" s="4"/>
      <c r="L337" s="4"/>
      <c r="M337" s="4"/>
      <c r="N337" s="4"/>
      <c r="O337" s="4"/>
      <c r="P337" s="4"/>
      <c r="Q337" s="4"/>
      <c r="R337" s="4"/>
      <c r="S337" s="4"/>
    </row>
    <row r="338" spans="1:19" ht="16.5" customHeight="1">
      <c r="A338" s="4"/>
      <c r="B338" s="11"/>
      <c r="C338" s="11"/>
      <c r="D338" s="11"/>
      <c r="E338" s="14"/>
      <c r="F338" s="4"/>
      <c r="G338" s="14"/>
      <c r="H338" s="22"/>
      <c r="I338" s="4"/>
      <c r="J338" s="4"/>
      <c r="K338" s="4"/>
      <c r="L338" s="4"/>
      <c r="M338" s="4"/>
      <c r="N338" s="4"/>
      <c r="O338" s="4"/>
      <c r="P338" s="4"/>
      <c r="Q338" s="4"/>
      <c r="R338" s="4"/>
      <c r="S338" s="4"/>
    </row>
    <row r="339" spans="1:19" ht="16.5" customHeight="1">
      <c r="A339" s="4"/>
      <c r="B339" s="11"/>
      <c r="C339" s="11"/>
      <c r="D339" s="11"/>
      <c r="E339" s="14"/>
      <c r="F339" s="4"/>
      <c r="G339" s="14"/>
      <c r="H339" s="22"/>
      <c r="I339" s="4"/>
      <c r="J339" s="4"/>
      <c r="K339" s="4"/>
      <c r="L339" s="4"/>
      <c r="M339" s="4"/>
      <c r="N339" s="4"/>
      <c r="O339" s="4"/>
      <c r="P339" s="4"/>
      <c r="Q339" s="4"/>
      <c r="R339" s="4"/>
      <c r="S339" s="4"/>
    </row>
    <row r="340" spans="1:19" ht="16.5" customHeight="1">
      <c r="A340" s="4"/>
      <c r="B340" s="11"/>
      <c r="C340" s="11"/>
      <c r="D340" s="11"/>
      <c r="E340" s="14"/>
      <c r="F340" s="4"/>
      <c r="G340" s="14"/>
      <c r="H340" s="22"/>
      <c r="I340" s="4"/>
      <c r="J340" s="4"/>
      <c r="K340" s="4"/>
      <c r="L340" s="4"/>
      <c r="M340" s="4"/>
      <c r="N340" s="4"/>
      <c r="O340" s="4"/>
      <c r="P340" s="4"/>
      <c r="Q340" s="4"/>
      <c r="R340" s="4"/>
      <c r="S340" s="4"/>
    </row>
    <row r="341" spans="1:19" ht="16.5" customHeight="1">
      <c r="A341" s="4"/>
      <c r="B341" s="11"/>
      <c r="C341" s="11"/>
      <c r="D341" s="11"/>
      <c r="E341" s="14"/>
      <c r="F341" s="4"/>
      <c r="G341" s="14"/>
      <c r="H341" s="22"/>
      <c r="I341" s="4"/>
      <c r="J341" s="4"/>
      <c r="K341" s="4"/>
      <c r="L341" s="4"/>
      <c r="M341" s="4"/>
      <c r="N341" s="4"/>
      <c r="O341" s="4"/>
      <c r="P341" s="4"/>
      <c r="Q341" s="4"/>
      <c r="R341" s="4"/>
      <c r="S341" s="4"/>
    </row>
    <row r="342" spans="1:19" ht="16.5" customHeight="1">
      <c r="A342" s="4"/>
      <c r="B342" s="11"/>
      <c r="C342" s="11"/>
      <c r="D342" s="11"/>
      <c r="E342" s="14"/>
      <c r="F342" s="4"/>
      <c r="G342" s="14"/>
      <c r="H342" s="22"/>
      <c r="I342" s="4"/>
      <c r="J342" s="4"/>
      <c r="K342" s="4"/>
      <c r="L342" s="4"/>
      <c r="M342" s="4"/>
      <c r="N342" s="4"/>
      <c r="O342" s="4"/>
      <c r="P342" s="4"/>
      <c r="Q342" s="4"/>
      <c r="R342" s="4"/>
      <c r="S342" s="4"/>
    </row>
    <row r="343" spans="1:19" ht="16.5" customHeight="1">
      <c r="A343" s="4"/>
      <c r="B343" s="11"/>
      <c r="C343" s="11"/>
      <c r="D343" s="11"/>
      <c r="E343" s="14"/>
      <c r="F343" s="4"/>
      <c r="G343" s="14"/>
      <c r="H343" s="22"/>
      <c r="I343" s="4"/>
      <c r="J343" s="4"/>
      <c r="K343" s="4"/>
      <c r="L343" s="4"/>
      <c r="M343" s="4"/>
      <c r="N343" s="4"/>
      <c r="O343" s="4"/>
      <c r="P343" s="4"/>
      <c r="Q343" s="4"/>
      <c r="R343" s="4"/>
      <c r="S343" s="4"/>
    </row>
    <row r="344" spans="1:19" ht="16.5" customHeight="1">
      <c r="A344" s="4"/>
      <c r="B344" s="11"/>
      <c r="C344" s="11"/>
      <c r="D344" s="11"/>
      <c r="E344" s="14"/>
      <c r="F344" s="4"/>
      <c r="G344" s="14"/>
      <c r="H344" s="22"/>
      <c r="I344" s="4"/>
      <c r="J344" s="4"/>
      <c r="K344" s="4"/>
      <c r="L344" s="4"/>
      <c r="M344" s="4"/>
      <c r="N344" s="4"/>
      <c r="O344" s="4"/>
      <c r="P344" s="4"/>
      <c r="Q344" s="4"/>
      <c r="R344" s="4"/>
      <c r="S344" s="4"/>
    </row>
    <row r="345" spans="1:19" ht="16.5" customHeight="1">
      <c r="A345" s="4"/>
      <c r="B345" s="11"/>
      <c r="C345" s="11"/>
      <c r="D345" s="11"/>
      <c r="E345" s="14"/>
      <c r="F345" s="4"/>
      <c r="G345" s="14"/>
      <c r="H345" s="22"/>
      <c r="I345" s="4"/>
      <c r="J345" s="4"/>
      <c r="K345" s="4"/>
      <c r="L345" s="4"/>
      <c r="M345" s="4"/>
      <c r="N345" s="4"/>
      <c r="O345" s="4"/>
      <c r="P345" s="4"/>
      <c r="Q345" s="4"/>
      <c r="R345" s="4"/>
      <c r="S345" s="4"/>
    </row>
    <row r="346" spans="1:19" ht="16.5" customHeight="1">
      <c r="A346" s="4"/>
      <c r="B346" s="11"/>
      <c r="C346" s="11"/>
      <c r="D346" s="11"/>
      <c r="E346" s="14"/>
      <c r="F346" s="4"/>
      <c r="G346" s="14"/>
      <c r="H346" s="22"/>
      <c r="I346" s="4"/>
      <c r="J346" s="4"/>
      <c r="K346" s="4"/>
      <c r="L346" s="4"/>
      <c r="M346" s="4"/>
      <c r="N346" s="4"/>
      <c r="O346" s="4"/>
      <c r="P346" s="4"/>
      <c r="Q346" s="4"/>
      <c r="R346" s="4"/>
      <c r="S346" s="4"/>
    </row>
    <row r="347" spans="1:19" ht="16.5" customHeight="1">
      <c r="A347" s="4"/>
      <c r="B347" s="11"/>
      <c r="C347" s="11"/>
      <c r="D347" s="11"/>
      <c r="E347" s="14"/>
      <c r="F347" s="4"/>
      <c r="G347" s="14"/>
      <c r="H347" s="22"/>
      <c r="I347" s="4"/>
      <c r="J347" s="4"/>
      <c r="K347" s="4"/>
      <c r="L347" s="4"/>
      <c r="M347" s="4"/>
      <c r="N347" s="4"/>
      <c r="O347" s="4"/>
      <c r="P347" s="4"/>
      <c r="Q347" s="4"/>
      <c r="R347" s="4"/>
      <c r="S347" s="4"/>
    </row>
    <row r="348" spans="1:19" ht="16.5" customHeight="1">
      <c r="A348" s="4"/>
      <c r="B348" s="11"/>
      <c r="C348" s="11"/>
      <c r="D348" s="11"/>
      <c r="E348" s="14"/>
      <c r="F348" s="4"/>
      <c r="G348" s="14"/>
      <c r="H348" s="22"/>
      <c r="I348" s="4"/>
      <c r="J348" s="4"/>
      <c r="K348" s="4"/>
      <c r="L348" s="4"/>
      <c r="M348" s="4"/>
      <c r="N348" s="4"/>
      <c r="O348" s="4"/>
      <c r="P348" s="4"/>
      <c r="Q348" s="4"/>
      <c r="R348" s="4"/>
      <c r="S348" s="4"/>
    </row>
    <row r="349" spans="1:19" ht="16.5" customHeight="1">
      <c r="A349" s="4"/>
      <c r="B349" s="11"/>
      <c r="C349" s="11"/>
      <c r="D349" s="11"/>
      <c r="E349" s="14"/>
      <c r="F349" s="4"/>
      <c r="G349" s="14"/>
      <c r="H349" s="22"/>
      <c r="I349" s="4"/>
      <c r="J349" s="4"/>
      <c r="K349" s="4"/>
      <c r="L349" s="4"/>
      <c r="M349" s="4"/>
      <c r="N349" s="4"/>
      <c r="O349" s="4"/>
      <c r="P349" s="4"/>
      <c r="Q349" s="4"/>
      <c r="R349" s="4"/>
      <c r="S349" s="4"/>
    </row>
    <row r="350" spans="1:19" ht="16.5" customHeight="1">
      <c r="A350" s="4"/>
      <c r="B350" s="11"/>
      <c r="C350" s="11"/>
      <c r="D350" s="11"/>
      <c r="E350" s="14"/>
      <c r="F350" s="4"/>
      <c r="G350" s="14"/>
      <c r="H350" s="22"/>
      <c r="I350" s="4"/>
      <c r="J350" s="4"/>
      <c r="K350" s="4"/>
      <c r="L350" s="4"/>
      <c r="M350" s="4"/>
      <c r="N350" s="4"/>
      <c r="O350" s="4"/>
      <c r="P350" s="4"/>
      <c r="Q350" s="4"/>
      <c r="R350" s="4"/>
      <c r="S350" s="4"/>
    </row>
    <row r="351" spans="1:19" ht="16.5" customHeight="1">
      <c r="A351" s="4"/>
      <c r="B351" s="11"/>
      <c r="C351" s="11"/>
      <c r="D351" s="11"/>
      <c r="E351" s="14"/>
      <c r="F351" s="4"/>
      <c r="G351" s="14"/>
      <c r="H351" s="22"/>
      <c r="I351" s="4"/>
      <c r="J351" s="4"/>
      <c r="K351" s="4"/>
      <c r="L351" s="4"/>
      <c r="M351" s="4"/>
      <c r="N351" s="4"/>
      <c r="O351" s="4"/>
      <c r="P351" s="4"/>
      <c r="Q351" s="4"/>
      <c r="R351" s="4"/>
      <c r="S351" s="4"/>
    </row>
    <row r="352" spans="1:19" ht="16.5" customHeight="1">
      <c r="A352" s="4"/>
      <c r="B352" s="11"/>
      <c r="C352" s="11"/>
      <c r="D352" s="11"/>
      <c r="E352" s="14"/>
      <c r="F352" s="4"/>
      <c r="G352" s="14"/>
      <c r="H352" s="22"/>
      <c r="I352" s="4"/>
      <c r="J352" s="4"/>
      <c r="K352" s="4"/>
      <c r="L352" s="4"/>
      <c r="M352" s="4"/>
      <c r="N352" s="4"/>
      <c r="O352" s="4"/>
      <c r="P352" s="4"/>
      <c r="Q352" s="4"/>
      <c r="R352" s="4"/>
      <c r="S352" s="4"/>
    </row>
    <row r="353" spans="1:19" ht="16.5" customHeight="1">
      <c r="A353" s="4"/>
      <c r="B353" s="11"/>
      <c r="C353" s="11"/>
      <c r="D353" s="11"/>
      <c r="E353" s="14"/>
      <c r="F353" s="4"/>
      <c r="G353" s="14"/>
      <c r="H353" s="22"/>
      <c r="I353" s="4"/>
      <c r="J353" s="4"/>
      <c r="K353" s="4"/>
      <c r="L353" s="4"/>
      <c r="M353" s="4"/>
      <c r="N353" s="4"/>
      <c r="O353" s="4"/>
      <c r="P353" s="4"/>
      <c r="Q353" s="4"/>
      <c r="R353" s="4"/>
      <c r="S353" s="4"/>
    </row>
    <row r="354" spans="1:19" ht="16.5" customHeight="1">
      <c r="A354" s="4"/>
      <c r="B354" s="11"/>
      <c r="C354" s="11"/>
      <c r="D354" s="11"/>
      <c r="E354" s="14"/>
      <c r="F354" s="4"/>
      <c r="G354" s="14"/>
      <c r="H354" s="22"/>
      <c r="I354" s="4"/>
      <c r="J354" s="4"/>
      <c r="K354" s="4"/>
      <c r="L354" s="4"/>
      <c r="M354" s="4"/>
      <c r="N354" s="4"/>
      <c r="O354" s="4"/>
      <c r="P354" s="4"/>
      <c r="Q354" s="4"/>
      <c r="R354" s="4"/>
      <c r="S354" s="4"/>
    </row>
    <row r="355" spans="1:19" ht="16.5" customHeight="1">
      <c r="A355" s="4"/>
      <c r="B355" s="11"/>
      <c r="C355" s="11"/>
      <c r="D355" s="11"/>
      <c r="E355" s="14"/>
      <c r="F355" s="4"/>
      <c r="G355" s="14"/>
      <c r="H355" s="22"/>
      <c r="I355" s="4"/>
      <c r="J355" s="4"/>
      <c r="K355" s="4"/>
      <c r="L355" s="4"/>
      <c r="M355" s="4"/>
      <c r="N355" s="4"/>
      <c r="O355" s="4"/>
      <c r="P355" s="4"/>
      <c r="Q355" s="4"/>
      <c r="R355" s="4"/>
      <c r="S355" s="4"/>
    </row>
    <row r="356" spans="1:19" ht="16.5" customHeight="1">
      <c r="A356" s="4"/>
      <c r="B356" s="11"/>
      <c r="C356" s="11"/>
      <c r="D356" s="11"/>
      <c r="E356" s="14"/>
      <c r="F356" s="4"/>
      <c r="G356" s="14"/>
      <c r="H356" s="22"/>
      <c r="I356" s="4"/>
      <c r="J356" s="4"/>
      <c r="K356" s="4"/>
      <c r="L356" s="4"/>
      <c r="M356" s="4"/>
      <c r="N356" s="4"/>
      <c r="O356" s="4"/>
      <c r="P356" s="4"/>
      <c r="Q356" s="4"/>
      <c r="R356" s="4"/>
      <c r="S356" s="4"/>
    </row>
    <row r="357" spans="1:19" ht="16.5" customHeight="1">
      <c r="A357" s="4"/>
      <c r="B357" s="11"/>
      <c r="C357" s="11"/>
      <c r="D357" s="11"/>
      <c r="E357" s="14"/>
      <c r="F357" s="4"/>
      <c r="G357" s="14"/>
      <c r="H357" s="22"/>
      <c r="I357" s="4"/>
      <c r="J357" s="4"/>
      <c r="K357" s="4"/>
      <c r="L357" s="4"/>
      <c r="M357" s="4"/>
      <c r="N357" s="4"/>
      <c r="O357" s="4"/>
      <c r="P357" s="4"/>
      <c r="Q357" s="4"/>
      <c r="R357" s="4"/>
      <c r="S357" s="4"/>
    </row>
    <row r="358" spans="1:19" ht="16.5" customHeight="1">
      <c r="A358" s="4"/>
      <c r="B358" s="11"/>
      <c r="C358" s="11"/>
      <c r="D358" s="11"/>
      <c r="E358" s="14"/>
      <c r="F358" s="4"/>
      <c r="G358" s="14"/>
      <c r="H358" s="22"/>
      <c r="I358" s="4"/>
      <c r="J358" s="4"/>
      <c r="K358" s="4"/>
      <c r="L358" s="4"/>
      <c r="M358" s="4"/>
      <c r="N358" s="4"/>
      <c r="O358" s="4"/>
      <c r="P358" s="4"/>
      <c r="Q358" s="4"/>
      <c r="R358" s="4"/>
      <c r="S358" s="4"/>
    </row>
    <row r="359" spans="1:19" ht="16.5" customHeight="1">
      <c r="A359" s="4"/>
      <c r="B359" s="11"/>
      <c r="C359" s="11"/>
      <c r="D359" s="11"/>
      <c r="E359" s="14"/>
      <c r="F359" s="4"/>
      <c r="G359" s="14"/>
      <c r="H359" s="22"/>
      <c r="I359" s="4"/>
      <c r="J359" s="4"/>
      <c r="K359" s="4"/>
      <c r="L359" s="4"/>
      <c r="M359" s="4"/>
      <c r="N359" s="4"/>
      <c r="O359" s="4"/>
      <c r="P359" s="4"/>
      <c r="Q359" s="4"/>
      <c r="R359" s="4"/>
      <c r="S359" s="4"/>
    </row>
    <row r="360" spans="1:19" ht="16.5" customHeight="1">
      <c r="A360" s="4"/>
      <c r="B360" s="11"/>
      <c r="C360" s="11"/>
      <c r="D360" s="11"/>
      <c r="E360" s="14"/>
      <c r="F360" s="4"/>
      <c r="G360" s="14"/>
      <c r="H360" s="22"/>
      <c r="I360" s="4"/>
      <c r="J360" s="4"/>
      <c r="K360" s="4"/>
      <c r="L360" s="4"/>
      <c r="M360" s="4"/>
      <c r="N360" s="4"/>
      <c r="O360" s="4"/>
      <c r="P360" s="4"/>
      <c r="Q360" s="4"/>
      <c r="R360" s="4"/>
      <c r="S360" s="4"/>
    </row>
    <row r="361" spans="1:19" ht="16.5" customHeight="1">
      <c r="A361" s="4"/>
      <c r="B361" s="11"/>
      <c r="C361" s="11"/>
      <c r="D361" s="11"/>
      <c r="E361" s="14"/>
      <c r="F361" s="4"/>
      <c r="G361" s="14"/>
      <c r="H361" s="22"/>
      <c r="I361" s="4"/>
      <c r="J361" s="4"/>
      <c r="K361" s="4"/>
      <c r="L361" s="4"/>
      <c r="M361" s="4"/>
      <c r="N361" s="4"/>
      <c r="O361" s="4"/>
      <c r="P361" s="4"/>
      <c r="Q361" s="4"/>
      <c r="R361" s="4"/>
      <c r="S361" s="4"/>
    </row>
    <row r="362" spans="1:19" ht="16.5" customHeight="1">
      <c r="A362" s="4"/>
      <c r="B362" s="11"/>
      <c r="C362" s="11"/>
      <c r="D362" s="11"/>
      <c r="E362" s="14"/>
      <c r="F362" s="4"/>
      <c r="G362" s="14"/>
      <c r="H362" s="22"/>
      <c r="I362" s="4"/>
      <c r="J362" s="4"/>
      <c r="K362" s="4"/>
      <c r="L362" s="4"/>
      <c r="M362" s="4"/>
      <c r="N362" s="4"/>
      <c r="O362" s="4"/>
      <c r="P362" s="4"/>
      <c r="Q362" s="4"/>
      <c r="R362" s="4"/>
      <c r="S362" s="4"/>
    </row>
    <row r="363" spans="1:19" ht="16.5" customHeight="1">
      <c r="A363" s="4"/>
      <c r="B363" s="11"/>
      <c r="C363" s="11"/>
      <c r="D363" s="11"/>
      <c r="E363" s="14"/>
      <c r="F363" s="4"/>
      <c r="G363" s="14"/>
      <c r="H363" s="22"/>
      <c r="I363" s="4"/>
      <c r="J363" s="4"/>
      <c r="K363" s="4"/>
      <c r="L363" s="4"/>
      <c r="M363" s="4"/>
      <c r="N363" s="4"/>
      <c r="O363" s="4"/>
      <c r="P363" s="4"/>
      <c r="Q363" s="4"/>
      <c r="R363" s="4"/>
      <c r="S363" s="4"/>
    </row>
    <row r="364" spans="1:19" ht="16.5" customHeight="1">
      <c r="A364" s="4"/>
      <c r="B364" s="11"/>
      <c r="C364" s="11"/>
      <c r="D364" s="11"/>
      <c r="E364" s="14"/>
      <c r="F364" s="4"/>
      <c r="G364" s="14"/>
      <c r="H364" s="22"/>
      <c r="I364" s="4"/>
      <c r="J364" s="4"/>
      <c r="K364" s="4"/>
      <c r="L364" s="4"/>
      <c r="M364" s="4"/>
      <c r="N364" s="4"/>
      <c r="O364" s="4"/>
      <c r="P364" s="4"/>
      <c r="Q364" s="4"/>
      <c r="R364" s="4"/>
      <c r="S364" s="4"/>
    </row>
    <row r="365" spans="1:19" ht="16.5" customHeight="1">
      <c r="A365" s="4"/>
      <c r="B365" s="11"/>
      <c r="C365" s="11"/>
      <c r="D365" s="11"/>
      <c r="E365" s="14"/>
      <c r="F365" s="4"/>
      <c r="G365" s="14"/>
      <c r="H365" s="22"/>
      <c r="I365" s="4"/>
      <c r="J365" s="4"/>
      <c r="K365" s="4"/>
      <c r="L365" s="4"/>
      <c r="M365" s="4"/>
      <c r="N365" s="4"/>
      <c r="O365" s="4"/>
      <c r="P365" s="4"/>
      <c r="Q365" s="4"/>
      <c r="R365" s="4"/>
      <c r="S365" s="4"/>
    </row>
    <row r="366" spans="1:19" ht="16.5" customHeight="1">
      <c r="A366" s="4"/>
      <c r="B366" s="11"/>
      <c r="C366" s="11"/>
      <c r="D366" s="11"/>
      <c r="E366" s="14"/>
      <c r="F366" s="4"/>
      <c r="G366" s="14"/>
      <c r="H366" s="22"/>
      <c r="I366" s="4"/>
      <c r="J366" s="4"/>
      <c r="K366" s="4"/>
      <c r="L366" s="4"/>
      <c r="M366" s="4"/>
      <c r="N366" s="4"/>
      <c r="O366" s="4"/>
      <c r="P366" s="4"/>
      <c r="Q366" s="4"/>
      <c r="R366" s="4"/>
      <c r="S366" s="4"/>
    </row>
    <row r="367" spans="1:19" ht="16.5" customHeight="1">
      <c r="A367" s="4"/>
      <c r="B367" s="11"/>
      <c r="C367" s="11"/>
      <c r="D367" s="11"/>
      <c r="E367" s="14"/>
      <c r="F367" s="4"/>
      <c r="G367" s="14"/>
      <c r="H367" s="22"/>
      <c r="I367" s="4"/>
      <c r="J367" s="4"/>
      <c r="K367" s="4"/>
      <c r="L367" s="4"/>
      <c r="M367" s="4"/>
      <c r="N367" s="4"/>
      <c r="O367" s="4"/>
      <c r="P367" s="4"/>
      <c r="Q367" s="4"/>
      <c r="R367" s="4"/>
      <c r="S367" s="4"/>
    </row>
    <row r="368" spans="1:19" ht="16.5" customHeight="1">
      <c r="A368" s="4"/>
      <c r="B368" s="11"/>
      <c r="C368" s="11"/>
      <c r="D368" s="11"/>
      <c r="E368" s="14"/>
      <c r="F368" s="4"/>
      <c r="G368" s="14"/>
      <c r="H368" s="22"/>
      <c r="I368" s="4"/>
      <c r="J368" s="4"/>
      <c r="K368" s="4"/>
      <c r="L368" s="4"/>
      <c r="M368" s="4"/>
      <c r="N368" s="4"/>
      <c r="O368" s="4"/>
      <c r="P368" s="4"/>
      <c r="Q368" s="4"/>
      <c r="R368" s="4"/>
      <c r="S368" s="4"/>
    </row>
    <row r="369" spans="1:19" ht="16.5" customHeight="1">
      <c r="A369" s="4"/>
      <c r="B369" s="11"/>
      <c r="C369" s="11"/>
      <c r="D369" s="11"/>
      <c r="E369" s="14"/>
      <c r="F369" s="4"/>
      <c r="G369" s="14"/>
      <c r="H369" s="22"/>
      <c r="I369" s="4"/>
      <c r="J369" s="4"/>
      <c r="K369" s="4"/>
      <c r="L369" s="4"/>
      <c r="M369" s="4"/>
      <c r="N369" s="4"/>
      <c r="O369" s="4"/>
      <c r="P369" s="4"/>
      <c r="Q369" s="4"/>
      <c r="R369" s="4"/>
      <c r="S369" s="4"/>
    </row>
    <row r="370" spans="1:19" ht="16.5" customHeight="1">
      <c r="A370" s="4"/>
      <c r="B370" s="11"/>
      <c r="C370" s="11"/>
      <c r="D370" s="11"/>
      <c r="E370" s="14"/>
      <c r="F370" s="4"/>
      <c r="G370" s="14"/>
      <c r="H370" s="22"/>
      <c r="I370" s="4"/>
      <c r="J370" s="4"/>
      <c r="K370" s="4"/>
      <c r="L370" s="4"/>
      <c r="M370" s="4"/>
      <c r="N370" s="4"/>
      <c r="O370" s="4"/>
      <c r="P370" s="4"/>
      <c r="Q370" s="4"/>
      <c r="R370" s="4"/>
      <c r="S370" s="4"/>
    </row>
    <row r="371" spans="1:19" ht="16.5" customHeight="1">
      <c r="A371" s="4"/>
      <c r="B371" s="11"/>
      <c r="C371" s="11"/>
      <c r="D371" s="11"/>
      <c r="E371" s="14"/>
      <c r="F371" s="4"/>
      <c r="G371" s="14"/>
      <c r="H371" s="22"/>
      <c r="I371" s="4"/>
      <c r="J371" s="4"/>
      <c r="K371" s="4"/>
      <c r="L371" s="4"/>
      <c r="M371" s="4"/>
      <c r="N371" s="4"/>
      <c r="O371" s="4"/>
      <c r="P371" s="4"/>
      <c r="Q371" s="4"/>
      <c r="R371" s="4"/>
      <c r="S371" s="4"/>
    </row>
    <row r="372" spans="1:19" ht="16.5" customHeight="1">
      <c r="A372" s="4"/>
      <c r="B372" s="11"/>
      <c r="C372" s="11"/>
      <c r="D372" s="11"/>
      <c r="E372" s="14"/>
      <c r="F372" s="4"/>
      <c r="G372" s="14"/>
      <c r="H372" s="22"/>
      <c r="I372" s="4"/>
      <c r="J372" s="4"/>
      <c r="K372" s="4"/>
      <c r="L372" s="4"/>
      <c r="M372" s="4"/>
      <c r="N372" s="4"/>
      <c r="O372" s="4"/>
      <c r="P372" s="4"/>
      <c r="Q372" s="4"/>
      <c r="R372" s="4"/>
      <c r="S372" s="4"/>
    </row>
    <row r="373" spans="1:19" ht="16.5" customHeight="1">
      <c r="A373" s="4"/>
      <c r="B373" s="11"/>
      <c r="C373" s="11"/>
      <c r="D373" s="11"/>
      <c r="E373" s="14"/>
      <c r="F373" s="4"/>
      <c r="G373" s="14"/>
      <c r="H373" s="22"/>
      <c r="I373" s="4"/>
      <c r="J373" s="4"/>
      <c r="K373" s="4"/>
      <c r="L373" s="4"/>
      <c r="M373" s="4"/>
      <c r="N373" s="4"/>
      <c r="O373" s="4"/>
      <c r="P373" s="4"/>
      <c r="Q373" s="4"/>
      <c r="R373" s="4"/>
      <c r="S373" s="4"/>
    </row>
    <row r="374" spans="1:19" ht="16.5" customHeight="1">
      <c r="A374" s="4"/>
      <c r="B374" s="11"/>
      <c r="C374" s="11"/>
      <c r="D374" s="11"/>
      <c r="E374" s="14"/>
      <c r="F374" s="4"/>
      <c r="G374" s="14"/>
      <c r="H374" s="22"/>
      <c r="I374" s="4"/>
      <c r="J374" s="4"/>
      <c r="K374" s="4"/>
      <c r="L374" s="4"/>
      <c r="M374" s="4"/>
      <c r="N374" s="4"/>
      <c r="O374" s="4"/>
      <c r="P374" s="4"/>
      <c r="Q374" s="4"/>
      <c r="R374" s="4"/>
      <c r="S374" s="4"/>
    </row>
    <row r="375" spans="1:19" ht="16.5" customHeight="1">
      <c r="A375" s="4"/>
      <c r="B375" s="11"/>
      <c r="C375" s="11"/>
      <c r="D375" s="11"/>
      <c r="E375" s="14"/>
      <c r="F375" s="4"/>
      <c r="G375" s="14"/>
      <c r="H375" s="22"/>
      <c r="I375" s="4"/>
      <c r="J375" s="4"/>
      <c r="K375" s="4"/>
      <c r="L375" s="4"/>
      <c r="M375" s="4"/>
      <c r="N375" s="4"/>
      <c r="O375" s="4"/>
      <c r="P375" s="4"/>
      <c r="Q375" s="4"/>
      <c r="R375" s="4"/>
      <c r="S375" s="4"/>
    </row>
    <row r="376" spans="1:19" ht="16.5" customHeight="1">
      <c r="A376" s="4"/>
      <c r="B376" s="11"/>
      <c r="C376" s="11"/>
      <c r="D376" s="11"/>
      <c r="E376" s="14"/>
      <c r="F376" s="4"/>
      <c r="G376" s="14"/>
      <c r="H376" s="22"/>
      <c r="I376" s="4"/>
      <c r="J376" s="4"/>
      <c r="K376" s="4"/>
      <c r="L376" s="4"/>
      <c r="M376" s="4"/>
      <c r="N376" s="4"/>
      <c r="O376" s="4"/>
      <c r="P376" s="4"/>
      <c r="Q376" s="4"/>
      <c r="R376" s="4"/>
      <c r="S376" s="4"/>
    </row>
    <row r="377" spans="1:19" ht="16.5" customHeight="1">
      <c r="A377" s="4"/>
      <c r="B377" s="11"/>
      <c r="C377" s="11"/>
      <c r="D377" s="11"/>
      <c r="E377" s="14"/>
      <c r="F377" s="4"/>
      <c r="G377" s="14"/>
      <c r="H377" s="22"/>
      <c r="I377" s="4"/>
      <c r="J377" s="4"/>
      <c r="K377" s="4"/>
      <c r="L377" s="4"/>
      <c r="M377" s="4"/>
      <c r="N377" s="4"/>
      <c r="O377" s="4"/>
      <c r="P377" s="4"/>
      <c r="Q377" s="4"/>
      <c r="R377" s="4"/>
      <c r="S377" s="4"/>
    </row>
    <row r="378" spans="1:19" ht="16.5" customHeight="1">
      <c r="A378" s="4"/>
      <c r="B378" s="11"/>
      <c r="C378" s="11"/>
      <c r="D378" s="11"/>
      <c r="E378" s="14"/>
      <c r="F378" s="4"/>
      <c r="G378" s="14"/>
      <c r="H378" s="22"/>
      <c r="I378" s="4"/>
      <c r="J378" s="4"/>
      <c r="K378" s="4"/>
      <c r="L378" s="4"/>
      <c r="M378" s="4"/>
      <c r="N378" s="4"/>
      <c r="O378" s="4"/>
      <c r="P378" s="4"/>
      <c r="Q378" s="4"/>
      <c r="R378" s="4"/>
      <c r="S378" s="4"/>
    </row>
    <row r="379" spans="1:19" ht="16.5" customHeight="1">
      <c r="A379" s="4"/>
      <c r="B379" s="11"/>
      <c r="C379" s="11"/>
      <c r="D379" s="11"/>
      <c r="E379" s="14"/>
      <c r="F379" s="4"/>
      <c r="G379" s="14"/>
      <c r="H379" s="22"/>
      <c r="I379" s="4"/>
      <c r="J379" s="4"/>
      <c r="K379" s="4"/>
      <c r="L379" s="4"/>
      <c r="M379" s="4"/>
      <c r="N379" s="4"/>
      <c r="O379" s="4"/>
      <c r="P379" s="4"/>
      <c r="Q379" s="4"/>
      <c r="R379" s="4"/>
      <c r="S379" s="4"/>
    </row>
    <row r="380" spans="1:19" ht="16.5" customHeight="1">
      <c r="A380" s="4"/>
      <c r="B380" s="11"/>
      <c r="C380" s="11"/>
      <c r="D380" s="11"/>
      <c r="E380" s="14"/>
      <c r="F380" s="4"/>
      <c r="G380" s="14"/>
      <c r="H380" s="22"/>
      <c r="I380" s="4"/>
      <c r="J380" s="4"/>
      <c r="K380" s="4"/>
      <c r="L380" s="4"/>
      <c r="M380" s="4"/>
      <c r="N380" s="4"/>
      <c r="O380" s="4"/>
      <c r="P380" s="4"/>
      <c r="Q380" s="4"/>
      <c r="R380" s="4"/>
      <c r="S380" s="4"/>
    </row>
    <row r="381" spans="1:19" ht="16.5" customHeight="1">
      <c r="A381" s="4"/>
      <c r="B381" s="11"/>
      <c r="C381" s="11"/>
      <c r="D381" s="11"/>
      <c r="E381" s="14"/>
      <c r="F381" s="4"/>
      <c r="G381" s="14"/>
      <c r="H381" s="22"/>
      <c r="I381" s="4"/>
      <c r="J381" s="4"/>
      <c r="K381" s="4"/>
      <c r="L381" s="4"/>
      <c r="M381" s="4"/>
      <c r="N381" s="4"/>
      <c r="O381" s="4"/>
      <c r="P381" s="4"/>
      <c r="Q381" s="4"/>
      <c r="R381" s="4"/>
      <c r="S381" s="4"/>
    </row>
    <row r="382" spans="1:19" ht="16.5" customHeight="1">
      <c r="A382" s="4"/>
      <c r="B382" s="11"/>
      <c r="C382" s="11"/>
      <c r="D382" s="11"/>
      <c r="E382" s="14"/>
      <c r="F382" s="4"/>
      <c r="G382" s="14"/>
      <c r="H382" s="22"/>
      <c r="I382" s="4"/>
      <c r="J382" s="4"/>
      <c r="K382" s="4"/>
      <c r="L382" s="4"/>
      <c r="M382" s="4"/>
      <c r="N382" s="4"/>
      <c r="O382" s="4"/>
      <c r="P382" s="4"/>
      <c r="Q382" s="4"/>
      <c r="R382" s="4"/>
      <c r="S382" s="4"/>
    </row>
    <row r="383" spans="1:19" ht="16.5" customHeight="1">
      <c r="A383" s="4"/>
      <c r="B383" s="11"/>
      <c r="C383" s="11"/>
      <c r="D383" s="11"/>
      <c r="E383" s="14"/>
      <c r="F383" s="4"/>
      <c r="G383" s="14"/>
      <c r="H383" s="22"/>
      <c r="I383" s="4"/>
      <c r="J383" s="4"/>
      <c r="K383" s="4"/>
      <c r="L383" s="4"/>
      <c r="M383" s="4"/>
      <c r="N383" s="4"/>
      <c r="O383" s="4"/>
      <c r="P383" s="4"/>
      <c r="Q383" s="4"/>
      <c r="R383" s="4"/>
      <c r="S383" s="4"/>
    </row>
    <row r="384" spans="1:19" ht="16.5" customHeight="1">
      <c r="A384" s="4"/>
      <c r="B384" s="11"/>
      <c r="C384" s="11"/>
      <c r="D384" s="11"/>
      <c r="E384" s="14"/>
      <c r="F384" s="4"/>
      <c r="G384" s="14"/>
      <c r="H384" s="22"/>
      <c r="I384" s="4"/>
      <c r="J384" s="4"/>
      <c r="K384" s="4"/>
      <c r="L384" s="4"/>
      <c r="M384" s="4"/>
      <c r="N384" s="4"/>
      <c r="O384" s="4"/>
      <c r="P384" s="4"/>
      <c r="Q384" s="4"/>
      <c r="R384" s="4"/>
      <c r="S384" s="4"/>
    </row>
    <row r="385" spans="1:19" ht="16.5" customHeight="1">
      <c r="A385" s="4"/>
      <c r="B385" s="11"/>
      <c r="C385" s="11"/>
      <c r="D385" s="11"/>
      <c r="E385" s="14"/>
      <c r="F385" s="4"/>
      <c r="G385" s="14"/>
      <c r="H385" s="22"/>
      <c r="I385" s="4"/>
      <c r="J385" s="4"/>
      <c r="K385" s="4"/>
      <c r="L385" s="4"/>
      <c r="M385" s="4"/>
      <c r="N385" s="4"/>
      <c r="O385" s="4"/>
      <c r="P385" s="4"/>
      <c r="Q385" s="4"/>
      <c r="R385" s="4"/>
      <c r="S385" s="4"/>
    </row>
    <row r="386" spans="1:19" ht="16.5" customHeight="1">
      <c r="A386" s="4"/>
      <c r="B386" s="11"/>
      <c r="C386" s="11"/>
      <c r="D386" s="11"/>
      <c r="E386" s="14"/>
      <c r="F386" s="4"/>
      <c r="G386" s="14"/>
      <c r="H386" s="22"/>
      <c r="I386" s="4"/>
      <c r="J386" s="4"/>
      <c r="K386" s="4"/>
      <c r="L386" s="4"/>
      <c r="M386" s="4"/>
      <c r="N386" s="4"/>
      <c r="O386" s="4"/>
      <c r="P386" s="4"/>
      <c r="Q386" s="4"/>
      <c r="R386" s="4"/>
      <c r="S386" s="4"/>
    </row>
    <row r="387" spans="1:19" ht="16.5" customHeight="1">
      <c r="A387" s="4"/>
      <c r="B387" s="11"/>
      <c r="C387" s="11"/>
      <c r="D387" s="11"/>
      <c r="E387" s="14"/>
      <c r="F387" s="4"/>
      <c r="G387" s="14"/>
      <c r="H387" s="22"/>
      <c r="I387" s="4"/>
      <c r="J387" s="4"/>
      <c r="K387" s="4"/>
      <c r="L387" s="4"/>
      <c r="M387" s="4"/>
      <c r="N387" s="4"/>
      <c r="O387" s="4"/>
      <c r="P387" s="4"/>
      <c r="Q387" s="4"/>
      <c r="R387" s="4"/>
      <c r="S387" s="4"/>
    </row>
    <row r="388" spans="1:19" ht="16.5" customHeight="1">
      <c r="A388" s="4"/>
      <c r="B388" s="11"/>
      <c r="C388" s="11"/>
      <c r="D388" s="11"/>
      <c r="E388" s="14"/>
      <c r="F388" s="4"/>
      <c r="G388" s="14"/>
      <c r="H388" s="22"/>
      <c r="I388" s="4"/>
      <c r="J388" s="4"/>
      <c r="K388" s="4"/>
      <c r="L388" s="4"/>
      <c r="M388" s="4"/>
      <c r="N388" s="4"/>
      <c r="O388" s="4"/>
      <c r="P388" s="4"/>
      <c r="Q388" s="4"/>
      <c r="R388" s="4"/>
      <c r="S388" s="4"/>
    </row>
    <row r="389" spans="1:19" ht="16.5" customHeight="1">
      <c r="A389" s="4"/>
      <c r="B389" s="11"/>
      <c r="C389" s="11"/>
      <c r="D389" s="11"/>
      <c r="E389" s="14"/>
      <c r="F389" s="4"/>
      <c r="G389" s="14"/>
      <c r="H389" s="22"/>
      <c r="I389" s="4"/>
      <c r="J389" s="4"/>
      <c r="K389" s="4"/>
      <c r="L389" s="4"/>
      <c r="M389" s="4"/>
      <c r="N389" s="4"/>
      <c r="O389" s="4"/>
      <c r="P389" s="4"/>
      <c r="Q389" s="4"/>
      <c r="R389" s="4"/>
      <c r="S389" s="4"/>
    </row>
    <row r="390" spans="1:19" ht="16.5" customHeight="1">
      <c r="A390" s="4"/>
      <c r="B390" s="11"/>
      <c r="C390" s="11"/>
      <c r="D390" s="11"/>
      <c r="E390" s="14"/>
      <c r="F390" s="4"/>
      <c r="G390" s="14"/>
      <c r="H390" s="22"/>
      <c r="I390" s="4"/>
      <c r="J390" s="4"/>
      <c r="K390" s="4"/>
      <c r="L390" s="4"/>
      <c r="M390" s="4"/>
      <c r="N390" s="4"/>
      <c r="O390" s="4"/>
      <c r="P390" s="4"/>
      <c r="Q390" s="4"/>
      <c r="R390" s="4"/>
      <c r="S390" s="4"/>
    </row>
    <row r="391" spans="1:19" ht="16.5" customHeight="1">
      <c r="A391" s="4"/>
      <c r="B391" s="11"/>
      <c r="C391" s="11"/>
      <c r="D391" s="11"/>
      <c r="E391" s="14"/>
      <c r="F391" s="4"/>
      <c r="G391" s="14"/>
      <c r="H391" s="22"/>
      <c r="I391" s="4"/>
      <c r="J391" s="4"/>
      <c r="K391" s="4"/>
      <c r="L391" s="4"/>
      <c r="M391" s="4"/>
      <c r="N391" s="4"/>
      <c r="O391" s="4"/>
      <c r="P391" s="4"/>
      <c r="Q391" s="4"/>
      <c r="R391" s="4"/>
      <c r="S391" s="4"/>
    </row>
    <row r="392" spans="1:19" ht="16.5" customHeight="1">
      <c r="A392" s="4"/>
      <c r="B392" s="11"/>
      <c r="C392" s="11"/>
      <c r="D392" s="11"/>
      <c r="E392" s="14"/>
      <c r="F392" s="4"/>
      <c r="G392" s="14"/>
      <c r="H392" s="22"/>
      <c r="I392" s="4"/>
      <c r="J392" s="4"/>
      <c r="K392" s="4"/>
      <c r="L392" s="4"/>
      <c r="M392" s="4"/>
      <c r="N392" s="4"/>
      <c r="O392" s="4"/>
      <c r="P392" s="4"/>
      <c r="Q392" s="4"/>
      <c r="R392" s="4"/>
      <c r="S392" s="4"/>
    </row>
    <row r="393" spans="1:19" ht="16.5" customHeight="1">
      <c r="A393" s="4"/>
      <c r="B393" s="11"/>
      <c r="C393" s="11"/>
      <c r="D393" s="11"/>
      <c r="E393" s="14"/>
      <c r="F393" s="4"/>
      <c r="G393" s="14"/>
      <c r="H393" s="22"/>
      <c r="I393" s="4"/>
      <c r="J393" s="4"/>
      <c r="K393" s="4"/>
      <c r="L393" s="4"/>
      <c r="M393" s="4"/>
      <c r="N393" s="4"/>
      <c r="O393" s="4"/>
      <c r="P393" s="4"/>
      <c r="Q393" s="4"/>
      <c r="R393" s="4"/>
      <c r="S393" s="4"/>
    </row>
    <row r="394" spans="1:19" ht="16.5" customHeight="1">
      <c r="A394" s="4"/>
      <c r="B394" s="11"/>
      <c r="C394" s="11"/>
      <c r="D394" s="11"/>
      <c r="E394" s="14"/>
      <c r="F394" s="4"/>
      <c r="G394" s="14"/>
      <c r="H394" s="22"/>
      <c r="I394" s="4"/>
      <c r="J394" s="4"/>
      <c r="K394" s="4"/>
      <c r="L394" s="4"/>
      <c r="M394" s="4"/>
      <c r="N394" s="4"/>
      <c r="O394" s="4"/>
      <c r="P394" s="4"/>
      <c r="Q394" s="4"/>
      <c r="R394" s="4"/>
      <c r="S394" s="4"/>
    </row>
    <row r="395" spans="1:19" ht="16.5" customHeight="1">
      <c r="A395" s="4"/>
      <c r="B395" s="11"/>
      <c r="C395" s="11"/>
      <c r="D395" s="11"/>
      <c r="E395" s="14"/>
      <c r="F395" s="4"/>
      <c r="G395" s="14"/>
      <c r="H395" s="22"/>
      <c r="I395" s="4"/>
      <c r="J395" s="4"/>
      <c r="K395" s="4"/>
      <c r="L395" s="4"/>
      <c r="M395" s="4"/>
      <c r="N395" s="4"/>
      <c r="O395" s="4"/>
      <c r="P395" s="4"/>
      <c r="Q395" s="4"/>
      <c r="R395" s="4"/>
      <c r="S395" s="4"/>
    </row>
    <row r="396" spans="1:19" ht="16.5" customHeight="1">
      <c r="A396" s="4"/>
      <c r="B396" s="11"/>
      <c r="C396" s="11"/>
      <c r="D396" s="11"/>
      <c r="E396" s="14"/>
      <c r="F396" s="4"/>
      <c r="G396" s="14"/>
      <c r="H396" s="22"/>
      <c r="I396" s="4"/>
      <c r="J396" s="4"/>
      <c r="K396" s="4"/>
      <c r="L396" s="4"/>
      <c r="M396" s="4"/>
      <c r="N396" s="4"/>
      <c r="O396" s="4"/>
      <c r="P396" s="4"/>
      <c r="Q396" s="4"/>
      <c r="R396" s="4"/>
      <c r="S396" s="4"/>
    </row>
    <row r="397" spans="1:19" ht="16.5" customHeight="1">
      <c r="A397" s="4"/>
      <c r="B397" s="11"/>
      <c r="C397" s="11"/>
      <c r="D397" s="11"/>
      <c r="E397" s="14"/>
      <c r="F397" s="4"/>
      <c r="G397" s="14"/>
      <c r="H397" s="22"/>
      <c r="I397" s="4"/>
      <c r="J397" s="4"/>
      <c r="K397" s="4"/>
      <c r="L397" s="4"/>
      <c r="M397" s="4"/>
      <c r="N397" s="4"/>
      <c r="O397" s="4"/>
      <c r="P397" s="4"/>
      <c r="Q397" s="4"/>
      <c r="R397" s="4"/>
      <c r="S397" s="4"/>
    </row>
    <row r="398" spans="1:19" ht="16.5" customHeight="1">
      <c r="A398" s="4"/>
      <c r="B398" s="11"/>
      <c r="C398" s="11"/>
      <c r="D398" s="11"/>
      <c r="E398" s="14"/>
      <c r="F398" s="4"/>
      <c r="G398" s="14"/>
      <c r="H398" s="22"/>
      <c r="I398" s="4"/>
      <c r="J398" s="4"/>
      <c r="K398" s="4"/>
      <c r="L398" s="4"/>
      <c r="M398" s="4"/>
      <c r="N398" s="4"/>
      <c r="O398" s="4"/>
      <c r="P398" s="4"/>
      <c r="Q398" s="4"/>
      <c r="R398" s="4"/>
      <c r="S398" s="4"/>
    </row>
    <row r="399" spans="1:19" ht="16.5" customHeight="1">
      <c r="A399" s="4"/>
      <c r="B399" s="11"/>
      <c r="C399" s="11"/>
      <c r="D399" s="11"/>
      <c r="E399" s="14"/>
      <c r="F399" s="4"/>
      <c r="G399" s="14"/>
      <c r="H399" s="22"/>
      <c r="I399" s="4"/>
      <c r="J399" s="4"/>
      <c r="K399" s="4"/>
      <c r="L399" s="4"/>
      <c r="M399" s="4"/>
      <c r="N399" s="4"/>
      <c r="O399" s="4"/>
      <c r="P399" s="4"/>
      <c r="Q399" s="4"/>
      <c r="R399" s="4"/>
      <c r="S399" s="4"/>
    </row>
    <row r="400" spans="1:19" ht="16.5" customHeight="1">
      <c r="A400" s="4"/>
      <c r="B400" s="11"/>
      <c r="C400" s="11"/>
      <c r="D400" s="11"/>
      <c r="E400" s="14"/>
      <c r="F400" s="4"/>
      <c r="G400" s="14"/>
      <c r="H400" s="22"/>
      <c r="I400" s="4"/>
      <c r="J400" s="4"/>
      <c r="K400" s="4"/>
      <c r="L400" s="4"/>
      <c r="M400" s="4"/>
      <c r="N400" s="4"/>
      <c r="O400" s="4"/>
      <c r="P400" s="4"/>
      <c r="Q400" s="4"/>
      <c r="R400" s="4"/>
      <c r="S400" s="4"/>
    </row>
    <row r="401" spans="1:19" ht="16.5" customHeight="1">
      <c r="A401" s="4"/>
      <c r="B401" s="11"/>
      <c r="C401" s="11"/>
      <c r="D401" s="11"/>
      <c r="E401" s="14"/>
      <c r="F401" s="4"/>
      <c r="G401" s="14"/>
      <c r="H401" s="22"/>
      <c r="I401" s="4"/>
      <c r="J401" s="4"/>
      <c r="K401" s="4"/>
      <c r="L401" s="4"/>
      <c r="M401" s="4"/>
      <c r="N401" s="4"/>
      <c r="O401" s="4"/>
      <c r="P401" s="4"/>
      <c r="Q401" s="4"/>
      <c r="R401" s="4"/>
      <c r="S401" s="4"/>
    </row>
    <row r="402" spans="1:19" ht="16.5" customHeight="1">
      <c r="A402" s="4"/>
      <c r="B402" s="11"/>
      <c r="C402" s="11"/>
      <c r="D402" s="11"/>
      <c r="E402" s="14"/>
      <c r="F402" s="4"/>
      <c r="G402" s="14"/>
      <c r="H402" s="22"/>
      <c r="I402" s="4"/>
      <c r="J402" s="4"/>
      <c r="K402" s="4"/>
      <c r="L402" s="4"/>
      <c r="M402" s="4"/>
      <c r="N402" s="4"/>
      <c r="O402" s="4"/>
      <c r="P402" s="4"/>
      <c r="Q402" s="4"/>
      <c r="R402" s="4"/>
      <c r="S402" s="4"/>
    </row>
    <row r="403" spans="1:19" ht="16.5" customHeight="1">
      <c r="A403" s="4"/>
      <c r="B403" s="11"/>
      <c r="C403" s="11"/>
      <c r="D403" s="11"/>
      <c r="E403" s="14"/>
      <c r="F403" s="4"/>
      <c r="G403" s="14"/>
      <c r="H403" s="22"/>
      <c r="I403" s="4"/>
      <c r="J403" s="4"/>
      <c r="K403" s="4"/>
      <c r="L403" s="4"/>
      <c r="M403" s="4"/>
      <c r="N403" s="4"/>
      <c r="O403" s="4"/>
      <c r="P403" s="4"/>
      <c r="Q403" s="4"/>
      <c r="R403" s="4"/>
      <c r="S403" s="4"/>
    </row>
    <row r="404" spans="1:19" ht="16.5" customHeight="1">
      <c r="A404" s="4"/>
      <c r="B404" s="11"/>
      <c r="C404" s="11"/>
      <c r="D404" s="11"/>
      <c r="E404" s="14"/>
      <c r="F404" s="4"/>
      <c r="G404" s="14"/>
      <c r="H404" s="22"/>
      <c r="I404" s="4"/>
      <c r="J404" s="4"/>
      <c r="K404" s="4"/>
      <c r="L404" s="4"/>
      <c r="M404" s="4"/>
      <c r="N404" s="4"/>
      <c r="O404" s="4"/>
      <c r="P404" s="4"/>
      <c r="Q404" s="4"/>
      <c r="R404" s="4"/>
      <c r="S404" s="4"/>
    </row>
    <row r="405" spans="1:19" ht="16.5" customHeight="1">
      <c r="A405" s="4"/>
      <c r="B405" s="11"/>
      <c r="C405" s="11"/>
      <c r="D405" s="11"/>
      <c r="E405" s="14"/>
      <c r="F405" s="4"/>
      <c r="G405" s="14"/>
      <c r="H405" s="22"/>
      <c r="I405" s="4"/>
      <c r="J405" s="4"/>
      <c r="K405" s="4"/>
      <c r="L405" s="4"/>
      <c r="M405" s="4"/>
      <c r="N405" s="4"/>
      <c r="O405" s="4"/>
      <c r="P405" s="4"/>
      <c r="Q405" s="4"/>
      <c r="R405" s="4"/>
      <c r="S405" s="4"/>
    </row>
    <row r="406" spans="1:19" ht="16.5" customHeight="1">
      <c r="A406" s="4"/>
      <c r="B406" s="11"/>
      <c r="C406" s="11"/>
      <c r="D406" s="11"/>
      <c r="E406" s="14"/>
      <c r="F406" s="4"/>
      <c r="G406" s="14"/>
      <c r="H406" s="22"/>
      <c r="I406" s="4"/>
      <c r="J406" s="4"/>
      <c r="K406" s="4"/>
      <c r="L406" s="4"/>
      <c r="M406" s="4"/>
      <c r="N406" s="4"/>
      <c r="O406" s="4"/>
      <c r="P406" s="4"/>
      <c r="Q406" s="4"/>
      <c r="R406" s="4"/>
      <c r="S406" s="4"/>
    </row>
    <row r="407" spans="1:19" ht="16.5" customHeight="1">
      <c r="A407" s="4"/>
      <c r="B407" s="11"/>
      <c r="C407" s="11"/>
      <c r="D407" s="11"/>
      <c r="E407" s="14"/>
      <c r="F407" s="4"/>
      <c r="G407" s="14"/>
      <c r="H407" s="22"/>
      <c r="I407" s="4"/>
      <c r="J407" s="4"/>
      <c r="K407" s="4"/>
      <c r="L407" s="4"/>
      <c r="M407" s="4"/>
      <c r="N407" s="4"/>
      <c r="O407" s="4"/>
      <c r="P407" s="4"/>
      <c r="Q407" s="4"/>
      <c r="R407" s="4"/>
      <c r="S407" s="4"/>
    </row>
    <row r="408" spans="1:19" ht="16.5" customHeight="1">
      <c r="A408" s="4"/>
      <c r="B408" s="11"/>
      <c r="C408" s="11"/>
      <c r="D408" s="11"/>
      <c r="E408" s="14"/>
      <c r="F408" s="4"/>
      <c r="G408" s="14"/>
      <c r="H408" s="22"/>
      <c r="I408" s="4"/>
      <c r="J408" s="4"/>
      <c r="K408" s="4"/>
      <c r="L408" s="4"/>
      <c r="M408" s="4"/>
      <c r="N408" s="4"/>
      <c r="O408" s="4"/>
      <c r="P408" s="4"/>
      <c r="Q408" s="4"/>
      <c r="R408" s="4"/>
      <c r="S408" s="4"/>
    </row>
    <row r="409" spans="1:19" ht="16.5" customHeight="1">
      <c r="A409" s="4"/>
      <c r="B409" s="11"/>
      <c r="C409" s="11"/>
      <c r="D409" s="11"/>
      <c r="E409" s="14"/>
      <c r="F409" s="4"/>
      <c r="G409" s="14"/>
      <c r="H409" s="22"/>
      <c r="I409" s="4"/>
      <c r="J409" s="4"/>
      <c r="K409" s="4"/>
      <c r="L409" s="4"/>
      <c r="M409" s="4"/>
      <c r="N409" s="4"/>
      <c r="O409" s="4"/>
      <c r="P409" s="4"/>
      <c r="Q409" s="4"/>
      <c r="R409" s="4"/>
      <c r="S409" s="4"/>
    </row>
    <row r="410" spans="1:19" ht="16.5" customHeight="1">
      <c r="A410" s="4"/>
      <c r="B410" s="11"/>
      <c r="C410" s="11"/>
      <c r="D410" s="11"/>
      <c r="E410" s="14"/>
      <c r="F410" s="4"/>
      <c r="G410" s="14"/>
      <c r="H410" s="22"/>
      <c r="I410" s="4"/>
      <c r="J410" s="4"/>
      <c r="K410" s="4"/>
      <c r="L410" s="4"/>
      <c r="M410" s="4"/>
      <c r="N410" s="4"/>
      <c r="O410" s="4"/>
      <c r="P410" s="4"/>
      <c r="Q410" s="4"/>
      <c r="R410" s="4"/>
      <c r="S410" s="4"/>
    </row>
    <row r="411" spans="1:19" ht="16.5" customHeight="1">
      <c r="A411" s="4"/>
      <c r="B411" s="11"/>
      <c r="C411" s="11"/>
      <c r="D411" s="11"/>
      <c r="E411" s="14"/>
      <c r="F411" s="4"/>
      <c r="G411" s="14"/>
      <c r="H411" s="22"/>
      <c r="I411" s="4"/>
      <c r="J411" s="4"/>
      <c r="K411" s="4"/>
      <c r="L411" s="4"/>
      <c r="M411" s="4"/>
      <c r="N411" s="4"/>
      <c r="O411" s="4"/>
      <c r="P411" s="4"/>
      <c r="Q411" s="4"/>
      <c r="R411" s="4"/>
      <c r="S411" s="4"/>
    </row>
    <row r="412" spans="1:19" ht="16.5" customHeight="1">
      <c r="A412" s="4"/>
      <c r="B412" s="11"/>
      <c r="C412" s="11"/>
      <c r="D412" s="11"/>
      <c r="E412" s="14"/>
      <c r="F412" s="4"/>
      <c r="G412" s="14"/>
      <c r="H412" s="22"/>
      <c r="I412" s="4"/>
      <c r="J412" s="4"/>
      <c r="K412" s="4"/>
      <c r="L412" s="4"/>
      <c r="M412" s="4"/>
      <c r="N412" s="4"/>
      <c r="O412" s="4"/>
      <c r="P412" s="4"/>
      <c r="Q412" s="4"/>
      <c r="R412" s="4"/>
      <c r="S412" s="4"/>
    </row>
    <row r="413" spans="1:19" ht="16.5" customHeight="1">
      <c r="A413" s="4"/>
      <c r="B413" s="11"/>
      <c r="C413" s="11"/>
      <c r="D413" s="11"/>
      <c r="E413" s="14"/>
      <c r="F413" s="4"/>
      <c r="G413" s="14"/>
      <c r="H413" s="22"/>
      <c r="I413" s="4"/>
      <c r="J413" s="4"/>
      <c r="K413" s="4"/>
      <c r="L413" s="4"/>
      <c r="M413" s="4"/>
      <c r="N413" s="4"/>
      <c r="O413" s="4"/>
      <c r="P413" s="4"/>
      <c r="Q413" s="4"/>
      <c r="R413" s="4"/>
      <c r="S413" s="4"/>
    </row>
    <row r="414" spans="1:19" ht="16.5" customHeight="1">
      <c r="A414" s="4"/>
      <c r="B414" s="11"/>
      <c r="C414" s="11"/>
      <c r="D414" s="11"/>
      <c r="E414" s="14"/>
      <c r="F414" s="4"/>
      <c r="G414" s="14"/>
      <c r="H414" s="22"/>
      <c r="I414" s="4"/>
      <c r="J414" s="4"/>
      <c r="K414" s="4"/>
      <c r="L414" s="4"/>
      <c r="M414" s="4"/>
      <c r="N414" s="4"/>
      <c r="O414" s="4"/>
      <c r="P414" s="4"/>
      <c r="Q414" s="4"/>
      <c r="R414" s="4"/>
      <c r="S414" s="4"/>
    </row>
    <row r="415" spans="1:19" ht="16.5" customHeight="1">
      <c r="A415" s="4"/>
      <c r="B415" s="11"/>
      <c r="C415" s="11"/>
      <c r="D415" s="11"/>
      <c r="E415" s="14"/>
      <c r="F415" s="4"/>
      <c r="G415" s="14"/>
      <c r="H415" s="22"/>
      <c r="I415" s="4"/>
      <c r="J415" s="4"/>
      <c r="K415" s="4"/>
      <c r="L415" s="4"/>
      <c r="M415" s="4"/>
      <c r="N415" s="4"/>
      <c r="O415" s="4"/>
      <c r="P415" s="4"/>
      <c r="Q415" s="4"/>
      <c r="R415" s="4"/>
      <c r="S415" s="4"/>
    </row>
    <row r="416" spans="1:19" ht="16.5" customHeight="1">
      <c r="A416" s="4"/>
      <c r="B416" s="11"/>
      <c r="C416" s="11"/>
      <c r="D416" s="11"/>
      <c r="E416" s="14"/>
      <c r="F416" s="4"/>
      <c r="G416" s="14"/>
      <c r="H416" s="22"/>
      <c r="I416" s="4"/>
      <c r="J416" s="4"/>
      <c r="K416" s="4"/>
      <c r="L416" s="4"/>
      <c r="M416" s="4"/>
      <c r="N416" s="4"/>
      <c r="O416" s="4"/>
      <c r="P416" s="4"/>
      <c r="Q416" s="4"/>
      <c r="R416" s="4"/>
      <c r="S416" s="4"/>
    </row>
    <row r="417" spans="1:19" ht="16.5" customHeight="1">
      <c r="A417" s="4"/>
      <c r="B417" s="11"/>
      <c r="C417" s="11"/>
      <c r="D417" s="11"/>
      <c r="E417" s="14"/>
      <c r="F417" s="4"/>
      <c r="G417" s="14"/>
      <c r="H417" s="22"/>
      <c r="I417" s="4"/>
      <c r="J417" s="4"/>
      <c r="K417" s="4"/>
      <c r="L417" s="4"/>
      <c r="M417" s="4"/>
      <c r="N417" s="4"/>
      <c r="O417" s="4"/>
      <c r="P417" s="4"/>
      <c r="Q417" s="4"/>
      <c r="R417" s="4"/>
      <c r="S417" s="4"/>
    </row>
    <row r="418" spans="1:19" ht="16.5" customHeight="1">
      <c r="A418" s="4"/>
      <c r="B418" s="11"/>
      <c r="C418" s="11"/>
      <c r="D418" s="11"/>
      <c r="E418" s="14"/>
      <c r="F418" s="4"/>
      <c r="G418" s="14"/>
      <c r="H418" s="22"/>
      <c r="I418" s="4"/>
      <c r="J418" s="4"/>
      <c r="K418" s="4"/>
      <c r="L418" s="4"/>
      <c r="M418" s="4"/>
      <c r="N418" s="4"/>
      <c r="O418" s="4"/>
      <c r="P418" s="4"/>
      <c r="Q418" s="4"/>
      <c r="R418" s="4"/>
      <c r="S418" s="4"/>
    </row>
    <row r="419" spans="1:19" ht="16.5" customHeight="1">
      <c r="A419" s="4"/>
      <c r="B419" s="11"/>
      <c r="C419" s="11"/>
      <c r="D419" s="11"/>
      <c r="E419" s="14"/>
      <c r="F419" s="4"/>
      <c r="G419" s="14"/>
      <c r="H419" s="22"/>
      <c r="I419" s="4"/>
      <c r="J419" s="4"/>
      <c r="K419" s="4"/>
      <c r="L419" s="4"/>
      <c r="M419" s="4"/>
      <c r="N419" s="4"/>
      <c r="O419" s="4"/>
      <c r="P419" s="4"/>
      <c r="Q419" s="4"/>
      <c r="R419" s="4"/>
      <c r="S419" s="4"/>
    </row>
    <row r="420" spans="1:19" ht="16.5" customHeight="1">
      <c r="A420" s="4"/>
      <c r="B420" s="11"/>
      <c r="C420" s="11"/>
      <c r="D420" s="11"/>
      <c r="E420" s="14"/>
      <c r="F420" s="4"/>
      <c r="G420" s="14"/>
      <c r="H420" s="22"/>
      <c r="I420" s="4"/>
      <c r="J420" s="4"/>
      <c r="K420" s="4"/>
      <c r="L420" s="4"/>
      <c r="M420" s="4"/>
      <c r="N420" s="4"/>
      <c r="O420" s="4"/>
      <c r="P420" s="4"/>
      <c r="Q420" s="4"/>
      <c r="R420" s="4"/>
      <c r="S420" s="4"/>
    </row>
    <row r="421" spans="1:19" ht="16.5" customHeight="1">
      <c r="A421" s="4"/>
      <c r="B421" s="11"/>
      <c r="C421" s="11"/>
      <c r="D421" s="11"/>
      <c r="E421" s="14"/>
      <c r="F421" s="4"/>
      <c r="G421" s="14"/>
      <c r="H421" s="22"/>
      <c r="I421" s="4"/>
      <c r="J421" s="4"/>
      <c r="K421" s="4"/>
      <c r="L421" s="4"/>
      <c r="M421" s="4"/>
      <c r="N421" s="4"/>
      <c r="O421" s="4"/>
      <c r="P421" s="4"/>
      <c r="Q421" s="4"/>
      <c r="R421" s="4"/>
      <c r="S421" s="4"/>
    </row>
    <row r="422" spans="1:19" ht="16.5" customHeight="1">
      <c r="A422" s="4"/>
      <c r="B422" s="11"/>
      <c r="C422" s="11"/>
      <c r="D422" s="11"/>
      <c r="E422" s="14"/>
      <c r="F422" s="4"/>
      <c r="G422" s="14"/>
      <c r="H422" s="22"/>
      <c r="I422" s="4"/>
      <c r="J422" s="4"/>
      <c r="K422" s="4"/>
      <c r="L422" s="4"/>
      <c r="M422" s="4"/>
      <c r="N422" s="4"/>
      <c r="O422" s="4"/>
      <c r="P422" s="4"/>
      <c r="Q422" s="4"/>
      <c r="R422" s="4"/>
      <c r="S422" s="4"/>
    </row>
    <row r="423" spans="1:19" ht="16.5" customHeight="1">
      <c r="A423" s="4"/>
      <c r="B423" s="11"/>
      <c r="C423" s="11"/>
      <c r="D423" s="11"/>
      <c r="E423" s="14"/>
      <c r="F423" s="4"/>
      <c r="G423" s="14"/>
      <c r="H423" s="22"/>
      <c r="I423" s="4"/>
      <c r="J423" s="4"/>
      <c r="K423" s="4"/>
      <c r="L423" s="4"/>
      <c r="M423" s="4"/>
      <c r="N423" s="4"/>
      <c r="O423" s="4"/>
      <c r="P423" s="4"/>
      <c r="Q423" s="4"/>
      <c r="R423" s="4"/>
      <c r="S423" s="4"/>
    </row>
    <row r="424" spans="1:19" ht="16.5" customHeight="1">
      <c r="A424" s="4"/>
      <c r="B424" s="11"/>
      <c r="C424" s="11"/>
      <c r="D424" s="11"/>
      <c r="E424" s="14"/>
      <c r="F424" s="4"/>
      <c r="G424" s="14"/>
      <c r="H424" s="22"/>
      <c r="I424" s="4"/>
      <c r="J424" s="4"/>
      <c r="K424" s="4"/>
      <c r="L424" s="4"/>
      <c r="M424" s="4"/>
      <c r="N424" s="4"/>
      <c r="O424" s="4"/>
      <c r="P424" s="4"/>
      <c r="Q424" s="4"/>
      <c r="R424" s="4"/>
      <c r="S424" s="4"/>
    </row>
    <row r="425" spans="1:19" ht="16.5" customHeight="1">
      <c r="A425" s="4"/>
      <c r="B425" s="11"/>
      <c r="C425" s="11"/>
      <c r="D425" s="11"/>
      <c r="E425" s="14"/>
      <c r="F425" s="4"/>
      <c r="G425" s="14"/>
      <c r="H425" s="22"/>
      <c r="I425" s="4"/>
      <c r="J425" s="4"/>
      <c r="K425" s="4"/>
      <c r="L425" s="4"/>
      <c r="M425" s="4"/>
      <c r="N425" s="4"/>
      <c r="O425" s="4"/>
      <c r="P425" s="4"/>
      <c r="Q425" s="4"/>
      <c r="R425" s="4"/>
      <c r="S425" s="4"/>
    </row>
    <row r="426" spans="1:19" ht="16.5" customHeight="1">
      <c r="A426" s="4"/>
      <c r="B426" s="11"/>
      <c r="C426" s="11"/>
      <c r="D426" s="11"/>
      <c r="E426" s="14"/>
      <c r="F426" s="4"/>
      <c r="G426" s="14"/>
      <c r="H426" s="22"/>
      <c r="I426" s="4"/>
      <c r="J426" s="4"/>
      <c r="K426" s="4"/>
      <c r="L426" s="4"/>
      <c r="M426" s="4"/>
      <c r="N426" s="4"/>
      <c r="O426" s="4"/>
      <c r="P426" s="4"/>
      <c r="Q426" s="4"/>
      <c r="R426" s="4"/>
      <c r="S426" s="4"/>
    </row>
    <row r="427" spans="1:19" ht="16.5" customHeight="1">
      <c r="A427" s="4"/>
      <c r="B427" s="11"/>
      <c r="C427" s="11"/>
      <c r="D427" s="11"/>
      <c r="E427" s="14"/>
      <c r="F427" s="4"/>
      <c r="G427" s="14"/>
      <c r="H427" s="22"/>
      <c r="I427" s="4"/>
      <c r="J427" s="4"/>
      <c r="K427" s="4"/>
      <c r="L427" s="4"/>
      <c r="M427" s="4"/>
      <c r="N427" s="4"/>
      <c r="O427" s="4"/>
      <c r="P427" s="4"/>
      <c r="Q427" s="4"/>
      <c r="R427" s="4"/>
      <c r="S427" s="4"/>
    </row>
    <row r="428" spans="1:19" ht="16.5" customHeight="1">
      <c r="A428" s="4"/>
      <c r="B428" s="11"/>
      <c r="C428" s="11"/>
      <c r="D428" s="11"/>
      <c r="E428" s="14"/>
      <c r="F428" s="4"/>
      <c r="G428" s="14"/>
      <c r="H428" s="22"/>
      <c r="I428" s="4"/>
      <c r="J428" s="4"/>
      <c r="K428" s="4"/>
      <c r="L428" s="4"/>
      <c r="M428" s="4"/>
      <c r="N428" s="4"/>
      <c r="O428" s="4"/>
      <c r="P428" s="4"/>
      <c r="Q428" s="4"/>
      <c r="R428" s="4"/>
      <c r="S428" s="4"/>
    </row>
    <row r="429" spans="1:19" ht="16.5" customHeight="1">
      <c r="A429" s="4"/>
      <c r="B429" s="11"/>
      <c r="C429" s="11"/>
      <c r="D429" s="11"/>
      <c r="E429" s="14"/>
      <c r="F429" s="4"/>
      <c r="G429" s="14"/>
      <c r="H429" s="22"/>
      <c r="I429" s="4"/>
      <c r="J429" s="4"/>
      <c r="K429" s="4"/>
      <c r="L429" s="4"/>
      <c r="M429" s="4"/>
      <c r="N429" s="4"/>
      <c r="O429" s="4"/>
      <c r="P429" s="4"/>
      <c r="Q429" s="4"/>
      <c r="R429" s="4"/>
      <c r="S429" s="4"/>
    </row>
    <row r="430" spans="1:19" ht="16.5" customHeight="1">
      <c r="A430" s="4"/>
      <c r="B430" s="11"/>
      <c r="C430" s="11"/>
      <c r="D430" s="11"/>
      <c r="E430" s="14"/>
      <c r="F430" s="4"/>
      <c r="G430" s="14"/>
      <c r="H430" s="22"/>
      <c r="I430" s="4"/>
      <c r="J430" s="4"/>
      <c r="K430" s="4"/>
      <c r="L430" s="4"/>
      <c r="M430" s="4"/>
      <c r="N430" s="4"/>
      <c r="O430" s="4"/>
      <c r="P430" s="4"/>
      <c r="Q430" s="4"/>
      <c r="R430" s="4"/>
      <c r="S430" s="4"/>
    </row>
    <row r="431" spans="1:19" ht="16.5" customHeight="1">
      <c r="A431" s="4"/>
      <c r="B431" s="11"/>
      <c r="C431" s="11"/>
      <c r="D431" s="11"/>
      <c r="E431" s="14"/>
      <c r="F431" s="4"/>
      <c r="G431" s="14"/>
      <c r="H431" s="22"/>
      <c r="I431" s="4"/>
      <c r="J431" s="4"/>
      <c r="K431" s="4"/>
      <c r="L431" s="4"/>
      <c r="M431" s="4"/>
      <c r="N431" s="4"/>
      <c r="O431" s="4"/>
      <c r="P431" s="4"/>
      <c r="Q431" s="4"/>
      <c r="R431" s="4"/>
      <c r="S431" s="4"/>
    </row>
    <row r="432" spans="1:19" ht="16.5" customHeight="1">
      <c r="A432" s="4"/>
      <c r="B432" s="11"/>
      <c r="C432" s="11"/>
      <c r="D432" s="11"/>
      <c r="E432" s="14"/>
      <c r="F432" s="4"/>
      <c r="G432" s="14"/>
      <c r="H432" s="22"/>
      <c r="I432" s="4"/>
      <c r="J432" s="4"/>
      <c r="K432" s="4"/>
      <c r="L432" s="4"/>
      <c r="M432" s="4"/>
      <c r="N432" s="4"/>
      <c r="O432" s="4"/>
      <c r="P432" s="4"/>
      <c r="Q432" s="4"/>
      <c r="R432" s="4"/>
      <c r="S432" s="4"/>
    </row>
    <row r="433" spans="1:19" ht="16.5" customHeight="1">
      <c r="A433" s="4"/>
      <c r="B433" s="11"/>
      <c r="C433" s="11"/>
      <c r="D433" s="11"/>
      <c r="E433" s="14"/>
      <c r="F433" s="4"/>
      <c r="G433" s="14"/>
      <c r="H433" s="22"/>
      <c r="I433" s="4"/>
      <c r="J433" s="4"/>
      <c r="K433" s="4"/>
      <c r="L433" s="4"/>
      <c r="M433" s="4"/>
      <c r="N433" s="4"/>
      <c r="O433" s="4"/>
      <c r="P433" s="4"/>
      <c r="Q433" s="4"/>
      <c r="R433" s="4"/>
      <c r="S433" s="4"/>
    </row>
    <row r="434" spans="1:19" ht="16.5" customHeight="1">
      <c r="A434" s="4"/>
      <c r="B434" s="11"/>
      <c r="C434" s="11"/>
      <c r="D434" s="11"/>
      <c r="E434" s="14"/>
      <c r="F434" s="4"/>
      <c r="G434" s="14"/>
      <c r="H434" s="22"/>
      <c r="I434" s="4"/>
      <c r="J434" s="4"/>
      <c r="K434" s="4"/>
      <c r="L434" s="4"/>
      <c r="M434" s="4"/>
      <c r="N434" s="4"/>
      <c r="O434" s="4"/>
      <c r="P434" s="4"/>
      <c r="Q434" s="4"/>
      <c r="R434" s="4"/>
      <c r="S434" s="4"/>
    </row>
    <row r="435" spans="1:19" ht="16.5" customHeight="1">
      <c r="A435" s="4"/>
      <c r="B435" s="11"/>
      <c r="C435" s="11"/>
      <c r="D435" s="11"/>
      <c r="E435" s="14"/>
      <c r="F435" s="4"/>
      <c r="G435" s="14"/>
      <c r="H435" s="22"/>
      <c r="I435" s="4"/>
      <c r="J435" s="4"/>
      <c r="K435" s="4"/>
      <c r="L435" s="4"/>
      <c r="M435" s="4"/>
      <c r="N435" s="4"/>
      <c r="O435" s="4"/>
      <c r="P435" s="4"/>
      <c r="Q435" s="4"/>
      <c r="R435" s="4"/>
      <c r="S435" s="4"/>
    </row>
    <row r="436" spans="1:19" ht="16.5" customHeight="1">
      <c r="A436" s="4"/>
      <c r="B436" s="11"/>
      <c r="C436" s="11"/>
      <c r="D436" s="11"/>
      <c r="E436" s="14"/>
      <c r="F436" s="4"/>
      <c r="G436" s="14"/>
      <c r="H436" s="22"/>
      <c r="I436" s="4"/>
      <c r="J436" s="4"/>
      <c r="K436" s="4"/>
      <c r="L436" s="4"/>
      <c r="M436" s="4"/>
      <c r="N436" s="4"/>
      <c r="O436" s="4"/>
      <c r="P436" s="4"/>
      <c r="Q436" s="4"/>
      <c r="R436" s="4"/>
      <c r="S436" s="4"/>
    </row>
    <row r="437" spans="1:19" ht="16.5" customHeight="1">
      <c r="A437" s="4"/>
      <c r="B437" s="11"/>
      <c r="C437" s="11"/>
      <c r="D437" s="11"/>
      <c r="E437" s="14"/>
      <c r="F437" s="4"/>
      <c r="G437" s="14"/>
      <c r="H437" s="22"/>
      <c r="I437" s="4"/>
      <c r="J437" s="4"/>
      <c r="K437" s="4"/>
      <c r="L437" s="4"/>
      <c r="M437" s="4"/>
      <c r="N437" s="4"/>
      <c r="O437" s="4"/>
      <c r="P437" s="4"/>
      <c r="Q437" s="4"/>
      <c r="R437" s="4"/>
      <c r="S437" s="4"/>
    </row>
    <row r="438" spans="1:19" ht="16.5" customHeight="1">
      <c r="A438" s="4"/>
      <c r="B438" s="11"/>
      <c r="C438" s="11"/>
      <c r="D438" s="11"/>
      <c r="E438" s="14"/>
      <c r="F438" s="4"/>
      <c r="G438" s="14"/>
      <c r="H438" s="22"/>
      <c r="I438" s="4"/>
      <c r="J438" s="4"/>
      <c r="K438" s="4"/>
      <c r="L438" s="4"/>
      <c r="M438" s="4"/>
      <c r="N438" s="4"/>
      <c r="O438" s="4"/>
      <c r="P438" s="4"/>
      <c r="Q438" s="4"/>
      <c r="R438" s="4"/>
      <c r="S438" s="4"/>
    </row>
    <row r="439" spans="1:19" ht="16.5" customHeight="1">
      <c r="A439" s="4"/>
      <c r="B439" s="11"/>
      <c r="C439" s="11"/>
      <c r="D439" s="11"/>
      <c r="E439" s="14"/>
      <c r="F439" s="4"/>
      <c r="G439" s="14"/>
      <c r="H439" s="22"/>
      <c r="I439" s="4"/>
      <c r="J439" s="4"/>
      <c r="K439" s="4"/>
      <c r="L439" s="4"/>
      <c r="M439" s="4"/>
      <c r="N439" s="4"/>
      <c r="O439" s="4"/>
      <c r="P439" s="4"/>
      <c r="Q439" s="4"/>
      <c r="R439" s="4"/>
      <c r="S439" s="4"/>
    </row>
    <row r="440" spans="1:19" ht="16.5" customHeight="1">
      <c r="A440" s="4"/>
      <c r="B440" s="11"/>
      <c r="C440" s="11"/>
      <c r="D440" s="11"/>
      <c r="E440" s="14"/>
      <c r="F440" s="4"/>
      <c r="G440" s="14"/>
      <c r="H440" s="22"/>
      <c r="I440" s="4"/>
      <c r="J440" s="4"/>
      <c r="K440" s="4"/>
      <c r="L440" s="4"/>
      <c r="M440" s="4"/>
      <c r="N440" s="4"/>
      <c r="O440" s="4"/>
      <c r="P440" s="4"/>
      <c r="Q440" s="4"/>
      <c r="R440" s="4"/>
      <c r="S440" s="4"/>
    </row>
    <row r="441" spans="1:19" ht="16.5" customHeight="1">
      <c r="A441" s="4"/>
      <c r="B441" s="11"/>
      <c r="C441" s="11"/>
      <c r="D441" s="11"/>
      <c r="E441" s="14"/>
      <c r="F441" s="4"/>
      <c r="G441" s="14"/>
      <c r="H441" s="22"/>
      <c r="I441" s="4"/>
      <c r="J441" s="4"/>
      <c r="K441" s="4"/>
      <c r="L441" s="4"/>
      <c r="M441" s="4"/>
      <c r="N441" s="4"/>
      <c r="O441" s="4"/>
      <c r="P441" s="4"/>
      <c r="Q441" s="4"/>
      <c r="R441" s="4"/>
      <c r="S441" s="4"/>
    </row>
    <row r="442" spans="1:19" ht="16.5" customHeight="1">
      <c r="A442" s="4"/>
      <c r="B442" s="11"/>
      <c r="C442" s="11"/>
      <c r="D442" s="11"/>
      <c r="E442" s="14"/>
      <c r="F442" s="4"/>
      <c r="G442" s="14"/>
      <c r="H442" s="22"/>
      <c r="I442" s="4"/>
      <c r="J442" s="4"/>
      <c r="K442" s="4"/>
      <c r="L442" s="4"/>
      <c r="M442" s="4"/>
      <c r="N442" s="4"/>
      <c r="O442" s="4"/>
      <c r="P442" s="4"/>
      <c r="Q442" s="4"/>
      <c r="R442" s="4"/>
      <c r="S442" s="4"/>
    </row>
    <row r="443" spans="1:19" ht="16.5" customHeight="1">
      <c r="A443" s="4"/>
      <c r="B443" s="11"/>
      <c r="C443" s="11"/>
      <c r="D443" s="11"/>
      <c r="E443" s="14"/>
      <c r="F443" s="4"/>
      <c r="G443" s="14"/>
      <c r="H443" s="22"/>
      <c r="I443" s="4"/>
      <c r="J443" s="4"/>
      <c r="K443" s="4"/>
      <c r="L443" s="4"/>
      <c r="M443" s="4"/>
      <c r="N443" s="4"/>
      <c r="O443" s="4"/>
      <c r="P443" s="4"/>
      <c r="Q443" s="4"/>
      <c r="R443" s="4"/>
      <c r="S443" s="4"/>
    </row>
    <row r="444" spans="1:19" ht="16.5" customHeight="1">
      <c r="A444" s="4"/>
      <c r="B444" s="11"/>
      <c r="C444" s="11"/>
      <c r="D444" s="11"/>
      <c r="E444" s="14"/>
      <c r="F444" s="4"/>
      <c r="G444" s="14"/>
      <c r="H444" s="22"/>
      <c r="I444" s="4"/>
      <c r="J444" s="4"/>
      <c r="K444" s="4"/>
      <c r="L444" s="4"/>
      <c r="M444" s="4"/>
      <c r="N444" s="4"/>
      <c r="O444" s="4"/>
      <c r="P444" s="4"/>
      <c r="Q444" s="4"/>
      <c r="R444" s="4"/>
      <c r="S444" s="4"/>
    </row>
    <row r="445" spans="1:19" ht="16.5" customHeight="1">
      <c r="A445" s="4"/>
      <c r="B445" s="11"/>
      <c r="C445" s="11"/>
      <c r="D445" s="11"/>
      <c r="E445" s="14"/>
      <c r="F445" s="4"/>
      <c r="G445" s="14"/>
      <c r="H445" s="22"/>
      <c r="I445" s="4"/>
      <c r="J445" s="4"/>
      <c r="K445" s="4"/>
      <c r="L445" s="4"/>
      <c r="M445" s="4"/>
      <c r="N445" s="4"/>
      <c r="O445" s="4"/>
      <c r="P445" s="4"/>
      <c r="Q445" s="4"/>
      <c r="R445" s="4"/>
      <c r="S445" s="4"/>
    </row>
    <row r="446" spans="1:19" ht="16.5" customHeight="1">
      <c r="A446" s="4"/>
      <c r="B446" s="11"/>
      <c r="C446" s="11"/>
      <c r="D446" s="11"/>
      <c r="E446" s="14"/>
      <c r="F446" s="4"/>
      <c r="G446" s="14"/>
      <c r="H446" s="22"/>
      <c r="I446" s="4"/>
      <c r="J446" s="4"/>
      <c r="K446" s="4"/>
      <c r="L446" s="4"/>
      <c r="M446" s="4"/>
      <c r="N446" s="4"/>
      <c r="O446" s="4"/>
      <c r="P446" s="4"/>
      <c r="Q446" s="4"/>
      <c r="R446" s="4"/>
      <c r="S446" s="4"/>
    </row>
    <row r="447" spans="1:19" ht="16.5" customHeight="1">
      <c r="A447" s="4"/>
      <c r="B447" s="11"/>
      <c r="C447" s="11"/>
      <c r="D447" s="11"/>
      <c r="E447" s="14"/>
      <c r="F447" s="4"/>
      <c r="G447" s="14"/>
      <c r="H447" s="22"/>
      <c r="I447" s="4"/>
      <c r="J447" s="4"/>
      <c r="K447" s="4"/>
      <c r="L447" s="4"/>
      <c r="M447" s="4"/>
      <c r="N447" s="4"/>
      <c r="O447" s="4"/>
      <c r="P447" s="4"/>
      <c r="Q447" s="4"/>
      <c r="R447" s="4"/>
      <c r="S447" s="4"/>
    </row>
    <row r="448" spans="1:19" ht="16.5" customHeight="1">
      <c r="A448" s="4"/>
      <c r="B448" s="11"/>
      <c r="C448" s="11"/>
      <c r="D448" s="11"/>
      <c r="E448" s="14"/>
      <c r="F448" s="4"/>
      <c r="G448" s="14"/>
      <c r="H448" s="22"/>
      <c r="I448" s="4"/>
      <c r="J448" s="4"/>
      <c r="K448" s="4"/>
      <c r="L448" s="4"/>
      <c r="M448" s="4"/>
      <c r="N448" s="4"/>
      <c r="O448" s="4"/>
      <c r="P448" s="4"/>
      <c r="Q448" s="4"/>
      <c r="R448" s="4"/>
      <c r="S448" s="4"/>
    </row>
    <row r="449" spans="1:19" ht="16.5" customHeight="1">
      <c r="A449" s="4"/>
      <c r="B449" s="11"/>
      <c r="C449" s="11"/>
      <c r="D449" s="11"/>
      <c r="E449" s="14"/>
      <c r="F449" s="4"/>
      <c r="G449" s="14"/>
      <c r="H449" s="22"/>
      <c r="I449" s="4"/>
      <c r="J449" s="4"/>
      <c r="K449" s="4"/>
      <c r="L449" s="4"/>
      <c r="M449" s="4"/>
      <c r="N449" s="4"/>
      <c r="O449" s="4"/>
      <c r="P449" s="4"/>
      <c r="Q449" s="4"/>
      <c r="R449" s="4"/>
      <c r="S449" s="4"/>
    </row>
    <row r="450" spans="1:19" ht="16.5" customHeight="1">
      <c r="A450" s="4"/>
      <c r="B450" s="11"/>
      <c r="C450" s="11"/>
      <c r="D450" s="11"/>
      <c r="E450" s="14"/>
      <c r="F450" s="4"/>
      <c r="G450" s="14"/>
      <c r="H450" s="22"/>
      <c r="I450" s="4"/>
      <c r="J450" s="4"/>
      <c r="K450" s="4"/>
      <c r="L450" s="4"/>
      <c r="M450" s="4"/>
      <c r="N450" s="4"/>
      <c r="O450" s="4"/>
      <c r="P450" s="4"/>
      <c r="Q450" s="4"/>
      <c r="R450" s="4"/>
      <c r="S450" s="4"/>
    </row>
    <row r="451" spans="1:19" ht="16.5" customHeight="1">
      <c r="A451" s="4"/>
      <c r="B451" s="11"/>
      <c r="C451" s="11"/>
      <c r="D451" s="11"/>
      <c r="E451" s="14"/>
      <c r="F451" s="4"/>
      <c r="G451" s="14"/>
      <c r="H451" s="22"/>
      <c r="I451" s="4"/>
      <c r="J451" s="4"/>
      <c r="K451" s="4"/>
      <c r="L451" s="4"/>
      <c r="M451" s="4"/>
      <c r="N451" s="4"/>
      <c r="O451" s="4"/>
      <c r="P451" s="4"/>
      <c r="Q451" s="4"/>
      <c r="R451" s="4"/>
      <c r="S451" s="4"/>
    </row>
    <row r="452" spans="1:19" ht="16.5" customHeight="1">
      <c r="A452" s="4"/>
      <c r="B452" s="11"/>
      <c r="C452" s="11"/>
      <c r="D452" s="11"/>
      <c r="E452" s="14"/>
      <c r="F452" s="4"/>
      <c r="G452" s="14"/>
      <c r="H452" s="22"/>
      <c r="I452" s="4"/>
      <c r="J452" s="4"/>
      <c r="K452" s="4"/>
      <c r="L452" s="4"/>
      <c r="M452" s="4"/>
      <c r="N452" s="4"/>
      <c r="O452" s="4"/>
      <c r="P452" s="4"/>
      <c r="Q452" s="4"/>
      <c r="R452" s="4"/>
      <c r="S452" s="4"/>
    </row>
    <row r="453" spans="1:19" ht="16.5" customHeight="1">
      <c r="A453" s="4"/>
      <c r="B453" s="11"/>
      <c r="C453" s="11"/>
      <c r="D453" s="11"/>
      <c r="E453" s="14"/>
      <c r="F453" s="4"/>
      <c r="G453" s="14"/>
      <c r="H453" s="22"/>
      <c r="I453" s="4"/>
      <c r="J453" s="4"/>
      <c r="K453" s="4"/>
      <c r="L453" s="4"/>
      <c r="M453" s="4"/>
      <c r="N453" s="4"/>
      <c r="O453" s="4"/>
      <c r="P453" s="4"/>
      <c r="Q453" s="4"/>
      <c r="R453" s="4"/>
      <c r="S453" s="4"/>
    </row>
    <row r="454" spans="1:19" ht="16.5" customHeight="1">
      <c r="A454" s="4"/>
      <c r="B454" s="11"/>
      <c r="C454" s="11"/>
      <c r="D454" s="11"/>
      <c r="E454" s="14"/>
      <c r="F454" s="4"/>
      <c r="G454" s="14"/>
      <c r="H454" s="22"/>
      <c r="I454" s="4"/>
      <c r="J454" s="4"/>
      <c r="K454" s="4"/>
      <c r="L454" s="4"/>
      <c r="M454" s="4"/>
      <c r="N454" s="4"/>
      <c r="O454" s="4"/>
      <c r="P454" s="4"/>
      <c r="Q454" s="4"/>
      <c r="R454" s="4"/>
      <c r="S454" s="4"/>
    </row>
    <row r="455" spans="1:19" ht="16.5" customHeight="1">
      <c r="A455" s="4"/>
      <c r="B455" s="11"/>
      <c r="C455" s="11"/>
      <c r="D455" s="11"/>
      <c r="E455" s="14"/>
      <c r="F455" s="4"/>
      <c r="G455" s="14"/>
      <c r="H455" s="22"/>
      <c r="I455" s="4"/>
      <c r="J455" s="4"/>
      <c r="K455" s="4"/>
      <c r="L455" s="4"/>
      <c r="M455" s="4"/>
      <c r="N455" s="4"/>
      <c r="O455" s="4"/>
      <c r="P455" s="4"/>
      <c r="Q455" s="4"/>
      <c r="R455" s="4"/>
      <c r="S455" s="4"/>
    </row>
    <row r="456" spans="1:19" ht="16.5" customHeight="1">
      <c r="A456" s="4"/>
      <c r="B456" s="11"/>
      <c r="C456" s="11"/>
      <c r="D456" s="11"/>
      <c r="E456" s="14"/>
      <c r="F456" s="4"/>
      <c r="G456" s="14"/>
      <c r="H456" s="22"/>
      <c r="I456" s="4"/>
      <c r="J456" s="4"/>
      <c r="K456" s="4"/>
      <c r="L456" s="4"/>
      <c r="M456" s="4"/>
      <c r="N456" s="4"/>
      <c r="O456" s="4"/>
      <c r="P456" s="4"/>
      <c r="Q456" s="4"/>
      <c r="R456" s="4"/>
      <c r="S456" s="4"/>
    </row>
    <row r="457" spans="1:19" ht="16.5" customHeight="1">
      <c r="A457" s="4"/>
      <c r="B457" s="11"/>
      <c r="C457" s="11"/>
      <c r="D457" s="11"/>
      <c r="E457" s="14"/>
      <c r="F457" s="4"/>
      <c r="G457" s="14"/>
      <c r="H457" s="22"/>
      <c r="I457" s="4"/>
      <c r="J457" s="4"/>
      <c r="K457" s="4"/>
      <c r="L457" s="4"/>
      <c r="M457" s="4"/>
      <c r="N457" s="4"/>
      <c r="O457" s="4"/>
      <c r="P457" s="4"/>
      <c r="Q457" s="4"/>
      <c r="R457" s="4"/>
      <c r="S457" s="4"/>
    </row>
    <row r="458" spans="1:19" ht="16.5" customHeight="1">
      <c r="A458" s="4"/>
      <c r="B458" s="11"/>
      <c r="C458" s="11"/>
      <c r="D458" s="11"/>
      <c r="E458" s="14"/>
      <c r="F458" s="4"/>
      <c r="G458" s="14"/>
      <c r="H458" s="22"/>
      <c r="I458" s="4"/>
      <c r="J458" s="4"/>
      <c r="K458" s="4"/>
      <c r="L458" s="4"/>
      <c r="M458" s="4"/>
      <c r="N458" s="4"/>
      <c r="O458" s="4"/>
      <c r="P458" s="4"/>
      <c r="Q458" s="4"/>
      <c r="R458" s="4"/>
      <c r="S458" s="4"/>
    </row>
    <row r="459" spans="1:19" ht="16.5" customHeight="1">
      <c r="A459" s="4"/>
      <c r="B459" s="11"/>
      <c r="C459" s="11"/>
      <c r="D459" s="11"/>
      <c r="E459" s="14"/>
      <c r="F459" s="4"/>
      <c r="G459" s="14"/>
      <c r="H459" s="22"/>
      <c r="I459" s="4"/>
      <c r="J459" s="4"/>
      <c r="K459" s="4"/>
      <c r="L459" s="4"/>
      <c r="M459" s="4"/>
      <c r="N459" s="4"/>
      <c r="O459" s="4"/>
      <c r="P459" s="4"/>
      <c r="Q459" s="4"/>
      <c r="R459" s="4"/>
      <c r="S459" s="4"/>
    </row>
    <row r="460" spans="1:19" ht="16.5" customHeight="1">
      <c r="A460" s="4"/>
      <c r="B460" s="11"/>
      <c r="C460" s="11"/>
      <c r="D460" s="11"/>
      <c r="E460" s="14"/>
      <c r="F460" s="4"/>
      <c r="G460" s="14"/>
      <c r="H460" s="22"/>
      <c r="I460" s="4"/>
      <c r="J460" s="4"/>
      <c r="K460" s="4"/>
      <c r="L460" s="4"/>
      <c r="M460" s="4"/>
      <c r="N460" s="4"/>
      <c r="O460" s="4"/>
      <c r="P460" s="4"/>
      <c r="Q460" s="4"/>
      <c r="R460" s="4"/>
      <c r="S460" s="4"/>
    </row>
    <row r="461" spans="1:19" ht="16.5" customHeight="1">
      <c r="A461" s="4"/>
      <c r="B461" s="11"/>
      <c r="C461" s="11"/>
      <c r="D461" s="11"/>
      <c r="E461" s="14"/>
      <c r="F461" s="4"/>
      <c r="G461" s="14"/>
      <c r="H461" s="22"/>
      <c r="I461" s="4"/>
      <c r="J461" s="4"/>
      <c r="K461" s="4"/>
      <c r="L461" s="4"/>
      <c r="M461" s="4"/>
      <c r="N461" s="4"/>
      <c r="O461" s="4"/>
      <c r="P461" s="4"/>
      <c r="Q461" s="4"/>
      <c r="R461" s="4"/>
      <c r="S461" s="4"/>
    </row>
    <row r="462" spans="1:19" ht="16.5" customHeight="1">
      <c r="A462" s="4"/>
      <c r="B462" s="11"/>
      <c r="C462" s="11"/>
      <c r="D462" s="11"/>
      <c r="E462" s="14"/>
      <c r="F462" s="4"/>
      <c r="G462" s="14"/>
      <c r="H462" s="22"/>
      <c r="I462" s="4"/>
      <c r="J462" s="4"/>
      <c r="K462" s="4"/>
      <c r="L462" s="4"/>
      <c r="M462" s="4"/>
      <c r="N462" s="4"/>
      <c r="O462" s="4"/>
      <c r="P462" s="4"/>
      <c r="Q462" s="4"/>
      <c r="R462" s="4"/>
      <c r="S462" s="4"/>
    </row>
    <row r="463" spans="1:19" ht="16.5" customHeight="1">
      <c r="A463" s="4"/>
      <c r="B463" s="11"/>
      <c r="C463" s="11"/>
      <c r="D463" s="11"/>
      <c r="E463" s="14"/>
      <c r="F463" s="4"/>
      <c r="G463" s="14"/>
      <c r="H463" s="22"/>
      <c r="I463" s="4"/>
      <c r="J463" s="4"/>
      <c r="K463" s="4"/>
      <c r="L463" s="4"/>
      <c r="M463" s="4"/>
      <c r="N463" s="4"/>
      <c r="O463" s="4"/>
      <c r="P463" s="4"/>
      <c r="Q463" s="4"/>
      <c r="R463" s="4"/>
      <c r="S463" s="4"/>
    </row>
    <row r="464" spans="1:19" ht="16.5" customHeight="1">
      <c r="A464" s="4"/>
      <c r="B464" s="11"/>
      <c r="C464" s="11"/>
      <c r="D464" s="11"/>
      <c r="E464" s="14"/>
      <c r="F464" s="4"/>
      <c r="G464" s="14"/>
      <c r="H464" s="22"/>
      <c r="I464" s="4"/>
      <c r="J464" s="4"/>
      <c r="K464" s="4"/>
      <c r="L464" s="4"/>
      <c r="M464" s="4"/>
      <c r="N464" s="4"/>
      <c r="O464" s="4"/>
      <c r="P464" s="4"/>
      <c r="Q464" s="4"/>
      <c r="R464" s="4"/>
      <c r="S464" s="4"/>
    </row>
    <row r="465" spans="1:19" ht="16.5" customHeight="1">
      <c r="A465" s="4"/>
      <c r="B465" s="11"/>
      <c r="C465" s="11"/>
      <c r="D465" s="11"/>
      <c r="E465" s="14"/>
      <c r="F465" s="4"/>
      <c r="G465" s="14"/>
      <c r="H465" s="22"/>
      <c r="I465" s="4"/>
      <c r="J465" s="4"/>
      <c r="K465" s="4"/>
      <c r="L465" s="4"/>
      <c r="M465" s="4"/>
      <c r="N465" s="4"/>
      <c r="O465" s="4"/>
      <c r="P465" s="4"/>
      <c r="Q465" s="4"/>
      <c r="R465" s="4"/>
      <c r="S465" s="4"/>
    </row>
    <row r="466" spans="1:19" ht="16.5" customHeight="1">
      <c r="A466" s="4"/>
      <c r="B466" s="11"/>
      <c r="C466" s="11"/>
      <c r="D466" s="11"/>
      <c r="E466" s="14"/>
      <c r="F466" s="4"/>
      <c r="G466" s="14"/>
      <c r="H466" s="22"/>
      <c r="I466" s="4"/>
      <c r="J466" s="4"/>
      <c r="K466" s="4"/>
      <c r="L466" s="4"/>
      <c r="M466" s="4"/>
      <c r="N466" s="4"/>
      <c r="O466" s="4"/>
      <c r="P466" s="4"/>
      <c r="Q466" s="4"/>
      <c r="R466" s="4"/>
      <c r="S466" s="4"/>
    </row>
    <row r="467" spans="1:19" ht="16.5" customHeight="1">
      <c r="A467" s="4"/>
      <c r="B467" s="11"/>
      <c r="C467" s="11"/>
      <c r="D467" s="11"/>
      <c r="E467" s="14"/>
      <c r="F467" s="4"/>
      <c r="G467" s="14"/>
      <c r="H467" s="22"/>
      <c r="I467" s="4"/>
      <c r="J467" s="4"/>
      <c r="K467" s="4"/>
      <c r="L467" s="4"/>
      <c r="M467" s="4"/>
      <c r="N467" s="4"/>
      <c r="O467" s="4"/>
      <c r="P467" s="4"/>
      <c r="Q467" s="4"/>
      <c r="R467" s="4"/>
      <c r="S467" s="4"/>
    </row>
    <row r="468" spans="1:19" ht="16.5" customHeight="1">
      <c r="A468" s="4"/>
      <c r="B468" s="11"/>
      <c r="C468" s="11"/>
      <c r="D468" s="11"/>
      <c r="E468" s="14"/>
      <c r="F468" s="4"/>
      <c r="G468" s="14"/>
      <c r="H468" s="22"/>
      <c r="I468" s="4"/>
      <c r="J468" s="4"/>
      <c r="K468" s="4"/>
      <c r="L468" s="4"/>
      <c r="M468" s="4"/>
      <c r="N468" s="4"/>
      <c r="O468" s="4"/>
      <c r="P468" s="4"/>
      <c r="Q468" s="4"/>
      <c r="R468" s="4"/>
      <c r="S468" s="4"/>
    </row>
    <row r="469" spans="1:19" ht="16.5" customHeight="1">
      <c r="A469" s="4"/>
      <c r="B469" s="11"/>
      <c r="C469" s="11"/>
      <c r="D469" s="11"/>
      <c r="E469" s="14"/>
      <c r="F469" s="4"/>
      <c r="G469" s="14"/>
      <c r="H469" s="22"/>
      <c r="I469" s="4"/>
      <c r="J469" s="4"/>
      <c r="K469" s="4"/>
      <c r="L469" s="4"/>
      <c r="M469" s="4"/>
      <c r="N469" s="4"/>
      <c r="O469" s="4"/>
      <c r="P469" s="4"/>
      <c r="Q469" s="4"/>
      <c r="R469" s="4"/>
      <c r="S469" s="4"/>
    </row>
    <row r="470" spans="1:19" ht="16.5" customHeight="1">
      <c r="A470" s="4"/>
      <c r="B470" s="11"/>
      <c r="C470" s="11"/>
      <c r="D470" s="11"/>
      <c r="E470" s="14"/>
      <c r="F470" s="4"/>
      <c r="G470" s="14"/>
      <c r="H470" s="22"/>
      <c r="I470" s="4"/>
      <c r="J470" s="4"/>
      <c r="K470" s="4"/>
      <c r="L470" s="4"/>
      <c r="M470" s="4"/>
      <c r="N470" s="4"/>
      <c r="O470" s="4"/>
      <c r="P470" s="4"/>
      <c r="Q470" s="4"/>
      <c r="R470" s="4"/>
      <c r="S470" s="4"/>
    </row>
    <row r="471" spans="1:19" ht="16.5" customHeight="1">
      <c r="A471" s="4"/>
      <c r="B471" s="11"/>
      <c r="C471" s="11"/>
      <c r="D471" s="11"/>
      <c r="E471" s="14"/>
      <c r="F471" s="4"/>
      <c r="G471" s="14"/>
      <c r="H471" s="22"/>
      <c r="I471" s="4"/>
      <c r="J471" s="4"/>
      <c r="K471" s="4"/>
      <c r="L471" s="4"/>
      <c r="M471" s="4"/>
      <c r="N471" s="4"/>
      <c r="O471" s="4"/>
      <c r="P471" s="4"/>
      <c r="Q471" s="4"/>
      <c r="R471" s="4"/>
      <c r="S471" s="4"/>
    </row>
    <row r="472" spans="1:19" ht="16.5" customHeight="1">
      <c r="A472" s="4"/>
      <c r="B472" s="11"/>
      <c r="C472" s="11"/>
      <c r="D472" s="11"/>
      <c r="E472" s="14"/>
      <c r="F472" s="4"/>
      <c r="G472" s="14"/>
      <c r="H472" s="22"/>
      <c r="I472" s="4"/>
      <c r="J472" s="4"/>
      <c r="K472" s="4"/>
      <c r="L472" s="4"/>
      <c r="M472" s="4"/>
      <c r="N472" s="4"/>
      <c r="O472" s="4"/>
      <c r="P472" s="4"/>
      <c r="Q472" s="4"/>
      <c r="R472" s="4"/>
      <c r="S472" s="4"/>
    </row>
    <row r="473" spans="1:19" ht="16.5" customHeight="1">
      <c r="A473" s="4"/>
      <c r="B473" s="11"/>
      <c r="C473" s="11"/>
      <c r="D473" s="11"/>
      <c r="E473" s="14"/>
      <c r="F473" s="4"/>
      <c r="G473" s="14"/>
      <c r="H473" s="22"/>
      <c r="I473" s="4"/>
      <c r="J473" s="4"/>
      <c r="K473" s="4"/>
      <c r="L473" s="4"/>
      <c r="M473" s="4"/>
      <c r="N473" s="4"/>
      <c r="O473" s="4"/>
      <c r="P473" s="4"/>
      <c r="Q473" s="4"/>
      <c r="R473" s="4"/>
      <c r="S473" s="4"/>
    </row>
    <row r="474" spans="1:19" ht="16.5" customHeight="1">
      <c r="A474" s="4"/>
      <c r="B474" s="11"/>
      <c r="C474" s="11"/>
      <c r="D474" s="11"/>
      <c r="E474" s="14"/>
      <c r="F474" s="4"/>
      <c r="G474" s="14"/>
      <c r="H474" s="22"/>
      <c r="I474" s="4"/>
      <c r="J474" s="4"/>
      <c r="K474" s="4"/>
      <c r="L474" s="4"/>
      <c r="M474" s="4"/>
      <c r="N474" s="4"/>
      <c r="O474" s="4"/>
      <c r="P474" s="4"/>
      <c r="Q474" s="4"/>
      <c r="R474" s="4"/>
      <c r="S474" s="4"/>
    </row>
    <row r="475" spans="1:19" ht="16.5" customHeight="1">
      <c r="A475" s="4"/>
      <c r="B475" s="11"/>
      <c r="C475" s="11"/>
      <c r="D475" s="11"/>
      <c r="E475" s="14"/>
      <c r="F475" s="4"/>
      <c r="G475" s="14"/>
      <c r="H475" s="22"/>
      <c r="I475" s="4"/>
      <c r="J475" s="4"/>
      <c r="K475" s="4"/>
      <c r="L475" s="4"/>
      <c r="M475" s="4"/>
      <c r="N475" s="4"/>
      <c r="O475" s="4"/>
      <c r="P475" s="4"/>
      <c r="Q475" s="4"/>
      <c r="R475" s="4"/>
      <c r="S475" s="4"/>
    </row>
    <row r="476" spans="1:19" ht="16.5" customHeight="1">
      <c r="A476" s="4"/>
      <c r="B476" s="11"/>
      <c r="C476" s="11"/>
      <c r="D476" s="11"/>
      <c r="E476" s="14"/>
      <c r="F476" s="4"/>
      <c r="G476" s="14"/>
      <c r="H476" s="22"/>
      <c r="I476" s="4"/>
      <c r="J476" s="4"/>
      <c r="K476" s="4"/>
      <c r="L476" s="4"/>
      <c r="M476" s="4"/>
      <c r="N476" s="4"/>
      <c r="O476" s="4"/>
      <c r="P476" s="4"/>
      <c r="Q476" s="4"/>
      <c r="R476" s="4"/>
      <c r="S476" s="4"/>
    </row>
    <row r="477" spans="1:19" ht="16.5" customHeight="1">
      <c r="A477" s="4"/>
      <c r="B477" s="11"/>
      <c r="C477" s="11"/>
      <c r="D477" s="11"/>
      <c r="E477" s="14"/>
      <c r="F477" s="4"/>
      <c r="G477" s="14"/>
      <c r="H477" s="22"/>
      <c r="I477" s="4"/>
      <c r="J477" s="4"/>
      <c r="K477" s="4"/>
      <c r="L477" s="4"/>
      <c r="M477" s="4"/>
      <c r="N477" s="4"/>
      <c r="O477" s="4"/>
      <c r="P477" s="4"/>
      <c r="Q477" s="4"/>
      <c r="R477" s="4"/>
      <c r="S477" s="4"/>
    </row>
    <row r="478" spans="1:19" ht="16.5" customHeight="1">
      <c r="A478" s="4"/>
      <c r="B478" s="11"/>
      <c r="C478" s="11"/>
      <c r="D478" s="11"/>
      <c r="E478" s="14"/>
      <c r="F478" s="4"/>
      <c r="G478" s="14"/>
      <c r="H478" s="22"/>
      <c r="I478" s="4"/>
      <c r="J478" s="4"/>
      <c r="K478" s="4"/>
      <c r="L478" s="4"/>
      <c r="M478" s="4"/>
      <c r="N478" s="4"/>
      <c r="O478" s="4"/>
      <c r="P478" s="4"/>
      <c r="Q478" s="4"/>
      <c r="R478" s="4"/>
      <c r="S478" s="4"/>
    </row>
    <row r="479" spans="1:19" ht="16.5" customHeight="1">
      <c r="A479" s="4"/>
      <c r="B479" s="11"/>
      <c r="C479" s="11"/>
      <c r="D479" s="11"/>
      <c r="E479" s="14"/>
      <c r="F479" s="4"/>
      <c r="G479" s="14"/>
      <c r="H479" s="22"/>
      <c r="I479" s="4"/>
      <c r="J479" s="4"/>
      <c r="K479" s="4"/>
      <c r="L479" s="4"/>
      <c r="M479" s="4"/>
      <c r="N479" s="4"/>
      <c r="O479" s="4"/>
      <c r="P479" s="4"/>
      <c r="Q479" s="4"/>
      <c r="R479" s="4"/>
      <c r="S479" s="4"/>
    </row>
    <row r="480" spans="1:19" ht="16.5" customHeight="1">
      <c r="A480" s="4"/>
      <c r="B480" s="11"/>
      <c r="C480" s="11"/>
      <c r="D480" s="11"/>
      <c r="E480" s="14"/>
      <c r="F480" s="4"/>
      <c r="G480" s="14"/>
      <c r="H480" s="22"/>
      <c r="I480" s="4"/>
      <c r="J480" s="4"/>
      <c r="K480" s="4"/>
      <c r="L480" s="4"/>
      <c r="M480" s="4"/>
      <c r="N480" s="4"/>
      <c r="O480" s="4"/>
      <c r="P480" s="4"/>
      <c r="Q480" s="4"/>
      <c r="R480" s="4"/>
      <c r="S480" s="4"/>
    </row>
    <row r="481" spans="1:19" ht="16.5" customHeight="1">
      <c r="A481" s="4"/>
      <c r="B481" s="11"/>
      <c r="C481" s="11"/>
      <c r="D481" s="11"/>
      <c r="E481" s="14"/>
      <c r="F481" s="4"/>
      <c r="G481" s="14"/>
      <c r="H481" s="22"/>
      <c r="I481" s="4"/>
      <c r="J481" s="4"/>
      <c r="K481" s="4"/>
      <c r="L481" s="4"/>
      <c r="M481" s="4"/>
      <c r="N481" s="4"/>
      <c r="O481" s="4"/>
      <c r="P481" s="4"/>
      <c r="Q481" s="4"/>
      <c r="R481" s="4"/>
      <c r="S481" s="4"/>
    </row>
    <row r="482" spans="1:19" ht="16.5" customHeight="1">
      <c r="A482" s="4"/>
      <c r="B482" s="11"/>
      <c r="C482" s="11"/>
      <c r="D482" s="11"/>
      <c r="E482" s="14"/>
      <c r="F482" s="4"/>
      <c r="G482" s="14"/>
      <c r="H482" s="22"/>
      <c r="I482" s="4"/>
      <c r="J482" s="4"/>
      <c r="K482" s="4"/>
      <c r="L482" s="4"/>
      <c r="M482" s="4"/>
      <c r="N482" s="4"/>
      <c r="O482" s="4"/>
      <c r="P482" s="4"/>
      <c r="Q482" s="4"/>
      <c r="R482" s="4"/>
      <c r="S482" s="4"/>
    </row>
    <row r="483" spans="1:19" ht="16.5" customHeight="1">
      <c r="A483" s="4"/>
      <c r="B483" s="11"/>
      <c r="C483" s="11"/>
      <c r="D483" s="11"/>
      <c r="E483" s="14"/>
      <c r="F483" s="4"/>
      <c r="G483" s="14"/>
      <c r="H483" s="22"/>
      <c r="I483" s="4"/>
      <c r="J483" s="4"/>
      <c r="K483" s="4"/>
      <c r="L483" s="4"/>
      <c r="M483" s="4"/>
      <c r="N483" s="4"/>
      <c r="O483" s="4"/>
      <c r="P483" s="4"/>
      <c r="Q483" s="4"/>
      <c r="R483" s="4"/>
      <c r="S483" s="4"/>
    </row>
    <row r="484" spans="1:19" ht="16.5" customHeight="1">
      <c r="A484" s="4"/>
      <c r="B484" s="11"/>
      <c r="C484" s="11"/>
      <c r="D484" s="11"/>
      <c r="E484" s="14"/>
      <c r="F484" s="4"/>
      <c r="G484" s="14"/>
      <c r="H484" s="22"/>
      <c r="I484" s="4"/>
      <c r="J484" s="4"/>
      <c r="K484" s="4"/>
      <c r="L484" s="4"/>
      <c r="M484" s="4"/>
      <c r="N484" s="4"/>
      <c r="O484" s="4"/>
      <c r="P484" s="4"/>
      <c r="Q484" s="4"/>
      <c r="R484" s="4"/>
      <c r="S484" s="4"/>
    </row>
    <row r="485" spans="1:19" ht="16.5" customHeight="1">
      <c r="A485" s="4"/>
      <c r="B485" s="11"/>
      <c r="C485" s="11"/>
      <c r="D485" s="11"/>
      <c r="E485" s="14"/>
      <c r="F485" s="4"/>
      <c r="G485" s="14"/>
      <c r="H485" s="22"/>
      <c r="I485" s="4"/>
      <c r="J485" s="4"/>
      <c r="K485" s="4"/>
      <c r="L485" s="4"/>
      <c r="M485" s="4"/>
      <c r="N485" s="4"/>
      <c r="O485" s="4"/>
      <c r="P485" s="4"/>
      <c r="Q485" s="4"/>
      <c r="R485" s="4"/>
      <c r="S485" s="4"/>
    </row>
    <row r="486" spans="1:19" ht="16.5" customHeight="1">
      <c r="A486" s="4"/>
      <c r="B486" s="11"/>
      <c r="C486" s="11"/>
      <c r="D486" s="11"/>
      <c r="E486" s="14"/>
      <c r="F486" s="4"/>
      <c r="G486" s="14"/>
      <c r="H486" s="22"/>
      <c r="I486" s="4"/>
      <c r="J486" s="4"/>
      <c r="K486" s="4"/>
      <c r="L486" s="4"/>
      <c r="M486" s="4"/>
      <c r="N486" s="4"/>
      <c r="O486" s="4"/>
      <c r="P486" s="4"/>
      <c r="Q486" s="4"/>
      <c r="R486" s="4"/>
      <c r="S486" s="4"/>
    </row>
    <row r="487" spans="1:19" ht="16.5" customHeight="1">
      <c r="A487" s="4"/>
      <c r="B487" s="11"/>
      <c r="C487" s="11"/>
      <c r="D487" s="11"/>
      <c r="E487" s="14"/>
      <c r="F487" s="4"/>
      <c r="G487" s="14"/>
      <c r="H487" s="22"/>
      <c r="I487" s="4"/>
      <c r="J487" s="4"/>
      <c r="K487" s="4"/>
      <c r="L487" s="4"/>
      <c r="M487" s="4"/>
      <c r="N487" s="4"/>
      <c r="O487" s="4"/>
      <c r="P487" s="4"/>
      <c r="Q487" s="4"/>
      <c r="R487" s="4"/>
      <c r="S487" s="4"/>
    </row>
    <row r="488" spans="1:19" ht="16.5" customHeight="1">
      <c r="A488" s="4"/>
      <c r="B488" s="11"/>
      <c r="C488" s="11"/>
      <c r="D488" s="11"/>
      <c r="E488" s="14"/>
      <c r="F488" s="4"/>
      <c r="G488" s="14"/>
      <c r="H488" s="22"/>
      <c r="I488" s="4"/>
      <c r="J488" s="4"/>
      <c r="K488" s="4"/>
      <c r="L488" s="4"/>
      <c r="M488" s="4"/>
      <c r="N488" s="4"/>
      <c r="O488" s="4"/>
      <c r="P488" s="4"/>
      <c r="Q488" s="4"/>
      <c r="R488" s="4"/>
      <c r="S488" s="4"/>
    </row>
    <row r="489" spans="1:19" ht="16.5" customHeight="1">
      <c r="A489" s="4"/>
      <c r="B489" s="11"/>
      <c r="C489" s="11"/>
      <c r="D489" s="11"/>
      <c r="E489" s="14"/>
      <c r="F489" s="4"/>
      <c r="G489" s="14"/>
      <c r="H489" s="22"/>
      <c r="I489" s="4"/>
      <c r="J489" s="4"/>
      <c r="K489" s="4"/>
      <c r="L489" s="4"/>
      <c r="M489" s="4"/>
      <c r="N489" s="4"/>
      <c r="O489" s="4"/>
      <c r="P489" s="4"/>
      <c r="Q489" s="4"/>
      <c r="R489" s="4"/>
      <c r="S489" s="4"/>
    </row>
    <row r="490" spans="1:19" ht="16.5" customHeight="1">
      <c r="A490" s="4"/>
      <c r="B490" s="11"/>
      <c r="C490" s="11"/>
      <c r="D490" s="11"/>
      <c r="E490" s="14"/>
      <c r="F490" s="4"/>
      <c r="G490" s="14"/>
      <c r="H490" s="22"/>
      <c r="I490" s="4"/>
      <c r="J490" s="4"/>
      <c r="K490" s="4"/>
      <c r="L490" s="4"/>
      <c r="M490" s="4"/>
      <c r="N490" s="4"/>
      <c r="O490" s="4"/>
      <c r="P490" s="4"/>
      <c r="Q490" s="4"/>
      <c r="R490" s="4"/>
      <c r="S490" s="4"/>
    </row>
    <row r="491" spans="1:19" ht="16.5" customHeight="1">
      <c r="A491" s="4"/>
      <c r="B491" s="11"/>
      <c r="C491" s="11"/>
      <c r="D491" s="11"/>
      <c r="E491" s="14"/>
      <c r="F491" s="4"/>
      <c r="G491" s="14"/>
      <c r="H491" s="22"/>
      <c r="I491" s="4"/>
      <c r="J491" s="4"/>
      <c r="K491" s="4"/>
      <c r="L491" s="4"/>
      <c r="M491" s="4"/>
      <c r="N491" s="4"/>
      <c r="O491" s="4"/>
      <c r="P491" s="4"/>
      <c r="Q491" s="4"/>
      <c r="R491" s="4"/>
      <c r="S491" s="4"/>
    </row>
    <row r="492" spans="1:19" ht="16.5" customHeight="1">
      <c r="A492" s="4"/>
      <c r="B492" s="11"/>
      <c r="C492" s="11"/>
      <c r="D492" s="11"/>
      <c r="E492" s="14"/>
      <c r="F492" s="4"/>
      <c r="G492" s="14"/>
      <c r="H492" s="22"/>
      <c r="I492" s="4"/>
      <c r="J492" s="4"/>
      <c r="K492" s="4"/>
      <c r="L492" s="4"/>
      <c r="M492" s="4"/>
      <c r="N492" s="4"/>
      <c r="O492" s="4"/>
      <c r="P492" s="4"/>
      <c r="Q492" s="4"/>
      <c r="R492" s="4"/>
      <c r="S492" s="4"/>
    </row>
    <row r="493" spans="1:19" ht="16.5" customHeight="1">
      <c r="A493" s="4"/>
      <c r="B493" s="11"/>
      <c r="C493" s="11"/>
      <c r="D493" s="11"/>
      <c r="E493" s="14"/>
      <c r="F493" s="4"/>
      <c r="G493" s="14"/>
      <c r="H493" s="22"/>
      <c r="I493" s="4"/>
      <c r="J493" s="4"/>
      <c r="K493" s="4"/>
      <c r="L493" s="4"/>
      <c r="M493" s="4"/>
      <c r="N493" s="4"/>
      <c r="O493" s="4"/>
      <c r="P493" s="4"/>
      <c r="Q493" s="4"/>
      <c r="R493" s="4"/>
      <c r="S493" s="4"/>
    </row>
    <row r="494" spans="1:19" ht="16.5" customHeight="1">
      <c r="A494" s="4"/>
      <c r="B494" s="11"/>
      <c r="C494" s="11"/>
      <c r="D494" s="11"/>
      <c r="E494" s="14"/>
      <c r="F494" s="4"/>
      <c r="G494" s="14"/>
      <c r="H494" s="22"/>
      <c r="I494" s="4"/>
      <c r="J494" s="4"/>
      <c r="K494" s="4"/>
      <c r="L494" s="4"/>
      <c r="M494" s="4"/>
      <c r="N494" s="4"/>
      <c r="O494" s="4"/>
      <c r="P494" s="4"/>
      <c r="Q494" s="4"/>
      <c r="R494" s="4"/>
      <c r="S494" s="4"/>
    </row>
    <row r="495" spans="1:19" ht="16.5" customHeight="1">
      <c r="A495" s="4"/>
      <c r="B495" s="11"/>
      <c r="C495" s="11"/>
      <c r="D495" s="11"/>
      <c r="E495" s="14"/>
      <c r="F495" s="4"/>
      <c r="G495" s="14"/>
      <c r="H495" s="22"/>
      <c r="I495" s="4"/>
      <c r="J495" s="4"/>
      <c r="K495" s="4"/>
      <c r="L495" s="4"/>
      <c r="M495" s="4"/>
      <c r="N495" s="4"/>
      <c r="O495" s="4"/>
      <c r="P495" s="4"/>
      <c r="Q495" s="4"/>
      <c r="R495" s="4"/>
      <c r="S495" s="4"/>
    </row>
    <row r="496" spans="1:19" ht="16.5" customHeight="1">
      <c r="A496" s="4"/>
      <c r="B496" s="11"/>
      <c r="C496" s="11"/>
      <c r="D496" s="11"/>
      <c r="E496" s="14"/>
      <c r="F496" s="4"/>
      <c r="G496" s="14"/>
      <c r="H496" s="22"/>
      <c r="I496" s="4"/>
      <c r="J496" s="4"/>
      <c r="K496" s="4"/>
      <c r="L496" s="4"/>
      <c r="M496" s="4"/>
      <c r="N496" s="4"/>
      <c r="O496" s="4"/>
      <c r="P496" s="4"/>
      <c r="Q496" s="4"/>
      <c r="R496" s="4"/>
      <c r="S496" s="4"/>
    </row>
    <row r="497" spans="1:19" ht="16.5" customHeight="1">
      <c r="A497" s="4"/>
      <c r="B497" s="11"/>
      <c r="C497" s="11"/>
      <c r="D497" s="11"/>
      <c r="E497" s="14"/>
      <c r="F497" s="4"/>
      <c r="G497" s="14"/>
      <c r="H497" s="22"/>
      <c r="I497" s="4"/>
      <c r="J497" s="4"/>
      <c r="K497" s="4"/>
      <c r="L497" s="4"/>
      <c r="M497" s="4"/>
      <c r="N497" s="4"/>
      <c r="O497" s="4"/>
      <c r="P497" s="4"/>
      <c r="Q497" s="4"/>
      <c r="R497" s="4"/>
      <c r="S497" s="4"/>
    </row>
    <row r="498" spans="1:19" ht="16.5" customHeight="1">
      <c r="A498" s="4"/>
      <c r="B498" s="11"/>
      <c r="C498" s="11"/>
      <c r="D498" s="11"/>
      <c r="E498" s="14"/>
      <c r="F498" s="4"/>
      <c r="G498" s="14"/>
      <c r="H498" s="22"/>
      <c r="I498" s="4"/>
      <c r="J498" s="4"/>
      <c r="K498" s="4"/>
      <c r="L498" s="4"/>
      <c r="M498" s="4"/>
      <c r="N498" s="4"/>
      <c r="O498" s="4"/>
      <c r="P498" s="4"/>
      <c r="Q498" s="4"/>
      <c r="R498" s="4"/>
      <c r="S498" s="4"/>
    </row>
    <row r="499" spans="1:19" ht="16.5" customHeight="1">
      <c r="A499" s="4"/>
      <c r="B499" s="11"/>
      <c r="C499" s="11"/>
      <c r="D499" s="11"/>
      <c r="E499" s="14"/>
      <c r="F499" s="4"/>
      <c r="G499" s="14"/>
      <c r="H499" s="22"/>
      <c r="I499" s="4"/>
      <c r="J499" s="4"/>
      <c r="K499" s="4"/>
      <c r="L499" s="4"/>
      <c r="M499" s="4"/>
      <c r="N499" s="4"/>
      <c r="O499" s="4"/>
      <c r="P499" s="4"/>
      <c r="Q499" s="4"/>
      <c r="R499" s="4"/>
      <c r="S499" s="4"/>
    </row>
    <row r="500" spans="1:19" ht="16.5" customHeight="1">
      <c r="A500" s="4"/>
      <c r="B500" s="11"/>
      <c r="C500" s="11"/>
      <c r="D500" s="11"/>
      <c r="E500" s="14"/>
      <c r="F500" s="4"/>
      <c r="G500" s="14"/>
      <c r="H500" s="22"/>
      <c r="I500" s="4"/>
      <c r="J500" s="4"/>
      <c r="K500" s="4"/>
      <c r="L500" s="4"/>
      <c r="M500" s="4"/>
      <c r="N500" s="4"/>
      <c r="O500" s="4"/>
      <c r="P500" s="4"/>
      <c r="Q500" s="4"/>
      <c r="R500" s="4"/>
      <c r="S500" s="4"/>
    </row>
  </sheetData>
  <mergeCells count="4">
    <mergeCell ref="B1:H1"/>
    <mergeCell ref="B2:E2"/>
    <mergeCell ref="J1:Q1"/>
    <mergeCell ref="J2:Q2"/>
  </mergeCells>
  <phoneticPr fontId="24" type="noConversion"/>
  <conditionalFormatting sqref="P4:P48">
    <cfRule type="cellIs" dxfId="1" priority="1" operator="less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00"/>
  <sheetViews>
    <sheetView zoomScaleNormal="100" workbookViewId="0">
      <pane xSplit="3" ySplit="3" topLeftCell="D4" activePane="bottomRight" state="frozen"/>
      <selection pane="topRight" activeCell="D1" sqref="D1"/>
      <selection pane="bottomLeft" activeCell="A4" sqref="A4"/>
      <selection pane="bottomRight" activeCell="H5" sqref="H5"/>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75" customWidth="1"/>
    <col min="9" max="13" width="8.75" customWidth="1"/>
  </cols>
  <sheetData>
    <row r="1" spans="1:13" ht="32.25" customHeight="1">
      <c r="A1" s="4"/>
      <c r="B1" s="67" t="s">
        <v>526</v>
      </c>
      <c r="C1" s="68"/>
      <c r="D1" s="68"/>
      <c r="E1" s="68"/>
      <c r="F1" s="68"/>
      <c r="G1" s="68"/>
      <c r="H1" s="68"/>
      <c r="I1" s="4"/>
      <c r="J1" s="4"/>
      <c r="K1" s="4"/>
      <c r="L1" s="4"/>
      <c r="M1" s="4"/>
    </row>
    <row r="2" spans="1:13" ht="27.75" customHeight="1">
      <c r="A2" s="4"/>
      <c r="B2" s="69" t="s">
        <v>527</v>
      </c>
      <c r="C2" s="66"/>
      <c r="D2" s="66"/>
      <c r="E2" s="66"/>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김권위</v>
      </c>
      <c r="D4" s="2"/>
      <c r="E4" s="12" t="str">
        <f>IF(IF(D4=0,"",VLOOKUP(D4,$G$4:$H$153,2,FALSE))=0,종합의견!$F$1,(IF(D4=0,"",VLOOKUP(D4,$G$4:$H$153,2,FALSE))))</f>
        <v/>
      </c>
      <c r="F4" s="9"/>
      <c r="G4" s="8">
        <v>1</v>
      </c>
      <c r="H4" s="13" t="s">
        <v>528</v>
      </c>
      <c r="I4" s="4"/>
      <c r="J4" s="4"/>
      <c r="K4" s="4"/>
      <c r="L4" s="4"/>
      <c r="M4" s="4"/>
    </row>
    <row r="5" spans="1:13" ht="27" customHeight="1">
      <c r="A5" s="4"/>
      <c r="B5" s="6">
        <f>IF(인성!B5&gt;0,인성!B5,"")</f>
        <v>2</v>
      </c>
      <c r="C5" s="6" t="str">
        <f>IF(인성!C5&gt;0,인성!C5,"")</f>
        <v>김상현</v>
      </c>
      <c r="D5" s="2"/>
      <c r="E5" s="12" t="str">
        <f>IF(IF(D5=0,"",VLOOKUP(D5,$G$4:$H$153,2,FALSE))=0,종합의견!$F$1,(IF(D5=0,"",VLOOKUP(D5,$G$4:$H$153,2,FALSE))))</f>
        <v/>
      </c>
      <c r="F5" s="9"/>
      <c r="G5" s="8">
        <v>2</v>
      </c>
      <c r="H5" s="13" t="s">
        <v>529</v>
      </c>
      <c r="I5" s="4"/>
      <c r="J5" s="4"/>
      <c r="K5" s="4"/>
      <c r="L5" s="4"/>
      <c r="M5" s="4"/>
    </row>
    <row r="6" spans="1:13" ht="27" customHeight="1">
      <c r="A6" s="4"/>
      <c r="B6" s="6">
        <f>IF(인성!B6&gt;0,인성!B6,"")</f>
        <v>3</v>
      </c>
      <c r="C6" s="6" t="str">
        <f>IF(인성!C6&gt;0,인성!C6,"")</f>
        <v>김승길</v>
      </c>
      <c r="D6" s="2">
        <v>1</v>
      </c>
      <c r="E6" s="12" t="str">
        <f>IF(IF(D6=0,"",VLOOKUP(D6,$G$4:$H$153,2,FALSE))=0,종합의견!$F$1,(IF(D6=0,"",VLOOKUP(D6,$G$4:$H$153,2,FALSE))))</f>
        <v>축구를 좋아하며 경기의 승패를 떠나 서로를 격려하고 발전하는 것에 의미를 부여하는 학생임.</v>
      </c>
      <c r="F6" s="9"/>
      <c r="G6" s="8">
        <v>3</v>
      </c>
      <c r="H6" s="13" t="s">
        <v>530</v>
      </c>
      <c r="I6" s="4"/>
      <c r="J6" s="4"/>
      <c r="K6" s="4"/>
      <c r="L6" s="4"/>
      <c r="M6" s="4"/>
    </row>
    <row r="7" spans="1:13" ht="27" customHeight="1">
      <c r="A7" s="4"/>
      <c r="B7" s="6">
        <f>IF(인성!B7&gt;0,인성!B7,"")</f>
        <v>4</v>
      </c>
      <c r="C7" s="6" t="str">
        <f>IF(인성!C7&gt;0,인성!C7,"")</f>
        <v>김하얀</v>
      </c>
      <c r="D7" s="2"/>
      <c r="E7" s="12" t="str">
        <f>IF(IF(D7=0,"",VLOOKUP(D7,$G$4:$H$153,2,FALSE))=0,종합의견!$F$1,(IF(D7=0,"",VLOOKUP(D7,$G$4:$H$153,2,FALSE))))</f>
        <v/>
      </c>
      <c r="F7" s="9"/>
      <c r="G7" s="8">
        <v>4</v>
      </c>
      <c r="H7" s="13" t="s">
        <v>531</v>
      </c>
      <c r="I7" s="4"/>
      <c r="J7" s="4"/>
      <c r="K7" s="4"/>
      <c r="L7" s="4"/>
      <c r="M7" s="4"/>
    </row>
    <row r="8" spans="1:13" ht="40.5" customHeight="1">
      <c r="A8" s="4"/>
      <c r="B8" s="6">
        <f>IF(인성!B8&gt;0,인성!B8,"")</f>
        <v>5</v>
      </c>
      <c r="C8" s="6" t="str">
        <f>IF(인성!C8&gt;0,인성!C8,"")</f>
        <v>김호찬</v>
      </c>
      <c r="D8" s="2"/>
      <c r="E8" s="12" t="str">
        <f>IF(IF(D8=0,"",VLOOKUP(D8,$G$4:$H$153,2,FALSE))=0,종합의견!$F$1,(IF(D8=0,"",VLOOKUP(D8,$G$4:$H$153,2,FALSE))))</f>
        <v/>
      </c>
      <c r="F8" s="9"/>
      <c r="G8" s="8">
        <v>5</v>
      </c>
      <c r="H8" s="13" t="s">
        <v>532</v>
      </c>
      <c r="I8" s="4"/>
      <c r="J8" s="4"/>
      <c r="K8" s="4"/>
      <c r="L8" s="4"/>
      <c r="M8" s="4"/>
    </row>
    <row r="9" spans="1:13" ht="27" customHeight="1">
      <c r="A9" s="4"/>
      <c r="B9" s="6">
        <f>IF(인성!B9&gt;0,인성!B9,"")</f>
        <v>6</v>
      </c>
      <c r="C9" s="6" t="str">
        <f>IF(인성!C9&gt;0,인성!C9,"")</f>
        <v>노지형</v>
      </c>
      <c r="D9" s="2"/>
      <c r="E9" s="12" t="str">
        <f>IF(IF(D9=0,"",VLOOKUP(D9,$G$4:$H$153,2,FALSE))=0,종합의견!$F$1,(IF(D9=0,"",VLOOKUP(D9,$G$4:$H$153,2,FALSE))))</f>
        <v/>
      </c>
      <c r="F9" s="9"/>
      <c r="G9" s="8">
        <v>6</v>
      </c>
      <c r="H9" s="13" t="s">
        <v>533</v>
      </c>
      <c r="I9" s="4"/>
      <c r="J9" s="4"/>
      <c r="K9" s="4"/>
      <c r="L9" s="4"/>
      <c r="M9" s="4"/>
    </row>
    <row r="10" spans="1:13" ht="27" customHeight="1">
      <c r="A10" s="4"/>
      <c r="B10" s="6">
        <f>IF(인성!B10&gt;0,인성!B10,"")</f>
        <v>7</v>
      </c>
      <c r="C10" s="6" t="str">
        <f>IF(인성!C10&gt;0,인성!C10,"")</f>
        <v>류나경</v>
      </c>
      <c r="D10" s="2"/>
      <c r="E10" s="12" t="str">
        <f>IF(IF(D10=0,"",VLOOKUP(D10,$G$4:$H$153,2,FALSE))=0,종합의견!$F$1,(IF(D10=0,"",VLOOKUP(D10,$G$4:$H$153,2,FALSE))))</f>
        <v/>
      </c>
      <c r="F10" s="9"/>
      <c r="G10" s="8">
        <v>7</v>
      </c>
      <c r="H10" s="13" t="s">
        <v>534</v>
      </c>
      <c r="I10" s="4"/>
      <c r="J10" s="4"/>
      <c r="K10" s="4"/>
      <c r="L10" s="4"/>
      <c r="M10" s="4"/>
    </row>
    <row r="11" spans="1:13" ht="27" customHeight="1">
      <c r="A11" s="4"/>
      <c r="B11" s="6">
        <f>IF(인성!B11&gt;0,인성!B11,"")</f>
        <v>8</v>
      </c>
      <c r="C11" s="6" t="str">
        <f>IF(인성!C11&gt;0,인성!C11,"")</f>
        <v>박건하</v>
      </c>
      <c r="D11" s="2"/>
      <c r="E11" s="12" t="str">
        <f>IF(IF(D11=0,"",VLOOKUP(D11,$G$4:$H$153,2,FALSE))=0,종합의견!$F$1,(IF(D11=0,"",VLOOKUP(D11,$G$4:$H$153,2,FALSE))))</f>
        <v/>
      </c>
      <c r="F11" s="9"/>
      <c r="G11" s="8">
        <v>8</v>
      </c>
      <c r="H11" s="13" t="s">
        <v>535</v>
      </c>
      <c r="I11" s="4"/>
      <c r="J11" s="4"/>
      <c r="K11" s="4"/>
      <c r="L11" s="4"/>
      <c r="M11" s="4"/>
    </row>
    <row r="12" spans="1:13" ht="27" customHeight="1">
      <c r="A12" s="4"/>
      <c r="B12" s="6">
        <f>IF(인성!B12&gt;0,인성!B12,"")</f>
        <v>9</v>
      </c>
      <c r="C12" s="6" t="str">
        <f>IF(인성!C12&gt;0,인성!C12,"")</f>
        <v>서형찬</v>
      </c>
      <c r="D12" s="2"/>
      <c r="E12" s="12" t="str">
        <f>IF(IF(D12=0,"",VLOOKUP(D12,$G$4:$H$153,2,FALSE))=0,종합의견!$F$1,(IF(D12=0,"",VLOOKUP(D12,$G$4:$H$153,2,FALSE))))</f>
        <v/>
      </c>
      <c r="F12" s="9"/>
      <c r="G12" s="8">
        <v>9</v>
      </c>
      <c r="H12" s="13" t="s">
        <v>536</v>
      </c>
      <c r="I12" s="4"/>
      <c r="J12" s="4"/>
      <c r="K12" s="4"/>
      <c r="L12" s="4"/>
      <c r="M12" s="4"/>
    </row>
    <row r="13" spans="1:13" ht="27" customHeight="1">
      <c r="A13" s="4"/>
      <c r="B13" s="6">
        <f>IF(인성!B13&gt;0,인성!B13,"")</f>
        <v>10</v>
      </c>
      <c r="C13" s="6" t="str">
        <f>IF(인성!C13&gt;0,인성!C13,"")</f>
        <v>손우진</v>
      </c>
      <c r="D13" s="2">
        <v>13</v>
      </c>
      <c r="E13" s="12" t="str">
        <f>IF(IF(D13=0,"",VLOOKUP(D13,$G$4:$H$153,2,FALSE))=0,종합의견!$F$1,(IF(D13=0,"",VLOOKUP(D13,$G$4:$H$153,2,FALSE))))</f>
        <v>체육에 대한 흥미가 많아 체육시간 외에도 점심시간과 쉬는 시간을 활용하여 급우들과 어울려 스포츠 활동을 즐겨함.</v>
      </c>
      <c r="F13" s="9"/>
      <c r="G13" s="8">
        <v>10</v>
      </c>
      <c r="H13" s="13" t="s">
        <v>681</v>
      </c>
      <c r="I13" s="4"/>
      <c r="J13" s="4"/>
      <c r="K13" s="4"/>
      <c r="L13" s="4"/>
      <c r="M13" s="4"/>
    </row>
    <row r="14" spans="1:13" ht="27" customHeight="1">
      <c r="A14" s="4"/>
      <c r="B14" s="6">
        <f>IF(인성!B14&gt;0,인성!B14,"")</f>
        <v>11</v>
      </c>
      <c r="C14" s="6" t="str">
        <f>IF(인성!C14&gt;0,인성!C14,"")</f>
        <v>송정연</v>
      </c>
      <c r="D14" s="2"/>
      <c r="E14" s="12" t="str">
        <f>IF(IF(D14=0,"",VLOOKUP(D14,$G$4:$H$153,2,FALSE))=0,종합의견!$F$1,(IF(D14=0,"",VLOOKUP(D14,$G$4:$H$153,2,FALSE))))</f>
        <v/>
      </c>
      <c r="F14" s="9"/>
      <c r="G14" s="8">
        <v>11</v>
      </c>
      <c r="H14" s="13" t="s">
        <v>537</v>
      </c>
      <c r="I14" s="4"/>
      <c r="J14" s="4"/>
      <c r="K14" s="4"/>
      <c r="L14" s="4"/>
      <c r="M14" s="4"/>
    </row>
    <row r="15" spans="1:13" ht="27" customHeight="1">
      <c r="A15" s="4"/>
      <c r="B15" s="6">
        <f>IF(인성!B15&gt;0,인성!B15,"")</f>
        <v>12</v>
      </c>
      <c r="C15" s="6" t="str">
        <f>IF(인성!C15&gt;0,인성!C15,"")</f>
        <v>양민국</v>
      </c>
      <c r="D15" s="2">
        <v>14</v>
      </c>
      <c r="E15" s="12" t="str">
        <f>IF(IF(D15=0,"",VLOOKUP(D15,$G$4:$H$153,2,FALSE))=0,종합의견!$F$1,(IF(D15=0,"",VLOOKUP(D15,$G$4:$H$153,2,FALSE))))</f>
        <v>체육에 대한 관심과 기본적인 운동기능이 좋아 교과시간 외에도 친구들과 어울려 스포츠 활동하기를 매우 좋아함.</v>
      </c>
      <c r="F15" s="9"/>
      <c r="G15" s="8">
        <v>12</v>
      </c>
      <c r="H15" s="13" t="s">
        <v>538</v>
      </c>
      <c r="I15" s="4"/>
      <c r="J15" s="4"/>
      <c r="K15" s="4"/>
      <c r="L15" s="4"/>
      <c r="M15" s="4"/>
    </row>
    <row r="16" spans="1:13" ht="27" customHeight="1">
      <c r="A16" s="4"/>
      <c r="B16" s="6">
        <f>IF(인성!B16&gt;0,인성!B16,"")</f>
        <v>13</v>
      </c>
      <c r="C16" s="6" t="str">
        <f>IF(인성!C16&gt;0,인성!C16,"")</f>
        <v>오서현</v>
      </c>
      <c r="D16" s="2">
        <v>10</v>
      </c>
      <c r="E16" s="12" t="str">
        <f>IF(IF(D16=0,"",VLOOKUP(D16,$G$4:$H$153,2,FALSE))=0,종합의견!$F$1,(IF(D16=0,"",VLOOKUP(D16,$G$4:$H$153,2,FALSE))))</f>
        <v xml:space="preserve">체육에 대한 흥미가 많아 배구를 잘하며 승부욕도 강하여 배구대회에서 실력을 발휘함으로써 급우들에게 승리의욕을 불러 일으킴. </v>
      </c>
      <c r="F16" s="9"/>
      <c r="G16" s="8">
        <v>13</v>
      </c>
      <c r="H16" s="13" t="s">
        <v>539</v>
      </c>
      <c r="I16" s="4"/>
      <c r="J16" s="4"/>
      <c r="K16" s="4"/>
      <c r="L16" s="4"/>
      <c r="M16" s="4"/>
    </row>
    <row r="17" spans="1:13" ht="27">
      <c r="A17" s="4"/>
      <c r="B17" s="6">
        <f>IF(인성!B17&gt;0,인성!B17,"")</f>
        <v>14</v>
      </c>
      <c r="C17" s="6" t="str">
        <f>IF(인성!C17&gt;0,인성!C17,"")</f>
        <v>윤재영</v>
      </c>
      <c r="D17" s="2"/>
      <c r="E17" s="12" t="str">
        <f>IF(IF(D17=0,"",VLOOKUP(D17,$G$4:$H$153,2,FALSE))=0,종합의견!$F$1,(IF(D17=0,"",VLOOKUP(D17,$G$4:$H$153,2,FALSE))))</f>
        <v/>
      </c>
      <c r="F17" s="9"/>
      <c r="G17" s="8">
        <v>14</v>
      </c>
      <c r="H17" s="13" t="s">
        <v>561</v>
      </c>
      <c r="I17" s="4"/>
      <c r="J17" s="4"/>
      <c r="K17" s="4"/>
      <c r="L17" s="4"/>
      <c r="M17" s="4"/>
    </row>
    <row r="18" spans="1:13" ht="40.5" customHeight="1">
      <c r="A18" s="4"/>
      <c r="B18" s="6">
        <f>IF(인성!B18&gt;0,인성!B18,"")</f>
        <v>15</v>
      </c>
      <c r="C18" s="6" t="str">
        <f>IF(인성!C18&gt;0,인성!C18,"")</f>
        <v>이승민</v>
      </c>
      <c r="D18" s="2"/>
      <c r="E18" s="12" t="str">
        <f>IF(IF(D18=0,"",VLOOKUP(D18,$G$4:$H$153,2,FALSE))=0,종합의견!$F$1,(IF(D18=0,"",VLOOKUP(D18,$G$4:$H$153,2,FALSE))))</f>
        <v/>
      </c>
      <c r="F18" s="9"/>
      <c r="G18" s="8">
        <v>15</v>
      </c>
      <c r="H18" s="13" t="s">
        <v>540</v>
      </c>
      <c r="I18" s="4"/>
      <c r="J18" s="4"/>
      <c r="K18" s="4"/>
      <c r="L18" s="4"/>
      <c r="M18" s="4"/>
    </row>
    <row r="19" spans="1:13" ht="27" customHeight="1">
      <c r="A19" s="4"/>
      <c r="B19" s="6">
        <f>IF(인성!B19&gt;0,인성!B19,"")</f>
        <v>16</v>
      </c>
      <c r="C19" s="6" t="str">
        <f>IF(인성!C19&gt;0,인성!C19,"")</f>
        <v>조도울</v>
      </c>
      <c r="D19" s="2"/>
      <c r="E19" s="12" t="str">
        <f>IF(IF(D19=0,"",VLOOKUP(D19,$G$4:$H$153,2,FALSE))=0,종합의견!$F$1,(IF(D19=0,"",VLOOKUP(D19,$G$4:$H$153,2,FALSE))))</f>
        <v/>
      </c>
      <c r="F19" s="9"/>
      <c r="G19" s="8">
        <v>16</v>
      </c>
      <c r="H19" s="13" t="s">
        <v>541</v>
      </c>
      <c r="I19" s="4"/>
      <c r="J19" s="4"/>
      <c r="K19" s="4"/>
      <c r="L19" s="4"/>
      <c r="M19" s="4"/>
    </row>
    <row r="20" spans="1:13" ht="27" customHeight="1">
      <c r="A20" s="4"/>
      <c r="B20" s="6">
        <f>IF(인성!B20&gt;0,인성!B20,"")</f>
        <v>17</v>
      </c>
      <c r="C20" s="6" t="str">
        <f>IF(인성!C20&gt;0,인성!C20,"")</f>
        <v>차명준</v>
      </c>
      <c r="D20" s="2"/>
      <c r="E20" s="12" t="str">
        <f>IF(IF(D20=0,"",VLOOKUP(D20,$G$4:$H$153,2,FALSE))=0,종합의견!$F$1,(IF(D20=0,"",VLOOKUP(D20,$G$4:$H$153,2,FALSE))))</f>
        <v/>
      </c>
      <c r="F20" s="9"/>
      <c r="G20" s="8">
        <v>17</v>
      </c>
      <c r="H20" s="13" t="s">
        <v>656</v>
      </c>
      <c r="I20" s="4"/>
      <c r="J20" s="4"/>
      <c r="K20" s="4"/>
      <c r="L20" s="4"/>
      <c r="M20" s="4"/>
    </row>
    <row r="21" spans="1:13" ht="40.5" customHeight="1">
      <c r="A21" s="4"/>
      <c r="B21" s="6">
        <f>IF(인성!B21&gt;0,인성!B21,"")</f>
        <v>18</v>
      </c>
      <c r="C21" s="6" t="str">
        <f>IF(인성!C21&gt;0,인성!C21,"")</f>
        <v>최가영</v>
      </c>
      <c r="D21" s="2"/>
      <c r="E21" s="12" t="str">
        <f>IF(IF(D21=0,"",VLOOKUP(D21,$G$4:$H$153,2,FALSE))=0,종합의견!$F$1,(IF(D21=0,"",VLOOKUP(D21,$G$4:$H$153,2,FALSE))))</f>
        <v/>
      </c>
      <c r="F21" s="9"/>
      <c r="G21" s="8">
        <v>18</v>
      </c>
      <c r="H21" s="13" t="s">
        <v>542</v>
      </c>
      <c r="I21" s="4"/>
      <c r="J21" s="4"/>
      <c r="K21" s="4"/>
      <c r="L21" s="4"/>
      <c r="M21" s="4"/>
    </row>
    <row r="22" spans="1:13" ht="27" customHeight="1">
      <c r="A22" s="4"/>
      <c r="B22" s="6">
        <f>IF(인성!B22&gt;0,인성!B22,"")</f>
        <v>19</v>
      </c>
      <c r="C22" s="6" t="str">
        <f>IF(인성!C22&gt;0,인성!C22,"")</f>
        <v>최다빈</v>
      </c>
      <c r="D22" s="2"/>
      <c r="E22" s="12" t="str">
        <f>IF(IF(D22=0,"",VLOOKUP(D22,$G$4:$H$153,2,FALSE))=0,종합의견!$F$1,(IF(D22=0,"",VLOOKUP(D22,$G$4:$H$153,2,FALSE))))</f>
        <v/>
      </c>
      <c r="F22" s="9"/>
      <c r="G22" s="8">
        <v>19</v>
      </c>
      <c r="H22" s="13" t="s">
        <v>543</v>
      </c>
      <c r="I22" s="4"/>
      <c r="J22" s="4"/>
      <c r="K22" s="4"/>
      <c r="L22" s="4"/>
      <c r="M22" s="4"/>
    </row>
    <row r="23" spans="1:13" ht="54">
      <c r="A23" s="4"/>
      <c r="B23" s="6">
        <f>IF(인성!B23&gt;0,인성!B23,"")</f>
        <v>20</v>
      </c>
      <c r="C23" s="6" t="str">
        <f>IF(인성!C23&gt;0,인성!C23,"")</f>
        <v>홍준석</v>
      </c>
      <c r="D23" s="2">
        <v>6</v>
      </c>
      <c r="E23" s="12" t="str">
        <f>IF(IF(D23=0,"",VLOOKUP(D23,$G$4:$H$153,2,FALSE))=0,종합의견!$F$1,(IF(D23=0,"",VLOOKUP(D23,$G$4:$H$153,2,FALSE))))</f>
        <v>체육교과의 기본 운동능력이 골고루 뛰어나고 그 중에서 순발력이 매우 뛰어나 모든 체육교과 활동에서 탁월한 기능을 발휘함.</v>
      </c>
      <c r="F23" s="9"/>
      <c r="G23" s="8">
        <v>20</v>
      </c>
      <c r="H23" s="13" t="s">
        <v>653</v>
      </c>
      <c r="I23" s="4"/>
      <c r="J23" s="4"/>
      <c r="K23" s="4"/>
      <c r="L23" s="4"/>
      <c r="M23" s="4"/>
    </row>
    <row r="24" spans="1:13" ht="40.5" customHeight="1">
      <c r="A24" s="4"/>
      <c r="B24" s="6" t="str">
        <f>IF(인성!B24&gt;0,인성!B24,"")</f>
        <v/>
      </c>
      <c r="C24" s="6" t="str">
        <f>IF(인성!C24&gt;0,인성!C24,"")</f>
        <v/>
      </c>
      <c r="D24" s="2"/>
      <c r="E24" s="12" t="str">
        <f>IF(IF(D24=0,"",VLOOKUP(D24,$G$4:$H$153,2,FALSE))=0,종합의견!$F$1,(IF(D24=0,"",VLOOKUP(D24,$G$4:$H$153,2,FALSE))))</f>
        <v/>
      </c>
      <c r="F24" s="9"/>
      <c r="G24" s="8">
        <v>21</v>
      </c>
      <c r="H24" s="13" t="s">
        <v>544</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545</v>
      </c>
      <c r="I25" s="4"/>
      <c r="J25" s="4"/>
      <c r="K25" s="4"/>
      <c r="L25" s="4"/>
      <c r="M25" s="4"/>
    </row>
    <row r="26" spans="1:13" ht="40.5" customHeight="1">
      <c r="A26" s="4"/>
      <c r="B26" s="6" t="str">
        <f>IF(인성!B26&gt;0,인성!B26,"")</f>
        <v/>
      </c>
      <c r="C26" s="6" t="str">
        <f>IF(인성!C26&gt;0,인성!C26,"")</f>
        <v/>
      </c>
      <c r="D26" s="2"/>
      <c r="E26" s="12" t="str">
        <f>IF(IF(D26=0,"",VLOOKUP(D26,$G$4:$H$153,2,FALSE))=0,종합의견!$F$1,(IF(D26=0,"",VLOOKUP(D26,$G$4:$H$153,2,FALSE))))</f>
        <v/>
      </c>
      <c r="F26" s="9"/>
      <c r="G26" s="8">
        <v>23</v>
      </c>
      <c r="H26" s="13" t="s">
        <v>654</v>
      </c>
      <c r="I26" s="4"/>
      <c r="J26" s="4"/>
      <c r="K26" s="4"/>
      <c r="L26" s="4"/>
      <c r="M26" s="4"/>
    </row>
    <row r="27" spans="1:13" ht="40.5" customHeight="1">
      <c r="A27" s="4"/>
      <c r="B27" s="6" t="str">
        <f>IF(인성!B27&gt;0,인성!B27,"")</f>
        <v/>
      </c>
      <c r="C27" s="6" t="str">
        <f>IF(인성!C27&gt;0,인성!C27,"")</f>
        <v/>
      </c>
      <c r="D27" s="2"/>
      <c r="E27" s="12" t="str">
        <f>IF(IF(D27=0,"",VLOOKUP(D27,$G$4:$H$153,2,FALSE))=0,종합의견!$F$1,(IF(D27=0,"",VLOOKUP(D27,$G$4:$H$153,2,FALSE))))</f>
        <v/>
      </c>
      <c r="F27" s="9"/>
      <c r="G27" s="8">
        <v>24</v>
      </c>
      <c r="H27" s="13" t="s">
        <v>655</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546</v>
      </c>
      <c r="I28" s="4"/>
      <c r="J28" s="4"/>
      <c r="K28" s="4"/>
      <c r="L28" s="4"/>
      <c r="M28" s="4"/>
    </row>
    <row r="29" spans="1:13" ht="54">
      <c r="A29" s="4"/>
      <c r="B29" s="6" t="str">
        <f>IF(인성!B29&gt;0,인성!B29,"")</f>
        <v/>
      </c>
      <c r="C29" s="6" t="str">
        <f>IF(인성!C29&gt;0,인성!C29,"")</f>
        <v/>
      </c>
      <c r="D29" s="2"/>
      <c r="E29" s="12" t="str">
        <f>IF(IF(D29=0,"",VLOOKUP(D29,$G$4:$H$153,2,FALSE))=0,종합의견!$F$1,(IF(D29=0,"",VLOOKUP(D29,$G$4:$H$153,2,FALSE))))</f>
        <v/>
      </c>
      <c r="F29" s="9"/>
      <c r="G29" s="8">
        <v>26</v>
      </c>
      <c r="H29" s="13" t="s">
        <v>547</v>
      </c>
      <c r="I29" s="4"/>
      <c r="J29" s="4"/>
      <c r="K29" s="4"/>
      <c r="L29" s="4"/>
      <c r="M29" s="4"/>
    </row>
    <row r="30" spans="1:13" ht="54" customHeight="1">
      <c r="A30" s="4"/>
      <c r="B30" s="6" t="str">
        <f>IF(인성!B30&gt;0,인성!B30,"")</f>
        <v/>
      </c>
      <c r="C30" s="6" t="str">
        <f>IF(인성!C30&gt;0,인성!C30,"")</f>
        <v/>
      </c>
      <c r="D30" s="2"/>
      <c r="E30" s="12" t="str">
        <f>IF(IF(D30=0,"",VLOOKUP(D30,$G$4:$H$153,2,FALSE))=0,종합의견!$F$1,(IF(D30=0,"",VLOOKUP(D30,$G$4:$H$153,2,FALSE))))</f>
        <v/>
      </c>
      <c r="F30" s="9"/>
      <c r="G30" s="8">
        <v>27</v>
      </c>
      <c r="H30" s="13" t="s">
        <v>548</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562</v>
      </c>
      <c r="I31" s="4"/>
      <c r="J31" s="4"/>
      <c r="K31" s="4"/>
      <c r="L31" s="4"/>
      <c r="M31" s="4"/>
    </row>
    <row r="32" spans="1:13" ht="27">
      <c r="A32" s="4"/>
      <c r="B32" s="6" t="str">
        <f>IF(인성!B32&gt;0,인성!B32,"")</f>
        <v/>
      </c>
      <c r="C32" s="6" t="str">
        <f>IF(인성!C32&gt;0,인성!C32,"")</f>
        <v/>
      </c>
      <c r="D32" s="2"/>
      <c r="E32" s="12" t="str">
        <f>IF(IF(D32=0,"",VLOOKUP(D32,$G$4:$H$153,2,FALSE))=0,종합의견!$F$1,(IF(D32=0,"",VLOOKUP(D32,$G$4:$H$153,2,FALSE))))</f>
        <v/>
      </c>
      <c r="F32" s="9"/>
      <c r="G32" s="8">
        <v>29</v>
      </c>
      <c r="H32" s="53" t="s">
        <v>590</v>
      </c>
      <c r="I32" s="4"/>
      <c r="J32" s="4"/>
      <c r="K32" s="4"/>
      <c r="L32" s="4"/>
      <c r="M32" s="4"/>
    </row>
    <row r="33" spans="1:13" ht="16.5">
      <c r="A33" s="4"/>
      <c r="B33" s="6" t="str">
        <f>IF(인성!B33&gt;0,인성!B33,"")</f>
        <v/>
      </c>
      <c r="C33" s="6" t="str">
        <f>IF(인성!C33&gt;0,인성!C33,"")</f>
        <v/>
      </c>
      <c r="D33" s="2"/>
      <c r="E33" s="12" t="str">
        <f>IF(IF(D33=0,"",VLOOKUP(D33,$G$4:$H$153,2,FALSE))=0,종합의견!$F$1,(IF(D33=0,"",VLOOKUP(D33,$G$4:$H$153,2,FALSE))))</f>
        <v/>
      </c>
      <c r="F33" s="9"/>
      <c r="G33" s="8">
        <v>30</v>
      </c>
      <c r="I33" s="4"/>
      <c r="J33" s="4"/>
      <c r="K33" s="4"/>
      <c r="L33" s="4"/>
      <c r="M33" s="4"/>
    </row>
    <row r="34" spans="1:13" ht="16.5">
      <c r="A34" s="4"/>
      <c r="B34" s="6" t="str">
        <f>IF(인성!B34&gt;0,인성!B34,"")</f>
        <v/>
      </c>
      <c r="C34" s="6" t="str">
        <f>IF(인성!C34&gt;0,인성!C34,"")</f>
        <v/>
      </c>
      <c r="D34" s="2"/>
      <c r="E34" s="12" t="str">
        <f>IF(IF(D34=0,"",VLOOKUP(D34,$G$4:$H$153,2,FALSE))=0,종합의견!$F$1,(IF(D34=0,"",VLOOKUP(D34,$G$4:$H$153,2,FALSE))))</f>
        <v/>
      </c>
      <c r="F34" s="9"/>
      <c r="G34" s="8">
        <v>31</v>
      </c>
      <c r="I34" s="4"/>
      <c r="J34" s="4"/>
      <c r="K34" s="4"/>
      <c r="L34" s="4"/>
      <c r="M34" s="4"/>
    </row>
    <row r="35" spans="1:13" ht="16.5">
      <c r="A35" s="4"/>
      <c r="B35" s="6" t="str">
        <f>IF(인성!B35&gt;0,인성!B35,"")</f>
        <v/>
      </c>
      <c r="C35" s="6" t="str">
        <f>IF(인성!C35&gt;0,인성!C35,"")</f>
        <v/>
      </c>
      <c r="D35" s="2"/>
      <c r="E35" s="12" t="str">
        <f>IF(IF(D35=0,"",VLOOKUP(D35,$G$4:$H$153,2,FALSE))=0,종합의견!$F$1,(IF(D35=0,"",VLOOKUP(D35,$G$4:$H$153,2,FALSE))))</f>
        <v/>
      </c>
      <c r="F35" s="9"/>
      <c r="G35" s="8">
        <v>32</v>
      </c>
      <c r="I35" s="4"/>
      <c r="J35" s="4"/>
      <c r="K35" s="4"/>
      <c r="L35" s="4"/>
      <c r="M35" s="4"/>
    </row>
    <row r="36" spans="1:13" ht="16.5">
      <c r="A36" s="4"/>
      <c r="B36" s="6" t="str">
        <f>IF(인성!B36&gt;0,인성!B36,"")</f>
        <v/>
      </c>
      <c r="C36" s="6" t="str">
        <f>IF(인성!C36&gt;0,인성!C36,"")</f>
        <v/>
      </c>
      <c r="D36" s="2"/>
      <c r="E36" s="12" t="str">
        <f>IF(IF(D36=0,"",VLOOKUP(D36,$G$4:$H$153,2,FALSE))=0,종합의견!$F$1,(IF(D36=0,"",VLOOKUP(D36,$G$4:$H$153,2,FALSE))))</f>
        <v/>
      </c>
      <c r="F36" s="9"/>
      <c r="G36" s="8">
        <v>33</v>
      </c>
      <c r="I36" s="4"/>
      <c r="J36" s="4"/>
      <c r="K36" s="4"/>
      <c r="L36" s="4"/>
      <c r="M36" s="4"/>
    </row>
    <row r="37" spans="1:13" ht="16.5">
      <c r="A37" s="4"/>
      <c r="B37" s="6" t="str">
        <f>IF(인성!B37&gt;0,인성!B37,"")</f>
        <v/>
      </c>
      <c r="C37" s="6" t="str">
        <f>IF(인성!C37&gt;0,인성!C37,"")</f>
        <v/>
      </c>
      <c r="D37" s="2"/>
      <c r="E37" s="12" t="str">
        <f>IF(IF(D37=0,"",VLOOKUP(D37,$G$4:$H$153,2,FALSE))=0,종합의견!$F$1,(IF(D37=0,"",VLOOKUP(D37,$G$4:$H$153,2,FALSE))))</f>
        <v/>
      </c>
      <c r="F37" s="9"/>
      <c r="G37" s="8">
        <v>34</v>
      </c>
      <c r="I37" s="4"/>
      <c r="J37" s="4"/>
      <c r="K37" s="4"/>
      <c r="L37" s="4"/>
      <c r="M37" s="4"/>
    </row>
    <row r="38" spans="1:13" ht="16.5">
      <c r="A38" s="4"/>
      <c r="B38" s="6" t="str">
        <f>IF(인성!B38&gt;0,인성!B38,"")</f>
        <v/>
      </c>
      <c r="C38" s="6" t="str">
        <f>IF(인성!C38&gt;0,인성!C38,"")</f>
        <v/>
      </c>
      <c r="D38" s="2"/>
      <c r="E38" s="12" t="str">
        <f>IF(IF(D38=0,"",VLOOKUP(D38,$G$4:$H$153,2,FALSE))=0,종합의견!$F$1,(IF(D38=0,"",VLOOKUP(D38,$G$4:$H$153,2,FALSE))))</f>
        <v/>
      </c>
      <c r="F38" s="9"/>
      <c r="G38" s="8">
        <v>35</v>
      </c>
      <c r="I38" s="4"/>
      <c r="J38" s="4"/>
      <c r="K38" s="4"/>
      <c r="L38" s="4"/>
      <c r="M38" s="4"/>
    </row>
    <row r="39" spans="1:13" ht="16.5">
      <c r="A39" s="4"/>
      <c r="B39" s="6" t="str">
        <f>IF(인성!B39&gt;0,인성!B39,"")</f>
        <v/>
      </c>
      <c r="C39" s="6" t="str">
        <f>IF(인성!C39&gt;0,인성!C39,"")</f>
        <v/>
      </c>
      <c r="D39" s="2"/>
      <c r="E39" s="12" t="str">
        <f>IF(IF(D39=0,"",VLOOKUP(D39,$G$4:$H$153,2,FALSE))=0,종합의견!$F$1,(IF(D39=0,"",VLOOKUP(D39,$G$4:$H$153,2,FALSE))))</f>
        <v/>
      </c>
      <c r="F39" s="9"/>
      <c r="G39" s="8">
        <v>36</v>
      </c>
      <c r="I39" s="4"/>
      <c r="J39" s="4"/>
      <c r="K39" s="4"/>
      <c r="L39" s="4"/>
      <c r="M39" s="4"/>
    </row>
    <row r="40" spans="1:13" ht="16.5">
      <c r="A40" s="4"/>
      <c r="B40" s="6" t="str">
        <f>IF(인성!B40&gt;0,인성!B40,"")</f>
        <v/>
      </c>
      <c r="C40" s="6" t="str">
        <f>IF(인성!C40&gt;0,인성!C40,"")</f>
        <v/>
      </c>
      <c r="D40" s="2"/>
      <c r="E40" s="12" t="str">
        <f>IF(IF(D40=0,"",VLOOKUP(D40,$G$4:$H$153,2,FALSE))=0,종합의견!$F$1,(IF(D40=0,"",VLOOKUP(D40,$G$4:$H$153,2,FALSE))))</f>
        <v/>
      </c>
      <c r="F40" s="9"/>
      <c r="G40" s="8">
        <v>37</v>
      </c>
      <c r="I40" s="4"/>
      <c r="J40" s="4"/>
      <c r="K40" s="4"/>
      <c r="L40" s="4"/>
      <c r="M40" s="4"/>
    </row>
    <row r="41" spans="1:13" ht="16.5">
      <c r="A41" s="4"/>
      <c r="B41" s="6" t="str">
        <f>IF(인성!B41&gt;0,인성!B41,"")</f>
        <v/>
      </c>
      <c r="C41" s="6" t="str">
        <f>IF(인성!C41&gt;0,인성!C41,"")</f>
        <v/>
      </c>
      <c r="D41" s="2"/>
      <c r="E41" s="12" t="str">
        <f>IF(IF(D41=0,"",VLOOKUP(D41,$G$4:$H$153,2,FALSE))=0,종합의견!$F$1,(IF(D41=0,"",VLOOKUP(D41,$G$4:$H$153,2,FALSE))))</f>
        <v/>
      </c>
      <c r="F41" s="9"/>
      <c r="G41" s="8">
        <v>38</v>
      </c>
      <c r="I41" s="4"/>
      <c r="J41" s="4"/>
      <c r="K41" s="4"/>
      <c r="L41" s="4"/>
      <c r="M41" s="4"/>
    </row>
    <row r="42" spans="1:13" ht="16.5">
      <c r="A42" s="4"/>
      <c r="B42" s="6" t="str">
        <f>IF(인성!B42&gt;0,인성!B42,"")</f>
        <v/>
      </c>
      <c r="C42" s="6" t="str">
        <f>IF(인성!C42&gt;0,인성!C42,"")</f>
        <v/>
      </c>
      <c r="D42" s="2"/>
      <c r="E42" s="12" t="str">
        <f>IF(IF(D42=0,"",VLOOKUP(D42,$G$4:$H$153,2,FALSE))=0,종합의견!$F$1,(IF(D42=0,"",VLOOKUP(D42,$G$4:$H$153,2,FALSE))))</f>
        <v/>
      </c>
      <c r="F42" s="9"/>
      <c r="G42" s="8">
        <v>39</v>
      </c>
      <c r="I42" s="4"/>
      <c r="J42" s="4"/>
      <c r="K42" s="4"/>
      <c r="L42" s="4"/>
      <c r="M42" s="4"/>
    </row>
    <row r="43" spans="1:13" ht="16.5">
      <c r="A43" s="4"/>
      <c r="B43" s="6" t="str">
        <f>IF(인성!B43&gt;0,인성!B43,"")</f>
        <v/>
      </c>
      <c r="C43" s="6" t="str">
        <f>IF(인성!C43&gt;0,인성!C43,"")</f>
        <v/>
      </c>
      <c r="D43" s="2"/>
      <c r="E43" s="12" t="str">
        <f>IF(IF(D43=0,"",VLOOKUP(D43,$G$4:$H$153,2,FALSE))=0,종합의견!$F$1,(IF(D43=0,"",VLOOKUP(D43,$G$4:$H$153,2,FALSE))))</f>
        <v/>
      </c>
      <c r="F43" s="9"/>
      <c r="G43" s="8">
        <v>40</v>
      </c>
      <c r="I43" s="4"/>
      <c r="J43" s="4"/>
      <c r="K43" s="4"/>
      <c r="L43" s="4"/>
      <c r="M43" s="4"/>
    </row>
    <row r="44" spans="1:13" ht="16.5">
      <c r="A44" s="4"/>
      <c r="B44" s="6" t="str">
        <f>IF(인성!B44&gt;0,인성!B44,"")</f>
        <v/>
      </c>
      <c r="C44" s="6" t="str">
        <f>IF(인성!C44&gt;0,인성!C44,"")</f>
        <v/>
      </c>
      <c r="D44" s="2"/>
      <c r="E44" s="12" t="str">
        <f>IF(IF(D44=0,"",VLOOKUP(D44,$G$4:$H$153,2,FALSE))=0,종합의견!$F$1,(IF(D44=0,"",VLOOKUP(D44,$G$4:$H$153,2,FALSE))))</f>
        <v/>
      </c>
      <c r="F44" s="9"/>
      <c r="G44" s="8">
        <v>41</v>
      </c>
      <c r="I44" s="4"/>
      <c r="J44" s="4"/>
      <c r="K44" s="4"/>
      <c r="L44" s="4"/>
      <c r="M44" s="4"/>
    </row>
    <row r="45" spans="1:13" ht="16.5">
      <c r="A45" s="4"/>
      <c r="B45" s="6" t="str">
        <f>IF(인성!B45&gt;0,인성!B45,"")</f>
        <v/>
      </c>
      <c r="C45" s="6" t="str">
        <f>IF(인성!C45&gt;0,인성!C45,"")</f>
        <v/>
      </c>
      <c r="D45" s="2"/>
      <c r="E45" s="12" t="str">
        <f>IF(IF(D45=0,"",VLOOKUP(D45,$G$4:$H$153,2,FALSE))=0,종합의견!$F$1,(IF(D45=0,"",VLOOKUP(D45,$G$4:$H$153,2,FALSE))))</f>
        <v/>
      </c>
      <c r="F45" s="9"/>
      <c r="G45" s="8">
        <v>42</v>
      </c>
      <c r="I45" s="4"/>
      <c r="J45" s="4"/>
      <c r="K45" s="4"/>
      <c r="L45" s="4"/>
      <c r="M45" s="4"/>
    </row>
    <row r="46" spans="1:13" ht="16.5">
      <c r="A46" s="4"/>
      <c r="B46" s="6" t="str">
        <f>IF(인성!B46&gt;0,인성!B46,"")</f>
        <v/>
      </c>
      <c r="C46" s="6" t="str">
        <f>IF(인성!C46&gt;0,인성!C46,"")</f>
        <v/>
      </c>
      <c r="D46" s="2"/>
      <c r="E46" s="12" t="str">
        <f>IF(IF(D46=0,"",VLOOKUP(D46,$G$4:$H$153,2,FALSE))=0,종합의견!$F$1,(IF(D46=0,"",VLOOKUP(D46,$G$4:$H$153,2,FALSE))))</f>
        <v/>
      </c>
      <c r="F46" s="9"/>
      <c r="G46" s="8">
        <v>43</v>
      </c>
      <c r="I46" s="4"/>
      <c r="J46" s="4"/>
      <c r="K46" s="4"/>
      <c r="L46" s="4"/>
      <c r="M46" s="4"/>
    </row>
    <row r="47" spans="1:13" ht="16.5">
      <c r="A47" s="4"/>
      <c r="B47" s="6" t="str">
        <f>IF(인성!B47&gt;0,인성!B47,"")</f>
        <v/>
      </c>
      <c r="C47" s="6" t="str">
        <f>IF(인성!C47&gt;0,인성!C47,"")</f>
        <v/>
      </c>
      <c r="D47" s="2"/>
      <c r="E47" s="12" t="str">
        <f>IF(IF(D47=0,"",VLOOKUP(D47,$G$4:$H$153,2,FALSE))=0,종합의견!$F$1,(IF(D47=0,"",VLOOKUP(D47,$G$4:$H$153,2,FALSE))))</f>
        <v/>
      </c>
      <c r="F47" s="9"/>
      <c r="G47" s="8">
        <v>44</v>
      </c>
      <c r="I47" s="4"/>
      <c r="J47" s="4"/>
      <c r="K47" s="4"/>
      <c r="L47" s="4"/>
      <c r="M47" s="4"/>
    </row>
    <row r="48" spans="1:13" ht="16.5">
      <c r="A48" s="4"/>
      <c r="B48" s="6" t="str">
        <f>IF(인성!B48&gt;0,인성!B48,"")</f>
        <v/>
      </c>
      <c r="C48" s="6" t="str">
        <f>IF(인성!C48&gt;0,인성!C48,"")</f>
        <v/>
      </c>
      <c r="D48" s="2"/>
      <c r="E48" s="12" t="str">
        <f>IF(IF(D48=0,"",VLOOKUP(D48,$G$4:$H$153,2,FALSE))=0,종합의견!$F$1,(IF(D48=0,"",VLOOKUP(D48,$G$4:$H$153,2,FALSE))))</f>
        <v/>
      </c>
      <c r="F48" s="9"/>
      <c r="G48" s="8">
        <v>45</v>
      </c>
      <c r="H48" s="13"/>
      <c r="I48" s="4"/>
      <c r="J48" s="4"/>
      <c r="K48" s="4"/>
      <c r="L48" s="4"/>
      <c r="M48" s="4"/>
    </row>
    <row r="49" spans="1:13" ht="16.5">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500"/>
  <sheetViews>
    <sheetView tabSelected="1" workbookViewId="0">
      <pane xSplit="3" ySplit="3" topLeftCell="D22" activePane="bottomRight" state="frozen"/>
      <selection pane="topRight" activeCell="D1" sqref="D1"/>
      <selection pane="bottomLeft" activeCell="A4" sqref="A4"/>
      <selection pane="bottomRight" activeCell="AE23" sqref="AE23"/>
    </sheetView>
  </sheetViews>
  <sheetFormatPr defaultColWidth="17.25" defaultRowHeight="16.5"/>
  <cols>
    <col min="1" max="1" width="2.625" customWidth="1"/>
    <col min="2" max="2" width="4.375" customWidth="1"/>
    <col min="3" max="3" width="9" customWidth="1"/>
    <col min="4" max="4" width="77.75" customWidth="1"/>
    <col min="5" max="5" width="1.75" customWidth="1"/>
    <col min="6" max="14" width="4.625" customWidth="1"/>
    <col min="15" max="15" width="6.375" customWidth="1"/>
    <col min="16" max="24" width="2.625" hidden="1" customWidth="1"/>
    <col min="25" max="25" width="8.375" hidden="1" customWidth="1"/>
    <col min="26" max="26" width="9" hidden="1" customWidth="1"/>
    <col min="27" max="27" width="1.125" customWidth="1"/>
    <col min="28" max="30" width="3.625" customWidth="1"/>
    <col min="31" max="44" width="8.75" customWidth="1"/>
  </cols>
  <sheetData>
    <row r="1" spans="1:44" ht="17.25">
      <c r="A1" s="36" t="s">
        <v>549</v>
      </c>
      <c r="B1" s="83" t="s">
        <v>550</v>
      </c>
      <c r="C1" s="68"/>
      <c r="D1" s="68"/>
      <c r="E1" s="37"/>
      <c r="F1" s="38" t="s">
        <v>549</v>
      </c>
      <c r="G1" s="84" t="s">
        <v>551</v>
      </c>
      <c r="H1" s="68"/>
      <c r="I1" s="68"/>
      <c r="J1" s="68"/>
      <c r="K1" s="68"/>
      <c r="L1" s="68"/>
      <c r="M1" s="68"/>
      <c r="N1" s="68"/>
      <c r="O1" s="68"/>
      <c r="P1" s="14"/>
      <c r="Q1" s="14"/>
      <c r="R1" s="14"/>
      <c r="S1" s="14"/>
      <c r="T1" s="14"/>
      <c r="U1" s="14"/>
      <c r="V1" s="14"/>
      <c r="W1" s="14"/>
      <c r="X1" s="14"/>
      <c r="Y1" s="14"/>
      <c r="Z1" s="14"/>
      <c r="AA1" s="4"/>
      <c r="AB1" s="4"/>
      <c r="AC1" s="4"/>
      <c r="AD1" s="4"/>
      <c r="AE1" s="4"/>
      <c r="AF1" s="4"/>
      <c r="AG1" s="4"/>
      <c r="AH1" s="4"/>
      <c r="AI1" s="4"/>
      <c r="AJ1" s="4"/>
      <c r="AK1" s="4"/>
      <c r="AL1" s="4"/>
      <c r="AM1" s="4"/>
      <c r="AN1" s="4"/>
      <c r="AO1" s="4"/>
      <c r="AP1" s="4"/>
      <c r="AQ1" s="4"/>
      <c r="AR1" s="4"/>
    </row>
    <row r="2" spans="1:44">
      <c r="A2" s="4"/>
      <c r="B2" s="79" t="s">
        <v>552</v>
      </c>
      <c r="C2" s="66"/>
      <c r="D2" s="66"/>
      <c r="E2" s="4"/>
      <c r="F2" s="82" t="s">
        <v>553</v>
      </c>
      <c r="G2" s="66"/>
      <c r="H2" s="66"/>
      <c r="I2" s="66"/>
      <c r="J2" s="66"/>
      <c r="K2" s="66"/>
      <c r="L2" s="66"/>
      <c r="M2" s="66"/>
      <c r="N2" s="66"/>
      <c r="O2" s="66"/>
      <c r="P2" s="14"/>
      <c r="Q2" s="14"/>
      <c r="R2" s="14"/>
      <c r="S2" s="14"/>
      <c r="T2" s="14"/>
      <c r="U2" s="14"/>
      <c r="V2" s="14"/>
      <c r="W2" s="14"/>
      <c r="X2" s="14"/>
      <c r="Y2" s="14"/>
      <c r="Z2" s="14"/>
      <c r="AA2" s="39"/>
      <c r="AB2" s="39"/>
      <c r="AC2" s="39"/>
      <c r="AD2" s="39"/>
      <c r="AE2" s="4"/>
      <c r="AF2" s="4"/>
      <c r="AG2" s="4"/>
      <c r="AH2" s="4"/>
      <c r="AI2" s="4"/>
      <c r="AJ2" s="4"/>
      <c r="AK2" s="4"/>
      <c r="AL2" s="4"/>
      <c r="AM2" s="4"/>
      <c r="AN2" s="4"/>
      <c r="AO2" s="4"/>
      <c r="AP2" s="4"/>
      <c r="AQ2" s="4"/>
      <c r="AR2" s="4"/>
    </row>
    <row r="3" spans="1:44" ht="112.5">
      <c r="A3" s="4"/>
      <c r="B3" s="32" t="s">
        <v>3</v>
      </c>
      <c r="C3" s="32" t="s">
        <v>4</v>
      </c>
      <c r="D3" s="40" t="s">
        <v>554</v>
      </c>
      <c r="E3" s="39"/>
      <c r="F3" s="41" t="str">
        <f>인성!B2</f>
        <v>인성</v>
      </c>
      <c r="G3" s="41" t="str">
        <f>'인지적특성&amp;학습능력'!B2</f>
        <v>인지적특성&amp;학습능력</v>
      </c>
      <c r="H3" s="41" t="str">
        <f>창의성!B2</f>
        <v>창의성</v>
      </c>
      <c r="I3" s="41" t="str">
        <f>'잠재력&amp;진로'!B2</f>
        <v>잠재력&amp;진로</v>
      </c>
      <c r="J3" s="41" t="str">
        <f>'배려&amp;타인존중'!B2</f>
        <v>배려&amp;타인존중</v>
      </c>
      <c r="K3" s="41" t="str">
        <f>'나눔&amp;협력'!B2</f>
        <v>나눔&amp;협력</v>
      </c>
      <c r="L3" s="41" t="str">
        <f>'대인관계 지향성'!B2</f>
        <v>대인관계 지향성</v>
      </c>
      <c r="M3" s="41" t="str">
        <f>규칙준수!B2</f>
        <v>규칙준수</v>
      </c>
      <c r="N3" s="41" t="str">
        <f>예체능!B2</f>
        <v>예체능</v>
      </c>
      <c r="O3" s="42" t="s">
        <v>555</v>
      </c>
      <c r="P3" s="43" t="str">
        <f t="shared" ref="P3:X3" si="0">F3</f>
        <v>인성</v>
      </c>
      <c r="Q3" s="43" t="str">
        <f t="shared" si="0"/>
        <v>인지적특성&amp;학습능력</v>
      </c>
      <c r="R3" s="43" t="str">
        <f t="shared" si="0"/>
        <v>창의성</v>
      </c>
      <c r="S3" s="43" t="str">
        <f t="shared" si="0"/>
        <v>잠재력&amp;진로</v>
      </c>
      <c r="T3" s="43" t="str">
        <f t="shared" si="0"/>
        <v>배려&amp;타인존중</v>
      </c>
      <c r="U3" s="43" t="str">
        <f t="shared" si="0"/>
        <v>나눔&amp;협력</v>
      </c>
      <c r="V3" s="43" t="str">
        <f t="shared" si="0"/>
        <v>대인관계 지향성</v>
      </c>
      <c r="W3" s="43" t="str">
        <f t="shared" si="0"/>
        <v>규칙준수</v>
      </c>
      <c r="X3" s="43" t="str">
        <f t="shared" si="0"/>
        <v>예체능</v>
      </c>
      <c r="Y3" s="43" t="s">
        <v>556</v>
      </c>
      <c r="Z3" s="44" t="s">
        <v>557</v>
      </c>
      <c r="AA3" s="39"/>
      <c r="AB3" s="4"/>
      <c r="AC3" s="4"/>
      <c r="AD3" s="4"/>
      <c r="AE3" s="4"/>
      <c r="AF3" s="4"/>
      <c r="AG3" s="4"/>
      <c r="AH3" s="4"/>
      <c r="AI3" s="4"/>
      <c r="AJ3" s="4"/>
      <c r="AK3" s="4"/>
      <c r="AL3" s="4"/>
      <c r="AM3" s="4"/>
      <c r="AN3" s="4"/>
      <c r="AO3" s="4"/>
      <c r="AP3" s="4"/>
      <c r="AQ3" s="4"/>
      <c r="AR3" s="4"/>
    </row>
    <row r="4" spans="1:44" ht="48.75">
      <c r="A4" s="4"/>
      <c r="B4" s="32">
        <f>IF(학급명렬표!B4&gt;0,학급명렬표!B4,"")</f>
        <v>1</v>
      </c>
      <c r="C4" s="32" t="str">
        <f>IF(학급명렬표!C4&gt;0,학급명렬표!C4,"")</f>
        <v>김권위</v>
      </c>
      <c r="D4" s="61" t="str">
        <f>IF(F4="O",인성!E4&amp;CHAR(10),"")&amp;IF(G4="O",'인지적특성&amp;학습능력'!E4&amp;CHAR(10),"")&amp;IF(H4="O",창의성!E4&amp;CHAR(10),"")&amp;IF(I4="O",'잠재력&amp;진로'!E4&amp;CHAR(10),"")&amp;IF(J4="O",'배려&amp;타인존중'!E4&amp;CHAR(10),"")&amp;IF(K4="O",'나눔&amp;협력'!E4&amp;CHAR(10),"")&amp;IF(L4="O",'대인관계 지향성'!E4&amp;CHAR(10),"")&amp;IF(M4="O",규칙준수!E4&amp;CHAR(10),"")&amp;IF(N4="O",예체능!E4,"")</f>
        <v xml:space="preserve">다소 순응적이고 수용적이어서 원만한 대인관계를 잘 유지하는 편임.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
</v>
      </c>
      <c r="E4" s="39"/>
      <c r="F4" s="6" t="str">
        <f>IF(인성!D4&gt;0,"O","X")</f>
        <v>O</v>
      </c>
      <c r="G4" s="6" t="str">
        <f>IF('인지적특성&amp;학습능력'!D4&gt;0,"O","X")</f>
        <v>X</v>
      </c>
      <c r="H4" s="6" t="str">
        <f>IF(창의성!D4&gt;0,"O","X")</f>
        <v>X</v>
      </c>
      <c r="I4" s="6" t="str">
        <f>IF('잠재력&amp;진로'!D4&gt;0,"O","X")</f>
        <v>X</v>
      </c>
      <c r="J4" s="6" t="str">
        <f>IF('배려&amp;타인존중'!D4&gt;0,"O","X")</f>
        <v>O</v>
      </c>
      <c r="K4" s="6" t="str">
        <f>IF('나눔&amp;협력'!D4&gt;0,"O","X")</f>
        <v>O</v>
      </c>
      <c r="L4" s="6" t="str">
        <f>IF('대인관계 지향성'!D4&gt;0,"O","X")</f>
        <v>O</v>
      </c>
      <c r="M4" s="6" t="str">
        <f>IF(규칙준수!D4&gt;0,"O","X")</f>
        <v>X</v>
      </c>
      <c r="N4" s="6" t="str">
        <f>IF(예체능!D4&gt;0,"O","X")</f>
        <v>X</v>
      </c>
      <c r="O4" s="46">
        <f t="shared" ref="O4:O49" si="1">IFERROR(COUNTIF(F4:N4,"O"),"")</f>
        <v>4</v>
      </c>
      <c r="P4" s="44" t="str">
        <f>IF(인성!D4=0,"",인성!E4)</f>
        <v>다소 순응적이고 수용적이어서 원만한 대인관계를 잘 유지하는 편임.</v>
      </c>
      <c r="Q4" s="44" t="str">
        <f>IF('인지적특성&amp;학습능력'!D4=0,"",'인지적특성&amp;학습능력'!E4)</f>
        <v/>
      </c>
      <c r="R4" s="44" t="str">
        <f>IF(창의성!D4=0,"",창의성!E4)</f>
        <v/>
      </c>
      <c r="S4" s="44" t="str">
        <f>IF('잠재력&amp;진로'!D4=0,"",'잠재력&amp;진로'!E4)</f>
        <v/>
      </c>
      <c r="T4" s="44" t="str">
        <f>IF('배려&amp;타인존중'!D4=0,"",'배려&amp;타인존중'!E4)</f>
        <v>언행이 고우며 명랑한 얼굴로 급우들에게 친절하게 대하는 등 타인을 위한 이해와 배려심을 가지고 있음.</v>
      </c>
      <c r="U4" s="44" t="str">
        <f>IF('나눔&amp;협력'!D4=0,"",'나눔&amp;협력'!E4)</f>
        <v>학교나 학급 행사가 있을 때 질서유지에 힘쓰고 매사 협조적인 자세로 임함.</v>
      </c>
      <c r="V4" s="44" t="str">
        <f>IF('대인관계 지향성'!D4=0,"",'대인관계 지향성'!E4)</f>
        <v>긍정적인 마인드로 항상 밝고 친절하게 상대방을 대함으로써 원만한 친구관계가 잘 형성되고 유지됨.</v>
      </c>
      <c r="W4" s="44" t="str">
        <f>IF(규칙준수!D4=0,"",규칙준수!E4)</f>
        <v/>
      </c>
      <c r="X4" s="44" t="str">
        <f>IF(예체능!D4=0,"",예체능!E4)</f>
        <v/>
      </c>
      <c r="Y4" s="44" t="str">
        <f t="shared" ref="Y4:Y49" si="2">TRIM(Z4)</f>
        <v>다소 순응적이고 수용적이어서 원만한 대인관계를 잘 유지하는 편임.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v>
      </c>
      <c r="Z4" s="44" t="str">
        <f t="shared" ref="Z4:Z49" si="3">IF(P4="","",P4)&amp;IF(Q4="",""," "&amp;Q4)&amp;IF(R4="",""," "&amp;R4)&amp;IF(S4="",""," "&amp;S4)&amp;IF(T4="",""," "&amp;T4)&amp;IF(U4="",""," "&amp;U4)&amp;IF(V4="",""," "&amp;V4)&amp;IF(W4="",""," "&amp;W4)&amp;IF(X4="",""," "&amp;X4)</f>
        <v>다소 순응적이고 수용적이어서 원만한 대인관계를 잘 유지하는 편임.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v>
      </c>
      <c r="AA4" s="39"/>
      <c r="AB4" s="4"/>
      <c r="AC4" s="4"/>
      <c r="AD4" s="4"/>
      <c r="AE4" s="4"/>
      <c r="AF4" s="4"/>
      <c r="AG4" s="4"/>
      <c r="AH4" s="4"/>
      <c r="AI4" s="4"/>
      <c r="AJ4" s="4"/>
      <c r="AK4" s="4"/>
      <c r="AL4" s="4"/>
      <c r="AM4" s="4"/>
      <c r="AN4" s="4"/>
      <c r="AO4" s="4"/>
      <c r="AP4" s="4"/>
      <c r="AQ4" s="4"/>
      <c r="AR4" s="4"/>
    </row>
    <row r="5" spans="1:44" ht="58.5">
      <c r="A5" s="4"/>
      <c r="B5" s="32">
        <f>IF(학급명렬표!B5&gt;0,학급명렬표!B5,"")</f>
        <v>2</v>
      </c>
      <c r="C5" s="32" t="str">
        <f>IF(학급명렬표!C5&gt;0,학급명렬표!C5,"")</f>
        <v>김상현</v>
      </c>
      <c r="D5" s="61" t="str">
        <f>IF(F5="O",인성!E5&amp;CHAR(10),"")&amp;IF(G5="O",'인지적특성&amp;학습능력'!E5&amp;CHAR(10),"")&amp;IF(H5="O",창의성!E5&amp;CHAR(10),"")&amp;IF(I5="O",'잠재력&amp;진로'!E5&amp;CHAR(10),"")&amp;IF(J5="O",'배려&amp;타인존중'!E5&amp;CHAR(10),"")&amp;IF(K5="O",'나눔&amp;협력'!E5&amp;CHAR(10),"")&amp;IF(L5="O",'대인관계 지향성'!E5&amp;CHAR(10),"")&amp;IF(M5="O",규칙준수!E5&amp;CHAR(10),"")&amp;IF(N5="O",예체능!E5,"")</f>
        <v xml:space="preserve">심성이 바르고 온순하여 대인관계에서 다소 순응적이고 수용적인 편이며 매우 신중하고 조심스러운 성격임. 
스스로 문제를 해결하려는 자세를 좋으며 매사 성실함. 
웹과 관련된 교과를 배우면서 웹 기술을 이용한 프로그램 개발에 매력을 느끼고 웹을 이용한 프로젝트에 적극적으로 참여하는 등 웹 개발 분야의 전문성을 쌓기 위해 노력을 기울임.
담임교사를 도와 급우들이 쾌적한 환경에서 생활할 수 있도록 환경도우미 역할을 충실히 수행함.
남들이 하기 싫어하는 학급의 에너지지킴이를 먼저 자청하여 맡았으며, 1년 동안 성실하게 전열기구를 소등하고 문단속을 잘 처리함으로써 학급 전체에 크게 보탬이 됨.
학급의 모든 친구들과 잘 어울리고 교사의 지도와 조언을 경청하고 수용하려는 자세가 돋보임.
</v>
      </c>
      <c r="E5" s="39"/>
      <c r="F5" s="6" t="str">
        <f>IF(인성!D5&gt;0,"O","X")</f>
        <v>O</v>
      </c>
      <c r="G5" s="6" t="str">
        <f>IF('인지적특성&amp;학습능력'!D5&gt;0,"O","X")</f>
        <v>O</v>
      </c>
      <c r="H5" s="6" t="str">
        <f>IF(창의성!D5&gt;0,"O","X")</f>
        <v>X</v>
      </c>
      <c r="I5" s="6" t="str">
        <f>IF('잠재력&amp;진로'!D5&gt;0,"O","X")</f>
        <v>O</v>
      </c>
      <c r="J5" s="6" t="str">
        <f>IF('배려&amp;타인존중'!D5&gt;0,"O","X")</f>
        <v>O</v>
      </c>
      <c r="K5" s="6" t="str">
        <f>IF('나눔&amp;협력'!D5&gt;0,"O","X")</f>
        <v>O</v>
      </c>
      <c r="L5" s="6" t="str">
        <f>IF('대인관계 지향성'!D5&gt;0,"O","X")</f>
        <v>O</v>
      </c>
      <c r="M5" s="6" t="str">
        <f>IF(규칙준수!D5&gt;0,"O","X")</f>
        <v>X</v>
      </c>
      <c r="N5" s="6" t="str">
        <f>IF(예체능!D5&gt;0,"O","X")</f>
        <v>X</v>
      </c>
      <c r="O5" s="46">
        <f t="shared" si="1"/>
        <v>6</v>
      </c>
      <c r="P5" s="44" t="str">
        <f>IF(인성!D5=0,"",인성!E5)</f>
        <v xml:space="preserve">심성이 바르고 온순하여 대인관계에서 다소 순응적이고 수용적인 편이며 매우 신중하고 조심스러운 성격임. </v>
      </c>
      <c r="Q5" s="44" t="str">
        <f>IF('인지적특성&amp;학습능력'!D5=0,"",'인지적특성&amp;학습능력'!E5)</f>
        <v xml:space="preserve">스스로 문제를 해결하려는 자세를 좋으며 매사 성실함. </v>
      </c>
      <c r="R5" s="44" t="str">
        <f>IF(창의성!D5=0,"",창의성!E5)</f>
        <v/>
      </c>
      <c r="S5" s="44" t="str">
        <f>IF('잠재력&amp;진로'!D5=0,"",'잠재력&amp;진로'!E5)</f>
        <v>웹과 관련된 교과를 배우면서 웹 기술을 이용한 프로그램 개발에 매력을 느끼고 웹을 이용한 프로젝트에 적극적으로 참여하는 등 웹 개발 분야의 전문성을 쌓기 위해 노력을 기울임.</v>
      </c>
      <c r="T5" s="44" t="str">
        <f>IF('배려&amp;타인존중'!D5=0,"",'배려&amp;타인존중'!E5)</f>
        <v>담임교사를 도와 급우들이 쾌적한 환경에서 생활할 수 있도록 환경도우미 역할을 충실히 수행함.</v>
      </c>
      <c r="U5" s="44" t="str">
        <f>IF('나눔&amp;협력'!D5=0,"",'나눔&amp;협력'!E5)</f>
        <v>남들이 하기 싫어하는 학급의 에너지지킴이를 먼저 자청하여 맡았으며, 1년 동안 성실하게 전열기구를 소등하고 문단속을 잘 처리함으로써 학급 전체에 크게 보탬이 됨.</v>
      </c>
      <c r="V5" s="44" t="str">
        <f>IF('대인관계 지향성'!D5=0,"",'대인관계 지향성'!E5)</f>
        <v>학급의 모든 친구들과 잘 어울리고 교사의 지도와 조언을 경청하고 수용하려는 자세가 돋보임.</v>
      </c>
      <c r="W5" s="44" t="str">
        <f>IF(규칙준수!D5=0,"",규칙준수!E5)</f>
        <v/>
      </c>
      <c r="X5" s="44" t="str">
        <f>IF(예체능!D5=0,"",예체능!E5)</f>
        <v/>
      </c>
      <c r="Y5" s="44" t="str">
        <f t="shared" si="2"/>
        <v>심성이 바르고 온순하여 대인관계에서 다소 순응적이고 수용적인 편이며 매우 신중하고 조심스러운 성격임. 스스로 문제를 해결하려는 자세를 좋으며 매사 성실함. 웹과 관련된 교과를 배우면서 웹 기술을 이용한 프로그램 개발에 매력을 느끼고 웹을 이용한 프로젝트에 적극적으로 참여하는 등 웹 개발 분야의 전문성을 쌓기 위해 노력을 기울임. 담임교사를 도와 급우들이 쾌적한 환경에서 생활할 수 있도록 환경도우미 역할을 충실히 수행함. 남들이 하기 싫어하는 학급의 에너지지킴이를 먼저 자청하여 맡았으며, 1년 동안 성실하게 전열기구를 소등하고 문단속을 잘 처리함으로써 학급 전체에 크게 보탬이 됨. 학급의 모든 친구들과 잘 어울리고 교사의 지도와 조언을 경청하고 수용하려는 자세가 돋보임.</v>
      </c>
      <c r="Z5" s="44" t="str">
        <f t="shared" si="3"/>
        <v>심성이 바르고 온순하여 대인관계에서 다소 순응적이고 수용적인 편이며 매우 신중하고 조심스러운 성격임.  스스로 문제를 해결하려는 자세를 좋으며 매사 성실함.  웹과 관련된 교과를 배우면서 웹 기술을 이용한 프로그램 개발에 매력을 느끼고 웹을 이용한 프로젝트에 적극적으로 참여하는 등 웹 개발 분야의 전문성을 쌓기 위해 노력을 기울임. 담임교사를 도와 급우들이 쾌적한 환경에서 생활할 수 있도록 환경도우미 역할을 충실히 수행함. 남들이 하기 싫어하는 학급의 에너지지킴이를 먼저 자청하여 맡았으며, 1년 동안 성실하게 전열기구를 소등하고 문단속을 잘 처리함으로써 학급 전체에 크게 보탬이 됨. 학급의 모든 친구들과 잘 어울리고 교사의 지도와 조언을 경청하고 수용하려는 자세가 돋보임.</v>
      </c>
      <c r="AA5" s="39"/>
      <c r="AB5" s="4"/>
      <c r="AC5" s="4"/>
      <c r="AD5" s="4"/>
      <c r="AE5" s="4"/>
      <c r="AF5" s="4"/>
      <c r="AG5" s="4"/>
      <c r="AH5" s="4"/>
      <c r="AI5" s="4"/>
      <c r="AJ5" s="4"/>
      <c r="AK5" s="4"/>
      <c r="AL5" s="4"/>
      <c r="AM5" s="4"/>
      <c r="AN5" s="4"/>
      <c r="AO5" s="4"/>
      <c r="AP5" s="4"/>
      <c r="AQ5" s="4"/>
      <c r="AR5" s="4"/>
    </row>
    <row r="6" spans="1:44" ht="48.75">
      <c r="A6" s="4"/>
      <c r="B6" s="32">
        <f>IF(학급명렬표!B6&gt;0,학급명렬표!B6,"")</f>
        <v>3</v>
      </c>
      <c r="C6" s="32" t="str">
        <f>IF(학급명렬표!C6&gt;0,학급명렬표!C6,"")</f>
        <v>김승길</v>
      </c>
      <c r="D6" s="61" t="str">
        <f>IF(F6="O",인성!E6&amp;CHAR(10),"")&amp;IF(G6="O",'인지적특성&amp;학습능력'!E6&amp;CHAR(10),"")&amp;IF(H6="O",창의성!E6&amp;CHAR(10),"")&amp;IF(I6="O",'잠재력&amp;진로'!E6&amp;CHAR(10),"")&amp;IF(J6="O",'배려&amp;타인존중'!E6&amp;CHAR(10),"")&amp;IF(K6="O",'나눔&amp;협력'!E6&amp;CHAR(10),"")&amp;IF(L6="O",'대인관계 지향성'!E6&amp;CHAR(10),"")&amp;IF(M6="O",규칙준수!E6&amp;CHAR(10),"")&amp;IF(N6="O",예체능!E6,"")</f>
        <v>세심하고 다정하여 교우관계가 원만하고 정서적으로 안정되고 침착하여 자기확신이 높으며 매사 성실하고 책임감이 강함.
과제 학습을 잘 해오며 기본 학습 태도가 바르게 형성되어 있음. 
전기와 ICT가 융합된 직업을 갖는 꿈을 실현하기 위해 관련 분야의 자격증을 취득하고 계획적으로 자기주도적 학습을 실행함은 물론 각종 프로젝트 활동에도 열정적으로 참여하는 등 진로개척을 위해 노력함.
자신의 의견을 피력하기 전에 항상 주변 여건과 상황을 고려하여 합리적이고 공손한 자세로 의견을 제시하는 등 긍정적이고 고운 심성을 가짐.
매사 진지한 자세와 공손함으로 상대방을 대하며 긍정적인 태도로 학급의 모든 친구들과 잘 어울리고 교사의 지도와 조언을 경청하고 수용하려는 자세가 돋보임.
축구를 좋아하며 경기의 승패를 떠나 서로를 격려하고 발전하는 것에 의미를 부여하는 학생임.</v>
      </c>
      <c r="E6" s="39"/>
      <c r="F6" s="6" t="str">
        <f>IF(인성!D6&gt;0,"O","X")</f>
        <v>O</v>
      </c>
      <c r="G6" s="6" t="str">
        <f>IF('인지적특성&amp;학습능력'!D6&gt;0,"O","X")</f>
        <v>O</v>
      </c>
      <c r="H6" s="6" t="str">
        <f>IF(창의성!D6&gt;0,"O","X")</f>
        <v>X</v>
      </c>
      <c r="I6" s="6" t="str">
        <f>IF('잠재력&amp;진로'!D6&gt;0,"O","X")</f>
        <v>O</v>
      </c>
      <c r="J6" s="6" t="str">
        <f>IF('배려&amp;타인존중'!D6&gt;0,"O","X")</f>
        <v>O</v>
      </c>
      <c r="K6" s="6" t="str">
        <f>IF('나눔&amp;협력'!D6&gt;0,"O","X")</f>
        <v>X</v>
      </c>
      <c r="L6" s="6" t="str">
        <f>IF('대인관계 지향성'!D6&gt;0,"O","X")</f>
        <v>O</v>
      </c>
      <c r="M6" s="6" t="str">
        <f>IF(규칙준수!D6&gt;0,"O","X")</f>
        <v>X</v>
      </c>
      <c r="N6" s="6" t="str">
        <f>IF(예체능!D6&gt;0,"O","X")</f>
        <v>O</v>
      </c>
      <c r="O6" s="46">
        <f t="shared" si="1"/>
        <v>6</v>
      </c>
      <c r="P6" s="44" t="str">
        <f>IF(인성!D6=0,"",인성!E6)</f>
        <v>세심하고 다정하여 교우관계가 원만하고 정서적으로 안정되고 침착하여 자기확신이 높으며 매사 성실하고 책임감이 강함.</v>
      </c>
      <c r="Q6" s="44" t="str">
        <f>IF('인지적특성&amp;학습능력'!D6=0,"",'인지적특성&amp;학습능력'!E6)</f>
        <v xml:space="preserve">과제 학습을 잘 해오며 기본 학습 태도가 바르게 형성되어 있음. </v>
      </c>
      <c r="R6" s="44" t="str">
        <f>IF(창의성!D6=0,"",창의성!E6)</f>
        <v/>
      </c>
      <c r="S6" s="44" t="str">
        <f>IF('잠재력&amp;진로'!D6=0,"",'잠재력&amp;진로'!E6)</f>
        <v>전기와 ICT가 융합된 직업을 갖는 꿈을 실현하기 위해 관련 분야의 자격증을 취득하고 계획적으로 자기주도적 학습을 실행함은 물론 각종 프로젝트 활동에도 열정적으로 참여하는 등 진로개척을 위해 노력함.</v>
      </c>
      <c r="T6" s="44" t="str">
        <f>IF('배려&amp;타인존중'!D6=0,"",'배려&amp;타인존중'!E6)</f>
        <v>자신의 의견을 피력하기 전에 항상 주변 여건과 상황을 고려하여 합리적이고 공손한 자세로 의견을 제시하는 등 긍정적이고 고운 심성을 가짐.</v>
      </c>
      <c r="U6" s="44" t="str">
        <f>IF('나눔&amp;협력'!D6=0,"",'나눔&amp;협력'!E6)</f>
        <v/>
      </c>
      <c r="V6" s="44" t="str">
        <f>IF('대인관계 지향성'!D6=0,"",'대인관계 지향성'!E6)</f>
        <v>매사 진지한 자세와 공손함으로 상대방을 대하며 긍정적인 태도로 학급의 모든 친구들과 잘 어울리고 교사의 지도와 조언을 경청하고 수용하려는 자세가 돋보임.</v>
      </c>
      <c r="W6" s="44" t="str">
        <f>IF(규칙준수!D6=0,"",규칙준수!E6)</f>
        <v/>
      </c>
      <c r="X6" s="44" t="str">
        <f>IF(예체능!D6=0,"",예체능!E6)</f>
        <v>축구를 좋아하며 경기의 승패를 떠나 서로를 격려하고 발전하는 것에 의미를 부여하는 학생임.</v>
      </c>
      <c r="Y6" s="44" t="str">
        <f t="shared" si="2"/>
        <v>세심하고 다정하여 교우관계가 원만하고 정서적으로 안정되고 침착하여 자기확신이 높으며 매사 성실하고 책임감이 강함. 과제 학습을 잘 해오며 기본 학습 태도가 바르게 형성되어 있음. 전기와 ICT가 융합된 직업을 갖는 꿈을 실현하기 위해 관련 분야의 자격증을 취득하고 계획적으로 자기주도적 학습을 실행함은 물론 각종 프로젝트 활동에도 열정적으로 참여하는 등 진로개척을 위해 노력함. 자신의 의견을 피력하기 전에 항상 주변 여건과 상황을 고려하여 합리적이고 공손한 자세로 의견을 제시하는 등 긍정적이고 고운 심성을 가짐. 매사 진지한 자세와 공손함으로 상대방을 대하며 긍정적인 태도로 학급의 모든 친구들과 잘 어울리고 교사의 지도와 조언을 경청하고 수용하려는 자세가 돋보임. 축구를 좋아하며 경기의 승패를 떠나 서로를 격려하고 발전하는 것에 의미를 부여하는 학생임.</v>
      </c>
      <c r="Z6" s="44" t="str">
        <f t="shared" si="3"/>
        <v>세심하고 다정하여 교우관계가 원만하고 정서적으로 안정되고 침착하여 자기확신이 높으며 매사 성실하고 책임감이 강함. 과제 학습을 잘 해오며 기본 학습 태도가 바르게 형성되어 있음.  전기와 ICT가 융합된 직업을 갖는 꿈을 실현하기 위해 관련 분야의 자격증을 취득하고 계획적으로 자기주도적 학습을 실행함은 물론 각종 프로젝트 활동에도 열정적으로 참여하는 등 진로개척을 위해 노력함. 자신의 의견을 피력하기 전에 항상 주변 여건과 상황을 고려하여 합리적이고 공손한 자세로 의견을 제시하는 등 긍정적이고 고운 심성을 가짐. 매사 진지한 자세와 공손함으로 상대방을 대하며 긍정적인 태도로 학급의 모든 친구들과 잘 어울리고 교사의 지도와 조언을 경청하고 수용하려는 자세가 돋보임. 축구를 좋아하며 경기의 승패를 떠나 서로를 격려하고 발전하는 것에 의미를 부여하는 학생임.</v>
      </c>
      <c r="AA6" s="39"/>
      <c r="AB6" s="4"/>
      <c r="AC6" s="4"/>
      <c r="AD6" s="4"/>
      <c r="AE6" s="4"/>
      <c r="AF6" s="4"/>
      <c r="AG6" s="4"/>
      <c r="AH6" s="4"/>
      <c r="AI6" s="4"/>
      <c r="AJ6" s="4"/>
      <c r="AK6" s="4"/>
      <c r="AL6" s="4"/>
      <c r="AM6" s="4"/>
      <c r="AN6" s="4"/>
      <c r="AO6" s="4"/>
      <c r="AP6" s="4"/>
      <c r="AQ6" s="4"/>
      <c r="AR6" s="4"/>
    </row>
    <row r="7" spans="1:44" ht="58.5">
      <c r="A7" s="4"/>
      <c r="B7" s="32">
        <f>IF(학급명렬표!B7&gt;0,학급명렬표!B7,"")</f>
        <v>4</v>
      </c>
      <c r="C7" s="32" t="str">
        <f>IF(학급명렬표!C7&gt;0,학급명렬표!C7,"")</f>
        <v>김하얀</v>
      </c>
      <c r="D7" s="61" t="str">
        <f>IF(F7="O",인성!E7&amp;CHAR(10),"")&amp;IF(G7="O",'인지적특성&amp;학습능력'!E7&amp;CHAR(10),"")&amp;IF(H7="O",창의성!E7&amp;CHAR(10),"")&amp;IF(I7="O",'잠재력&amp;진로'!E7&amp;CHAR(10),"")&amp;IF(J7="O",'배려&amp;타인존중'!E7&amp;CHAR(10),"")&amp;IF(K7="O",'나눔&amp;협력'!E7&amp;CHAR(10),"")&amp;IF(L7="O",'대인관계 지향성'!E7&amp;CHAR(10),"")&amp;IF(M7="O",규칙준수!E7&amp;CHAR(10),"")&amp;IF(N7="O",예체능!E7,"")</f>
        <v xml:space="preserve">성격이 다정하고 소탈하여 사교성이 좋으며 어려운 일이 닥쳐도 마음의 흔들림이 없이 자기통제를 잘 하고 현실적인 관심사에 집중력이 강함.
교과학습 시간에 올바른 학습태도를 잘 유지하고 나름대로 계획을 세워 자기주도적 학습을 실천하고자 노력하고 있어 발전가능성이 있음.
마이크로프로세서를 이용한 전기분야에 흥미가 높아 해당 분야 자격증 취득과 프로젝트 활동에 적극적으로 참여하고 기업의 취업 정보를 꾸준히 탐색하고 등 진로개척을 위한 안목을 키워나감.
상대방의 말을 잘 경청하고 상대방의 입장에서 먼저 이해하려고 노력함.
자신의 학습능력을 활용하여 도움이 필요한 친구들에게 학습에 대한 의문점을 자세하게 잘 설명하여 알려 줌.
낯선 사람에게 선뜻 잘 다가서지 못하지만 한번 사귀면 지속적으로 좋은 친구관계를 잘 유지함.
</v>
      </c>
      <c r="E7" s="39"/>
      <c r="F7" s="6" t="str">
        <f>IF(인성!D7&gt;0,"O","X")</f>
        <v>O</v>
      </c>
      <c r="G7" s="6" t="str">
        <f>IF('인지적특성&amp;학습능력'!D7&gt;0,"O","X")</f>
        <v>O</v>
      </c>
      <c r="H7" s="6" t="str">
        <f>IF(창의성!D7&gt;0,"O","X")</f>
        <v>X</v>
      </c>
      <c r="I7" s="6" t="str">
        <f>IF('잠재력&amp;진로'!D7&gt;0,"O","X")</f>
        <v>O</v>
      </c>
      <c r="J7" s="6" t="str">
        <f>IF('배려&amp;타인존중'!D7&gt;0,"O","X")</f>
        <v>O</v>
      </c>
      <c r="K7" s="6" t="str">
        <f>IF('나눔&amp;협력'!D7&gt;0,"O","X")</f>
        <v>O</v>
      </c>
      <c r="L7" s="6" t="str">
        <f>IF('대인관계 지향성'!D7&gt;0,"O","X")</f>
        <v>O</v>
      </c>
      <c r="M7" s="6" t="str">
        <f>IF(규칙준수!D7&gt;0,"O","X")</f>
        <v>X</v>
      </c>
      <c r="N7" s="6" t="str">
        <f>IF(예체능!D7&gt;0,"O","X")</f>
        <v>X</v>
      </c>
      <c r="O7" s="46">
        <f t="shared" si="1"/>
        <v>6</v>
      </c>
      <c r="P7" s="44" t="str">
        <f>IF(인성!D7=0,"",인성!E7)</f>
        <v>성격이 다정하고 소탈하여 사교성이 좋으며 어려운 일이 닥쳐도 마음의 흔들림이 없이 자기통제를 잘 하고 현실적인 관심사에 집중력이 강함.</v>
      </c>
      <c r="Q7" s="44" t="str">
        <f>IF('인지적특성&amp;학습능력'!D7=0,"",'인지적특성&amp;학습능력'!E7)</f>
        <v>교과학습 시간에 올바른 학습태도를 잘 유지하고 나름대로 계획을 세워 자기주도적 학습을 실천하고자 노력하고 있어 발전가능성이 있음.</v>
      </c>
      <c r="R7" s="44" t="str">
        <f>IF(창의성!D7=0,"",창의성!E7)</f>
        <v/>
      </c>
      <c r="S7" s="44" t="str">
        <f>IF('잠재력&amp;진로'!D7=0,"",'잠재력&amp;진로'!E7)</f>
        <v>마이크로프로세서를 이용한 전기분야에 흥미가 높아 해당 분야 자격증 취득과 프로젝트 활동에 적극적으로 참여하고 기업의 취업 정보를 꾸준히 탐색하고 등 진로개척을 위한 안목을 키워나감.</v>
      </c>
      <c r="T7" s="44" t="str">
        <f>IF('배려&amp;타인존중'!D7=0,"",'배려&amp;타인존중'!E7)</f>
        <v>상대방의 말을 잘 경청하고 상대방의 입장에서 먼저 이해하려고 노력함.</v>
      </c>
      <c r="U7" s="44" t="str">
        <f>IF('나눔&amp;협력'!D7=0,"",'나눔&amp;협력'!E7)</f>
        <v>자신의 학습능력을 활용하여 도움이 필요한 친구들에게 학습에 대한 의문점을 자세하게 잘 설명하여 알려 줌.</v>
      </c>
      <c r="V7" s="44" t="str">
        <f>IF('대인관계 지향성'!D7=0,"",'대인관계 지향성'!E7)</f>
        <v>낯선 사람에게 선뜻 잘 다가서지 못하지만 한번 사귀면 지속적으로 좋은 친구관계를 잘 유지함.</v>
      </c>
      <c r="W7" s="44" t="str">
        <f>IF(규칙준수!D7=0,"",규칙준수!E7)</f>
        <v/>
      </c>
      <c r="X7" s="44" t="str">
        <f>IF(예체능!D7=0,"",예체능!E7)</f>
        <v/>
      </c>
      <c r="Y7" s="44" t="str">
        <f t="shared" si="2"/>
        <v>성격이 다정하고 소탈하여 사교성이 좋으며 어려운 일이 닥쳐도 마음의 흔들림이 없이 자기통제를 잘 하고 현실적인 관심사에 집중력이 강함. 교과학습 시간에 올바른 학습태도를 잘 유지하고 나름대로 계획을 세워 자기주도적 학습을 실천하고자 노력하고 있어 발전가능성이 있음. 마이크로프로세서를 이용한 전기분야에 흥미가 높아 해당 분야 자격증 취득과 프로젝트 활동에 적극적으로 참여하고 기업의 취업 정보를 꾸준히 탐색하고 등 진로개척을 위한 안목을 키워나감. 상대방의 말을 잘 경청하고 상대방의 입장에서 먼저 이해하려고 노력함. 자신의 학습능력을 활용하여 도움이 필요한 친구들에게 학습에 대한 의문점을 자세하게 잘 설명하여 알려 줌. 낯선 사람에게 선뜻 잘 다가서지 못하지만 한번 사귀면 지속적으로 좋은 친구관계를 잘 유지함.</v>
      </c>
      <c r="Z7" s="44" t="str">
        <f t="shared" si="3"/>
        <v>성격이 다정하고 소탈하여 사교성이 좋으며 어려운 일이 닥쳐도 마음의 흔들림이 없이 자기통제를 잘 하고 현실적인 관심사에 집중력이 강함. 교과학습 시간에 올바른 학습태도를 잘 유지하고 나름대로 계획을 세워 자기주도적 학습을 실천하고자 노력하고 있어 발전가능성이 있음. 마이크로프로세서를 이용한 전기분야에 흥미가 높아 해당 분야 자격증 취득과 프로젝트 활동에 적극적으로 참여하고 기업의 취업 정보를 꾸준히 탐색하고 등 진로개척을 위한 안목을 키워나감. 상대방의 말을 잘 경청하고 상대방의 입장에서 먼저 이해하려고 노력함. 자신의 학습능력을 활용하여 도움이 필요한 친구들에게 학습에 대한 의문점을 자세하게 잘 설명하여 알려 줌. 낯선 사람에게 선뜻 잘 다가서지 못하지만 한번 사귀면 지속적으로 좋은 친구관계를 잘 유지함.</v>
      </c>
      <c r="AA7" s="4"/>
      <c r="AB7" s="4"/>
      <c r="AC7" s="4"/>
      <c r="AD7" s="4"/>
      <c r="AE7" s="4"/>
      <c r="AF7" s="4"/>
      <c r="AG7" s="4"/>
      <c r="AH7" s="4"/>
      <c r="AI7" s="4"/>
      <c r="AJ7" s="4"/>
      <c r="AK7" s="4"/>
      <c r="AL7" s="4"/>
      <c r="AM7" s="4"/>
      <c r="AN7" s="4"/>
      <c r="AO7" s="4"/>
      <c r="AP7" s="4"/>
      <c r="AQ7" s="4"/>
      <c r="AR7" s="4"/>
    </row>
    <row r="8" spans="1:44" ht="48.75">
      <c r="A8" s="4"/>
      <c r="B8" s="32">
        <f>IF(학급명렬표!B8&gt;0,학급명렬표!B8,"")</f>
        <v>5</v>
      </c>
      <c r="C8" s="32" t="str">
        <f>IF(학급명렬표!C8&gt;0,학급명렬표!C8,"")</f>
        <v>김호찬</v>
      </c>
      <c r="D8" s="61" t="str">
        <f>IF(F8="O",인성!E8&amp;CHAR(10),"")&amp;IF(G8="O",'인지적특성&amp;학습능력'!E8&amp;CHAR(10),"")&amp;IF(H8="O",창의성!E8&amp;CHAR(10),"")&amp;IF(I8="O",'잠재력&amp;진로'!E8&amp;CHAR(10),"")&amp;IF(J8="O",'배려&amp;타인존중'!E8&amp;CHAR(10),"")&amp;IF(K8="O",'나눔&amp;협력'!E8&amp;CHAR(10),"")&amp;IF(L8="O",'대인관계 지향성'!E8&amp;CHAR(10),"")&amp;IF(M8="O",규칙준수!E8&amp;CHAR(10),"")&amp;IF(N8="O",예체능!E8,"")</f>
        <v xml:space="preserve">표정이 밝고 긍정적이며 비교적 대담한 성격을 소유한 학생으로 교우관계가 원만함.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
</v>
      </c>
      <c r="E8" s="39"/>
      <c r="F8" s="6" t="str">
        <f>IF(인성!D8&gt;0,"O","X")</f>
        <v>O</v>
      </c>
      <c r="G8" s="6" t="str">
        <f>IF('인지적특성&amp;학습능력'!D8&gt;0,"O","X")</f>
        <v>X</v>
      </c>
      <c r="H8" s="6" t="str">
        <f>IF(창의성!D8&gt;0,"O","X")</f>
        <v>X</v>
      </c>
      <c r="I8" s="6" t="str">
        <f>IF('잠재력&amp;진로'!D8&gt;0,"O","X")</f>
        <v>X</v>
      </c>
      <c r="J8" s="6" t="str">
        <f>IF('배려&amp;타인존중'!D8&gt;0,"O","X")</f>
        <v>O</v>
      </c>
      <c r="K8" s="6" t="str">
        <f>IF('나눔&amp;협력'!D8&gt;0,"O","X")</f>
        <v>O</v>
      </c>
      <c r="L8" s="6" t="str">
        <f>IF('대인관계 지향성'!D8&gt;0,"O","X")</f>
        <v>O</v>
      </c>
      <c r="M8" s="6" t="str">
        <f>IF(규칙준수!D8&gt;0,"O","X")</f>
        <v>X</v>
      </c>
      <c r="N8" s="6" t="str">
        <f>IF(예체능!D8&gt;0,"O","X")</f>
        <v>X</v>
      </c>
      <c r="O8" s="46">
        <f t="shared" si="1"/>
        <v>4</v>
      </c>
      <c r="P8" s="44" t="str">
        <f>IF(인성!D8=0,"",인성!E8)</f>
        <v>표정이 밝고 긍정적이며 비교적 대담한 성격을 소유한 학생으로 교우관계가 원만함.</v>
      </c>
      <c r="Q8" s="44" t="str">
        <f>IF('인지적특성&amp;학습능력'!D8=0,"",'인지적특성&amp;학습능력'!E8)</f>
        <v/>
      </c>
      <c r="R8" s="44" t="str">
        <f>IF(창의성!D8=0,"",창의성!E8)</f>
        <v/>
      </c>
      <c r="S8" s="44" t="str">
        <f>IF('잠재력&amp;진로'!D8=0,"",'잠재력&amp;진로'!E8)</f>
        <v/>
      </c>
      <c r="T8" s="44" t="str">
        <f>IF('배려&amp;타인존중'!D8=0,"",'배려&amp;타인존중'!E8)</f>
        <v>언행이 고우며 명랑한 얼굴로 급우들에게 친절하게 대하는 등 타인을 위한 이해와 배려심을 가지고 있음.</v>
      </c>
      <c r="U8" s="44" t="str">
        <f>IF('나눔&amp;협력'!D8=0,"",'나눔&amp;협력'!E8)</f>
        <v>학교나 학급 행사가 있을 때 질서유지에 힘쓰고 매사 협조적인 자세로 임함.</v>
      </c>
      <c r="V8" s="44" t="str">
        <f>IF('대인관계 지향성'!D8=0,"",'대인관계 지향성'!E8)</f>
        <v>긍정적인 마인드로 항상 밝고 친절하게 상대방을 대함으로써 원만한 친구관계가 잘 형성되고 유지됨.</v>
      </c>
      <c r="W8" s="44" t="str">
        <f>IF(규칙준수!D8=0,"",규칙준수!E8)</f>
        <v/>
      </c>
      <c r="X8" s="44" t="str">
        <f>IF(예체능!D8=0,"",예체능!E8)</f>
        <v/>
      </c>
      <c r="Y8" s="44" t="str">
        <f t="shared" si="2"/>
        <v>표정이 밝고 긍정적이며 비교적 대담한 성격을 소유한 학생으로 교우관계가 원만함.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v>
      </c>
      <c r="Z8" s="44" t="str">
        <f t="shared" si="3"/>
        <v>표정이 밝고 긍정적이며 비교적 대담한 성격을 소유한 학생으로 교우관계가 원만함. 언행이 고우며 명랑한 얼굴로 급우들에게 친절하게 대하는 등 타인을 위한 이해와 배려심을 가지고 있음. 학교나 학급 행사가 있을 때 질서유지에 힘쓰고 매사 협조적인 자세로 임함. 긍정적인 마인드로 항상 밝고 친절하게 상대방을 대함으로써 원만한 친구관계가 잘 형성되고 유지됨.</v>
      </c>
      <c r="AA8" s="4"/>
      <c r="AB8" s="4"/>
      <c r="AC8" s="4"/>
      <c r="AD8" s="4"/>
      <c r="AE8" s="4"/>
      <c r="AF8" s="4"/>
      <c r="AG8" s="4"/>
      <c r="AH8" s="4"/>
      <c r="AI8" s="4"/>
      <c r="AJ8" s="4"/>
      <c r="AK8" s="4"/>
      <c r="AL8" s="4"/>
      <c r="AM8" s="4"/>
      <c r="AN8" s="4"/>
      <c r="AO8" s="4"/>
      <c r="AP8" s="4"/>
      <c r="AQ8" s="4"/>
      <c r="AR8" s="4"/>
    </row>
    <row r="9" spans="1:44" ht="48.75">
      <c r="A9" s="4"/>
      <c r="B9" s="32">
        <f>IF(학급명렬표!B9&gt;0,학급명렬표!B9,"")</f>
        <v>6</v>
      </c>
      <c r="C9" s="32" t="str">
        <f>IF(학급명렬표!C9&gt;0,학급명렬표!C9,"")</f>
        <v>노지형</v>
      </c>
      <c r="D9" s="61" t="str">
        <f>IF(F9="O",인성!E9&amp;CHAR(10),"")&amp;IF(G9="O",'인지적특성&amp;학습능력'!E9&amp;CHAR(10),"")&amp;IF(H9="O",창의성!E9&amp;CHAR(10),"")&amp;IF(I9="O",'잠재력&amp;진로'!E9&amp;CHAR(10),"")&amp;IF(J9="O",'배려&amp;타인존중'!E9&amp;CHAR(10),"")&amp;IF(K9="O",'나눔&amp;협력'!E9&amp;CHAR(10),"")&amp;IF(L9="O",'대인관계 지향성'!E9&amp;CHAR(10),"")&amp;IF(M9="O",규칙준수!E9&amp;CHAR(10),"")&amp;IF(N9="O",예체능!E9,"")</f>
        <v xml:space="preserve">성격이 밝고 활동적이며 이해심이 많아 교우간에 신망이 높으며 행동이 신중하고 조심스러운 편임.
기본적인 학습 규칙을 잘 이행하며 자기의 목표 달성을 위해 성실히 노력함. 
진로에 대한 진지한 자기성찰과 탐색을 통해 구체적인 방향을 정하고 단계적으로 꾸준히 노력한다면 발전가능성이 충분히 있을 것으로 기대됨.
언행이 고우며 명랑한 얼굴로 급우들에게 친절하게 대하는 등 타인을 위한 이해와 배려심을 가지고 있음.
친구와의 갈등이 생기면 먼저 다가가 사과하고 화해를 요청함으로써 친구관계를 더욱 돈독하게 유지할 수 있도록 노력함.
</v>
      </c>
      <c r="E9" s="39"/>
      <c r="F9" s="6" t="str">
        <f>IF(인성!D9&gt;0,"O","X")</f>
        <v>O</v>
      </c>
      <c r="G9" s="6" t="str">
        <f>IF('인지적특성&amp;학습능력'!D9&gt;0,"O","X")</f>
        <v>O</v>
      </c>
      <c r="H9" s="6" t="str">
        <f>IF(창의성!D9&gt;0,"O","X")</f>
        <v>X</v>
      </c>
      <c r="I9" s="6" t="str">
        <f>IF('잠재력&amp;진로'!D9&gt;0,"O","X")</f>
        <v>O</v>
      </c>
      <c r="J9" s="6" t="str">
        <f>IF('배려&amp;타인존중'!D9&gt;0,"O","X")</f>
        <v>O</v>
      </c>
      <c r="K9" s="6" t="str">
        <f>IF('나눔&amp;협력'!D9&gt;0,"O","X")</f>
        <v>X</v>
      </c>
      <c r="L9" s="6" t="str">
        <f>IF('대인관계 지향성'!D9&gt;0,"O","X")</f>
        <v>O</v>
      </c>
      <c r="M9" s="6" t="str">
        <f>IF(규칙준수!D9&gt;0,"O","X")</f>
        <v>X</v>
      </c>
      <c r="N9" s="6" t="str">
        <f>IF(예체능!D9&gt;0,"O","X")</f>
        <v>X</v>
      </c>
      <c r="O9" s="46">
        <f t="shared" si="1"/>
        <v>5</v>
      </c>
      <c r="P9" s="44" t="str">
        <f>IF(인성!D9=0,"",인성!E9)</f>
        <v>성격이 밝고 활동적이며 이해심이 많아 교우간에 신망이 높으며 행동이 신중하고 조심스러운 편임.</v>
      </c>
      <c r="Q9" s="44" t="str">
        <f>IF('인지적특성&amp;학습능력'!D9=0,"",'인지적특성&amp;학습능력'!E9)</f>
        <v xml:space="preserve">기본적인 학습 규칙을 잘 이행하며 자기의 목표 달성을 위해 성실히 노력함. </v>
      </c>
      <c r="R9" s="44" t="str">
        <f>IF(창의성!D9=0,"",창의성!E9)</f>
        <v/>
      </c>
      <c r="S9" s="44" t="str">
        <f>IF('잠재력&amp;진로'!D9=0,"",'잠재력&amp;진로'!E9)</f>
        <v>진로에 대한 진지한 자기성찰과 탐색을 통해 구체적인 방향을 정하고 단계적으로 꾸준히 노력한다면 발전가능성이 충분히 있을 것으로 기대됨.</v>
      </c>
      <c r="T9" s="44" t="str">
        <f>IF('배려&amp;타인존중'!D9=0,"",'배려&amp;타인존중'!E9)</f>
        <v>언행이 고우며 명랑한 얼굴로 급우들에게 친절하게 대하는 등 타인을 위한 이해와 배려심을 가지고 있음.</v>
      </c>
      <c r="U9" s="44" t="str">
        <f>IF('나눔&amp;협력'!D9=0,"",'나눔&amp;협력'!E9)</f>
        <v/>
      </c>
      <c r="V9" s="44" t="str">
        <f>IF('대인관계 지향성'!D9=0,"",'대인관계 지향성'!E9)</f>
        <v>친구와의 갈등이 생기면 먼저 다가가 사과하고 화해를 요청함으로써 친구관계를 더욱 돈독하게 유지할 수 있도록 노력함.</v>
      </c>
      <c r="W9" s="44" t="str">
        <f>IF(규칙준수!D9=0,"",규칙준수!E9)</f>
        <v/>
      </c>
      <c r="X9" s="44" t="str">
        <f>IF(예체능!D9=0,"",예체능!E9)</f>
        <v/>
      </c>
      <c r="Y9" s="44" t="str">
        <f t="shared" si="2"/>
        <v>성격이 밝고 활동적이며 이해심이 많아 교우간에 신망이 높으며 행동이 신중하고 조심스러운 편임. 기본적인 학습 규칙을 잘 이행하며 자기의 목표 달성을 위해 성실히 노력함. 진로에 대한 진지한 자기성찰과 탐색을 통해 구체적인 방향을 정하고 단계적으로 꾸준히 노력한다면 발전가능성이 충분히 있을 것으로 기대됨. 언행이 고우며 명랑한 얼굴로 급우들에게 친절하게 대하는 등 타인을 위한 이해와 배려심을 가지고 있음. 친구와의 갈등이 생기면 먼저 다가가 사과하고 화해를 요청함으로써 친구관계를 더욱 돈독하게 유지할 수 있도록 노력함.</v>
      </c>
      <c r="Z9" s="44" t="str">
        <f t="shared" si="3"/>
        <v>성격이 밝고 활동적이며 이해심이 많아 교우간에 신망이 높으며 행동이 신중하고 조심스러운 편임. 기본적인 학습 규칙을 잘 이행하며 자기의 목표 달성을 위해 성실히 노력함.  진로에 대한 진지한 자기성찰과 탐색을 통해 구체적인 방향을 정하고 단계적으로 꾸준히 노력한다면 발전가능성이 충분히 있을 것으로 기대됨. 언행이 고우며 명랑한 얼굴로 급우들에게 친절하게 대하는 등 타인을 위한 이해와 배려심을 가지고 있음. 친구와의 갈등이 생기면 먼저 다가가 사과하고 화해를 요청함으로써 친구관계를 더욱 돈독하게 유지할 수 있도록 노력함.</v>
      </c>
      <c r="AA9" s="4"/>
      <c r="AB9" s="4"/>
      <c r="AC9" s="4"/>
      <c r="AD9" s="4"/>
      <c r="AE9" s="4"/>
      <c r="AF9" s="4"/>
      <c r="AG9" s="4"/>
      <c r="AH9" s="4"/>
      <c r="AI9" s="4"/>
      <c r="AJ9" s="4"/>
      <c r="AK9" s="4"/>
      <c r="AL9" s="4"/>
      <c r="AM9" s="4"/>
      <c r="AN9" s="4"/>
      <c r="AO9" s="4"/>
      <c r="AP9" s="4"/>
      <c r="AQ9" s="4"/>
      <c r="AR9" s="4"/>
    </row>
    <row r="10" spans="1:44" ht="58.5">
      <c r="A10" s="4"/>
      <c r="B10" s="32">
        <f>IF(학급명렬표!B10&gt;0,학급명렬표!B10,"")</f>
        <v>7</v>
      </c>
      <c r="C10" s="32" t="str">
        <f>IF(학급명렬표!C10&gt;0,학급명렬표!C10,"")</f>
        <v>류나경</v>
      </c>
      <c r="D10" s="61" t="str">
        <f>IF(F10="O",인성!E10&amp;CHAR(10),"")&amp;IF(G10="O",'인지적특성&amp;학습능력'!E10&amp;CHAR(10),"")&amp;IF(H10="O",창의성!E10&amp;CHAR(10),"")&amp;IF(I10="O",'잠재력&amp;진로'!E10&amp;CHAR(10),"")&amp;IF(J10="O",'배려&amp;타인존중'!E10&amp;CHAR(10),"")&amp;IF(K10="O",'나눔&amp;협력'!E10&amp;CHAR(10),"")&amp;IF(L10="O",'대인관계 지향성'!E10&amp;CHAR(10),"")&amp;IF(M10="O",규칙준수!E10&amp;CHAR(10),"")&amp;IF(N10="O",예체능!E10,"")</f>
        <v xml:space="preserve">정서적으로 매우 안정되어 있고 매사 적극적이며 활발한 학생으로 급우들과 절친하며 항상 밝고 긍정적인 모습을 보임.
노력에 비해 학업성취도는 비교적 미흡하나 수업태도가 매우 좋고 열심히 노력하는 의지가 돋보여 발전가능성이 있음. 
정보보안 분야에 대한 관심이 많아 정보보안 관련 전공동아리 활동에 열심히 참여하고 관련분야에 대한 지적 호기실을 충족하고자 노력하는 등 진로를 위해 적극적으로 노력하고 있어 장래가 기대됨.
자신이 먼저 하고 싶은 일이 있어도 상대방을 배려하여 흔쾌히 양보하는 미덕을 가졌음.
</v>
      </c>
      <c r="E10" s="39"/>
      <c r="F10" s="6" t="str">
        <f>IF(인성!D10&gt;0,"O","X")</f>
        <v>O</v>
      </c>
      <c r="G10" s="6" t="str">
        <f>IF('인지적특성&amp;학습능력'!D10&gt;0,"O","X")</f>
        <v>O</v>
      </c>
      <c r="H10" s="6" t="str">
        <f>IF(창의성!D10&gt;0,"O","X")</f>
        <v>X</v>
      </c>
      <c r="I10" s="6" t="str">
        <f>IF('잠재력&amp;진로'!D10&gt;0,"O","X")</f>
        <v>O</v>
      </c>
      <c r="J10" s="6" t="str">
        <f>IF('배려&amp;타인존중'!D10&gt;0,"O","X")</f>
        <v>O</v>
      </c>
      <c r="K10" s="6" t="str">
        <f>IF('나눔&amp;협력'!D10&gt;0,"O","X")</f>
        <v>X</v>
      </c>
      <c r="L10" s="6" t="str">
        <f>IF('대인관계 지향성'!D10&gt;0,"O","X")</f>
        <v>X</v>
      </c>
      <c r="M10" s="6" t="str">
        <f>IF(규칙준수!D10&gt;0,"O","X")</f>
        <v>X</v>
      </c>
      <c r="N10" s="6" t="str">
        <f>IF(예체능!D10&gt;0,"O","X")</f>
        <v>X</v>
      </c>
      <c r="O10" s="46">
        <f t="shared" si="1"/>
        <v>4</v>
      </c>
      <c r="P10" s="44" t="str">
        <f>IF(인성!D10=0,"",인성!E10)</f>
        <v>정서적으로 매우 안정되어 있고 매사 적극적이며 활발한 학생으로 급우들과 절친하며 항상 밝고 긍정적인 모습을 보임.</v>
      </c>
      <c r="Q10" s="44" t="str">
        <f>IF('인지적특성&amp;학습능력'!D10=0,"",'인지적특성&amp;학습능력'!E10)</f>
        <v xml:space="preserve">노력에 비해 학업성취도는 비교적 미흡하나 수업태도가 매우 좋고 열심히 노력하는 의지가 돋보여 발전가능성이 있음. </v>
      </c>
      <c r="R10" s="44" t="str">
        <f>IF(창의성!D10=0,"",창의성!E10)</f>
        <v/>
      </c>
      <c r="S10" s="44" t="str">
        <f>IF('잠재력&amp;진로'!D10=0,"",'잠재력&amp;진로'!E10)</f>
        <v>정보보안 분야에 대한 관심이 많아 정보보안 관련 전공동아리 활동에 열심히 참여하고 관련분야에 대한 지적 호기실을 충족하고자 노력하는 등 진로를 위해 적극적으로 노력하고 있어 장래가 기대됨.</v>
      </c>
      <c r="T10" s="44" t="str">
        <f>IF('배려&amp;타인존중'!D10=0,"",'배려&amp;타인존중'!E10)</f>
        <v>자신이 먼저 하고 싶은 일이 있어도 상대방을 배려하여 흔쾌히 양보하는 미덕을 가졌음.</v>
      </c>
      <c r="U10" s="44" t="str">
        <f>IF('나눔&amp;협력'!D10=0,"",'나눔&amp;협력'!E10)</f>
        <v/>
      </c>
      <c r="V10" s="44" t="str">
        <f>IF('대인관계 지향성'!D10=0,"",'대인관계 지향성'!E10)</f>
        <v/>
      </c>
      <c r="W10" s="44" t="str">
        <f>IF(규칙준수!D10=0,"",규칙준수!E10)</f>
        <v/>
      </c>
      <c r="X10" s="44" t="str">
        <f>IF(예체능!D10=0,"",예체능!E10)</f>
        <v/>
      </c>
      <c r="Y10" s="44" t="str">
        <f t="shared" si="2"/>
        <v>정서적으로 매우 안정되어 있고 매사 적극적이며 활발한 학생으로 급우들과 절친하며 항상 밝고 긍정적인 모습을 보임. 노력에 비해 학업성취도는 비교적 미흡하나 수업태도가 매우 좋고 열심히 노력하는 의지가 돋보여 발전가능성이 있음. 정보보안 분야에 대한 관심이 많아 정보보안 관련 전공동아리 활동에 열심히 참여하고 관련분야에 대한 지적 호기실을 충족하고자 노력하는 등 진로를 위해 적극적으로 노력하고 있어 장래가 기대됨. 자신이 먼저 하고 싶은 일이 있어도 상대방을 배려하여 흔쾌히 양보하는 미덕을 가졌음.</v>
      </c>
      <c r="Z10" s="44" t="str">
        <f t="shared" si="3"/>
        <v>정서적으로 매우 안정되어 있고 매사 적극적이며 활발한 학생으로 급우들과 절친하며 항상 밝고 긍정적인 모습을 보임. 노력에 비해 학업성취도는 비교적 미흡하나 수업태도가 매우 좋고 열심히 노력하는 의지가 돋보여 발전가능성이 있음.  정보보안 분야에 대한 관심이 많아 정보보안 관련 전공동아리 활동에 열심히 참여하고 관련분야에 대한 지적 호기실을 충족하고자 노력하는 등 진로를 위해 적극적으로 노력하고 있어 장래가 기대됨. 자신이 먼저 하고 싶은 일이 있어도 상대방을 배려하여 흔쾌히 양보하는 미덕을 가졌음.</v>
      </c>
      <c r="AA10" s="4"/>
      <c r="AB10" s="4"/>
      <c r="AC10" s="4"/>
      <c r="AD10" s="4"/>
      <c r="AE10" s="4"/>
      <c r="AF10" s="4"/>
      <c r="AG10" s="4"/>
      <c r="AH10" s="4"/>
      <c r="AI10" s="4"/>
      <c r="AJ10" s="4"/>
      <c r="AK10" s="4"/>
      <c r="AL10" s="4"/>
      <c r="AM10" s="4"/>
      <c r="AN10" s="4"/>
      <c r="AO10" s="4"/>
      <c r="AP10" s="4"/>
      <c r="AQ10" s="4"/>
      <c r="AR10" s="4"/>
    </row>
    <row r="11" spans="1:44" ht="68.25">
      <c r="A11" s="4"/>
      <c r="B11" s="32">
        <f>IF(학급명렬표!B11&gt;0,학급명렬표!B11,"")</f>
        <v>8</v>
      </c>
      <c r="C11" s="32" t="str">
        <f>IF(학급명렬표!C11&gt;0,학급명렬표!C11,"")</f>
        <v>박건하</v>
      </c>
      <c r="D11" s="61" t="str">
        <f>IF(F11="O",인성!E11&amp;CHAR(10),"")&amp;IF(G11="O",'인지적특성&amp;학습능력'!E11&amp;CHAR(10),"")&amp;IF(H11="O",창의성!E11&amp;CHAR(10),"")&amp;IF(I11="O",'잠재력&amp;진로'!E11&amp;CHAR(10),"")&amp;IF(J11="O",'배려&amp;타인존중'!E11&amp;CHAR(10),"")&amp;IF(K11="O",'나눔&amp;협력'!E11&amp;CHAR(10),"")&amp;IF(L11="O",'대인관계 지향성'!E11&amp;CHAR(10),"")&amp;IF(M11="O",규칙준수!E11&amp;CHAR(10),"")&amp;IF(N11="O",예체능!E11,"")</f>
        <v xml:space="preserve">교우관계가 원만하고 자신이 계획한 바를 주도면밀하게 잘 실천하며 자신의 생각과 주장을 잘 표현하여 다수의 공감대를 이끌어내는 결단력과 리더십이 뛰어남.        
자기 절제력과 집중력이 좋아 관심분야에 대해 몰입하여 깊이 탐구하는 것을 좋아하고 자기주도적인 학습계획과 실천능력이 매우 우수함.
임베디드 전자회로 분야에 관심이 높아 관련도서를 꾸준히 읽고 탐구하여 관심분야에 대한 지적호기심을 충족시키고자 적극적으로 노력함.
언행이 고우며 명랑한 얼굴로 급우들에게 친절하게 대하는 등 타인을 위한 이해와 배려심을 가지고 있음.
모둠활동 수업 시 급우들과 어울려 함께 공부하는 것을 매우 좋아하고 과제를 해결함에 있어 적극 협력하여 모둠활동에 도움이 되고자 노력함.
낯선 사람에게 선뜻 잘 다가서지 못하지만 한번 사귀면 지속적으로 좋은 친구관계를 잘 유지함.
</v>
      </c>
      <c r="E11" s="39"/>
      <c r="F11" s="6" t="str">
        <f>IF(인성!D11&gt;0,"O","X")</f>
        <v>O</v>
      </c>
      <c r="G11" s="6" t="str">
        <f>IF('인지적특성&amp;학습능력'!D11&gt;0,"O","X")</f>
        <v>O</v>
      </c>
      <c r="H11" s="6" t="str">
        <f>IF(창의성!D11&gt;0,"O","X")</f>
        <v>X</v>
      </c>
      <c r="I11" s="6" t="str">
        <f>IF('잠재력&amp;진로'!D11&gt;0,"O","X")</f>
        <v>O</v>
      </c>
      <c r="J11" s="6" t="str">
        <f>IF('배려&amp;타인존중'!D11&gt;0,"O","X")</f>
        <v>O</v>
      </c>
      <c r="K11" s="6" t="str">
        <f>IF('나눔&amp;협력'!D11&gt;0,"O","X")</f>
        <v>O</v>
      </c>
      <c r="L11" s="6" t="str">
        <f>IF('대인관계 지향성'!D11&gt;0,"O","X")</f>
        <v>O</v>
      </c>
      <c r="M11" s="6" t="str">
        <f>IF(규칙준수!D11&gt;0,"O","X")</f>
        <v>X</v>
      </c>
      <c r="N11" s="6" t="str">
        <f>IF(예체능!D11&gt;0,"O","X")</f>
        <v>X</v>
      </c>
      <c r="O11" s="46">
        <f t="shared" si="1"/>
        <v>6</v>
      </c>
      <c r="P11" s="44" t="str">
        <f>IF(인성!D11=0,"",인성!E11)</f>
        <v xml:space="preserve">교우관계가 원만하고 자신이 계획한 바를 주도면밀하게 잘 실천하며 자신의 생각과 주장을 잘 표현하여 다수의 공감대를 이끌어내는 결단력과 리더십이 뛰어남.        </v>
      </c>
      <c r="Q11" s="44" t="str">
        <f>IF('인지적특성&amp;학습능력'!D11=0,"",'인지적특성&amp;학습능력'!E11)</f>
        <v>자기 절제력과 집중력이 좋아 관심분야에 대해 몰입하여 깊이 탐구하는 것을 좋아하고 자기주도적인 학습계획과 실천능력이 매우 우수함.</v>
      </c>
      <c r="R11" s="44" t="str">
        <f>IF(창의성!D11=0,"",창의성!E11)</f>
        <v/>
      </c>
      <c r="S11" s="44" t="str">
        <f>IF('잠재력&amp;진로'!D11=0,"",'잠재력&amp;진로'!E11)</f>
        <v>임베디드 전자회로 분야에 관심이 높아 관련도서를 꾸준히 읽고 탐구하여 관심분야에 대한 지적호기심을 충족시키고자 적극적으로 노력함.</v>
      </c>
      <c r="T11" s="44" t="str">
        <f>IF('배려&amp;타인존중'!D11=0,"",'배려&amp;타인존중'!E11)</f>
        <v>언행이 고우며 명랑한 얼굴로 급우들에게 친절하게 대하는 등 타인을 위한 이해와 배려심을 가지고 있음.</v>
      </c>
      <c r="U11" s="44" t="str">
        <f>IF('나눔&amp;협력'!D11=0,"",'나눔&amp;협력'!E11)</f>
        <v>모둠활동 수업 시 급우들과 어울려 함께 공부하는 것을 매우 좋아하고 과제를 해결함에 있어 적극 협력하여 모둠활동에 도움이 되고자 노력함.</v>
      </c>
      <c r="V11" s="44" t="str">
        <f>IF('대인관계 지향성'!D11=0,"",'대인관계 지향성'!E11)</f>
        <v>낯선 사람에게 선뜻 잘 다가서지 못하지만 한번 사귀면 지속적으로 좋은 친구관계를 잘 유지함.</v>
      </c>
      <c r="W11" s="44" t="str">
        <f>IF(규칙준수!D11=0,"",규칙준수!E11)</f>
        <v/>
      </c>
      <c r="X11" s="44" t="str">
        <f>IF(예체능!D11=0,"",예체능!E11)</f>
        <v/>
      </c>
      <c r="Y11" s="44" t="str">
        <f t="shared" si="2"/>
        <v>교우관계가 원만하고 자신이 계획한 바를 주도면밀하게 잘 실천하며 자신의 생각과 주장을 잘 표현하여 다수의 공감대를 이끌어내는 결단력과 리더십이 뛰어남. 자기 절제력과 집중력이 좋아 관심분야에 대해 몰입하여 깊이 탐구하는 것을 좋아하고 자기주도적인 학습계획과 실천능력이 매우 우수함. 임베디드 전자회로 분야에 관심이 높아 관련도서를 꾸준히 읽고 탐구하여 관심분야에 대한 지적호기심을 충족시키고자 적극적으로 노력함. 언행이 고우며 명랑한 얼굴로 급우들에게 친절하게 대하는 등 타인을 위한 이해와 배려심을 가지고 있음. 모둠활동 수업 시 급우들과 어울려 함께 공부하는 것을 매우 좋아하고 과제를 해결함에 있어 적극 협력하여 모둠활동에 도움이 되고자 노력함. 낯선 사람에게 선뜻 잘 다가서지 못하지만 한번 사귀면 지속적으로 좋은 친구관계를 잘 유지함.</v>
      </c>
      <c r="Z11" s="44" t="str">
        <f t="shared" si="3"/>
        <v>교우관계가 원만하고 자신이 계획한 바를 주도면밀하게 잘 실천하며 자신의 생각과 주장을 잘 표현하여 다수의 공감대를 이끌어내는 결단력과 리더십이 뛰어남.         자기 절제력과 집중력이 좋아 관심분야에 대해 몰입하여 깊이 탐구하는 것을 좋아하고 자기주도적인 학습계획과 실천능력이 매우 우수함. 임베디드 전자회로 분야에 관심이 높아 관련도서를 꾸준히 읽고 탐구하여 관심분야에 대한 지적호기심을 충족시키고자 적극적으로 노력함. 언행이 고우며 명랑한 얼굴로 급우들에게 친절하게 대하는 등 타인을 위한 이해와 배려심을 가지고 있음. 모둠활동 수업 시 급우들과 어울려 함께 공부하는 것을 매우 좋아하고 과제를 해결함에 있어 적극 협력하여 모둠활동에 도움이 되고자 노력함. 낯선 사람에게 선뜻 잘 다가서지 못하지만 한번 사귀면 지속적으로 좋은 친구관계를 잘 유지함.</v>
      </c>
      <c r="AA11" s="4"/>
      <c r="AB11" s="4"/>
      <c r="AC11" s="4"/>
      <c r="AD11" s="4"/>
      <c r="AE11" s="4"/>
      <c r="AF11" s="4"/>
      <c r="AG11" s="4"/>
      <c r="AH11" s="4"/>
      <c r="AI11" s="4"/>
      <c r="AJ11" s="4"/>
      <c r="AK11" s="4"/>
      <c r="AL11" s="4"/>
      <c r="AM11" s="4"/>
      <c r="AN11" s="4"/>
      <c r="AO11" s="4"/>
      <c r="AP11" s="4"/>
      <c r="AQ11" s="4"/>
      <c r="AR11" s="4"/>
    </row>
    <row r="12" spans="1:44" ht="87.75">
      <c r="A12" s="4"/>
      <c r="B12" s="32">
        <f>IF(학급명렬표!B12&gt;0,학급명렬표!B12,"")</f>
        <v>9</v>
      </c>
      <c r="C12" s="32" t="str">
        <f>IF(학급명렬표!C12&gt;0,학급명렬표!C12,"")</f>
        <v>서형찬</v>
      </c>
      <c r="D12" s="61" t="str">
        <f>IF(F12="O",인성!E12&amp;CHAR(10),"")&amp;IF(G12="O",'인지적특성&amp;학습능력'!E12&amp;CHAR(10),"")&amp;IF(H12="O",창의성!E12&amp;CHAR(10),"")&amp;IF(I12="O",'잠재력&amp;진로'!E12&amp;CHAR(10),"")&amp;IF(J12="O",'배려&amp;타인존중'!E12&amp;CHAR(10),"")&amp;IF(K12="O",'나눔&amp;협력'!E12&amp;CHAR(10),"")&amp;IF(L12="O",'대인관계 지향성'!E12&amp;CHAR(10),"")&amp;IF(M12="O",규칙준수!E12&amp;CHAR(10),"")&amp;IF(N12="O",예체능!E12,"")</f>
        <v xml:space="preserve">다소 진보적이고 변화를 추구하는 성격으로 어려운 일이 닥쳐도 마음이 쉽게 흔들리지 않으며 대인관계에서 다소 자기주장이 강하나 적절하게 자기를 잘 통제함.
학습에 필요한 자료를 잘 수집하여 활용하는 학습 태도가 매우 진취적임. 
제시된 방법이 아닌 자신만의 독창적인 방법으로 문제를 해결하는 능력이 탁월함.
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
자신의 의견을 피력하기 전에 항상 주변 여건과 상황을 고려하여 합리적이고 공손한 자세로 의견을 제시하는 등 긍정적이고 고운 심성을 가짐.
친구들이 전공과 관련된 공부를 하다가 어려움에 처했을 때 친절하게 도움을 주고 적절한 해결 방향을 제시해줌.
매사 진지한 자세와 공손함으로 상대방을 대하며 가끔 친구의 잘못도 지적할 줄 아는 정의감이 있는 학생임.
</v>
      </c>
      <c r="E12" s="39"/>
      <c r="F12" s="6" t="str">
        <f>IF(인성!D12&gt;0,"O","X")</f>
        <v>O</v>
      </c>
      <c r="G12" s="6" t="str">
        <f>IF('인지적특성&amp;학습능력'!D12&gt;0,"O","X")</f>
        <v>O</v>
      </c>
      <c r="H12" s="6" t="str">
        <f>IF(창의성!D12&gt;0,"O","X")</f>
        <v>O</v>
      </c>
      <c r="I12" s="6" t="str">
        <f>IF('잠재력&amp;진로'!D12&gt;0,"O","X")</f>
        <v>O</v>
      </c>
      <c r="J12" s="6" t="str">
        <f>IF('배려&amp;타인존중'!D12&gt;0,"O","X")</f>
        <v>O</v>
      </c>
      <c r="K12" s="6" t="str">
        <f>IF('나눔&amp;협력'!D12&gt;0,"O","X")</f>
        <v>O</v>
      </c>
      <c r="L12" s="6" t="str">
        <f>IF('대인관계 지향성'!D12&gt;0,"O","X")</f>
        <v>O</v>
      </c>
      <c r="M12" s="6" t="str">
        <f>IF(규칙준수!D12&gt;0,"O","X")</f>
        <v>X</v>
      </c>
      <c r="N12" s="6" t="str">
        <f>IF(예체능!D12&gt;0,"O","X")</f>
        <v>X</v>
      </c>
      <c r="O12" s="46">
        <f t="shared" si="1"/>
        <v>7</v>
      </c>
      <c r="P12" s="44" t="str">
        <f>IF(인성!D12=0,"",인성!E12)</f>
        <v>다소 진보적이고 변화를 추구하는 성격으로 어려운 일이 닥쳐도 마음이 쉽게 흔들리지 않으며 대인관계에서 다소 자기주장이 강하나 적절하게 자기를 잘 통제함.</v>
      </c>
      <c r="Q12" s="44" t="str">
        <f>IF('인지적특성&amp;학습능력'!D12=0,"",'인지적특성&amp;학습능력'!E12)</f>
        <v xml:space="preserve">학습에 필요한 자료를 잘 수집하여 활용하는 학습 태도가 매우 진취적임. </v>
      </c>
      <c r="R12" s="44" t="str">
        <f>IF(창의성!D12=0,"",창의성!E12)</f>
        <v>제시된 방법이 아닌 자신만의 독창적인 방법으로 문제를 해결하는 능력이 탁월함.</v>
      </c>
      <c r="S12" s="44" t="str">
        <f>IF('잠재력&amp;진로'!D12=0,"",'잠재력&amp;진로'!E12)</f>
        <v>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v>
      </c>
      <c r="T12" s="44" t="str">
        <f>IF('배려&amp;타인존중'!D12=0,"",'배려&amp;타인존중'!E12)</f>
        <v>자신의 의견을 피력하기 전에 항상 주변 여건과 상황을 고려하여 합리적이고 공손한 자세로 의견을 제시하는 등 긍정적이고 고운 심성을 가짐.</v>
      </c>
      <c r="U12" s="44" t="str">
        <f>IF('나눔&amp;협력'!D12=0,"",'나눔&amp;협력'!E12)</f>
        <v>친구들이 전공과 관련된 공부를 하다가 어려움에 처했을 때 친절하게 도움을 주고 적절한 해결 방향을 제시해줌.</v>
      </c>
      <c r="V12" s="44" t="str">
        <f>IF('대인관계 지향성'!D12=0,"",'대인관계 지향성'!E12)</f>
        <v>매사 진지한 자세와 공손함으로 상대방을 대하며 가끔 친구의 잘못도 지적할 줄 아는 정의감이 있는 학생임.</v>
      </c>
      <c r="W12" s="44" t="str">
        <f>IF(규칙준수!D12=0,"",규칙준수!E12)</f>
        <v/>
      </c>
      <c r="X12" s="44" t="str">
        <f>IF(예체능!D12=0,"",예체능!E12)</f>
        <v/>
      </c>
      <c r="Y12" s="44" t="str">
        <f t="shared" si="2"/>
        <v>다소 진보적이고 변화를 추구하는 성격으로 어려운 일이 닥쳐도 마음이 쉽게 흔들리지 않으며 대인관계에서 다소 자기주장이 강하나 적절하게 자기를 잘 통제함. 학습에 필요한 자료를 잘 수집하여 활용하는 학습 태도가 매우 진취적임. 제시된 방법이 아닌 자신만의 독창적인 방법으로 문제를 해결하는 능력이 탁월함. 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 자신의 의견을 피력하기 전에 항상 주변 여건과 상황을 고려하여 합리적이고 공손한 자세로 의견을 제시하는 등 긍정적이고 고운 심성을 가짐. 친구들이 전공과 관련된 공부를 하다가 어려움에 처했을 때 친절하게 도움을 주고 적절한 해결 방향을 제시해줌. 매사 진지한 자세와 공손함으로 상대방을 대하며 가끔 친구의 잘못도 지적할 줄 아는 정의감이 있는 학생임.</v>
      </c>
      <c r="Z12" s="44" t="str">
        <f t="shared" si="3"/>
        <v>다소 진보적이고 변화를 추구하는 성격으로 어려운 일이 닥쳐도 마음이 쉽게 흔들리지 않으며 대인관계에서 다소 자기주장이 강하나 적절하게 자기를 잘 통제함. 학습에 필요한 자료를 잘 수집하여 활용하는 학습 태도가 매우 진취적임.  제시된 방법이 아닌 자신만의 독창적인 방법으로 문제를 해결하는 능력이 탁월함. 웹을 이용한 프로젝트 제작에 관심이 많아 직접 다양한 홈페이지들을 만들고, 어려운 부분은 관련 전문서적 및 인터넷 자료 검색을 통해 스스로 해결하는 등 자신의 진로와 관련된 지식과 정보를 축적하고자 노력하고 있어 발전가능성이 돋보임. 자신의 의견을 피력하기 전에 항상 주변 여건과 상황을 고려하여 합리적이고 공손한 자세로 의견을 제시하는 등 긍정적이고 고운 심성을 가짐. 친구들이 전공과 관련된 공부를 하다가 어려움에 처했을 때 친절하게 도움을 주고 적절한 해결 방향을 제시해줌. 매사 진지한 자세와 공손함으로 상대방을 대하며 가끔 친구의 잘못도 지적할 줄 아는 정의감이 있는 학생임.</v>
      </c>
      <c r="AA12" s="4"/>
      <c r="AB12" s="4"/>
      <c r="AC12" s="4"/>
      <c r="AD12" s="4"/>
      <c r="AE12" s="4"/>
      <c r="AF12" s="4"/>
      <c r="AG12" s="4"/>
      <c r="AH12" s="4"/>
      <c r="AI12" s="4"/>
      <c r="AJ12" s="4"/>
      <c r="AK12" s="4"/>
      <c r="AL12" s="4"/>
      <c r="AM12" s="4"/>
      <c r="AN12" s="4"/>
      <c r="AO12" s="4"/>
      <c r="AP12" s="4"/>
      <c r="AQ12" s="4"/>
      <c r="AR12" s="4"/>
    </row>
    <row r="13" spans="1:44" ht="48.75">
      <c r="A13" s="4"/>
      <c r="B13" s="32">
        <f>IF(학급명렬표!B13&gt;0,학급명렬표!B13,"")</f>
        <v>10</v>
      </c>
      <c r="C13" s="32" t="str">
        <f>IF(학급명렬표!C13&gt;0,학급명렬표!C13,"")</f>
        <v>손우진</v>
      </c>
      <c r="D13" s="61" t="str">
        <f>IF(F13="O",인성!E13&amp;CHAR(10),"")&amp;IF(G13="O",'인지적특성&amp;학습능력'!E13&amp;CHAR(10),"")&amp;IF(H13="O",창의성!E13&amp;CHAR(10),"")&amp;IF(I13="O",'잠재력&amp;진로'!E13&amp;CHAR(10),"")&amp;IF(J13="O",'배려&amp;타인존중'!E13&amp;CHAR(10),"")&amp;IF(K13="O",'나눔&amp;협력'!E13&amp;CHAR(10),"")&amp;IF(L13="O",'대인관계 지향성'!E13&amp;CHAR(10),"")&amp;IF(M13="O",규칙준수!E13&amp;CHAR(10),"")&amp;IF(N13="O",예체능!E13,"")</f>
        <v>웃음이 많고 명랑한 성격으로 친구들을 즐겁게 하는 등 사교성이 매우 좋으나 감정의 영향을 많이 받으며 다소 현실적인 면이 있음. 
교과학습 시간에 올바른 학습태도를 잘 유지하고 나름대로 계획을 세워 자기주도적 학습을 실천하고자 노력하고 있어 발전가능성이 있음.
자신의 꿈인 임베디드 개발자가 되기 위해 임베디드 기술과 관련된 서적과 인터넷 자료를 많이 읽고 다양한 프로젝트를 수행하는 등 적극적인 자세로 꾸준히 노력하고 있어 발전 가능성이 보임.
친구의 이야기를 끝까지 잘 경청하며 상대방의 장점을 찾아 칭찬해주는 등 타인을 존중하는 마음을 적극적으로 실천함.
재치있는 말과 행동으로 주변 친구들에게 호감을 주며 학급내의 즐거운 학습분위기 조성에 일조함.
체육에 대한 흥미가 많아 체육시간 외에도 점심시간과 쉬는 시간을 활용하여 급우들과 어울려 스포츠 활동을 즐겨함.</v>
      </c>
      <c r="E13" s="39"/>
      <c r="F13" s="6" t="str">
        <f>IF(인성!D13&gt;0,"O","X")</f>
        <v>O</v>
      </c>
      <c r="G13" s="6" t="str">
        <f>IF('인지적특성&amp;학습능력'!D13&gt;0,"O","X")</f>
        <v>O</v>
      </c>
      <c r="H13" s="6" t="str">
        <f>IF(창의성!D13&gt;0,"O","X")</f>
        <v>X</v>
      </c>
      <c r="I13" s="6" t="str">
        <f>IF('잠재력&amp;진로'!D13&gt;0,"O","X")</f>
        <v>O</v>
      </c>
      <c r="J13" s="6" t="str">
        <f>IF('배려&amp;타인존중'!D13&gt;0,"O","X")</f>
        <v>O</v>
      </c>
      <c r="K13" s="6" t="str">
        <f>IF('나눔&amp;협력'!D13&gt;0,"O","X")</f>
        <v>X</v>
      </c>
      <c r="L13" s="6" t="str">
        <f>IF('대인관계 지향성'!D13&gt;0,"O","X")</f>
        <v>O</v>
      </c>
      <c r="M13" s="6" t="str">
        <f>IF(규칙준수!D13&gt;0,"O","X")</f>
        <v>X</v>
      </c>
      <c r="N13" s="6" t="str">
        <f>IF(예체능!D13&gt;0,"O","X")</f>
        <v>O</v>
      </c>
      <c r="O13" s="46">
        <f t="shared" si="1"/>
        <v>6</v>
      </c>
      <c r="P13" s="44" t="str">
        <f>IF(인성!D13=0,"",인성!E13)</f>
        <v xml:space="preserve">웃음이 많고 명랑한 성격으로 친구들을 즐겁게 하는 등 사교성이 매우 좋으나 감정의 영향을 많이 받으며 다소 현실적인 면이 있음. </v>
      </c>
      <c r="Q13" s="44" t="str">
        <f>IF('인지적특성&amp;학습능력'!D13=0,"",'인지적특성&amp;학습능력'!E13)</f>
        <v>교과학습 시간에 올바른 학습태도를 잘 유지하고 나름대로 계획을 세워 자기주도적 학습을 실천하고자 노력하고 있어 발전가능성이 있음.</v>
      </c>
      <c r="R13" s="44" t="str">
        <f>IF(창의성!D13=0,"",창의성!E13)</f>
        <v/>
      </c>
      <c r="S13" s="44" t="str">
        <f>IF('잠재력&amp;진로'!D13=0,"",'잠재력&amp;진로'!E13)</f>
        <v>자신의 꿈인 임베디드 개발자가 되기 위해 임베디드 기술과 관련된 서적과 인터넷 자료를 많이 읽고 다양한 프로젝트를 수행하는 등 적극적인 자세로 꾸준히 노력하고 있어 발전 가능성이 보임.</v>
      </c>
      <c r="T13" s="44" t="str">
        <f>IF('배려&amp;타인존중'!D13=0,"",'배려&amp;타인존중'!E13)</f>
        <v>친구의 이야기를 끝까지 잘 경청하며 상대방의 장점을 찾아 칭찬해주는 등 타인을 존중하는 마음을 적극적으로 실천함.</v>
      </c>
      <c r="U13" s="44" t="str">
        <f>IF('나눔&amp;협력'!D13=0,"",'나눔&amp;협력'!E13)</f>
        <v/>
      </c>
      <c r="V13" s="44" t="str">
        <f>IF('대인관계 지향성'!D13=0,"",'대인관계 지향성'!E13)</f>
        <v>재치있는 말과 행동으로 주변 친구들에게 호감을 주며 학급내의 즐거운 학습분위기 조성에 일조함.</v>
      </c>
      <c r="W13" s="44" t="str">
        <f>IF(규칙준수!D13=0,"",규칙준수!E13)</f>
        <v/>
      </c>
      <c r="X13" s="44" t="str">
        <f>IF(예체능!D13=0,"",예체능!E13)</f>
        <v>체육에 대한 흥미가 많아 체육시간 외에도 점심시간과 쉬는 시간을 활용하여 급우들과 어울려 스포츠 활동을 즐겨함.</v>
      </c>
      <c r="Y13" s="44" t="str">
        <f t="shared" si="2"/>
        <v>웃음이 많고 명랑한 성격으로 친구들을 즐겁게 하는 등 사교성이 매우 좋으나 감정의 영향을 많이 받으며 다소 현실적인 면이 있음. 교과학습 시간에 올바른 학습태도를 잘 유지하고 나름대로 계획을 세워 자기주도적 학습을 실천하고자 노력하고 있어 발전가능성이 있음. 자신의 꿈인 임베디드 개발자가 되기 위해 임베디드 기술과 관련된 서적과 인터넷 자료를 많이 읽고 다양한 프로젝트를 수행하는 등 적극적인 자세로 꾸준히 노력하고 있어 발전 가능성이 보임. 친구의 이야기를 끝까지 잘 경청하며 상대방의 장점을 찾아 칭찬해주는 등 타인을 존중하는 마음을 적극적으로 실천함. 재치있는 말과 행동으로 주변 친구들에게 호감을 주며 학급내의 즐거운 학습분위기 조성에 일조함. 체육에 대한 흥미가 많아 체육시간 외에도 점심시간과 쉬는 시간을 활용하여 급우들과 어울려 스포츠 활동을 즐겨함.</v>
      </c>
      <c r="Z13" s="44" t="str">
        <f t="shared" si="3"/>
        <v>웃음이 많고 명랑한 성격으로 친구들을 즐겁게 하는 등 사교성이 매우 좋으나 감정의 영향을 많이 받으며 다소 현실적인 면이 있음.  교과학습 시간에 올바른 학습태도를 잘 유지하고 나름대로 계획을 세워 자기주도적 학습을 실천하고자 노력하고 있어 발전가능성이 있음. 자신의 꿈인 임베디드 개발자가 되기 위해 임베디드 기술과 관련된 서적과 인터넷 자료를 많이 읽고 다양한 프로젝트를 수행하는 등 적극적인 자세로 꾸준히 노력하고 있어 발전 가능성이 보임. 친구의 이야기를 끝까지 잘 경청하며 상대방의 장점을 찾아 칭찬해주는 등 타인을 존중하는 마음을 적극적으로 실천함. 재치있는 말과 행동으로 주변 친구들에게 호감을 주며 학급내의 즐거운 학습분위기 조성에 일조함. 체육에 대한 흥미가 많아 체육시간 외에도 점심시간과 쉬는 시간을 활용하여 급우들과 어울려 스포츠 활동을 즐겨함.</v>
      </c>
      <c r="AA13" s="4"/>
      <c r="AB13" s="4"/>
      <c r="AC13" s="4"/>
      <c r="AD13" s="4"/>
      <c r="AE13" s="4"/>
      <c r="AF13" s="4"/>
      <c r="AG13" s="4"/>
      <c r="AH13" s="4"/>
      <c r="AI13" s="4"/>
      <c r="AJ13" s="4"/>
      <c r="AK13" s="4"/>
      <c r="AL13" s="4"/>
      <c r="AM13" s="4"/>
      <c r="AN13" s="4"/>
      <c r="AO13" s="4"/>
      <c r="AP13" s="4"/>
      <c r="AQ13" s="4"/>
      <c r="AR13" s="4"/>
    </row>
    <row r="14" spans="1:44" ht="48.75">
      <c r="A14" s="4"/>
      <c r="B14" s="32">
        <f>IF(학급명렬표!B14&gt;0,학급명렬표!B14,"")</f>
        <v>11</v>
      </c>
      <c r="C14" s="32" t="str">
        <f>IF(학급명렬표!C14&gt;0,학급명렬표!C14,"")</f>
        <v>송정연</v>
      </c>
      <c r="D14" s="61" t="str">
        <f>IF(F14="O",인성!E14&amp;CHAR(10),"")&amp;IF(G14="O",'인지적특성&amp;학습능력'!E14&amp;CHAR(10),"")&amp;IF(H14="O",창의성!E14&amp;CHAR(10),"")&amp;IF(I14="O",'잠재력&amp;진로'!E14&amp;CHAR(10),"")&amp;IF(J14="O",'배려&amp;타인존중'!E14&amp;CHAR(10),"")&amp;IF(K14="O",'나눔&amp;협력'!E14&amp;CHAR(10),"")&amp;IF(L14="O",'대인관계 지향성'!E14&amp;CHAR(10),"")&amp;IF(M14="O",규칙준수!E14&amp;CHAR(10),"")&amp;IF(N14="O",예체능!E14,"")</f>
        <v xml:space="preserve">정서가 안정되어 있고 침착하며 자기확신이 높은 학생으로 자기 방식으로 일하는 것을 좋아하며 자신의 감정을 잘 통제함.
학습계획과 목표를 설정하여 수업시간에 자기주도적 학습태도를 잘 견지함은 물론 쉬는 시간이나 자습시간을 활용함으로써 전반적으로 학업성적이 우수함.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친구가 청소당번 일 때 기다려 주거나 같이 청소를 도와주며 급우가 빌려달라는 준비물을 잘 빌려 줌. 
낯선 사람에게 선뜻 잘 다가서지 못하지만 한번 사귀면 지속적으로 좋은 친구관계를 잘 유지함.
</v>
      </c>
      <c r="E14" s="39"/>
      <c r="F14" s="6" t="str">
        <f>IF(인성!D14&gt;0,"O","X")</f>
        <v>O</v>
      </c>
      <c r="G14" s="6" t="str">
        <f>IF('인지적특성&amp;학습능력'!D14&gt;0,"O","X")</f>
        <v>O</v>
      </c>
      <c r="H14" s="6" t="str">
        <f>IF(창의성!D14&gt;0,"O","X")</f>
        <v>X</v>
      </c>
      <c r="I14" s="6" t="str">
        <f>IF('잠재력&amp;진로'!D14&gt;0,"O","X")</f>
        <v>O</v>
      </c>
      <c r="J14" s="6" t="str">
        <f>IF('배려&amp;타인존중'!D14&gt;0,"O","X")</f>
        <v>O</v>
      </c>
      <c r="K14" s="6" t="str">
        <f>IF('나눔&amp;협력'!D14&gt;0,"O","X")</f>
        <v>X</v>
      </c>
      <c r="L14" s="6" t="str">
        <f>IF('대인관계 지향성'!D14&gt;0,"O","X")</f>
        <v>O</v>
      </c>
      <c r="M14" s="6" t="str">
        <f>IF(규칙준수!D14&gt;0,"O","X")</f>
        <v>X</v>
      </c>
      <c r="N14" s="6" t="str">
        <f>IF(예체능!D14&gt;0,"O","X")</f>
        <v>X</v>
      </c>
      <c r="O14" s="46">
        <f t="shared" si="1"/>
        <v>5</v>
      </c>
      <c r="P14" s="44" t="str">
        <f>IF(인성!D14=0,"",인성!E14)</f>
        <v>정서가 안정되어 있고 침착하며 자기확신이 높은 학생으로 자기 방식으로 일하는 것을 좋아하며 자신의 감정을 잘 통제함.</v>
      </c>
      <c r="Q14" s="44" t="str">
        <f>IF('인지적특성&amp;학습능력'!D14=0,"",'인지적특성&amp;학습능력'!E14)</f>
        <v>학습계획과 목표를 설정하여 수업시간에 자기주도적 학습태도를 잘 견지함은 물론 쉬는 시간이나 자습시간을 활용함으로써 전반적으로 학업성적이 우수함.</v>
      </c>
      <c r="R14" s="44" t="str">
        <f>IF(창의성!D14=0,"",창의성!E14)</f>
        <v/>
      </c>
      <c r="S14" s="44" t="str">
        <f>IF('잠재력&amp;진로'!D14=0,"",'잠재력&amp;진로'!E14)</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T14" s="44" t="str">
        <f>IF('배려&amp;타인존중'!D14=0,"",'배려&amp;타인존중'!E14)</f>
        <v xml:space="preserve">친구가 청소당번 일 때 기다려 주거나 같이 청소를 도와주며 급우가 빌려달라는 준비물을 잘 빌려 줌. </v>
      </c>
      <c r="U14" s="44" t="str">
        <f>IF('나눔&amp;협력'!D14=0,"",'나눔&amp;협력'!E14)</f>
        <v/>
      </c>
      <c r="V14" s="44" t="str">
        <f>IF('대인관계 지향성'!D14=0,"",'대인관계 지향성'!E14)</f>
        <v>낯선 사람에게 선뜻 잘 다가서지 못하지만 한번 사귀면 지속적으로 좋은 친구관계를 잘 유지함.</v>
      </c>
      <c r="W14" s="44" t="str">
        <f>IF(규칙준수!D14=0,"",규칙준수!E14)</f>
        <v/>
      </c>
      <c r="X14" s="44" t="str">
        <f>IF(예체능!D14=0,"",예체능!E14)</f>
        <v/>
      </c>
      <c r="Y14" s="44" t="str">
        <f t="shared" si="2"/>
        <v>정서가 안정되어 있고 침착하며 자기확신이 높은 학생으로 자기 방식으로 일하는 것을 좋아하며 자신의 감정을 잘 통제함. 학습계획과 목표를 설정하여 수업시간에 자기주도적 학습태도를 잘 견지함은 물론 쉬는 시간이나 자습시간을 활용함으로써 전반적으로 학업성적이 우수함.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친구가 청소당번 일 때 기다려 주거나 같이 청소를 도와주며 급우가 빌려달라는 준비물을 잘 빌려 줌. 낯선 사람에게 선뜻 잘 다가서지 못하지만 한번 사귀면 지속적으로 좋은 친구관계를 잘 유지함.</v>
      </c>
      <c r="Z14" s="44" t="str">
        <f t="shared" si="3"/>
        <v>정서가 안정되어 있고 침착하며 자기확신이 높은 학생으로 자기 방식으로 일하는 것을 좋아하며 자신의 감정을 잘 통제함. 학습계획과 목표를 설정하여 수업시간에 자기주도적 학습태도를 잘 견지함은 물론 쉬는 시간이나 자습시간을 활용함으로써 전반적으로 학업성적이 우수함.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친구가 청소당번 일 때 기다려 주거나 같이 청소를 도와주며 급우가 빌려달라는 준비물을 잘 빌려 줌.  낯선 사람에게 선뜻 잘 다가서지 못하지만 한번 사귀면 지속적으로 좋은 친구관계를 잘 유지함.</v>
      </c>
      <c r="AA14" s="4"/>
      <c r="AB14" s="4"/>
      <c r="AC14" s="4"/>
      <c r="AD14" s="4"/>
      <c r="AE14" s="4"/>
      <c r="AF14" s="4"/>
      <c r="AG14" s="4"/>
      <c r="AH14" s="4"/>
      <c r="AI14" s="4"/>
      <c r="AJ14" s="4"/>
      <c r="AK14" s="4"/>
      <c r="AL14" s="4"/>
      <c r="AM14" s="4"/>
      <c r="AN14" s="4"/>
      <c r="AO14" s="4"/>
      <c r="AP14" s="4"/>
      <c r="AQ14" s="4"/>
      <c r="AR14" s="4"/>
    </row>
    <row r="15" spans="1:44" ht="58.5">
      <c r="A15" s="4"/>
      <c r="B15" s="32">
        <f>IF(학급명렬표!B15&gt;0,학급명렬표!B15,"")</f>
        <v>12</v>
      </c>
      <c r="C15" s="32" t="str">
        <f>IF(학급명렬표!C15&gt;0,학급명렬표!C15,"")</f>
        <v>양민국</v>
      </c>
      <c r="D15" s="61" t="str">
        <f>IF(F15="O",인성!E15&amp;CHAR(10),"")&amp;IF(G15="O",'인지적특성&amp;학습능력'!E15&amp;CHAR(10),"")&amp;IF(H15="O",창의성!E15&amp;CHAR(10),"")&amp;IF(I15="O",'잠재력&amp;진로'!E15&amp;CHAR(10),"")&amp;IF(J15="O",'배려&amp;타인존중'!E15&amp;CHAR(10),"")&amp;IF(K15="O",'나눔&amp;협력'!E15&amp;CHAR(10),"")&amp;IF(L15="O",'대인관계 지향성'!E15&amp;CHAR(10),"")&amp;IF(M15="O",규칙준수!E15&amp;CHAR(10),"")&amp;IF(N15="O",예체능!E15,"")</f>
        <v>성격이 온화하고 다정하여 급우들과 친밀감이 매우 높고, 대담한 면이 있어 어려운 일이 닥쳐도 마음이 쉽게 흔들리지 않음.
생활 주변 현상에 대해 남다른 관심을 가졌으며 매사 진취적인 태도로 학습 활동에 참여함. 
IoT분야에 관심이 많고 상상력이 풍부하여 관련된 다양한 프로젝트를 수행하는 등 자신이 희망하는 진로와 연계하여 관련 정보와 지식을 축적하고 있어 발전가능성이 보임.
자신의 의견만 고집하지 않고 상대방의 의견을 존중하여 인정함으로써 화기애애한 학급분위기 조성을 위해 노력함.
학교행사 및 과제 수행 시 구성원들이 할 일을 분담하여 할 수 있도록 조언을 하고 서로 격려하며 잘 할 수 있도록 분위기를 조성함.
친구들 끼리 갈등이 생겼을 때 자진하여 친구들의 사정을 잘 들어주고 서로 갈등을 잘 해결할 수 있도록 중재함.
체육에 대한 관심과 기본적인 운동기능이 좋아 교과시간 외에도 친구들과 어울려 스포츠 활동하기를 매우 좋아함.</v>
      </c>
      <c r="E15" s="39"/>
      <c r="F15" s="6" t="str">
        <f>IF(인성!D15&gt;0,"O","X")</f>
        <v>O</v>
      </c>
      <c r="G15" s="6" t="str">
        <f>IF('인지적특성&amp;학습능력'!D15&gt;0,"O","X")</f>
        <v>O</v>
      </c>
      <c r="H15" s="6" t="str">
        <f>IF(창의성!D15&gt;0,"O","X")</f>
        <v>X</v>
      </c>
      <c r="I15" s="6" t="str">
        <f>IF('잠재력&amp;진로'!D15&gt;0,"O","X")</f>
        <v>O</v>
      </c>
      <c r="J15" s="6" t="str">
        <f>IF('배려&amp;타인존중'!D15&gt;0,"O","X")</f>
        <v>O</v>
      </c>
      <c r="K15" s="6" t="str">
        <f>IF('나눔&amp;협력'!D15&gt;0,"O","X")</f>
        <v>O</v>
      </c>
      <c r="L15" s="6" t="str">
        <f>IF('대인관계 지향성'!D15&gt;0,"O","X")</f>
        <v>O</v>
      </c>
      <c r="M15" s="6" t="str">
        <f>IF(규칙준수!D15&gt;0,"O","X")</f>
        <v>X</v>
      </c>
      <c r="N15" s="6" t="str">
        <f>IF(예체능!D15&gt;0,"O","X")</f>
        <v>O</v>
      </c>
      <c r="O15" s="46">
        <f t="shared" si="1"/>
        <v>7</v>
      </c>
      <c r="P15" s="44" t="str">
        <f>IF(인성!D15=0,"",인성!E15)</f>
        <v>성격이 온화하고 다정하여 급우들과 친밀감이 매우 높고, 대담한 면이 있어 어려운 일이 닥쳐도 마음이 쉽게 흔들리지 않음.</v>
      </c>
      <c r="Q15" s="44" t="str">
        <f>IF('인지적특성&amp;학습능력'!D15=0,"",'인지적특성&amp;학습능력'!E15)</f>
        <v xml:space="preserve">생활 주변 현상에 대해 남다른 관심을 가졌으며 매사 진취적인 태도로 학습 활동에 참여함. </v>
      </c>
      <c r="R15" s="44" t="str">
        <f>IF(창의성!D15=0,"",창의성!E15)</f>
        <v/>
      </c>
      <c r="S15" s="44" t="str">
        <f>IF('잠재력&amp;진로'!D15=0,"",'잠재력&amp;진로'!E15)</f>
        <v>IoT분야에 관심이 많고 상상력이 풍부하여 관련된 다양한 프로젝트를 수행하는 등 자신이 희망하는 진로와 연계하여 관련 정보와 지식을 축적하고 있어 발전가능성이 보임.</v>
      </c>
      <c r="T15" s="44" t="str">
        <f>IF('배려&amp;타인존중'!D15=0,"",'배려&amp;타인존중'!E15)</f>
        <v>자신의 의견만 고집하지 않고 상대방의 의견을 존중하여 인정함으로써 화기애애한 학급분위기 조성을 위해 노력함.</v>
      </c>
      <c r="U15" s="44" t="str">
        <f>IF('나눔&amp;협력'!D15=0,"",'나눔&amp;협력'!E15)</f>
        <v>학교행사 및 과제 수행 시 구성원들이 할 일을 분담하여 할 수 있도록 조언을 하고 서로 격려하며 잘 할 수 있도록 분위기를 조성함.</v>
      </c>
      <c r="V15" s="44" t="str">
        <f>IF('대인관계 지향성'!D15=0,"",'대인관계 지향성'!E15)</f>
        <v>친구들 끼리 갈등이 생겼을 때 자진하여 친구들의 사정을 잘 들어주고 서로 갈등을 잘 해결할 수 있도록 중재함.</v>
      </c>
      <c r="W15" s="44" t="str">
        <f>IF(규칙준수!D15=0,"",규칙준수!E15)</f>
        <v/>
      </c>
      <c r="X15" s="44" t="str">
        <f>IF(예체능!D15=0,"",예체능!E15)</f>
        <v>체육에 대한 관심과 기본적인 운동기능이 좋아 교과시간 외에도 친구들과 어울려 스포츠 활동하기를 매우 좋아함.</v>
      </c>
      <c r="Y15" s="44" t="str">
        <f t="shared" si="2"/>
        <v>성격이 온화하고 다정하여 급우들과 친밀감이 매우 높고, 대담한 면이 있어 어려운 일이 닥쳐도 마음이 쉽게 흔들리지 않음. 생활 주변 현상에 대해 남다른 관심을 가졌으며 매사 진취적인 태도로 학습 활동에 참여함. IoT분야에 관심이 많고 상상력이 풍부하여 관련된 다양한 프로젝트를 수행하는 등 자신이 희망하는 진로와 연계하여 관련 정보와 지식을 축적하고 있어 발전가능성이 보임. 자신의 의견만 고집하지 않고 상대방의 의견을 존중하여 인정함으로써 화기애애한 학급분위기 조성을 위해 노력함. 학교행사 및 과제 수행 시 구성원들이 할 일을 분담하여 할 수 있도록 조언을 하고 서로 격려하며 잘 할 수 있도록 분위기를 조성함. 친구들 끼리 갈등이 생겼을 때 자진하여 친구들의 사정을 잘 들어주고 서로 갈등을 잘 해결할 수 있도록 중재함. 체육에 대한 관심과 기본적인 운동기능이 좋아 교과시간 외에도 친구들과 어울려 스포츠 활동하기를 매우 좋아함.</v>
      </c>
      <c r="Z15" s="44" t="str">
        <f t="shared" si="3"/>
        <v>성격이 온화하고 다정하여 급우들과 친밀감이 매우 높고, 대담한 면이 있어 어려운 일이 닥쳐도 마음이 쉽게 흔들리지 않음. 생활 주변 현상에 대해 남다른 관심을 가졌으며 매사 진취적인 태도로 학습 활동에 참여함.  IoT분야에 관심이 많고 상상력이 풍부하여 관련된 다양한 프로젝트를 수행하는 등 자신이 희망하는 진로와 연계하여 관련 정보와 지식을 축적하고 있어 발전가능성이 보임. 자신의 의견만 고집하지 않고 상대방의 의견을 존중하여 인정함으로써 화기애애한 학급분위기 조성을 위해 노력함. 학교행사 및 과제 수행 시 구성원들이 할 일을 분담하여 할 수 있도록 조언을 하고 서로 격려하며 잘 할 수 있도록 분위기를 조성함. 친구들 끼리 갈등이 생겼을 때 자진하여 친구들의 사정을 잘 들어주고 서로 갈등을 잘 해결할 수 있도록 중재함. 체육에 대한 관심과 기본적인 운동기능이 좋아 교과시간 외에도 친구들과 어울려 스포츠 활동하기를 매우 좋아함.</v>
      </c>
      <c r="AA15" s="4"/>
      <c r="AB15" s="4"/>
      <c r="AC15" s="4"/>
      <c r="AD15" s="4"/>
      <c r="AE15" s="4"/>
      <c r="AF15" s="4"/>
      <c r="AG15" s="4"/>
      <c r="AH15" s="4"/>
      <c r="AI15" s="4"/>
      <c r="AJ15" s="4"/>
      <c r="AK15" s="4"/>
      <c r="AL15" s="4"/>
      <c r="AM15" s="4"/>
      <c r="AN15" s="4"/>
      <c r="AO15" s="4"/>
      <c r="AP15" s="4"/>
      <c r="AQ15" s="4"/>
      <c r="AR15" s="4"/>
    </row>
    <row r="16" spans="1:44" ht="48.75">
      <c r="A16" s="4"/>
      <c r="B16" s="32">
        <f>IF(학급명렬표!B16&gt;0,학급명렬표!B16,"")</f>
        <v>13</v>
      </c>
      <c r="C16" s="32" t="str">
        <f>IF(학급명렬표!C16&gt;0,학급명렬표!C16,"")</f>
        <v>오서현</v>
      </c>
      <c r="D16" s="61" t="str">
        <f>IF(F16="O",인성!E16&amp;CHAR(10),"")&amp;IF(G16="O",'인지적특성&amp;학습능력'!E16&amp;CHAR(10),"")&amp;IF(H16="O",창의성!E16&amp;CHAR(10),"")&amp;IF(I16="O",'잠재력&amp;진로'!E16&amp;CHAR(10),"")&amp;IF(J16="O",'배려&amp;타인존중'!E16&amp;CHAR(10),"")&amp;IF(K16="O",'나눔&amp;협력'!E16&amp;CHAR(10),"")&amp;IF(L16="O",'대인관계 지향성'!E16&amp;CHAR(10),"")&amp;IF(M16="O",규칙준수!E16&amp;CHAR(10),"")&amp;IF(N16="O",예체능!E16,"")</f>
        <v xml:space="preserve">성격이 소탈하고 다정하여 교우관계가 원만하며 친구들과 어려운 일을 함께 해결하고자 노력하는 긍정적인 사고를 가짐. 
자기관리 능력이 뛰어나 학습계획에 따라 공부하는 등 자기주도적 학습능력이 뛰어남.
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
다정한 성격으로 약한 급우들에 대한 관심과 이해심이 많아 몸이 아픈 친구를 앞장서서 도와줌.
재치있는 말과 행동으로 주변 친구들에게 호감을 주며 학급내의 즐거운 학습분위기 조성에 일조함.
체육에 대한 흥미가 많아 배구를 잘하며 승부욕도 강하여 배구대회에서 실력을 발휘함으로써 급우들에게 승리의욕을 불러 일으킴. </v>
      </c>
      <c r="E16" s="39"/>
      <c r="F16" s="6" t="str">
        <f>IF(인성!D16&gt;0,"O","X")</f>
        <v>O</v>
      </c>
      <c r="G16" s="6" t="str">
        <f>IF('인지적특성&amp;학습능력'!D16&gt;0,"O","X")</f>
        <v>O</v>
      </c>
      <c r="H16" s="6" t="str">
        <f>IF(창의성!D16&gt;0,"O","X")</f>
        <v>X</v>
      </c>
      <c r="I16" s="6" t="str">
        <f>IF('잠재력&amp;진로'!D16&gt;0,"O","X")</f>
        <v>O</v>
      </c>
      <c r="J16" s="6" t="str">
        <f>IF('배려&amp;타인존중'!D16&gt;0,"O","X")</f>
        <v>O</v>
      </c>
      <c r="K16" s="6" t="str">
        <f>IF('나눔&amp;협력'!D16&gt;0,"O","X")</f>
        <v>X</v>
      </c>
      <c r="L16" s="6" t="str">
        <f>IF('대인관계 지향성'!D16&gt;0,"O","X")</f>
        <v>O</v>
      </c>
      <c r="M16" s="6" t="str">
        <f>IF(규칙준수!D16&gt;0,"O","X")</f>
        <v>X</v>
      </c>
      <c r="N16" s="6" t="str">
        <f>IF(예체능!D16&gt;0,"O","X")</f>
        <v>O</v>
      </c>
      <c r="O16" s="46">
        <f t="shared" si="1"/>
        <v>6</v>
      </c>
      <c r="P16" s="44" t="str">
        <f>IF(인성!D16=0,"",인성!E16)</f>
        <v xml:space="preserve">성격이 소탈하고 다정하여 교우관계가 원만하며 친구들과 어려운 일을 함께 해결하고자 노력하는 긍정적인 사고를 가짐. </v>
      </c>
      <c r="Q16" s="44" t="str">
        <f>IF('인지적특성&amp;학습능력'!D16=0,"",'인지적특성&amp;학습능력'!E16)</f>
        <v>자기관리 능력이 뛰어나 학습계획에 따라 공부하는 등 자기주도적 학습능력이 뛰어남.</v>
      </c>
      <c r="R16" s="44" t="str">
        <f>IF(창의성!D16=0,"",창의성!E16)</f>
        <v/>
      </c>
      <c r="S16" s="44" t="str">
        <f>IF('잠재력&amp;진로'!D16=0,"",'잠재력&amp;진로'!E16)</f>
        <v>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v>
      </c>
      <c r="T16" s="44" t="str">
        <f>IF('배려&amp;타인존중'!D16=0,"",'배려&amp;타인존중'!E16)</f>
        <v>다정한 성격으로 약한 급우들에 대한 관심과 이해심이 많아 몸이 아픈 친구를 앞장서서 도와줌.</v>
      </c>
      <c r="U16" s="44" t="str">
        <f>IF('나눔&amp;협력'!D16=0,"",'나눔&amp;협력'!E16)</f>
        <v/>
      </c>
      <c r="V16" s="44" t="str">
        <f>IF('대인관계 지향성'!D16=0,"",'대인관계 지향성'!E16)</f>
        <v>재치있는 말과 행동으로 주변 친구들에게 호감을 주며 학급내의 즐거운 학습분위기 조성에 일조함.</v>
      </c>
      <c r="W16" s="44" t="str">
        <f>IF(규칙준수!D16=0,"",규칙준수!E16)</f>
        <v/>
      </c>
      <c r="X16" s="44" t="str">
        <f>IF(예체능!D16=0,"",예체능!E16)</f>
        <v xml:space="preserve">체육에 대한 흥미가 많아 배구를 잘하며 승부욕도 강하여 배구대회에서 실력을 발휘함으로써 급우들에게 승리의욕을 불러 일으킴. </v>
      </c>
      <c r="Y16" s="44" t="str">
        <f t="shared" si="2"/>
        <v>성격이 소탈하고 다정하여 교우관계가 원만하며 친구들과 어려운 일을 함께 해결하고자 노력하는 긍정적인 사고를 가짐. 자기관리 능력이 뛰어나 학습계획에 따라 공부하는 등 자기주도적 학습능력이 뛰어남. 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 다정한 성격으로 약한 급우들에 대한 관심과 이해심이 많아 몸이 아픈 친구를 앞장서서 도와줌. 재치있는 말과 행동으로 주변 친구들에게 호감을 주며 학급내의 즐거운 학습분위기 조성에 일조함. 체육에 대한 흥미가 많아 배구를 잘하며 승부욕도 강하여 배구대회에서 실력을 발휘함으로써 급우들에게 승리의욕을 불러 일으킴.</v>
      </c>
      <c r="Z16" s="44" t="str">
        <f t="shared" si="3"/>
        <v xml:space="preserve">성격이 소탈하고 다정하여 교우관계가 원만하며 친구들과 어려운 일을 함께 해결하고자 노력하는 긍정적인 사고를 가짐.  자기관리 능력이 뛰어나 학습계획에 따라 공부하는 등 자기주도적 학습능력이 뛰어남. 공기업에 취업하는 꿈을 실현하기 위해 계획적인 자기주도적 학습을 수행함은 물론 공기업 준비 동아리 활동과 취업정보 탐색활동에도 열정적으로 참여하는 등 항상 솔선수범하는 자세를 보이고 있어 장래가 기대됨. 다정한 성격으로 약한 급우들에 대한 관심과 이해심이 많아 몸이 아픈 친구를 앞장서서 도와줌. 재치있는 말과 행동으로 주변 친구들에게 호감을 주며 학급내의 즐거운 학습분위기 조성에 일조함. 체육에 대한 흥미가 많아 배구를 잘하며 승부욕도 강하여 배구대회에서 실력을 발휘함으로써 급우들에게 승리의욕을 불러 일으킴. </v>
      </c>
      <c r="AA16" s="4"/>
      <c r="AB16" s="4"/>
      <c r="AC16" s="4"/>
      <c r="AD16" s="4"/>
      <c r="AE16" s="4"/>
      <c r="AF16" s="4"/>
      <c r="AG16" s="4"/>
      <c r="AH16" s="4"/>
      <c r="AI16" s="4"/>
      <c r="AJ16" s="4"/>
      <c r="AK16" s="4"/>
      <c r="AL16" s="4"/>
      <c r="AM16" s="4"/>
      <c r="AN16" s="4"/>
      <c r="AO16" s="4"/>
      <c r="AP16" s="4"/>
      <c r="AQ16" s="4"/>
      <c r="AR16" s="4"/>
    </row>
    <row r="17" spans="1:44" ht="58.5">
      <c r="A17" s="4"/>
      <c r="B17" s="32">
        <f>IF(학급명렬표!B17&gt;0,학급명렬표!B17,"")</f>
        <v>14</v>
      </c>
      <c r="C17" s="32" t="str">
        <f>IF(학급명렬표!C17&gt;0,학급명렬표!C17,"")</f>
        <v>윤재영</v>
      </c>
      <c r="D17" s="61" t="str">
        <f>IF(F17="O",인성!E17&amp;CHAR(10),"")&amp;IF(G17="O",'인지적특성&amp;학습능력'!E17&amp;CHAR(10),"")&amp;IF(H17="O",창의성!E17&amp;CHAR(10),"")&amp;IF(I17="O",'잠재력&amp;진로'!E17&amp;CHAR(10),"")&amp;IF(J17="O",'배려&amp;타인존중'!E17&amp;CHAR(10),"")&amp;IF(K17="O",'나눔&amp;협력'!E17&amp;CHAR(10),"")&amp;IF(L17="O",'대인관계 지향성'!E17&amp;CHAR(10),"")&amp;IF(M17="O",규칙준수!E17&amp;CHAR(10),"")&amp;IF(N17="O",예체능!E17,"")</f>
        <v xml:space="preserve">정서가 비교적 안정되어 있어 감정을 잘 절제하고 타인에 대한 이해심이 많으며 자기확신과 솔직한 감정표현을 잘함.
탐구 능력이 있으며 합리적인 생활 태도를 가지려고 노력함. 
전기전자를 이용한 프로젝트에 관심과 흥미가 많아 인터넷과, 서적 등을 통해 관련 정보를 많이 수집하고 관련 자격증을 취득하는 등 자신의 진로개척을 위해 노력함.
친구를 가리지 않고 두루 잘 어울리며 항상 긍정적인 마음으로 상대방을 이해하고 친구의 부탁을 거절할 때 상대방의 기분이 상하지 않도록 잘 이해하도록 함.
임베디드 작품을 개발하는 전공동아리에 참여하여 다른 학생들의 학습계획 수립 및 꾸준한 학습활동을 도움으로써 자신의 재능을 나누는 일에 즐거운 마음으로 참여함.
사소한 일로 화를 잘 내지 않고 긍정적인 마음으로 상대방을 대함으로써 싸우는 일이 없음.
</v>
      </c>
      <c r="E17" s="39"/>
      <c r="F17" s="6" t="str">
        <f>IF(인성!D17&gt;0,"O","X")</f>
        <v>O</v>
      </c>
      <c r="G17" s="6" t="str">
        <f>IF('인지적특성&amp;학습능력'!D17&gt;0,"O","X")</f>
        <v>O</v>
      </c>
      <c r="H17" s="6" t="str">
        <f>IF(창의성!D17&gt;0,"O","X")</f>
        <v>X</v>
      </c>
      <c r="I17" s="6" t="str">
        <f>IF('잠재력&amp;진로'!D17&gt;0,"O","X")</f>
        <v>O</v>
      </c>
      <c r="J17" s="6" t="str">
        <f>IF('배려&amp;타인존중'!D17&gt;0,"O","X")</f>
        <v>O</v>
      </c>
      <c r="K17" s="6" t="str">
        <f>IF('나눔&amp;협력'!D17&gt;0,"O","X")</f>
        <v>O</v>
      </c>
      <c r="L17" s="6" t="str">
        <f>IF('대인관계 지향성'!D17&gt;0,"O","X")</f>
        <v>O</v>
      </c>
      <c r="M17" s="6" t="str">
        <f>IF(규칙준수!D17&gt;0,"O","X")</f>
        <v>X</v>
      </c>
      <c r="N17" s="6" t="str">
        <f>IF(예체능!D17&gt;0,"O","X")</f>
        <v>X</v>
      </c>
      <c r="O17" s="46">
        <f t="shared" si="1"/>
        <v>6</v>
      </c>
      <c r="P17" s="44" t="str">
        <f>IF(인성!D17=0,"",인성!E17)</f>
        <v>정서가 비교적 안정되어 있어 감정을 잘 절제하고 타인에 대한 이해심이 많으며 자기확신과 솔직한 감정표현을 잘함.</v>
      </c>
      <c r="Q17" s="44" t="str">
        <f>IF('인지적특성&amp;학습능력'!D17=0,"",'인지적특성&amp;학습능력'!E17)</f>
        <v xml:space="preserve">탐구 능력이 있으며 합리적인 생활 태도를 가지려고 노력함. </v>
      </c>
      <c r="R17" s="44" t="str">
        <f>IF(창의성!D17=0,"",창의성!E17)</f>
        <v/>
      </c>
      <c r="S17" s="44" t="str">
        <f>IF('잠재력&amp;진로'!D17=0,"",'잠재력&amp;진로'!E17)</f>
        <v>전기전자를 이용한 프로젝트에 관심과 흥미가 많아 인터넷과, 서적 등을 통해 관련 정보를 많이 수집하고 관련 자격증을 취득하는 등 자신의 진로개척을 위해 노력함.</v>
      </c>
      <c r="T17" s="44" t="str">
        <f>IF('배려&amp;타인존중'!D17=0,"",'배려&amp;타인존중'!E17)</f>
        <v>친구를 가리지 않고 두루 잘 어울리며 항상 긍정적인 마음으로 상대방을 이해하고 친구의 부탁을 거절할 때 상대방의 기분이 상하지 않도록 잘 이해하도록 함.</v>
      </c>
      <c r="U17" s="44" t="str">
        <f>IF('나눔&amp;협력'!D17=0,"",'나눔&amp;협력'!E17)</f>
        <v>임베디드 작품을 개발하는 전공동아리에 참여하여 다른 학생들의 학습계획 수립 및 꾸준한 학습활동을 도움으로써 자신의 재능을 나누는 일에 즐거운 마음으로 참여함.</v>
      </c>
      <c r="V17" s="44" t="str">
        <f>IF('대인관계 지향성'!D17=0,"",'대인관계 지향성'!E17)</f>
        <v>사소한 일로 화를 잘 내지 않고 긍정적인 마음으로 상대방을 대함으로써 싸우는 일이 없음.</v>
      </c>
      <c r="W17" s="44" t="str">
        <f>IF(규칙준수!D17=0,"",규칙준수!E17)</f>
        <v/>
      </c>
      <c r="X17" s="44" t="str">
        <f>IF(예체능!D17=0,"",예체능!E17)</f>
        <v/>
      </c>
      <c r="Y17" s="44" t="str">
        <f t="shared" si="2"/>
        <v>정서가 비교적 안정되어 있어 감정을 잘 절제하고 타인에 대한 이해심이 많으며 자기확신과 솔직한 감정표현을 잘함. 탐구 능력이 있으며 합리적인 생활 태도를 가지려고 노력함. 전기전자를 이용한 프로젝트에 관심과 흥미가 많아 인터넷과, 서적 등을 통해 관련 정보를 많이 수집하고 관련 자격증을 취득하는 등 자신의 진로개척을 위해 노력함. 친구를 가리지 않고 두루 잘 어울리며 항상 긍정적인 마음으로 상대방을 이해하고 친구의 부탁을 거절할 때 상대방의 기분이 상하지 않도록 잘 이해하도록 함. 임베디드 작품을 개발하는 전공동아리에 참여하여 다른 학생들의 학습계획 수립 및 꾸준한 학습활동을 도움으로써 자신의 재능을 나누는 일에 즐거운 마음으로 참여함. 사소한 일로 화를 잘 내지 않고 긍정적인 마음으로 상대방을 대함으로써 싸우는 일이 없음.</v>
      </c>
      <c r="Z17" s="44" t="str">
        <f t="shared" si="3"/>
        <v>정서가 비교적 안정되어 있어 감정을 잘 절제하고 타인에 대한 이해심이 많으며 자기확신과 솔직한 감정표현을 잘함. 탐구 능력이 있으며 합리적인 생활 태도를 가지려고 노력함.  전기전자를 이용한 프로젝트에 관심과 흥미가 많아 인터넷과, 서적 등을 통해 관련 정보를 많이 수집하고 관련 자격증을 취득하는 등 자신의 진로개척을 위해 노력함. 친구를 가리지 않고 두루 잘 어울리며 항상 긍정적인 마음으로 상대방을 이해하고 친구의 부탁을 거절할 때 상대방의 기분이 상하지 않도록 잘 이해하도록 함. 임베디드 작품을 개발하는 전공동아리에 참여하여 다른 학생들의 학습계획 수립 및 꾸준한 학습활동을 도움으로써 자신의 재능을 나누는 일에 즐거운 마음으로 참여함. 사소한 일로 화를 잘 내지 않고 긍정적인 마음으로 상대방을 대함으로써 싸우는 일이 없음.</v>
      </c>
      <c r="AA17" s="4"/>
      <c r="AB17" s="4"/>
      <c r="AC17" s="4"/>
      <c r="AD17" s="4"/>
      <c r="AE17" s="4"/>
      <c r="AF17" s="4"/>
      <c r="AG17" s="4"/>
      <c r="AH17" s="4"/>
      <c r="AI17" s="4"/>
      <c r="AJ17" s="4"/>
      <c r="AK17" s="4"/>
      <c r="AL17" s="4"/>
      <c r="AM17" s="4"/>
      <c r="AN17" s="4"/>
      <c r="AO17" s="4"/>
      <c r="AP17" s="4"/>
      <c r="AQ17" s="4"/>
      <c r="AR17" s="4"/>
    </row>
    <row r="18" spans="1:44" ht="68.25">
      <c r="A18" s="4"/>
      <c r="B18" s="32">
        <f>IF(학급명렬표!B18&gt;0,학급명렬표!B18,"")</f>
        <v>15</v>
      </c>
      <c r="C18" s="32" t="str">
        <f>IF(학급명렬표!C18&gt;0,학급명렬표!C18,"")</f>
        <v>이승민</v>
      </c>
      <c r="D18" s="61" t="str">
        <f>IF(F18="O",인성!E18&amp;CHAR(10),"")&amp;IF(G18="O",'인지적특성&amp;학습능력'!E18&amp;CHAR(10),"")&amp;IF(H18="O",창의성!E18&amp;CHAR(10),"")&amp;IF(I18="O",'잠재력&amp;진로'!E18&amp;CHAR(10),"")&amp;IF(J18="O",'배려&amp;타인존중'!E18&amp;CHAR(10),"")&amp;IF(K18="O",'나눔&amp;협력'!E18&amp;CHAR(10),"")&amp;IF(L18="O",'대인관계 지향성'!E18&amp;CHAR(10),"")&amp;IF(M18="O",규칙준수!E18&amp;CHAR(10),"")&amp;IF(N18="O",예체능!E18,"")</f>
        <v xml:space="preserve">자기 통제력이 강하여 어려운 일에도 마음이 쉽게 흔들리지 않는 장점을 가진 학생으로 매우 성실하고 책임감이 강함.
자신이 세운 학습목표와 계획에 따라 주도면밀하게 잘 실천함으로써 지속적으로 높은 학업성취도를 유지함.
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
언행이 고우며 명랑한 얼굴로 급우들에게 친절하게 대하는 등 타인을 위한 이해와 배려심을 가지고 있음.
자신이 알고 있는 지식을 친구들에게 자세히 설명해 주는 등 교우들의 학습능력을 높이고 학급의 학습 분위기 조성에 힘쓰는 모습을 보임.
상대방을 배려하고 존중하는 마음이 깊고 따뜻하고 밝은 성품을 지녀 친구들로 부터 항상 신뢰와 호감을 받음.
교내외에서 타인의 행동에 동요되지 않고 양심적으로 학교규칙이나 교통법규 및 공중도덕을 잘 지킴. 
</v>
      </c>
      <c r="E18" s="39"/>
      <c r="F18" s="6" t="str">
        <f>IF(인성!D18&gt;0,"O","X")</f>
        <v>O</v>
      </c>
      <c r="G18" s="6" t="str">
        <f>IF('인지적특성&amp;학습능력'!D18&gt;0,"O","X")</f>
        <v>O</v>
      </c>
      <c r="H18" s="6" t="str">
        <f>IF(창의성!D18&gt;0,"O","X")</f>
        <v>X</v>
      </c>
      <c r="I18" s="6" t="str">
        <f>IF('잠재력&amp;진로'!D18&gt;0,"O","X")</f>
        <v>O</v>
      </c>
      <c r="J18" s="6" t="str">
        <f>IF('배려&amp;타인존중'!D18&gt;0,"O","X")</f>
        <v>O</v>
      </c>
      <c r="K18" s="6" t="str">
        <f>IF('나눔&amp;협력'!D18&gt;0,"O","X")</f>
        <v>O</v>
      </c>
      <c r="L18" s="6" t="str">
        <f>IF('대인관계 지향성'!D18&gt;0,"O","X")</f>
        <v>O</v>
      </c>
      <c r="M18" s="6" t="str">
        <f>IF(규칙준수!D18&gt;0,"O","X")</f>
        <v>O</v>
      </c>
      <c r="N18" s="6" t="str">
        <f>IF(예체능!D18&gt;0,"O","X")</f>
        <v>X</v>
      </c>
      <c r="O18" s="46">
        <f t="shared" si="1"/>
        <v>7</v>
      </c>
      <c r="P18" s="44" t="str">
        <f>IF(인성!D18=0,"",인성!E18)</f>
        <v>자기 통제력이 강하여 어려운 일에도 마음이 쉽게 흔들리지 않는 장점을 가진 학생으로 매우 성실하고 책임감이 강함.</v>
      </c>
      <c r="Q18" s="44" t="str">
        <f>IF('인지적특성&amp;학습능력'!D18=0,"",'인지적특성&amp;학습능력'!E18)</f>
        <v>자신이 세운 학습목표와 계획에 따라 주도면밀하게 잘 실천함으로써 지속적으로 높은 학업성취도를 유지함.</v>
      </c>
      <c r="R18" s="44" t="str">
        <f>IF(창의성!D18=0,"",창의성!E18)</f>
        <v/>
      </c>
      <c r="S18" s="44" t="str">
        <f>IF('잠재력&amp;진로'!D18=0,"",'잠재력&amp;진로'!E18)</f>
        <v>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v>
      </c>
      <c r="T18" s="44" t="str">
        <f>IF('배려&amp;타인존중'!D18=0,"",'배려&amp;타인존중'!E18)</f>
        <v>언행이 고우며 명랑한 얼굴로 급우들에게 친절하게 대하는 등 타인을 위한 이해와 배려심을 가지고 있음.</v>
      </c>
      <c r="U18" s="44" t="str">
        <f>IF('나눔&amp;협력'!D18=0,"",'나눔&amp;협력'!E18)</f>
        <v>자신이 알고 있는 지식을 친구들에게 자세히 설명해 주는 등 교우들의 학습능력을 높이고 학급의 학습 분위기 조성에 힘쓰는 모습을 보임.</v>
      </c>
      <c r="V18" s="44" t="str">
        <f>IF('대인관계 지향성'!D18=0,"",'대인관계 지향성'!E18)</f>
        <v>상대방을 배려하고 존중하는 마음이 깊고 따뜻하고 밝은 성품을 지녀 친구들로 부터 항상 신뢰와 호감을 받음.</v>
      </c>
      <c r="W18" s="44" t="str">
        <f>IF(규칙준수!D18=0,"",규칙준수!E18)</f>
        <v xml:space="preserve">교내외에서 타인의 행동에 동요되지 않고 양심적으로 학교규칙이나 교통법규 및 공중도덕을 잘 지킴. </v>
      </c>
      <c r="X18" s="44" t="str">
        <f>IF(예체능!D18=0,"",예체능!E18)</f>
        <v/>
      </c>
      <c r="Y18" s="44" t="str">
        <f t="shared" si="2"/>
        <v>자기 통제력이 강하여 어려운 일에도 마음이 쉽게 흔들리지 않는 장점을 가진 학생으로 매우 성실하고 책임감이 강함. 자신이 세운 학습목표와 계획에 따라 주도면밀하게 잘 실천함으로써 지속적으로 높은 학업성취도를 유지함. 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 언행이 고우며 명랑한 얼굴로 급우들에게 친절하게 대하는 등 타인을 위한 이해와 배려심을 가지고 있음. 자신이 알고 있는 지식을 친구들에게 자세히 설명해 주는 등 교우들의 학습능력을 높이고 학급의 학습 분위기 조성에 힘쓰는 모습을 보임. 상대방을 배려하고 존중하는 마음이 깊고 따뜻하고 밝은 성품을 지녀 친구들로 부터 항상 신뢰와 호감을 받음. 교내외에서 타인의 행동에 동요되지 않고 양심적으로 학교규칙이나 교통법규 및 공중도덕을 잘 지킴.</v>
      </c>
      <c r="Z18" s="44" t="str">
        <f t="shared" si="3"/>
        <v xml:space="preserve">자기 통제력이 강하여 어려운 일에도 마음이 쉽게 흔들리지 않는 장점을 가진 학생으로 매우 성실하고 책임감이 강함. 자신이 세운 학습목표와 계획에 따라 주도면밀하게 잘 실천함으로써 지속적으로 높은 학업성취도를 유지함. 방송통신 분야에 관심이 많아 관련 도서를 꾸준히 읽고 탐구하는 등 관심분야에 대한 지적호기심을 충족하기위해 노력하고 직업정보를 탐색하고 준비하는 과정에 열정적으로 임하는 솔선수범하는 자세를 보이고 있어 장래가 기대됨. 언행이 고우며 명랑한 얼굴로 급우들에게 친절하게 대하는 등 타인을 위한 이해와 배려심을 가지고 있음. 자신이 알고 있는 지식을 친구들에게 자세히 설명해 주는 등 교우들의 학습능력을 높이고 학급의 학습 분위기 조성에 힘쓰는 모습을 보임. 상대방을 배려하고 존중하는 마음이 깊고 따뜻하고 밝은 성품을 지녀 친구들로 부터 항상 신뢰와 호감을 받음. 교내외에서 타인의 행동에 동요되지 않고 양심적으로 학교규칙이나 교통법규 및 공중도덕을 잘 지킴. </v>
      </c>
      <c r="AA18" s="4"/>
      <c r="AB18" s="4"/>
      <c r="AC18" s="4"/>
      <c r="AD18" s="4"/>
      <c r="AE18" s="4"/>
      <c r="AF18" s="4"/>
      <c r="AG18" s="4"/>
      <c r="AH18" s="4"/>
      <c r="AI18" s="4"/>
      <c r="AJ18" s="4"/>
      <c r="AK18" s="4"/>
      <c r="AL18" s="4"/>
      <c r="AM18" s="4"/>
      <c r="AN18" s="4"/>
      <c r="AO18" s="4"/>
      <c r="AP18" s="4"/>
      <c r="AQ18" s="4"/>
      <c r="AR18" s="4"/>
    </row>
    <row r="19" spans="1:44" ht="68.25">
      <c r="A19" s="4"/>
      <c r="B19" s="32">
        <f>IF(학급명렬표!B19&gt;0,학급명렬표!B19,"")</f>
        <v>16</v>
      </c>
      <c r="C19" s="32" t="str">
        <f>IF(학급명렬표!C19&gt;0,학급명렬표!C19,"")</f>
        <v>조도울</v>
      </c>
      <c r="D19" s="61" t="str">
        <f>IF(F19="O",인성!E19&amp;CHAR(10),"")&amp;IF(G19="O",'인지적특성&amp;학습능력'!E19&amp;CHAR(10),"")&amp;IF(H19="O",창의성!E19&amp;CHAR(10),"")&amp;IF(I19="O",'잠재력&amp;진로'!E19&amp;CHAR(10),"")&amp;IF(J19="O",'배려&amp;타인존중'!E19&amp;CHAR(10),"")&amp;IF(K19="O",'나눔&amp;협력'!E19&amp;CHAR(10),"")&amp;IF(L19="O",'대인관계 지향성'!E19&amp;CHAR(10),"")&amp;IF(M19="O",규칙준수!E19&amp;CHAR(10),"")&amp;IF(N19="O",예체능!E19,"")</f>
        <v xml:space="preserve">자신의 감정을 잘 표현하지는 않지만 정서가 안정되고 성품이 온순한 학생으로 학습태도가 바르고 근면성실 함.
인내력이 강하고 자기관리 능력이 뛰어나 자기주도적 학습계획은 물론 목표에 따른 일관된 실천을 통해 학업성취도가 지속적으로 높게 유지됨.
스스로 학습하여 동작하는 인공지능 프로그램 개발자로 진로 목표를 정하고 서적을 읽거나 인터넷을 통해 관련 정보와 지식을 습득하는 등 꿈을 이루기 위해 열심히 노력함. 
청소시간에 자신의 활동을 마친 후 다른 학생들을 도와주는 등 학급의 학생들을 위해 배려하는 모습을 보임.
자신이 가진 것을 남에게 나눠주기를 좋아하고 남을 돕는 일에 즐거운 마음으로 참여함. 
학급의 모든 친구들과 잘 어울리고 교사의 지도와 조언을 경청하고 수용하려는 자세가 돋보임.
사소한 학교 규칙을 준수하는 태도를 함양한다면 향후에는 모범적인 생활태도를 가진 학생으로의 변화가 기대되는 학생임.
</v>
      </c>
      <c r="E19" s="39"/>
      <c r="F19" s="6" t="str">
        <f>IF(인성!D19&gt;0,"O","X")</f>
        <v>O</v>
      </c>
      <c r="G19" s="6" t="str">
        <f>IF('인지적특성&amp;학습능력'!D19&gt;0,"O","X")</f>
        <v>O</v>
      </c>
      <c r="H19" s="6" t="str">
        <f>IF(창의성!D19&gt;0,"O","X")</f>
        <v>X</v>
      </c>
      <c r="I19" s="6" t="str">
        <f>IF('잠재력&amp;진로'!D19&gt;0,"O","X")</f>
        <v>O</v>
      </c>
      <c r="J19" s="6" t="str">
        <f>IF('배려&amp;타인존중'!D19&gt;0,"O","X")</f>
        <v>O</v>
      </c>
      <c r="K19" s="6" t="str">
        <f>IF('나눔&amp;협력'!D19&gt;0,"O","X")</f>
        <v>O</v>
      </c>
      <c r="L19" s="6" t="str">
        <f>IF('대인관계 지향성'!D19&gt;0,"O","X")</f>
        <v>O</v>
      </c>
      <c r="M19" s="6" t="str">
        <f>IF(규칙준수!D19&gt;0,"O","X")</f>
        <v>O</v>
      </c>
      <c r="N19" s="6" t="str">
        <f>IF(예체능!D19&gt;0,"O","X")</f>
        <v>X</v>
      </c>
      <c r="O19" s="46">
        <f t="shared" si="1"/>
        <v>7</v>
      </c>
      <c r="P19" s="44" t="str">
        <f>IF(인성!D19=0,"",인성!E19)</f>
        <v>자신의 감정을 잘 표현하지는 않지만 정서가 안정되고 성품이 온순한 학생으로 학습태도가 바르고 근면성실 함.</v>
      </c>
      <c r="Q19" s="44" t="str">
        <f>IF('인지적특성&amp;학습능력'!D19=0,"",'인지적특성&amp;학습능력'!E19)</f>
        <v>인내력이 강하고 자기관리 능력이 뛰어나 자기주도적 학습계획은 물론 목표에 따른 일관된 실천을 통해 학업성취도가 지속적으로 높게 유지됨.</v>
      </c>
      <c r="R19" s="44" t="str">
        <f>IF(창의성!D19=0,"",창의성!E19)</f>
        <v/>
      </c>
      <c r="S19" s="44" t="str">
        <f>IF('잠재력&amp;진로'!D19=0,"",'잠재력&amp;진로'!E19)</f>
        <v xml:space="preserve">스스로 학습하여 동작하는 인공지능 프로그램 개발자로 진로 목표를 정하고 서적을 읽거나 인터넷을 통해 관련 정보와 지식을 습득하는 등 꿈을 이루기 위해 열심히 노력함. </v>
      </c>
      <c r="T19" s="44" t="str">
        <f>IF('배려&amp;타인존중'!D19=0,"",'배려&amp;타인존중'!E19)</f>
        <v>청소시간에 자신의 활동을 마친 후 다른 학생들을 도와주는 등 학급의 학생들을 위해 배려하는 모습을 보임.</v>
      </c>
      <c r="U19" s="44" t="str">
        <f>IF('나눔&amp;협력'!D19=0,"",'나눔&amp;협력'!E19)</f>
        <v xml:space="preserve">자신이 가진 것을 남에게 나눠주기를 좋아하고 남을 돕는 일에 즐거운 마음으로 참여함. </v>
      </c>
      <c r="V19" s="44" t="str">
        <f>IF('대인관계 지향성'!D19=0,"",'대인관계 지향성'!E19)</f>
        <v>학급의 모든 친구들과 잘 어울리고 교사의 지도와 조언을 경청하고 수용하려는 자세가 돋보임.</v>
      </c>
      <c r="W19" s="44" t="str">
        <f>IF(규칙준수!D19=0,"",규칙준수!E19)</f>
        <v>사소한 학교 규칙을 준수하는 태도를 함양한다면 향후에는 모범적인 생활태도를 가진 학생으로의 변화가 기대되는 학생임.</v>
      </c>
      <c r="X19" s="44" t="str">
        <f>IF(예체능!D19=0,"",예체능!E19)</f>
        <v/>
      </c>
      <c r="Y19" s="44" t="str">
        <f t="shared" si="2"/>
        <v>자신의 감정을 잘 표현하지는 않지만 정서가 안정되고 성품이 온순한 학생으로 학습태도가 바르고 근면성실 함. 인내력이 강하고 자기관리 능력이 뛰어나 자기주도적 학습계획은 물론 목표에 따른 일관된 실천을 통해 학업성취도가 지속적으로 높게 유지됨. 스스로 학습하여 동작하는 인공지능 프로그램 개발자로 진로 목표를 정하고 서적을 읽거나 인터넷을 통해 관련 정보와 지식을 습득하는 등 꿈을 이루기 위해 열심히 노력함. 청소시간에 자신의 활동을 마친 후 다른 학생들을 도와주는 등 학급의 학생들을 위해 배려하는 모습을 보임. 자신이 가진 것을 남에게 나눠주기를 좋아하고 남을 돕는 일에 즐거운 마음으로 참여함. 학급의 모든 친구들과 잘 어울리고 교사의 지도와 조언을 경청하고 수용하려는 자세가 돋보임. 사소한 학교 규칙을 준수하는 태도를 함양한다면 향후에는 모범적인 생활태도를 가진 학생으로의 변화가 기대되는 학생임.</v>
      </c>
      <c r="Z19" s="44" t="str">
        <f t="shared" si="3"/>
        <v>자신의 감정을 잘 표현하지는 않지만 정서가 안정되고 성품이 온순한 학생으로 학습태도가 바르고 근면성실 함. 인내력이 강하고 자기관리 능력이 뛰어나 자기주도적 학습계획은 물론 목표에 따른 일관된 실천을 통해 학업성취도가 지속적으로 높게 유지됨. 스스로 학습하여 동작하는 인공지능 프로그램 개발자로 진로 목표를 정하고 서적을 읽거나 인터넷을 통해 관련 정보와 지식을 습득하는 등 꿈을 이루기 위해 열심히 노력함.  청소시간에 자신의 활동을 마친 후 다른 학생들을 도와주는 등 학급의 학생들을 위해 배려하는 모습을 보임. 자신이 가진 것을 남에게 나눠주기를 좋아하고 남을 돕는 일에 즐거운 마음으로 참여함.  학급의 모든 친구들과 잘 어울리고 교사의 지도와 조언을 경청하고 수용하려는 자세가 돋보임. 사소한 학교 규칙을 준수하는 태도를 함양한다면 향후에는 모범적인 생활태도를 가진 학생으로의 변화가 기대되는 학생임.</v>
      </c>
      <c r="AA19" s="4"/>
      <c r="AB19" s="4"/>
      <c r="AC19" s="4"/>
      <c r="AD19" s="4"/>
      <c r="AE19" s="4"/>
      <c r="AF19" s="4"/>
      <c r="AG19" s="4"/>
      <c r="AH19" s="4"/>
      <c r="AI19" s="4"/>
      <c r="AJ19" s="4"/>
      <c r="AK19" s="4"/>
      <c r="AL19" s="4"/>
      <c r="AM19" s="4"/>
      <c r="AN19" s="4"/>
      <c r="AO19" s="4"/>
      <c r="AP19" s="4"/>
      <c r="AQ19" s="4"/>
      <c r="AR19" s="4"/>
    </row>
    <row r="20" spans="1:44" ht="48.75">
      <c r="A20" s="4"/>
      <c r="B20" s="32">
        <f>IF(학급명렬표!B20&gt;0,학급명렬표!B20,"")</f>
        <v>17</v>
      </c>
      <c r="C20" s="32" t="str">
        <f>IF(학급명렬표!C20&gt;0,학급명렬표!C20,"")</f>
        <v>차명준</v>
      </c>
      <c r="D20" s="61" t="str">
        <f>IF(F20="O",인성!E20&amp;CHAR(10),"")&amp;IF(G20="O",'인지적특성&amp;학습능력'!E20&amp;CHAR(10),"")&amp;IF(H20="O",창의성!E20&amp;CHAR(10),"")&amp;IF(I20="O",'잠재력&amp;진로'!E20&amp;CHAR(10),"")&amp;IF(J20="O",'배려&amp;타인존중'!E20&amp;CHAR(10),"")&amp;IF(K20="O",'나눔&amp;협력'!E20&amp;CHAR(10),"")&amp;IF(L20="O",'대인관계 지향성'!E20&amp;CHAR(10),"")&amp;IF(M20="O",규칙준수!E20&amp;CHAR(10),"")&amp;IF(N20="O",예체능!E20,"")</f>
        <v xml:space="preserve">성격이 소탈하고 다소 주의가 산만하지만 사고가 긍정적이고 또래중에서 화기애애한 분위기를 잘 조성하여 교우관계가 원만함.
학업성취도는 비교적 저조하나 열심히 공부하고자 하는 의욕이 있어 자신만의 학습방법을 잘 터득하여 실천하면 좋은 결과가 있을 것으로 기대됨.
네트워크와 보안에 흥미와 관심이 많아 관련정보를 찾아 지식을 조금씩 축적하는 등 진로개척을 위해 적극 노력함.
재치 있는 말과 행동으로 친구들을 즐겁게 하거나 친구의 말을 경청하여 잘 들어줌. 
재치있는 말과 행동으로 주변 친구들에게 호감을 주며 학급내의 즐거운 학습분위기 조성에 일조함.
</v>
      </c>
      <c r="E20" s="39"/>
      <c r="F20" s="6" t="str">
        <f>IF(인성!D20&gt;0,"O","X")</f>
        <v>O</v>
      </c>
      <c r="G20" s="6" t="str">
        <f>IF('인지적특성&amp;학습능력'!D20&gt;0,"O","X")</f>
        <v>O</v>
      </c>
      <c r="H20" s="6" t="str">
        <f>IF(창의성!D20&gt;0,"O","X")</f>
        <v>X</v>
      </c>
      <c r="I20" s="6" t="str">
        <f>IF('잠재력&amp;진로'!D20&gt;0,"O","X")</f>
        <v>O</v>
      </c>
      <c r="J20" s="6" t="str">
        <f>IF('배려&amp;타인존중'!D20&gt;0,"O","X")</f>
        <v>O</v>
      </c>
      <c r="K20" s="6" t="str">
        <f>IF('나눔&amp;협력'!D20&gt;0,"O","X")</f>
        <v>X</v>
      </c>
      <c r="L20" s="6" t="str">
        <f>IF('대인관계 지향성'!D20&gt;0,"O","X")</f>
        <v>O</v>
      </c>
      <c r="M20" s="6" t="str">
        <f>IF(규칙준수!D20&gt;0,"O","X")</f>
        <v>X</v>
      </c>
      <c r="N20" s="6" t="str">
        <f>IF(예체능!D20&gt;0,"O","X")</f>
        <v>X</v>
      </c>
      <c r="O20" s="46">
        <f t="shared" si="1"/>
        <v>5</v>
      </c>
      <c r="P20" s="44" t="str">
        <f>IF(인성!D20=0,"",인성!E20)</f>
        <v>성격이 소탈하고 다소 주의가 산만하지만 사고가 긍정적이고 또래중에서 화기애애한 분위기를 잘 조성하여 교우관계가 원만함.</v>
      </c>
      <c r="Q20" s="44" t="str">
        <f>IF('인지적특성&amp;학습능력'!D20=0,"",'인지적특성&amp;학습능력'!E20)</f>
        <v>학업성취도는 비교적 저조하나 열심히 공부하고자 하는 의욕이 있어 자신만의 학습방법을 잘 터득하여 실천하면 좋은 결과가 있을 것으로 기대됨.</v>
      </c>
      <c r="R20" s="44" t="str">
        <f>IF(창의성!D20=0,"",창의성!E20)</f>
        <v/>
      </c>
      <c r="S20" s="44" t="str">
        <f>IF('잠재력&amp;진로'!D20=0,"",'잠재력&amp;진로'!E20)</f>
        <v>네트워크와 보안에 흥미와 관심이 많아 관련정보를 찾아 지식을 조금씩 축적하는 등 진로개척을 위해 적극 노력함.</v>
      </c>
      <c r="T20" s="44" t="str">
        <f>IF('배려&amp;타인존중'!D20=0,"",'배려&amp;타인존중'!E20)</f>
        <v xml:space="preserve">재치 있는 말과 행동으로 친구들을 즐겁게 하거나 친구의 말을 경청하여 잘 들어줌. </v>
      </c>
      <c r="U20" s="44" t="str">
        <f>IF('나눔&amp;협력'!D20=0,"",'나눔&amp;협력'!E20)</f>
        <v/>
      </c>
      <c r="V20" s="44" t="str">
        <f>IF('대인관계 지향성'!D20=0,"",'대인관계 지향성'!E20)</f>
        <v>재치있는 말과 행동으로 주변 친구들에게 호감을 주며 학급내의 즐거운 학습분위기 조성에 일조함.</v>
      </c>
      <c r="W20" s="44" t="str">
        <f>IF(규칙준수!D20=0,"",규칙준수!E20)</f>
        <v/>
      </c>
      <c r="X20" s="44" t="str">
        <f>IF(예체능!D20=0,"",예체능!E20)</f>
        <v/>
      </c>
      <c r="Y20" s="44" t="str">
        <f t="shared" si="2"/>
        <v>성격이 소탈하고 다소 주의가 산만하지만 사고가 긍정적이고 또래중에서 화기애애한 분위기를 잘 조성하여 교우관계가 원만함. 학업성취도는 비교적 저조하나 열심히 공부하고자 하는 의욕이 있어 자신만의 학습방법을 잘 터득하여 실천하면 좋은 결과가 있을 것으로 기대됨. 네트워크와 보안에 흥미와 관심이 많아 관련정보를 찾아 지식을 조금씩 축적하는 등 진로개척을 위해 적극 노력함. 재치 있는 말과 행동으로 친구들을 즐겁게 하거나 친구의 말을 경청하여 잘 들어줌. 재치있는 말과 행동으로 주변 친구들에게 호감을 주며 학급내의 즐거운 학습분위기 조성에 일조함.</v>
      </c>
      <c r="Z20" s="44" t="str">
        <f t="shared" si="3"/>
        <v>성격이 소탈하고 다소 주의가 산만하지만 사고가 긍정적이고 또래중에서 화기애애한 분위기를 잘 조성하여 교우관계가 원만함. 학업성취도는 비교적 저조하나 열심히 공부하고자 하는 의욕이 있어 자신만의 학습방법을 잘 터득하여 실천하면 좋은 결과가 있을 것으로 기대됨. 네트워크와 보안에 흥미와 관심이 많아 관련정보를 찾아 지식을 조금씩 축적하는 등 진로개척을 위해 적극 노력함. 재치 있는 말과 행동으로 친구들을 즐겁게 하거나 친구의 말을 경청하여 잘 들어줌.  재치있는 말과 행동으로 주변 친구들에게 호감을 주며 학급내의 즐거운 학습분위기 조성에 일조함.</v>
      </c>
      <c r="AA20" s="4"/>
      <c r="AB20" s="4"/>
      <c r="AC20" s="4"/>
      <c r="AD20" s="4"/>
      <c r="AE20" s="4"/>
      <c r="AF20" s="4"/>
      <c r="AG20" s="4"/>
      <c r="AH20" s="4"/>
      <c r="AI20" s="4"/>
      <c r="AJ20" s="4"/>
      <c r="AK20" s="4"/>
      <c r="AL20" s="4"/>
      <c r="AM20" s="4"/>
      <c r="AN20" s="4"/>
      <c r="AO20" s="4"/>
      <c r="AP20" s="4"/>
      <c r="AQ20" s="4"/>
      <c r="AR20" s="4"/>
    </row>
    <row r="21" spans="1:44" ht="68.25">
      <c r="A21" s="4"/>
      <c r="B21" s="32">
        <f>IF(학급명렬표!B21&gt;0,학급명렬표!B21,"")</f>
        <v>18</v>
      </c>
      <c r="C21" s="32" t="str">
        <f>IF(학급명렬표!C21&gt;0,학급명렬표!C21,"")</f>
        <v>최가영</v>
      </c>
      <c r="D21" s="61" t="str">
        <f>IF(F21="O",인성!E21&amp;CHAR(10),"")&amp;IF(G21="O",'인지적특성&amp;학습능력'!E21&amp;CHAR(10),"")&amp;IF(H21="O",창의성!E21&amp;CHAR(10),"")&amp;IF(I21="O",'잠재력&amp;진로'!E21&amp;CHAR(10),"")&amp;IF(J21="O",'배려&amp;타인존중'!E21&amp;CHAR(10),"")&amp;IF(K21="O",'나눔&amp;협력'!E21&amp;CHAR(10),"")&amp;IF(L21="O",'대인관계 지향성'!E21&amp;CHAR(10),"")&amp;IF(M21="O",규칙준수!E21&amp;CHAR(10),"")&amp;IF(N21="O",예체능!E21,"")</f>
        <v xml:space="preserve">정서가 안정되어 있어 자신의 감정과 행동을 잘 통제하는 학생으로 활동적인 것을 좋아하고 매사 성실하고 책임감이 강함.
학습태도가 좋고 자신이 세운 학습목표에 따라 자신을 잘 통제하며 생활하는 자기주도적 학습능력이 좋아 꾸준히 학업성적이 향상됨.
3D 디자인에 관심이 많고 상상력이 풍부하며 관련 동아리 활동과 독학으로 3D 프로그램을 학습하는 등 자신이 희망하는 진로와 연계하여 관련 정보와 지식을 축적하고 있어 발전가능성이 보임.
고민을 가지고 있는 친구들의 이야기를 성심껏 들어주며 교과에 대한 질문에도 친절하게 응답함.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v>
      </c>
      <c r="E21" s="39"/>
      <c r="F21" s="6" t="str">
        <f>IF(인성!D21&gt;0,"O","X")</f>
        <v>O</v>
      </c>
      <c r="G21" s="6" t="str">
        <f>IF('인지적특성&amp;학습능력'!D21&gt;0,"O","X")</f>
        <v>O</v>
      </c>
      <c r="H21" s="6" t="str">
        <f>IF(창의성!D21&gt;0,"O","X")</f>
        <v>X</v>
      </c>
      <c r="I21" s="6" t="str">
        <f>IF('잠재력&amp;진로'!D21&gt;0,"O","X")</f>
        <v>O</v>
      </c>
      <c r="J21" s="6" t="str">
        <f>IF('배려&amp;타인존중'!D21&gt;0,"O","X")</f>
        <v>O</v>
      </c>
      <c r="K21" s="6" t="str">
        <f>IF('나눔&amp;협력'!D21&gt;0,"O","X")</f>
        <v>O</v>
      </c>
      <c r="L21" s="6" t="str">
        <f>IF('대인관계 지향성'!D21&gt;0,"O","X")</f>
        <v>O</v>
      </c>
      <c r="M21" s="6" t="str">
        <f>IF(규칙준수!D21&gt;0,"O","X")</f>
        <v>X</v>
      </c>
      <c r="N21" s="6" t="str">
        <f>IF(예체능!D21&gt;0,"O","X")</f>
        <v>X</v>
      </c>
      <c r="O21" s="46">
        <f t="shared" si="1"/>
        <v>6</v>
      </c>
      <c r="P21" s="44" t="str">
        <f>IF(인성!D21=0,"",인성!E21)</f>
        <v>정서가 안정되어 있어 자신의 감정과 행동을 잘 통제하는 학생으로 활동적인 것을 좋아하고 매사 성실하고 책임감이 강함.</v>
      </c>
      <c r="Q21" s="44" t="str">
        <f>IF('인지적특성&amp;학습능력'!D21=0,"",'인지적특성&amp;학습능력'!E21)</f>
        <v>학습태도가 좋고 자신이 세운 학습목표에 따라 자신을 잘 통제하며 생활하는 자기주도적 학습능력이 좋아 꾸준히 학업성적이 향상됨.</v>
      </c>
      <c r="R21" s="44" t="str">
        <f>IF(창의성!D21=0,"",창의성!E21)</f>
        <v/>
      </c>
      <c r="S21" s="44" t="str">
        <f>IF('잠재력&amp;진로'!D21=0,"",'잠재력&amp;진로'!E21)</f>
        <v>3D 디자인에 관심이 많고 상상력이 풍부하며 관련 동아리 활동과 독학으로 3D 프로그램을 학습하는 등 자신이 희망하는 진로와 연계하여 관련 정보와 지식을 축적하고 있어 발전가능성이 보임.</v>
      </c>
      <c r="T21" s="44" t="str">
        <f>IF('배려&amp;타인존중'!D21=0,"",'배려&amp;타인존중'!E21)</f>
        <v>고민을 가지고 있는 친구들의 이야기를 성심껏 들어주며 교과에 대한 질문에도 친절하게 응답함.</v>
      </c>
      <c r="U21" s="44" t="str">
        <f>IF('나눔&amp;협력'!D21=0,"",'나눔&amp;협력'!E21)</f>
        <v>모둠학습 시 자신의 역할을 잘 수행하고 조원들의 의견을 존중하며 조화로운 협력분위기를 잘 조성할 뿐만 아니라 모둠학습의 좋은 결과를 이끌어내기 위한 주도적인 역할을 함.</v>
      </c>
      <c r="V21" s="44" t="str">
        <f>IF('대인관계 지향성'!D21=0,"",'대인관계 지향성'!E21)</f>
        <v>학급의 모든 친구들과 잘 어울리고 교사의 지도와 조언을 경청하고 수용하려는 자세가 돋보임.</v>
      </c>
      <c r="W21" s="44" t="str">
        <f>IF(규칙준수!D21=0,"",규칙준수!E21)</f>
        <v/>
      </c>
      <c r="X21" s="44" t="str">
        <f>IF(예체능!D21=0,"",예체능!E21)</f>
        <v/>
      </c>
      <c r="Y21" s="44" t="str">
        <f t="shared" si="2"/>
        <v>정서가 안정되어 있어 자신의 감정과 행동을 잘 통제하는 학생으로 활동적인 것을 좋아하고 매사 성실하고 책임감이 강함. 학습태도가 좋고 자신이 세운 학습목표에 따라 자신을 잘 통제하며 생활하는 자기주도적 학습능력이 좋아 꾸준히 학업성적이 향상됨. 3D 디자인에 관심이 많고 상상력이 풍부하며 관련 동아리 활동과 독학으로 3D 프로그램을 학습하는 등 자신이 희망하는 진로와 연계하여 관련 정보와 지식을 축적하고 있어 발전가능성이 보임. 고민을 가지고 있는 친구들의 이야기를 성심껏 들어주며 교과에 대한 질문에도 친절하게 응답함.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v>
      </c>
      <c r="Z21" s="44" t="str">
        <f t="shared" si="3"/>
        <v>정서가 안정되어 있어 자신의 감정과 행동을 잘 통제하는 학생으로 활동적인 것을 좋아하고 매사 성실하고 책임감이 강함. 학습태도가 좋고 자신이 세운 학습목표에 따라 자신을 잘 통제하며 생활하는 자기주도적 학습능력이 좋아 꾸준히 학업성적이 향상됨. 3D 디자인에 관심이 많고 상상력이 풍부하며 관련 동아리 활동과 독학으로 3D 프로그램을 학습하는 등 자신이 희망하는 진로와 연계하여 관련 정보와 지식을 축적하고 있어 발전가능성이 보임. 고민을 가지고 있는 친구들의 이야기를 성심껏 들어주며 교과에 대한 질문에도 친절하게 응답함.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v>
      </c>
      <c r="AA21" s="4"/>
      <c r="AB21" s="4"/>
      <c r="AC21" s="4"/>
      <c r="AD21" s="4"/>
      <c r="AE21" s="4"/>
      <c r="AF21" s="4"/>
      <c r="AG21" s="4"/>
      <c r="AH21" s="4"/>
      <c r="AI21" s="4"/>
      <c r="AJ21" s="4"/>
      <c r="AK21" s="4"/>
      <c r="AL21" s="4"/>
      <c r="AM21" s="4"/>
      <c r="AN21" s="4"/>
      <c r="AO21" s="4"/>
      <c r="AP21" s="4"/>
      <c r="AQ21" s="4"/>
      <c r="AR21" s="4"/>
    </row>
    <row r="22" spans="1:44" ht="58.5">
      <c r="A22" s="4"/>
      <c r="B22" s="32">
        <f>IF(학급명렬표!B22&gt;0,학급명렬표!B22,"")</f>
        <v>19</v>
      </c>
      <c r="C22" s="32" t="str">
        <f>IF(학급명렬표!C22&gt;0,학급명렬표!C22,"")</f>
        <v>최다빈</v>
      </c>
      <c r="D22" s="61" t="str">
        <f>IF(F22="O",인성!E22&amp;CHAR(10),"")&amp;IF(G22="O",'인지적특성&amp;학습능력'!E22&amp;CHAR(10),"")&amp;IF(H22="O",창의성!E22&amp;CHAR(10),"")&amp;IF(I22="O",'잠재력&amp;진로'!E22&amp;CHAR(10),"")&amp;IF(J22="O",'배려&amp;타인존중'!E22&amp;CHAR(10),"")&amp;IF(K22="O",'나눔&amp;협력'!E22&amp;CHAR(10),"")&amp;IF(L22="O",'대인관계 지향성'!E22&amp;CHAR(10),"")&amp;IF(M22="O",규칙준수!E22&amp;CHAR(10),"")&amp;IF(N22="O",예체능!E22,"")</f>
        <v xml:space="preserve">밝고 쾌활한 성격으로 비교적 다정하고 사교적이라 교우관계가 원만하며 자기확신이 강함.
학습에 임하는 자세가 바르게 정착되어 있으며 꾸준히 노력하는 성품을 가졌음. 
문제 상황에 부딪쳤을 때 기지를 발휘해서 이를 해결하는 재치가 돋보임. 
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따뜻한 마음을 지닌 학생으로 학급에서 소외된 친구가 없는지 살피고 상대방의 입장에서 말하고 행동하는 등 배려심이 많아 학급 친구들에게 긍정적인 영향을 줌.
친구들과의 다툼을 잘 중재하고 합리적인 의사소통을 통해 어려움을 도와 주고 문제를 원만하게 해결하려고 힘써 노력함.
</v>
      </c>
      <c r="E22" s="39"/>
      <c r="F22" s="6" t="str">
        <f>IF(인성!D22&gt;0,"O","X")</f>
        <v>O</v>
      </c>
      <c r="G22" s="6" t="str">
        <f>IF('인지적특성&amp;학습능력'!D22&gt;0,"O","X")</f>
        <v>O</v>
      </c>
      <c r="H22" s="6" t="str">
        <f>IF(창의성!D22&gt;0,"O","X")</f>
        <v>O</v>
      </c>
      <c r="I22" s="6" t="str">
        <f>IF('잠재력&amp;진로'!D22&gt;0,"O","X")</f>
        <v>O</v>
      </c>
      <c r="J22" s="6" t="str">
        <f>IF('배려&amp;타인존중'!D22&gt;0,"O","X")</f>
        <v>O</v>
      </c>
      <c r="K22" s="6" t="str">
        <f>IF('나눔&amp;협력'!D22&gt;0,"O","X")</f>
        <v>X</v>
      </c>
      <c r="L22" s="6" t="str">
        <f>IF('대인관계 지향성'!D22&gt;0,"O","X")</f>
        <v>O</v>
      </c>
      <c r="M22" s="6" t="str">
        <f>IF(규칙준수!D22&gt;0,"O","X")</f>
        <v>X</v>
      </c>
      <c r="N22" s="6" t="str">
        <f>IF(예체능!D22&gt;0,"O","X")</f>
        <v>X</v>
      </c>
      <c r="O22" s="46">
        <f t="shared" si="1"/>
        <v>6</v>
      </c>
      <c r="P22" s="44" t="str">
        <f>IF(인성!D22=0,"",인성!E22)</f>
        <v>밝고 쾌활한 성격으로 비교적 다정하고 사교적이라 교우관계가 원만하며 자기확신이 강함.</v>
      </c>
      <c r="Q22" s="44" t="str">
        <f>IF('인지적특성&amp;학습능력'!D22=0,"",'인지적특성&amp;학습능력'!E22)</f>
        <v xml:space="preserve">학습에 임하는 자세가 바르게 정착되어 있으며 꾸준히 노력하는 성품을 가졌음. </v>
      </c>
      <c r="R22" s="44" t="str">
        <f>IF(창의성!D22=0,"",창의성!E22)</f>
        <v xml:space="preserve">문제 상황에 부딪쳤을 때 기지를 발휘해서 이를 해결하는 재치가 돋보임. </v>
      </c>
      <c r="S22" s="44" t="str">
        <f>IF('잠재력&amp;진로'!D22=0,"",'잠재력&amp;진로'!E22)</f>
        <v>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T22" s="44" t="str">
        <f>IF('배려&amp;타인존중'!D22=0,"",'배려&amp;타인존중'!E22)</f>
        <v>따뜻한 마음을 지닌 학생으로 학급에서 소외된 친구가 없는지 살피고 상대방의 입장에서 말하고 행동하는 등 배려심이 많아 학급 친구들에게 긍정적인 영향을 줌.</v>
      </c>
      <c r="U22" s="44" t="str">
        <f>IF('나눔&amp;협력'!D22=0,"",'나눔&amp;협력'!E22)</f>
        <v/>
      </c>
      <c r="V22" s="44" t="str">
        <f>IF('대인관계 지향성'!D22=0,"",'대인관계 지향성'!E22)</f>
        <v>친구들과의 다툼을 잘 중재하고 합리적인 의사소통을 통해 어려움을 도와 주고 문제를 원만하게 해결하려고 힘써 노력함.</v>
      </c>
      <c r="W22" s="44" t="str">
        <f>IF(규칙준수!D22=0,"",규칙준수!E22)</f>
        <v/>
      </c>
      <c r="X22" s="44" t="str">
        <f>IF(예체능!D22=0,"",예체능!E22)</f>
        <v/>
      </c>
      <c r="Y22" s="44" t="str">
        <f t="shared" si="2"/>
        <v>밝고 쾌활한 성격으로 비교적 다정하고 사교적이라 교우관계가 원만하며 자기확신이 강함. 학습에 임하는 자세가 바르게 정착되어 있으며 꾸준히 노력하는 성품을 가졌음. 문제 상황에 부딪쳤을 때 기지를 발휘해서 이를 해결하는 재치가 돋보임. 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따뜻한 마음을 지닌 학생으로 학급에서 소외된 친구가 없는지 살피고 상대방의 입장에서 말하고 행동하는 등 배려심이 많아 학급 친구들에게 긍정적인 영향을 줌. 친구들과의 다툼을 잘 중재하고 합리적인 의사소통을 통해 어려움을 도와 주고 문제를 원만하게 해결하려고 힘써 노력함.</v>
      </c>
      <c r="Z22" s="44" t="str">
        <f t="shared" si="3"/>
        <v>밝고 쾌활한 성격으로 비교적 다정하고 사교적이라 교우관계가 원만하며 자기확신이 강함. 학습에 임하는 자세가 바르게 정착되어 있으며 꾸준히 노력하는 성품을 가졌음.  문제 상황에 부딪쳤을 때 기지를 발휘해서 이를 해결하는 재치가 돋보임.  빅데이터 처리에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따뜻한 마음을 지닌 학생으로 학급에서 소외된 친구가 없는지 살피고 상대방의 입장에서 말하고 행동하는 등 배려심이 많아 학급 친구들에게 긍정적인 영향을 줌. 친구들과의 다툼을 잘 중재하고 합리적인 의사소통을 통해 어려움을 도와 주고 문제를 원만하게 해결하려고 힘써 노력함.</v>
      </c>
      <c r="AA22" s="4"/>
      <c r="AB22" s="4"/>
      <c r="AC22" s="4"/>
      <c r="AD22" s="4"/>
      <c r="AE22" s="4"/>
      <c r="AF22" s="4"/>
      <c r="AG22" s="4"/>
      <c r="AH22" s="4"/>
      <c r="AI22" s="4"/>
      <c r="AJ22" s="4"/>
      <c r="AK22" s="4"/>
      <c r="AL22" s="4"/>
      <c r="AM22" s="4"/>
      <c r="AN22" s="4"/>
      <c r="AO22" s="4"/>
      <c r="AP22" s="4"/>
      <c r="AQ22" s="4"/>
      <c r="AR22" s="4"/>
    </row>
    <row r="23" spans="1:44" ht="102.75" customHeight="1">
      <c r="A23" s="4"/>
      <c r="B23" s="32">
        <f>IF(학급명렬표!B23&gt;0,학급명렬표!B23,"")</f>
        <v>20</v>
      </c>
      <c r="C23" s="32" t="str">
        <f>IF(학급명렬표!C23&gt;0,학급명렬표!C23,"")</f>
        <v>홍준석</v>
      </c>
      <c r="D23" s="61" t="str">
        <f>IF(F23="O",인성!E23&amp;CHAR(10),"")&amp;IF(G23="O",'인지적특성&amp;학습능력'!E23&amp;CHAR(10),"")&amp;IF(H23="O",창의성!E23&amp;CHAR(10),"")&amp;IF(I23="O",'잠재력&amp;진로'!E23&amp;CHAR(10),"")&amp;IF(J23="O",'배려&amp;타인존중'!E23&amp;CHAR(10),"")&amp;IF(K23="O",'나눔&amp;협력'!E23&amp;CHAR(10),"")&amp;IF(L23="O",'대인관계 지향성'!E23&amp;CHAR(10),"")&amp;IF(M23="O",규칙준수!E23&amp;CHAR(10),"")&amp;IF(N23="O",예체능!E23,"")</f>
        <v>학급반장으로서 표정이 밝고 긍정적이며 매우 진취적인 성격을 소유한 학생으로 교우관계가 매우 좋고 자신의 주장을 잘 피력하는 등 자기확신이 높음.
인내력이 강하고 자기관리 능력이 뛰어나 자기주도적 학습능력이 우수하고 모든 교과목의 학업성취도가 탁월함.
새로운 것을 상상하고 고안하는 힘이 뛰어나 문제를 새로운 시각에서 해석하고 풀어내는 능력이 돋보임.
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
학교 행사에서 무거운 짐을 솔선하여 나르고 모두가 싫어하는 일을 스스로 맡아 구성원들이 제 역할을 즐겁고 열심히 수행하도록 동기부여를 함.
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학급회의 진행 시 다른 의견을 가진 급우들의 의사를 존중하고 공동의 목표를 위해 서로 토론하고 타협하도록 회의를 이끌어 감.
체육교과의 기본 운동능력이 골고루 뛰어나고 그 중에서 순발력이 매우 뛰어나 모든 체육교과 활동에서 탁월한 기능을 발휘함.</v>
      </c>
      <c r="E23" s="39"/>
      <c r="F23" s="6" t="str">
        <f>IF(인성!D23&gt;0,"O","X")</f>
        <v>O</v>
      </c>
      <c r="G23" s="6" t="str">
        <f>IF('인지적특성&amp;학습능력'!D23&gt;0,"O","X")</f>
        <v>O</v>
      </c>
      <c r="H23" s="6" t="str">
        <f>IF(창의성!D23&gt;0,"O","X")</f>
        <v>O</v>
      </c>
      <c r="I23" s="6" t="str">
        <f>IF('잠재력&amp;진로'!D23&gt;0,"O","X")</f>
        <v>O</v>
      </c>
      <c r="J23" s="6" t="str">
        <f>IF('배려&amp;타인존중'!D23&gt;0,"O","X")</f>
        <v>O</v>
      </c>
      <c r="K23" s="6" t="str">
        <f>IF('나눔&amp;협력'!D23&gt;0,"O","X")</f>
        <v>O</v>
      </c>
      <c r="L23" s="6" t="str">
        <f>IF('대인관계 지향성'!D23&gt;0,"O","X")</f>
        <v>O</v>
      </c>
      <c r="M23" s="6" t="str">
        <f>IF(규칙준수!D23&gt;0,"O","X")</f>
        <v>X</v>
      </c>
      <c r="N23" s="6" t="str">
        <f>IF(예체능!D23&gt;0,"O","X")</f>
        <v>O</v>
      </c>
      <c r="O23" s="46">
        <f t="shared" si="1"/>
        <v>8</v>
      </c>
      <c r="P23" s="44" t="str">
        <f>IF(인성!D23=0,"",인성!E23)</f>
        <v>학급반장으로서 표정이 밝고 긍정적이며 매우 진취적인 성격을 소유한 학생으로 교우관계가 매우 좋고 자신의 주장을 잘 피력하는 등 자기확신이 높음.</v>
      </c>
      <c r="Q23" s="44" t="str">
        <f>IF('인지적특성&amp;학습능력'!D23=0,"",'인지적특성&amp;학습능력'!E23)</f>
        <v>인내력이 강하고 자기관리 능력이 뛰어나 자기주도적 학습능력이 우수하고 모든 교과목의 학업성취도가 탁월함.</v>
      </c>
      <c r="R23" s="44" t="str">
        <f>IF(창의성!D23=0,"",창의성!E23)</f>
        <v>새로운 것을 상상하고 고안하는 힘이 뛰어나 문제를 새로운 시각에서 해석하고 풀어내는 능력이 돋보임.</v>
      </c>
      <c r="S23" s="44" t="str">
        <f>IF('잠재력&amp;진로'!D23=0,"",'잠재력&amp;진로'!E23)</f>
        <v>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v>
      </c>
      <c r="T23" s="44" t="str">
        <f>IF('배려&amp;타인존중'!D23=0,"",'배려&amp;타인존중'!E23)</f>
        <v>학교 행사에서 무거운 짐을 솔선하여 나르고 모두가 싫어하는 일을 스스로 맡아 구성원들이 제 역할을 즐겁고 열심히 수행하도록 동기부여를 함.</v>
      </c>
      <c r="U23" s="44" t="str">
        <f>IF('나눔&amp;협력'!D23=0,"",'나눔&amp;협력'!E23)</f>
        <v>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V23" s="44" t="str">
        <f>IF('대인관계 지향성'!D23=0,"",'대인관계 지향성'!E23)</f>
        <v>학급회의 진행 시 다른 의견을 가진 급우들의 의사를 존중하고 공동의 목표를 위해 서로 토론하고 타협하도록 회의를 이끌어 감.</v>
      </c>
      <c r="W23" s="44" t="str">
        <f>IF(규칙준수!D23=0,"",규칙준수!E23)</f>
        <v/>
      </c>
      <c r="X23" s="44" t="str">
        <f>IF(예체능!D23=0,"",예체능!E23)</f>
        <v>체육교과의 기본 운동능력이 골고루 뛰어나고 그 중에서 순발력이 매우 뛰어나 모든 체육교과 활동에서 탁월한 기능을 발휘함.</v>
      </c>
      <c r="Y23" s="44" t="str">
        <f t="shared" si="2"/>
        <v>학급반장으로서 표정이 밝고 긍정적이며 매우 진취적인 성격을 소유한 학생으로 교우관계가 매우 좋고 자신의 주장을 잘 피력하는 등 자기확신이 높음. 인내력이 강하고 자기관리 능력이 뛰어나 자기주도적 학습능력이 우수하고 모든 교과목의 학업성취도가 탁월함. 새로운 것을 상상하고 고안하는 힘이 뛰어나 문제를 새로운 시각에서 해석하고 풀어내는 능력이 돋보임. 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 학교 행사에서 무거운 짐을 솔선하여 나르고 모두가 싫어하는 일을 스스로 맡아 구성원들이 제 역할을 즐겁고 열심히 수행하도록 동기부여를 함. 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학급회의 진행 시 다른 의견을 가진 급우들의 의사를 존중하고 공동의 목표를 위해 서로 토론하고 타협하도록 회의를 이끌어 감. 체육교과의 기본 운동능력이 골고루 뛰어나고 그 중에서 순발력이 매우 뛰어나 모든 체육교과 활동에서 탁월한 기능을 발휘함.</v>
      </c>
      <c r="Z23" s="44" t="str">
        <f t="shared" si="3"/>
        <v>학급반장으로서 표정이 밝고 긍정적이며 매우 진취적인 성격을 소유한 학생으로 교우관계가 매우 좋고 자신의 주장을 잘 피력하는 등 자기확신이 높음. 인내력이 강하고 자기관리 능력이 뛰어나 자기주도적 학습능력이 우수하고 모든 교과목의 학업성취도가 탁월함. 새로운 것을 상상하고 고안하는 힘이 뛰어나 문제를 새로운 시각에서 해석하고 풀어내는 능력이 돋보임. 전기전자 분야에 관심이 많아 관련 도서를 꾸준히 읽고 탐구하는 등 관심분야에 대한 지적호기심을 충족하기위해 노력하고 전기전자와 프로그래밍을 결합한 다양한 프로젝트를 수행하는 등 모든 과정에 열정적으로 임하는 솔선수범하는 자세를 보이고 있어 장래가 기대됨. 학교 행사에서 무거운 짐을 솔선하여 나르고 모두가 싫어하는 일을 스스로 맡아 구성원들이 제 역할을 즐겁고 열심히 수행하도록 동기부여를 함. 소프트웨어 축전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학급회의 진행 시 다른 의견을 가진 급우들의 의사를 존중하고 공동의 목표를 위해 서로 토론하고 타협하도록 회의를 이끌어 감. 체육교과의 기본 운동능력이 골고루 뛰어나고 그 중에서 순발력이 매우 뛰어나 모든 체육교과 활동에서 탁월한 기능을 발휘함.</v>
      </c>
      <c r="AA23" s="4"/>
      <c r="AB23" s="4"/>
      <c r="AC23" s="4"/>
      <c r="AD23" s="4"/>
      <c r="AE23" s="4"/>
      <c r="AF23" s="4"/>
      <c r="AG23" s="4"/>
      <c r="AH23" s="4"/>
      <c r="AI23" s="4"/>
      <c r="AJ23" s="4"/>
      <c r="AK23" s="4"/>
      <c r="AL23" s="4"/>
      <c r="AM23" s="4"/>
      <c r="AN23" s="4"/>
      <c r="AO23" s="4"/>
      <c r="AP23" s="4"/>
      <c r="AQ23" s="4"/>
      <c r="AR23" s="4"/>
    </row>
    <row r="24" spans="1:44">
      <c r="A24" s="4"/>
      <c r="B24" s="32" t="str">
        <f>IF(학급명렬표!B24&gt;0,학급명렬표!B24,"")</f>
        <v/>
      </c>
      <c r="C24" s="32" t="str">
        <f>IF(학급명렬표!C24&gt;0,학급명렬표!C24,"")</f>
        <v/>
      </c>
      <c r="D24" s="45"/>
      <c r="E24" s="39"/>
      <c r="F24" s="6" t="str">
        <f>IF(인성!D24&gt;0,"O","X")</f>
        <v>X</v>
      </c>
      <c r="G24" s="6" t="str">
        <f>IF('인지적특성&amp;학습능력'!D24&gt;0,"O","X")</f>
        <v>X</v>
      </c>
      <c r="H24" s="6" t="str">
        <f>IF(창의성!D24&gt;0,"O","X")</f>
        <v>X</v>
      </c>
      <c r="I24" s="6" t="str">
        <f>IF('잠재력&amp;진로'!D24&gt;0,"O","X")</f>
        <v>X</v>
      </c>
      <c r="J24" s="6" t="str">
        <f>IF('배려&amp;타인존중'!D24&gt;0,"O","X")</f>
        <v>X</v>
      </c>
      <c r="K24" s="6" t="str">
        <f>IF('나눔&amp;협력'!D24&gt;0,"O","X")</f>
        <v>X</v>
      </c>
      <c r="L24" s="6" t="str">
        <f>IF('대인관계 지향성'!D24&gt;0,"O","X")</f>
        <v>X</v>
      </c>
      <c r="M24" s="6" t="str">
        <f>IF(규칙준수!D24&gt;0,"O","X")</f>
        <v>X</v>
      </c>
      <c r="N24" s="6" t="str">
        <f>IF(예체능!D24&gt;0,"O","X")</f>
        <v>X</v>
      </c>
      <c r="O24" s="46">
        <f t="shared" si="1"/>
        <v>0</v>
      </c>
      <c r="P24" s="44" t="str">
        <f>IF(인성!D24=0,"",인성!E24)</f>
        <v/>
      </c>
      <c r="Q24" s="44" t="str">
        <f>IF('인지적특성&amp;학습능력'!D24=0,"",'인지적특성&amp;학습능력'!E24)</f>
        <v/>
      </c>
      <c r="R24" s="44" t="str">
        <f>IF(창의성!D24=0,"",창의성!E24)</f>
        <v/>
      </c>
      <c r="S24" s="44" t="str">
        <f>IF('잠재력&amp;진로'!D24=0,"",'잠재력&amp;진로'!E24)</f>
        <v/>
      </c>
      <c r="T24" s="44" t="str">
        <f>IF('배려&amp;타인존중'!D24=0,"",'배려&amp;타인존중'!E24)</f>
        <v/>
      </c>
      <c r="U24" s="44" t="str">
        <f>IF('나눔&amp;협력'!D24=0,"",'나눔&amp;협력'!E24)</f>
        <v/>
      </c>
      <c r="V24" s="44" t="str">
        <f>IF('대인관계 지향성'!D24=0,"",'대인관계 지향성'!E24)</f>
        <v/>
      </c>
      <c r="W24" s="44" t="str">
        <f>IF(규칙준수!D24=0,"",규칙준수!E24)</f>
        <v/>
      </c>
      <c r="X24" s="44" t="str">
        <f>IF(예체능!D24=0,"",예체능!E24)</f>
        <v/>
      </c>
      <c r="Y24" s="44" t="str">
        <f t="shared" si="2"/>
        <v/>
      </c>
      <c r="Z24" s="44" t="str">
        <f t="shared" si="3"/>
        <v/>
      </c>
      <c r="AA24" s="4"/>
      <c r="AB24" s="4"/>
      <c r="AC24" s="4"/>
      <c r="AD24" s="4"/>
      <c r="AE24" s="4"/>
      <c r="AF24" s="4"/>
      <c r="AG24" s="4"/>
      <c r="AH24" s="4"/>
      <c r="AI24" s="4"/>
      <c r="AJ24" s="4"/>
      <c r="AK24" s="4"/>
      <c r="AL24" s="4"/>
      <c r="AM24" s="4"/>
      <c r="AN24" s="4"/>
      <c r="AO24" s="4"/>
      <c r="AP24" s="4"/>
      <c r="AQ24" s="4"/>
      <c r="AR24" s="4"/>
    </row>
    <row r="25" spans="1:44">
      <c r="A25" s="4"/>
      <c r="B25" s="32" t="str">
        <f>IF(학급명렬표!B25&gt;0,학급명렬표!B25,"")</f>
        <v/>
      </c>
      <c r="C25" s="32" t="str">
        <f>IF(학급명렬표!C25&gt;0,학급명렬표!C25,"")</f>
        <v/>
      </c>
      <c r="D25" s="45"/>
      <c r="E25" s="39"/>
      <c r="F25" s="6" t="str">
        <f>IF(인성!D25&gt;0,"O","X")</f>
        <v>X</v>
      </c>
      <c r="G25" s="6" t="str">
        <f>IF('인지적특성&amp;학습능력'!D25&gt;0,"O","X")</f>
        <v>X</v>
      </c>
      <c r="H25" s="6" t="str">
        <f>IF(창의성!D25&gt;0,"O","X")</f>
        <v>X</v>
      </c>
      <c r="I25" s="6" t="str">
        <f>IF('잠재력&amp;진로'!D25&gt;0,"O","X")</f>
        <v>X</v>
      </c>
      <c r="J25" s="6" t="str">
        <f>IF('배려&amp;타인존중'!D25&gt;0,"O","X")</f>
        <v>X</v>
      </c>
      <c r="K25" s="6" t="str">
        <f>IF('나눔&amp;협력'!D25&gt;0,"O","X")</f>
        <v>X</v>
      </c>
      <c r="L25" s="6" t="str">
        <f>IF('대인관계 지향성'!D25&gt;0,"O","X")</f>
        <v>X</v>
      </c>
      <c r="M25" s="6" t="str">
        <f>IF(규칙준수!D25&gt;0,"O","X")</f>
        <v>X</v>
      </c>
      <c r="N25" s="6" t="str">
        <f>IF(예체능!D25&gt;0,"O","X")</f>
        <v>X</v>
      </c>
      <c r="O25" s="46">
        <f t="shared" si="1"/>
        <v>0</v>
      </c>
      <c r="P25" s="44" t="str">
        <f>IF(인성!D25=0,"",인성!E25)</f>
        <v/>
      </c>
      <c r="Q25" s="44" t="str">
        <f>IF('인지적특성&amp;학습능력'!D25=0,"",'인지적특성&amp;학습능력'!E25)</f>
        <v/>
      </c>
      <c r="R25" s="44" t="str">
        <f>IF(창의성!D25=0,"",창의성!E25)</f>
        <v/>
      </c>
      <c r="S25" s="44" t="str">
        <f>IF('잠재력&amp;진로'!D25=0,"",'잠재력&amp;진로'!E25)</f>
        <v/>
      </c>
      <c r="T25" s="44" t="str">
        <f>IF('배려&amp;타인존중'!D25=0,"",'배려&amp;타인존중'!E25)</f>
        <v/>
      </c>
      <c r="U25" s="44" t="str">
        <f>IF('나눔&amp;협력'!D25=0,"",'나눔&amp;협력'!E25)</f>
        <v/>
      </c>
      <c r="V25" s="44" t="str">
        <f>IF('대인관계 지향성'!D25=0,"",'대인관계 지향성'!E25)</f>
        <v/>
      </c>
      <c r="W25" s="44" t="str">
        <f>IF(규칙준수!D25=0,"",규칙준수!E25)</f>
        <v/>
      </c>
      <c r="X25" s="44" t="str">
        <f>IF(예체능!D25=0,"",예체능!E25)</f>
        <v/>
      </c>
      <c r="Y25" s="44" t="str">
        <f t="shared" si="2"/>
        <v/>
      </c>
      <c r="Z25" s="44" t="str">
        <f t="shared" si="3"/>
        <v/>
      </c>
      <c r="AA25" s="4"/>
      <c r="AB25" s="4"/>
      <c r="AC25" s="4"/>
      <c r="AD25" s="4"/>
      <c r="AE25" s="4"/>
      <c r="AF25" s="4"/>
      <c r="AG25" s="4"/>
      <c r="AH25" s="4"/>
      <c r="AI25" s="4"/>
      <c r="AJ25" s="4"/>
      <c r="AK25" s="4"/>
      <c r="AL25" s="4"/>
      <c r="AM25" s="4"/>
      <c r="AN25" s="4"/>
      <c r="AO25" s="4"/>
      <c r="AP25" s="4"/>
      <c r="AQ25" s="4"/>
      <c r="AR25" s="4"/>
    </row>
    <row r="26" spans="1:44">
      <c r="A26" s="4"/>
      <c r="B26" s="32" t="str">
        <f>IF(학급명렬표!B26&gt;0,학급명렬표!B26,"")</f>
        <v/>
      </c>
      <c r="C26" s="32" t="str">
        <f>IF(학급명렬표!C26&gt;0,학급명렬표!C26,"")</f>
        <v/>
      </c>
      <c r="D26" s="45"/>
      <c r="E26" s="39"/>
      <c r="F26" s="6" t="str">
        <f>IF(인성!D26&gt;0,"O","X")</f>
        <v>X</v>
      </c>
      <c r="G26" s="6" t="str">
        <f>IF('인지적특성&amp;학습능력'!D26&gt;0,"O","X")</f>
        <v>X</v>
      </c>
      <c r="H26" s="6" t="str">
        <f>IF(창의성!D26&gt;0,"O","X")</f>
        <v>X</v>
      </c>
      <c r="I26" s="6" t="str">
        <f>IF('잠재력&amp;진로'!D26&gt;0,"O","X")</f>
        <v>X</v>
      </c>
      <c r="J26" s="6" t="str">
        <f>IF('배려&amp;타인존중'!D26&gt;0,"O","X")</f>
        <v>X</v>
      </c>
      <c r="K26" s="6" t="str">
        <f>IF('나눔&amp;협력'!D26&gt;0,"O","X")</f>
        <v>X</v>
      </c>
      <c r="L26" s="6" t="str">
        <f>IF('대인관계 지향성'!D26&gt;0,"O","X")</f>
        <v>X</v>
      </c>
      <c r="M26" s="6" t="str">
        <f>IF(규칙준수!D26&gt;0,"O","X")</f>
        <v>X</v>
      </c>
      <c r="N26" s="6" t="str">
        <f>IF(예체능!D26&gt;0,"O","X")</f>
        <v>X</v>
      </c>
      <c r="O26" s="46">
        <f t="shared" si="1"/>
        <v>0</v>
      </c>
      <c r="P26" s="44" t="str">
        <f>IF(인성!D26=0,"",인성!E26)</f>
        <v/>
      </c>
      <c r="Q26" s="44" t="str">
        <f>IF('인지적특성&amp;학습능력'!D26=0,"",'인지적특성&amp;학습능력'!E26)</f>
        <v/>
      </c>
      <c r="R26" s="44" t="str">
        <f>IF(창의성!D26=0,"",창의성!E26)</f>
        <v/>
      </c>
      <c r="S26" s="44" t="str">
        <f>IF('잠재력&amp;진로'!D26=0,"",'잠재력&amp;진로'!E26)</f>
        <v/>
      </c>
      <c r="T26" s="44" t="str">
        <f>IF('배려&amp;타인존중'!D26=0,"",'배려&amp;타인존중'!E26)</f>
        <v/>
      </c>
      <c r="U26" s="44" t="str">
        <f>IF('나눔&amp;협력'!D26=0,"",'나눔&amp;협력'!E26)</f>
        <v/>
      </c>
      <c r="V26" s="44" t="str">
        <f>IF('대인관계 지향성'!D26=0,"",'대인관계 지향성'!E26)</f>
        <v/>
      </c>
      <c r="W26" s="44" t="str">
        <f>IF(규칙준수!D26=0,"",규칙준수!E26)</f>
        <v/>
      </c>
      <c r="X26" s="44" t="str">
        <f>IF(예체능!D26=0,"",예체능!E26)</f>
        <v/>
      </c>
      <c r="Y26" s="44" t="str">
        <f t="shared" si="2"/>
        <v/>
      </c>
      <c r="Z26" s="44" t="str">
        <f t="shared" si="3"/>
        <v/>
      </c>
      <c r="AA26" s="4"/>
      <c r="AB26" s="4"/>
      <c r="AC26" s="4"/>
      <c r="AD26" s="4"/>
      <c r="AE26" s="4"/>
      <c r="AF26" s="4"/>
      <c r="AG26" s="4"/>
      <c r="AH26" s="4"/>
      <c r="AI26" s="4"/>
      <c r="AJ26" s="4"/>
      <c r="AK26" s="4"/>
      <c r="AL26" s="4"/>
      <c r="AM26" s="4"/>
      <c r="AN26" s="4"/>
      <c r="AO26" s="4"/>
      <c r="AP26" s="4"/>
      <c r="AQ26" s="4"/>
      <c r="AR26" s="4"/>
    </row>
    <row r="27" spans="1:44">
      <c r="A27" s="4"/>
      <c r="B27" s="32" t="str">
        <f>IF(학급명렬표!B27&gt;0,학급명렬표!B27,"")</f>
        <v/>
      </c>
      <c r="C27" s="32" t="str">
        <f>IF(학급명렬표!C27&gt;0,학급명렬표!C27,"")</f>
        <v/>
      </c>
      <c r="D27" s="45"/>
      <c r="E27" s="39"/>
      <c r="F27" s="6" t="str">
        <f>IF(인성!D27&gt;0,"O","X")</f>
        <v>X</v>
      </c>
      <c r="G27" s="6" t="str">
        <f>IF('인지적특성&amp;학습능력'!D27&gt;0,"O","X")</f>
        <v>X</v>
      </c>
      <c r="H27" s="6" t="str">
        <f>IF(창의성!D27&gt;0,"O","X")</f>
        <v>X</v>
      </c>
      <c r="I27" s="6" t="str">
        <f>IF('잠재력&amp;진로'!D27&gt;0,"O","X")</f>
        <v>X</v>
      </c>
      <c r="J27" s="6" t="str">
        <f>IF('배려&amp;타인존중'!D27&gt;0,"O","X")</f>
        <v>X</v>
      </c>
      <c r="K27" s="6" t="str">
        <f>IF('나눔&amp;협력'!D27&gt;0,"O","X")</f>
        <v>X</v>
      </c>
      <c r="L27" s="6" t="str">
        <f>IF('대인관계 지향성'!D27&gt;0,"O","X")</f>
        <v>X</v>
      </c>
      <c r="M27" s="6" t="str">
        <f>IF(규칙준수!D27&gt;0,"O","X")</f>
        <v>X</v>
      </c>
      <c r="N27" s="6" t="str">
        <f>IF(예체능!D27&gt;0,"O","X")</f>
        <v>X</v>
      </c>
      <c r="O27" s="46">
        <f t="shared" si="1"/>
        <v>0</v>
      </c>
      <c r="P27" s="44" t="str">
        <f>IF(인성!D27=0,"",인성!E27)</f>
        <v/>
      </c>
      <c r="Q27" s="44" t="str">
        <f>IF('인지적특성&amp;학습능력'!D27=0,"",'인지적특성&amp;학습능력'!E27)</f>
        <v/>
      </c>
      <c r="R27" s="44" t="str">
        <f>IF(창의성!D27=0,"",창의성!E27)</f>
        <v/>
      </c>
      <c r="S27" s="44" t="str">
        <f>IF('잠재력&amp;진로'!D27=0,"",'잠재력&amp;진로'!E27)</f>
        <v/>
      </c>
      <c r="T27" s="44" t="str">
        <f>IF('배려&amp;타인존중'!D27=0,"",'배려&amp;타인존중'!E27)</f>
        <v/>
      </c>
      <c r="U27" s="44" t="str">
        <f>IF('나눔&amp;협력'!D27=0,"",'나눔&amp;협력'!E27)</f>
        <v/>
      </c>
      <c r="V27" s="44" t="str">
        <f>IF('대인관계 지향성'!D27=0,"",'대인관계 지향성'!E27)</f>
        <v/>
      </c>
      <c r="W27" s="44" t="str">
        <f>IF(규칙준수!D27=0,"",규칙준수!E27)</f>
        <v/>
      </c>
      <c r="X27" s="44" t="str">
        <f>IF(예체능!D27=0,"",예체능!E27)</f>
        <v/>
      </c>
      <c r="Y27" s="44" t="str">
        <f t="shared" si="2"/>
        <v/>
      </c>
      <c r="Z27" s="44" t="str">
        <f t="shared" si="3"/>
        <v/>
      </c>
      <c r="AA27" s="4"/>
      <c r="AB27" s="4"/>
      <c r="AC27" s="4"/>
      <c r="AD27" s="4"/>
      <c r="AE27" s="4"/>
      <c r="AF27" s="4"/>
      <c r="AG27" s="4"/>
      <c r="AH27" s="4"/>
      <c r="AI27" s="4"/>
      <c r="AJ27" s="4"/>
      <c r="AK27" s="4"/>
      <c r="AL27" s="4"/>
      <c r="AM27" s="4"/>
      <c r="AN27" s="4"/>
      <c r="AO27" s="4"/>
      <c r="AP27" s="4"/>
      <c r="AQ27" s="4"/>
      <c r="AR27" s="4"/>
    </row>
    <row r="28" spans="1:44">
      <c r="A28" s="4"/>
      <c r="B28" s="32" t="str">
        <f>IF(학급명렬표!B28&gt;0,학급명렬표!B28,"")</f>
        <v/>
      </c>
      <c r="C28" s="32" t="str">
        <f>IF(학급명렬표!C28&gt;0,학급명렬표!C28,"")</f>
        <v/>
      </c>
      <c r="D28" s="45"/>
      <c r="E28" s="39"/>
      <c r="F28" s="6" t="str">
        <f>IF(인성!D28&gt;0,"O","X")</f>
        <v>X</v>
      </c>
      <c r="G28" s="6" t="str">
        <f>IF('인지적특성&amp;학습능력'!D28&gt;0,"O","X")</f>
        <v>X</v>
      </c>
      <c r="H28" s="6" t="str">
        <f>IF(창의성!D28&gt;0,"O","X")</f>
        <v>X</v>
      </c>
      <c r="I28" s="6" t="str">
        <f>IF('잠재력&amp;진로'!D28&gt;0,"O","X")</f>
        <v>X</v>
      </c>
      <c r="J28" s="6" t="str">
        <f>IF('배려&amp;타인존중'!D28&gt;0,"O","X")</f>
        <v>X</v>
      </c>
      <c r="K28" s="6" t="str">
        <f>IF('나눔&amp;협력'!D28&gt;0,"O","X")</f>
        <v>X</v>
      </c>
      <c r="L28" s="6" t="str">
        <f>IF('대인관계 지향성'!D28&gt;0,"O","X")</f>
        <v>X</v>
      </c>
      <c r="M28" s="6" t="str">
        <f>IF(규칙준수!D28&gt;0,"O","X")</f>
        <v>X</v>
      </c>
      <c r="N28" s="6" t="str">
        <f>IF(예체능!D28&gt;0,"O","X")</f>
        <v>X</v>
      </c>
      <c r="O28" s="46">
        <f t="shared" si="1"/>
        <v>0</v>
      </c>
      <c r="P28" s="44" t="str">
        <f>IF(인성!D28=0,"",인성!E28)</f>
        <v/>
      </c>
      <c r="Q28" s="44" t="str">
        <f>IF('인지적특성&amp;학습능력'!D28=0,"",'인지적특성&amp;학습능력'!E28)</f>
        <v/>
      </c>
      <c r="R28" s="44" t="str">
        <f>IF(창의성!D28=0,"",창의성!E28)</f>
        <v/>
      </c>
      <c r="S28" s="44" t="str">
        <f>IF('잠재력&amp;진로'!D28=0,"",'잠재력&amp;진로'!E28)</f>
        <v/>
      </c>
      <c r="T28" s="44" t="str">
        <f>IF('배려&amp;타인존중'!D28=0,"",'배려&amp;타인존중'!E28)</f>
        <v/>
      </c>
      <c r="U28" s="44" t="str">
        <f>IF('나눔&amp;협력'!D28=0,"",'나눔&amp;협력'!E28)</f>
        <v/>
      </c>
      <c r="V28" s="44" t="str">
        <f>IF('대인관계 지향성'!D28=0,"",'대인관계 지향성'!E28)</f>
        <v/>
      </c>
      <c r="W28" s="44" t="str">
        <f>IF(규칙준수!D28=0,"",규칙준수!E28)</f>
        <v/>
      </c>
      <c r="X28" s="44" t="str">
        <f>IF(예체능!D28=0,"",예체능!E28)</f>
        <v/>
      </c>
      <c r="Y28" s="44" t="str">
        <f t="shared" si="2"/>
        <v/>
      </c>
      <c r="Z28" s="44" t="str">
        <f t="shared" si="3"/>
        <v/>
      </c>
      <c r="AA28" s="4"/>
      <c r="AB28" s="4"/>
      <c r="AC28" s="4"/>
      <c r="AD28" s="4"/>
      <c r="AE28" s="4"/>
      <c r="AF28" s="4"/>
      <c r="AG28" s="4"/>
      <c r="AH28" s="4"/>
      <c r="AI28" s="4"/>
      <c r="AJ28" s="4"/>
      <c r="AK28" s="4"/>
      <c r="AL28" s="4"/>
      <c r="AM28" s="4"/>
      <c r="AN28" s="4"/>
      <c r="AO28" s="4"/>
      <c r="AP28" s="4"/>
      <c r="AQ28" s="4"/>
      <c r="AR28" s="4"/>
    </row>
    <row r="29" spans="1:44">
      <c r="A29" s="4"/>
      <c r="B29" s="32" t="str">
        <f>IF(학급명렬표!B29&gt;0,학급명렬표!B29,"")</f>
        <v/>
      </c>
      <c r="C29" s="32" t="str">
        <f>IF(학급명렬표!C29&gt;0,학급명렬표!C29,"")</f>
        <v/>
      </c>
      <c r="D29" s="45"/>
      <c r="E29" s="39"/>
      <c r="F29" s="6" t="str">
        <f>IF(인성!D29&gt;0,"O","X")</f>
        <v>X</v>
      </c>
      <c r="G29" s="6" t="str">
        <f>IF('인지적특성&amp;학습능력'!D29&gt;0,"O","X")</f>
        <v>X</v>
      </c>
      <c r="H29" s="6" t="str">
        <f>IF(창의성!D29&gt;0,"O","X")</f>
        <v>X</v>
      </c>
      <c r="I29" s="6" t="str">
        <f>IF('잠재력&amp;진로'!D29&gt;0,"O","X")</f>
        <v>X</v>
      </c>
      <c r="J29" s="6" t="str">
        <f>IF('배려&amp;타인존중'!D29&gt;0,"O","X")</f>
        <v>X</v>
      </c>
      <c r="K29" s="6" t="str">
        <f>IF('나눔&amp;협력'!D29&gt;0,"O","X")</f>
        <v>X</v>
      </c>
      <c r="L29" s="6" t="str">
        <f>IF('대인관계 지향성'!D29&gt;0,"O","X")</f>
        <v>X</v>
      </c>
      <c r="M29" s="6" t="str">
        <f>IF(규칙준수!D29&gt;0,"O","X")</f>
        <v>X</v>
      </c>
      <c r="N29" s="6" t="str">
        <f>IF(예체능!D29&gt;0,"O","X")</f>
        <v>X</v>
      </c>
      <c r="O29" s="46">
        <f t="shared" si="1"/>
        <v>0</v>
      </c>
      <c r="P29" s="44" t="str">
        <f>IF(인성!D29=0,"",인성!E29)</f>
        <v/>
      </c>
      <c r="Q29" s="44" t="str">
        <f>IF('인지적특성&amp;학습능력'!D29=0,"",'인지적특성&amp;학습능력'!E29)</f>
        <v/>
      </c>
      <c r="R29" s="44" t="str">
        <f>IF(창의성!D29=0,"",창의성!E29)</f>
        <v/>
      </c>
      <c r="S29" s="44" t="str">
        <f>IF('잠재력&amp;진로'!D29=0,"",'잠재력&amp;진로'!E29)</f>
        <v/>
      </c>
      <c r="T29" s="44" t="str">
        <f>IF('배려&amp;타인존중'!D29=0,"",'배려&amp;타인존중'!E29)</f>
        <v/>
      </c>
      <c r="U29" s="44" t="str">
        <f>IF('나눔&amp;협력'!D29=0,"",'나눔&amp;협력'!E29)</f>
        <v/>
      </c>
      <c r="V29" s="44" t="str">
        <f>IF('대인관계 지향성'!D29=0,"",'대인관계 지향성'!E29)</f>
        <v/>
      </c>
      <c r="W29" s="44" t="str">
        <f>IF(규칙준수!D29=0,"",규칙준수!E29)</f>
        <v/>
      </c>
      <c r="X29" s="44" t="str">
        <f>IF(예체능!D29=0,"",예체능!E29)</f>
        <v/>
      </c>
      <c r="Y29" s="44" t="str">
        <f t="shared" si="2"/>
        <v/>
      </c>
      <c r="Z29" s="44" t="str">
        <f t="shared" si="3"/>
        <v/>
      </c>
      <c r="AA29" s="4"/>
      <c r="AB29" s="4"/>
      <c r="AC29" s="4"/>
      <c r="AD29" s="4"/>
      <c r="AE29" s="4"/>
      <c r="AF29" s="4"/>
      <c r="AG29" s="4"/>
      <c r="AH29" s="4"/>
      <c r="AI29" s="4"/>
      <c r="AJ29" s="4"/>
      <c r="AK29" s="4"/>
      <c r="AL29" s="4"/>
      <c r="AM29" s="4"/>
      <c r="AN29" s="4"/>
      <c r="AO29" s="4"/>
      <c r="AP29" s="4"/>
      <c r="AQ29" s="4"/>
      <c r="AR29" s="4"/>
    </row>
    <row r="30" spans="1:44">
      <c r="A30" s="4"/>
      <c r="B30" s="32" t="str">
        <f>IF(학급명렬표!B30&gt;0,학급명렬표!B30,"")</f>
        <v/>
      </c>
      <c r="C30" s="32" t="str">
        <f>IF(학급명렬표!C30&gt;0,학급명렬표!C30,"")</f>
        <v/>
      </c>
      <c r="D30" s="45"/>
      <c r="E30" s="39"/>
      <c r="F30" s="6" t="str">
        <f>IF(인성!D30&gt;0,"O","X")</f>
        <v>X</v>
      </c>
      <c r="G30" s="6" t="str">
        <f>IF('인지적특성&amp;학습능력'!D30&gt;0,"O","X")</f>
        <v>X</v>
      </c>
      <c r="H30" s="6" t="str">
        <f>IF(창의성!D30&gt;0,"O","X")</f>
        <v>X</v>
      </c>
      <c r="I30" s="6" t="str">
        <f>IF('잠재력&amp;진로'!D30&gt;0,"O","X")</f>
        <v>X</v>
      </c>
      <c r="J30" s="6" t="str">
        <f>IF('배려&amp;타인존중'!D30&gt;0,"O","X")</f>
        <v>X</v>
      </c>
      <c r="K30" s="6" t="str">
        <f>IF('나눔&amp;협력'!D30&gt;0,"O","X")</f>
        <v>X</v>
      </c>
      <c r="L30" s="6" t="str">
        <f>IF('대인관계 지향성'!D30&gt;0,"O","X")</f>
        <v>X</v>
      </c>
      <c r="M30" s="6" t="str">
        <f>IF(규칙준수!D30&gt;0,"O","X")</f>
        <v>X</v>
      </c>
      <c r="N30" s="6" t="str">
        <f>IF(예체능!D30&gt;0,"O","X")</f>
        <v>X</v>
      </c>
      <c r="O30" s="46">
        <f t="shared" si="1"/>
        <v>0</v>
      </c>
      <c r="P30" s="44" t="str">
        <f>IF(인성!D30=0,"",인성!E30)</f>
        <v/>
      </c>
      <c r="Q30" s="44" t="str">
        <f>IF('인지적특성&amp;학습능력'!D30=0,"",'인지적특성&amp;학습능력'!E30)</f>
        <v/>
      </c>
      <c r="R30" s="44" t="str">
        <f>IF(창의성!D30=0,"",창의성!E30)</f>
        <v/>
      </c>
      <c r="S30" s="44" t="str">
        <f>IF('잠재력&amp;진로'!D30=0,"",'잠재력&amp;진로'!E30)</f>
        <v/>
      </c>
      <c r="T30" s="44" t="str">
        <f>IF('배려&amp;타인존중'!D30=0,"",'배려&amp;타인존중'!E30)</f>
        <v/>
      </c>
      <c r="U30" s="44" t="str">
        <f>IF('나눔&amp;협력'!D30=0,"",'나눔&amp;협력'!E30)</f>
        <v/>
      </c>
      <c r="V30" s="44" t="str">
        <f>IF('대인관계 지향성'!D30=0,"",'대인관계 지향성'!E30)</f>
        <v/>
      </c>
      <c r="W30" s="44" t="str">
        <f>IF(규칙준수!D30=0,"",규칙준수!E30)</f>
        <v/>
      </c>
      <c r="X30" s="44" t="str">
        <f>IF(예체능!D30=0,"",예체능!E30)</f>
        <v/>
      </c>
      <c r="Y30" s="44" t="str">
        <f t="shared" si="2"/>
        <v/>
      </c>
      <c r="Z30" s="44" t="str">
        <f t="shared" si="3"/>
        <v/>
      </c>
      <c r="AA30" s="4"/>
      <c r="AB30" s="4"/>
      <c r="AC30" s="4"/>
      <c r="AD30" s="4"/>
      <c r="AE30" s="4"/>
      <c r="AF30" s="4"/>
      <c r="AG30" s="4"/>
      <c r="AH30" s="4"/>
      <c r="AI30" s="4"/>
      <c r="AJ30" s="4"/>
      <c r="AK30" s="4"/>
      <c r="AL30" s="4"/>
      <c r="AM30" s="4"/>
      <c r="AN30" s="4"/>
      <c r="AO30" s="4"/>
      <c r="AP30" s="4"/>
      <c r="AQ30" s="4"/>
      <c r="AR30" s="4"/>
    </row>
    <row r="31" spans="1:44">
      <c r="A31" s="4"/>
      <c r="B31" s="32" t="str">
        <f>IF(학급명렬표!B31&gt;0,학급명렬표!B31,"")</f>
        <v/>
      </c>
      <c r="C31" s="32" t="str">
        <f>IF(학급명렬표!C31&gt;0,학급명렬표!C31,"")</f>
        <v/>
      </c>
      <c r="D31" s="45"/>
      <c r="E31" s="39"/>
      <c r="F31" s="6" t="str">
        <f>IF(인성!D31&gt;0,"O","X")</f>
        <v>X</v>
      </c>
      <c r="G31" s="6" t="str">
        <f>IF('인지적특성&amp;학습능력'!D31&gt;0,"O","X")</f>
        <v>X</v>
      </c>
      <c r="H31" s="6" t="str">
        <f>IF(창의성!D31&gt;0,"O","X")</f>
        <v>X</v>
      </c>
      <c r="I31" s="6" t="str">
        <f>IF('잠재력&amp;진로'!D31&gt;0,"O","X")</f>
        <v>X</v>
      </c>
      <c r="J31" s="6" t="str">
        <f>IF('배려&amp;타인존중'!D31&gt;0,"O","X")</f>
        <v>X</v>
      </c>
      <c r="K31" s="6" t="str">
        <f>IF('나눔&amp;협력'!D31&gt;0,"O","X")</f>
        <v>X</v>
      </c>
      <c r="L31" s="6" t="str">
        <f>IF('대인관계 지향성'!D31&gt;0,"O","X")</f>
        <v>X</v>
      </c>
      <c r="M31" s="6" t="str">
        <f>IF(규칙준수!D31&gt;0,"O","X")</f>
        <v>X</v>
      </c>
      <c r="N31" s="6" t="str">
        <f>IF(예체능!D31&gt;0,"O","X")</f>
        <v>X</v>
      </c>
      <c r="O31" s="46">
        <f t="shared" si="1"/>
        <v>0</v>
      </c>
      <c r="P31" s="44" t="str">
        <f>IF(인성!D31=0,"",인성!E31)</f>
        <v/>
      </c>
      <c r="Q31" s="44" t="str">
        <f>IF('인지적특성&amp;학습능력'!D31=0,"",'인지적특성&amp;학습능력'!E31)</f>
        <v/>
      </c>
      <c r="R31" s="44" t="str">
        <f>IF(창의성!D31=0,"",창의성!E31)</f>
        <v/>
      </c>
      <c r="S31" s="44" t="str">
        <f>IF('잠재력&amp;진로'!D31=0,"",'잠재력&amp;진로'!E31)</f>
        <v/>
      </c>
      <c r="T31" s="44" t="str">
        <f>IF('배려&amp;타인존중'!D31=0,"",'배려&amp;타인존중'!E31)</f>
        <v/>
      </c>
      <c r="U31" s="44" t="str">
        <f>IF('나눔&amp;협력'!D31=0,"",'나눔&amp;협력'!E31)</f>
        <v/>
      </c>
      <c r="V31" s="44" t="str">
        <f>IF('대인관계 지향성'!D31=0,"",'대인관계 지향성'!E31)</f>
        <v/>
      </c>
      <c r="W31" s="44" t="str">
        <f>IF(규칙준수!D31=0,"",규칙준수!E31)</f>
        <v/>
      </c>
      <c r="X31" s="44" t="str">
        <f>IF(예체능!D31=0,"",예체능!E31)</f>
        <v/>
      </c>
      <c r="Y31" s="44" t="str">
        <f t="shared" si="2"/>
        <v/>
      </c>
      <c r="Z31" s="44" t="str">
        <f t="shared" si="3"/>
        <v/>
      </c>
      <c r="AA31" s="4"/>
      <c r="AB31" s="4"/>
      <c r="AC31" s="4"/>
      <c r="AD31" s="4"/>
      <c r="AE31" s="4"/>
      <c r="AF31" s="4"/>
      <c r="AG31" s="4"/>
      <c r="AH31" s="4"/>
      <c r="AI31" s="4"/>
      <c r="AJ31" s="4"/>
      <c r="AK31" s="4"/>
      <c r="AL31" s="4"/>
      <c r="AM31" s="4"/>
      <c r="AN31" s="4"/>
      <c r="AO31" s="4"/>
      <c r="AP31" s="4"/>
      <c r="AQ31" s="4"/>
      <c r="AR31" s="4"/>
    </row>
    <row r="32" spans="1:44">
      <c r="A32" s="4"/>
      <c r="B32" s="32" t="str">
        <f>IF(학급명렬표!B32&gt;0,학급명렬표!B32,"")</f>
        <v/>
      </c>
      <c r="C32" s="32" t="str">
        <f>IF(학급명렬표!C32&gt;0,학급명렬표!C32,"")</f>
        <v/>
      </c>
      <c r="D32" s="45"/>
      <c r="E32" s="39"/>
      <c r="F32" s="6" t="str">
        <f>IF(인성!D32&gt;0,"O","X")</f>
        <v>X</v>
      </c>
      <c r="G32" s="6" t="str">
        <f>IF('인지적특성&amp;학습능력'!D32&gt;0,"O","X")</f>
        <v>X</v>
      </c>
      <c r="H32" s="6" t="str">
        <f>IF(창의성!D32&gt;0,"O","X")</f>
        <v>X</v>
      </c>
      <c r="I32" s="6" t="str">
        <f>IF('잠재력&amp;진로'!D32&gt;0,"O","X")</f>
        <v>X</v>
      </c>
      <c r="J32" s="6" t="str">
        <f>IF('배려&amp;타인존중'!D32&gt;0,"O","X")</f>
        <v>X</v>
      </c>
      <c r="K32" s="6" t="str">
        <f>IF('나눔&amp;협력'!D32&gt;0,"O","X")</f>
        <v>X</v>
      </c>
      <c r="L32" s="6" t="str">
        <f>IF('대인관계 지향성'!D32&gt;0,"O","X")</f>
        <v>X</v>
      </c>
      <c r="M32" s="6" t="str">
        <f>IF(규칙준수!D32&gt;0,"O","X")</f>
        <v>X</v>
      </c>
      <c r="N32" s="6" t="str">
        <f>IF(예체능!D32&gt;0,"O","X")</f>
        <v>X</v>
      </c>
      <c r="O32" s="46">
        <f t="shared" si="1"/>
        <v>0</v>
      </c>
      <c r="P32" s="44" t="str">
        <f>IF(인성!D32=0,"",인성!E32)</f>
        <v/>
      </c>
      <c r="Q32" s="44" t="str">
        <f>IF('인지적특성&amp;학습능력'!D32=0,"",'인지적특성&amp;학습능력'!E32)</f>
        <v/>
      </c>
      <c r="R32" s="44" t="str">
        <f>IF(창의성!D32=0,"",창의성!E32)</f>
        <v/>
      </c>
      <c r="S32" s="44" t="str">
        <f>IF('잠재력&amp;진로'!D32=0,"",'잠재력&amp;진로'!E32)</f>
        <v/>
      </c>
      <c r="T32" s="44" t="str">
        <f>IF('배려&amp;타인존중'!D32=0,"",'배려&amp;타인존중'!E32)</f>
        <v/>
      </c>
      <c r="U32" s="44" t="str">
        <f>IF('나눔&amp;협력'!D32=0,"",'나눔&amp;협력'!E32)</f>
        <v/>
      </c>
      <c r="V32" s="44" t="str">
        <f>IF('대인관계 지향성'!D32=0,"",'대인관계 지향성'!E32)</f>
        <v/>
      </c>
      <c r="W32" s="44" t="str">
        <f>IF(규칙준수!D32=0,"",규칙준수!E32)</f>
        <v/>
      </c>
      <c r="X32" s="44" t="str">
        <f>IF(예체능!D32=0,"",예체능!E32)</f>
        <v/>
      </c>
      <c r="Y32" s="44" t="str">
        <f t="shared" si="2"/>
        <v/>
      </c>
      <c r="Z32" s="44" t="str">
        <f t="shared" si="3"/>
        <v/>
      </c>
      <c r="AA32" s="4"/>
      <c r="AB32" s="4"/>
      <c r="AC32" s="4"/>
      <c r="AD32" s="4"/>
      <c r="AE32" s="4"/>
      <c r="AF32" s="4"/>
      <c r="AG32" s="4"/>
      <c r="AH32" s="4"/>
      <c r="AI32" s="4"/>
      <c r="AJ32" s="4"/>
      <c r="AK32" s="4"/>
      <c r="AL32" s="4"/>
      <c r="AM32" s="4"/>
      <c r="AN32" s="4"/>
      <c r="AO32" s="4"/>
      <c r="AP32" s="4"/>
      <c r="AQ32" s="4"/>
      <c r="AR32" s="4"/>
    </row>
    <row r="33" spans="1:44">
      <c r="A33" s="4"/>
      <c r="B33" s="32" t="str">
        <f>IF(학급명렬표!B33&gt;0,학급명렬표!B33,"")</f>
        <v/>
      </c>
      <c r="C33" s="32" t="str">
        <f>IF(학급명렬표!C33&gt;0,학급명렬표!C33,"")</f>
        <v/>
      </c>
      <c r="D33" s="45"/>
      <c r="E33" s="39"/>
      <c r="F33" s="6" t="str">
        <f>IF(인성!D33&gt;0,"O","X")</f>
        <v>X</v>
      </c>
      <c r="G33" s="6" t="str">
        <f>IF('인지적특성&amp;학습능력'!D33&gt;0,"O","X")</f>
        <v>X</v>
      </c>
      <c r="H33" s="6" t="str">
        <f>IF(창의성!D33&gt;0,"O","X")</f>
        <v>X</v>
      </c>
      <c r="I33" s="6" t="str">
        <f>IF('잠재력&amp;진로'!D33&gt;0,"O","X")</f>
        <v>X</v>
      </c>
      <c r="J33" s="6" t="str">
        <f>IF('배려&amp;타인존중'!D33&gt;0,"O","X")</f>
        <v>X</v>
      </c>
      <c r="K33" s="6" t="str">
        <f>IF('나눔&amp;협력'!D33&gt;0,"O","X")</f>
        <v>X</v>
      </c>
      <c r="L33" s="6" t="str">
        <f>IF('대인관계 지향성'!D33&gt;0,"O","X")</f>
        <v>X</v>
      </c>
      <c r="M33" s="6" t="str">
        <f>IF(규칙준수!D33&gt;0,"O","X")</f>
        <v>X</v>
      </c>
      <c r="N33" s="6" t="str">
        <f>IF(예체능!D33&gt;0,"O","X")</f>
        <v>X</v>
      </c>
      <c r="O33" s="46">
        <f t="shared" si="1"/>
        <v>0</v>
      </c>
      <c r="P33" s="44" t="str">
        <f>IF(인성!D33=0,"",인성!E33)</f>
        <v/>
      </c>
      <c r="Q33" s="44" t="str">
        <f>IF('인지적특성&amp;학습능력'!D33=0,"",'인지적특성&amp;학습능력'!E33)</f>
        <v/>
      </c>
      <c r="R33" s="44" t="str">
        <f>IF(창의성!D33=0,"",창의성!E33)</f>
        <v/>
      </c>
      <c r="S33" s="44" t="str">
        <f>IF('잠재력&amp;진로'!D33=0,"",'잠재력&amp;진로'!E33)</f>
        <v/>
      </c>
      <c r="T33" s="44" t="str">
        <f>IF('배려&amp;타인존중'!D33=0,"",'배려&amp;타인존중'!E33)</f>
        <v/>
      </c>
      <c r="U33" s="44" t="str">
        <f>IF('나눔&amp;협력'!D33=0,"",'나눔&amp;협력'!E33)</f>
        <v/>
      </c>
      <c r="V33" s="44" t="str">
        <f>IF('대인관계 지향성'!D33=0,"",'대인관계 지향성'!E33)</f>
        <v/>
      </c>
      <c r="W33" s="44" t="str">
        <f>IF(규칙준수!D33=0,"",규칙준수!E33)</f>
        <v/>
      </c>
      <c r="X33" s="44" t="str">
        <f>IF(예체능!D33=0,"",예체능!E33)</f>
        <v/>
      </c>
      <c r="Y33" s="44" t="str">
        <f t="shared" si="2"/>
        <v/>
      </c>
      <c r="Z33" s="44" t="str">
        <f t="shared" si="3"/>
        <v/>
      </c>
      <c r="AA33" s="4"/>
      <c r="AB33" s="4"/>
      <c r="AC33" s="4"/>
      <c r="AD33" s="4"/>
      <c r="AE33" s="4"/>
      <c r="AF33" s="4"/>
      <c r="AG33" s="4"/>
      <c r="AH33" s="4"/>
      <c r="AI33" s="4"/>
      <c r="AJ33" s="4"/>
      <c r="AK33" s="4"/>
      <c r="AL33" s="4"/>
      <c r="AM33" s="4"/>
      <c r="AN33" s="4"/>
      <c r="AO33" s="4"/>
      <c r="AP33" s="4"/>
      <c r="AQ33" s="4"/>
      <c r="AR33" s="4"/>
    </row>
    <row r="34" spans="1:44">
      <c r="A34" s="4"/>
      <c r="B34" s="32" t="str">
        <f>IF(학급명렬표!B34&gt;0,학급명렬표!B34,"")</f>
        <v/>
      </c>
      <c r="C34" s="32" t="str">
        <f>IF(학급명렬표!C34&gt;0,학급명렬표!C34,"")</f>
        <v/>
      </c>
      <c r="D34" s="45"/>
      <c r="E34" s="39"/>
      <c r="F34" s="6" t="str">
        <f>IF(인성!D34&gt;0,"O","X")</f>
        <v>X</v>
      </c>
      <c r="G34" s="6" t="str">
        <f>IF('인지적특성&amp;학습능력'!D34&gt;0,"O","X")</f>
        <v>X</v>
      </c>
      <c r="H34" s="6" t="str">
        <f>IF(창의성!D34&gt;0,"O","X")</f>
        <v>X</v>
      </c>
      <c r="I34" s="6" t="str">
        <f>IF('잠재력&amp;진로'!D34&gt;0,"O","X")</f>
        <v>X</v>
      </c>
      <c r="J34" s="6" t="str">
        <f>IF('배려&amp;타인존중'!D34&gt;0,"O","X")</f>
        <v>X</v>
      </c>
      <c r="K34" s="6" t="str">
        <f>IF('나눔&amp;협력'!D34&gt;0,"O","X")</f>
        <v>X</v>
      </c>
      <c r="L34" s="6" t="str">
        <f>IF('대인관계 지향성'!D34&gt;0,"O","X")</f>
        <v>X</v>
      </c>
      <c r="M34" s="6" t="str">
        <f>IF(규칙준수!D34&gt;0,"O","X")</f>
        <v>X</v>
      </c>
      <c r="N34" s="6" t="str">
        <f>IF(예체능!D34&gt;0,"O","X")</f>
        <v>X</v>
      </c>
      <c r="O34" s="46">
        <f t="shared" si="1"/>
        <v>0</v>
      </c>
      <c r="P34" s="44" t="str">
        <f>IF(인성!D34=0,"",인성!E34)</f>
        <v/>
      </c>
      <c r="Q34" s="44" t="str">
        <f>IF('인지적특성&amp;학습능력'!D34=0,"",'인지적특성&amp;학습능력'!E34)</f>
        <v/>
      </c>
      <c r="R34" s="44" t="str">
        <f>IF(창의성!D34=0,"",창의성!E34)</f>
        <v/>
      </c>
      <c r="S34" s="44" t="str">
        <f>IF('잠재력&amp;진로'!D34=0,"",'잠재력&amp;진로'!E34)</f>
        <v/>
      </c>
      <c r="T34" s="44" t="str">
        <f>IF('배려&amp;타인존중'!D34=0,"",'배려&amp;타인존중'!E34)</f>
        <v/>
      </c>
      <c r="U34" s="44" t="str">
        <f>IF('나눔&amp;협력'!D34=0,"",'나눔&amp;협력'!E34)</f>
        <v/>
      </c>
      <c r="V34" s="44" t="str">
        <f>IF('대인관계 지향성'!D34=0,"",'대인관계 지향성'!E34)</f>
        <v/>
      </c>
      <c r="W34" s="44" t="str">
        <f>IF(규칙준수!D34=0,"",규칙준수!E34)</f>
        <v/>
      </c>
      <c r="X34" s="44" t="str">
        <f>IF(예체능!D34=0,"",예체능!E34)</f>
        <v/>
      </c>
      <c r="Y34" s="44" t="str">
        <f t="shared" si="2"/>
        <v/>
      </c>
      <c r="Z34" s="44" t="str">
        <f t="shared" si="3"/>
        <v/>
      </c>
      <c r="AA34" s="4"/>
      <c r="AB34" s="4"/>
      <c r="AC34" s="4"/>
      <c r="AD34" s="4"/>
      <c r="AE34" s="4"/>
      <c r="AF34" s="4"/>
      <c r="AG34" s="4"/>
      <c r="AH34" s="4"/>
      <c r="AI34" s="4"/>
      <c r="AJ34" s="4"/>
      <c r="AK34" s="4"/>
      <c r="AL34" s="4"/>
      <c r="AM34" s="4"/>
      <c r="AN34" s="4"/>
      <c r="AO34" s="4"/>
      <c r="AP34" s="4"/>
      <c r="AQ34" s="4"/>
      <c r="AR34" s="4"/>
    </row>
    <row r="35" spans="1:44">
      <c r="A35" s="4"/>
      <c r="B35" s="32" t="str">
        <f>IF(학급명렬표!B35&gt;0,학급명렬표!B35,"")</f>
        <v/>
      </c>
      <c r="C35" s="32" t="str">
        <f>IF(학급명렬표!C35&gt;0,학급명렬표!C35,"")</f>
        <v/>
      </c>
      <c r="D35" s="45"/>
      <c r="E35" s="39"/>
      <c r="F35" s="6" t="str">
        <f>IF(인성!D35&gt;0,"O","X")</f>
        <v>X</v>
      </c>
      <c r="G35" s="6" t="str">
        <f>IF('인지적특성&amp;학습능력'!D35&gt;0,"O","X")</f>
        <v>X</v>
      </c>
      <c r="H35" s="6" t="str">
        <f>IF(창의성!D35&gt;0,"O","X")</f>
        <v>X</v>
      </c>
      <c r="I35" s="6" t="str">
        <f>IF('잠재력&amp;진로'!D35&gt;0,"O","X")</f>
        <v>X</v>
      </c>
      <c r="J35" s="6" t="str">
        <f>IF('배려&amp;타인존중'!D35&gt;0,"O","X")</f>
        <v>X</v>
      </c>
      <c r="K35" s="6" t="str">
        <f>IF('나눔&amp;협력'!D35&gt;0,"O","X")</f>
        <v>X</v>
      </c>
      <c r="L35" s="6" t="str">
        <f>IF('대인관계 지향성'!D35&gt;0,"O","X")</f>
        <v>X</v>
      </c>
      <c r="M35" s="6" t="str">
        <f>IF(규칙준수!D35&gt;0,"O","X")</f>
        <v>X</v>
      </c>
      <c r="N35" s="6" t="str">
        <f>IF(예체능!D35&gt;0,"O","X")</f>
        <v>X</v>
      </c>
      <c r="O35" s="46">
        <f t="shared" si="1"/>
        <v>0</v>
      </c>
      <c r="P35" s="44" t="str">
        <f>IF(인성!D35=0,"",인성!E35)</f>
        <v/>
      </c>
      <c r="Q35" s="44" t="str">
        <f>IF('인지적특성&amp;학습능력'!D35=0,"",'인지적특성&amp;학습능력'!E35)</f>
        <v/>
      </c>
      <c r="R35" s="44" t="str">
        <f>IF(창의성!D35=0,"",창의성!E35)</f>
        <v/>
      </c>
      <c r="S35" s="44" t="str">
        <f>IF('잠재력&amp;진로'!D35=0,"",'잠재력&amp;진로'!E35)</f>
        <v/>
      </c>
      <c r="T35" s="44" t="str">
        <f>IF('배려&amp;타인존중'!D35=0,"",'배려&amp;타인존중'!E35)</f>
        <v/>
      </c>
      <c r="U35" s="44" t="str">
        <f>IF('나눔&amp;협력'!D35=0,"",'나눔&amp;협력'!E35)</f>
        <v/>
      </c>
      <c r="V35" s="44" t="str">
        <f>IF('대인관계 지향성'!D35=0,"",'대인관계 지향성'!E35)</f>
        <v/>
      </c>
      <c r="W35" s="44" t="str">
        <f>IF(규칙준수!D35=0,"",규칙준수!E35)</f>
        <v/>
      </c>
      <c r="X35" s="44" t="str">
        <f>IF(예체능!D35=0,"",예체능!E35)</f>
        <v/>
      </c>
      <c r="Y35" s="44" t="str">
        <f t="shared" si="2"/>
        <v/>
      </c>
      <c r="Z35" s="44" t="str">
        <f t="shared" si="3"/>
        <v/>
      </c>
      <c r="AA35" s="4"/>
      <c r="AB35" s="4"/>
      <c r="AC35" s="4"/>
      <c r="AD35" s="4"/>
      <c r="AE35" s="4"/>
      <c r="AF35" s="4"/>
      <c r="AG35" s="4"/>
      <c r="AH35" s="4"/>
      <c r="AI35" s="4"/>
      <c r="AJ35" s="4"/>
      <c r="AK35" s="4"/>
      <c r="AL35" s="4"/>
      <c r="AM35" s="4"/>
      <c r="AN35" s="4"/>
      <c r="AO35" s="4"/>
      <c r="AP35" s="4"/>
      <c r="AQ35" s="4"/>
      <c r="AR35" s="4"/>
    </row>
    <row r="36" spans="1:44">
      <c r="A36" s="4"/>
      <c r="B36" s="32" t="str">
        <f>IF(학급명렬표!B36&gt;0,학급명렬표!B36,"")</f>
        <v/>
      </c>
      <c r="C36" s="32" t="str">
        <f>IF(학급명렬표!C36&gt;0,학급명렬표!C36,"")</f>
        <v/>
      </c>
      <c r="D36" s="45"/>
      <c r="E36" s="39"/>
      <c r="F36" s="6" t="str">
        <f>IF(인성!D36&gt;0,"O","X")</f>
        <v>X</v>
      </c>
      <c r="G36" s="6" t="str">
        <f>IF('인지적특성&amp;학습능력'!D36&gt;0,"O","X")</f>
        <v>X</v>
      </c>
      <c r="H36" s="6" t="str">
        <f>IF(창의성!D36&gt;0,"O","X")</f>
        <v>X</v>
      </c>
      <c r="I36" s="6" t="str">
        <f>IF('잠재력&amp;진로'!D36&gt;0,"O","X")</f>
        <v>X</v>
      </c>
      <c r="J36" s="6" t="str">
        <f>IF('배려&amp;타인존중'!D36&gt;0,"O","X")</f>
        <v>X</v>
      </c>
      <c r="K36" s="6" t="str">
        <f>IF('나눔&amp;협력'!D36&gt;0,"O","X")</f>
        <v>X</v>
      </c>
      <c r="L36" s="6" t="str">
        <f>IF('대인관계 지향성'!D36&gt;0,"O","X")</f>
        <v>X</v>
      </c>
      <c r="M36" s="6" t="str">
        <f>IF(규칙준수!D36&gt;0,"O","X")</f>
        <v>X</v>
      </c>
      <c r="N36" s="6" t="str">
        <f>IF(예체능!D36&gt;0,"O","X")</f>
        <v>X</v>
      </c>
      <c r="O36" s="46">
        <f t="shared" si="1"/>
        <v>0</v>
      </c>
      <c r="P36" s="44" t="str">
        <f>IF(인성!D36=0,"",인성!E36)</f>
        <v/>
      </c>
      <c r="Q36" s="44" t="str">
        <f>IF('인지적특성&amp;학습능력'!D36=0,"",'인지적특성&amp;학습능력'!E36)</f>
        <v/>
      </c>
      <c r="R36" s="44" t="str">
        <f>IF(창의성!D36=0,"",창의성!E36)</f>
        <v/>
      </c>
      <c r="S36" s="44" t="str">
        <f>IF('잠재력&amp;진로'!D36=0,"",'잠재력&amp;진로'!E36)</f>
        <v/>
      </c>
      <c r="T36" s="44" t="str">
        <f>IF('배려&amp;타인존중'!D36=0,"",'배려&amp;타인존중'!E36)</f>
        <v/>
      </c>
      <c r="U36" s="44" t="str">
        <f>IF('나눔&amp;협력'!D36=0,"",'나눔&amp;협력'!E36)</f>
        <v/>
      </c>
      <c r="V36" s="44" t="str">
        <f>IF('대인관계 지향성'!D36=0,"",'대인관계 지향성'!E36)</f>
        <v/>
      </c>
      <c r="W36" s="44" t="str">
        <f>IF(규칙준수!D36=0,"",규칙준수!E36)</f>
        <v/>
      </c>
      <c r="X36" s="44" t="str">
        <f>IF(예체능!D36=0,"",예체능!E36)</f>
        <v/>
      </c>
      <c r="Y36" s="44" t="str">
        <f t="shared" si="2"/>
        <v/>
      </c>
      <c r="Z36" s="44" t="str">
        <f t="shared" si="3"/>
        <v/>
      </c>
      <c r="AA36" s="4"/>
      <c r="AB36" s="4"/>
      <c r="AC36" s="4"/>
      <c r="AD36" s="4"/>
      <c r="AE36" s="4"/>
      <c r="AF36" s="4"/>
      <c r="AG36" s="4"/>
      <c r="AH36" s="4"/>
      <c r="AI36" s="4"/>
      <c r="AJ36" s="4"/>
      <c r="AK36" s="4"/>
      <c r="AL36" s="4"/>
      <c r="AM36" s="4"/>
      <c r="AN36" s="4"/>
      <c r="AO36" s="4"/>
      <c r="AP36" s="4"/>
      <c r="AQ36" s="4"/>
      <c r="AR36" s="4"/>
    </row>
    <row r="37" spans="1:44">
      <c r="A37" s="4"/>
      <c r="B37" s="32" t="str">
        <f>IF(학급명렬표!B37&gt;0,학급명렬표!B37,"")</f>
        <v/>
      </c>
      <c r="C37" s="32" t="str">
        <f>IF(학급명렬표!C37&gt;0,학급명렬표!C37,"")</f>
        <v/>
      </c>
      <c r="D37" s="45"/>
      <c r="E37" s="39"/>
      <c r="F37" s="6" t="str">
        <f>IF(인성!D37&gt;0,"O","X")</f>
        <v>X</v>
      </c>
      <c r="G37" s="6" t="str">
        <f>IF('인지적특성&amp;학습능력'!D37&gt;0,"O","X")</f>
        <v>X</v>
      </c>
      <c r="H37" s="6" t="str">
        <f>IF(창의성!D37&gt;0,"O","X")</f>
        <v>X</v>
      </c>
      <c r="I37" s="6" t="str">
        <f>IF('잠재력&amp;진로'!D37&gt;0,"O","X")</f>
        <v>X</v>
      </c>
      <c r="J37" s="6" t="str">
        <f>IF('배려&amp;타인존중'!D37&gt;0,"O","X")</f>
        <v>X</v>
      </c>
      <c r="K37" s="6" t="str">
        <f>IF('나눔&amp;협력'!D37&gt;0,"O","X")</f>
        <v>X</v>
      </c>
      <c r="L37" s="6" t="str">
        <f>IF('대인관계 지향성'!D37&gt;0,"O","X")</f>
        <v>X</v>
      </c>
      <c r="M37" s="6" t="str">
        <f>IF(규칙준수!D37&gt;0,"O","X")</f>
        <v>X</v>
      </c>
      <c r="N37" s="6" t="str">
        <f>IF(예체능!D37&gt;0,"O","X")</f>
        <v>X</v>
      </c>
      <c r="O37" s="46">
        <f t="shared" si="1"/>
        <v>0</v>
      </c>
      <c r="P37" s="44" t="str">
        <f>IF(인성!D37=0,"",인성!E37)</f>
        <v/>
      </c>
      <c r="Q37" s="44" t="str">
        <f>IF('인지적특성&amp;학습능력'!D37=0,"",'인지적특성&amp;학습능력'!E37)</f>
        <v/>
      </c>
      <c r="R37" s="44" t="str">
        <f>IF(창의성!D37=0,"",창의성!E37)</f>
        <v/>
      </c>
      <c r="S37" s="44" t="str">
        <f>IF('잠재력&amp;진로'!D37=0,"",'잠재력&amp;진로'!E37)</f>
        <v/>
      </c>
      <c r="T37" s="44" t="str">
        <f>IF('배려&amp;타인존중'!D37=0,"",'배려&amp;타인존중'!E37)</f>
        <v/>
      </c>
      <c r="U37" s="44" t="str">
        <f>IF('나눔&amp;협력'!D37=0,"",'나눔&amp;협력'!E37)</f>
        <v/>
      </c>
      <c r="V37" s="44" t="str">
        <f>IF('대인관계 지향성'!D37=0,"",'대인관계 지향성'!E37)</f>
        <v/>
      </c>
      <c r="W37" s="44" t="str">
        <f>IF(규칙준수!D37=0,"",규칙준수!E37)</f>
        <v/>
      </c>
      <c r="X37" s="44" t="str">
        <f>IF(예체능!D37=0,"",예체능!E37)</f>
        <v/>
      </c>
      <c r="Y37" s="44" t="str">
        <f t="shared" si="2"/>
        <v/>
      </c>
      <c r="Z37" s="44" t="str">
        <f t="shared" si="3"/>
        <v/>
      </c>
      <c r="AA37" s="4"/>
      <c r="AB37" s="4"/>
      <c r="AC37" s="4"/>
      <c r="AD37" s="4"/>
      <c r="AE37" s="4"/>
      <c r="AF37" s="4"/>
      <c r="AG37" s="4"/>
      <c r="AH37" s="4"/>
      <c r="AI37" s="4"/>
      <c r="AJ37" s="4"/>
      <c r="AK37" s="4"/>
      <c r="AL37" s="4"/>
      <c r="AM37" s="4"/>
      <c r="AN37" s="4"/>
      <c r="AO37" s="4"/>
      <c r="AP37" s="4"/>
      <c r="AQ37" s="4"/>
      <c r="AR37" s="4"/>
    </row>
    <row r="38" spans="1:44">
      <c r="A38" s="4"/>
      <c r="B38" s="32" t="str">
        <f>IF(학급명렬표!B38&gt;0,학급명렬표!B38,"")</f>
        <v/>
      </c>
      <c r="C38" s="32" t="str">
        <f>IF(학급명렬표!C38&gt;0,학급명렬표!C38,"")</f>
        <v/>
      </c>
      <c r="D38" s="45"/>
      <c r="E38" s="39"/>
      <c r="F38" s="6" t="str">
        <f>IF(인성!D38&gt;0,"O","X")</f>
        <v>X</v>
      </c>
      <c r="G38" s="6" t="str">
        <f>IF('인지적특성&amp;학습능력'!D38&gt;0,"O","X")</f>
        <v>X</v>
      </c>
      <c r="H38" s="6" t="str">
        <f>IF(창의성!D38&gt;0,"O","X")</f>
        <v>X</v>
      </c>
      <c r="I38" s="6" t="str">
        <f>IF('잠재력&amp;진로'!D38&gt;0,"O","X")</f>
        <v>X</v>
      </c>
      <c r="J38" s="6" t="str">
        <f>IF('배려&amp;타인존중'!D38&gt;0,"O","X")</f>
        <v>X</v>
      </c>
      <c r="K38" s="6" t="str">
        <f>IF('나눔&amp;협력'!D38&gt;0,"O","X")</f>
        <v>X</v>
      </c>
      <c r="L38" s="6" t="str">
        <f>IF('대인관계 지향성'!D38&gt;0,"O","X")</f>
        <v>X</v>
      </c>
      <c r="M38" s="6" t="str">
        <f>IF(규칙준수!D38&gt;0,"O","X")</f>
        <v>X</v>
      </c>
      <c r="N38" s="6" t="str">
        <f>IF(예체능!D38&gt;0,"O","X")</f>
        <v>X</v>
      </c>
      <c r="O38" s="46">
        <f t="shared" si="1"/>
        <v>0</v>
      </c>
      <c r="P38" s="44" t="str">
        <f>IF(인성!D38=0,"",인성!E38)</f>
        <v/>
      </c>
      <c r="Q38" s="44" t="str">
        <f>IF('인지적특성&amp;학습능력'!D38=0,"",'인지적특성&amp;학습능력'!E38)</f>
        <v/>
      </c>
      <c r="R38" s="44" t="str">
        <f>IF(창의성!D38=0,"",창의성!E38)</f>
        <v/>
      </c>
      <c r="S38" s="44" t="str">
        <f>IF('잠재력&amp;진로'!D38=0,"",'잠재력&amp;진로'!E38)</f>
        <v/>
      </c>
      <c r="T38" s="44" t="str">
        <f>IF('배려&amp;타인존중'!D38=0,"",'배려&amp;타인존중'!E38)</f>
        <v/>
      </c>
      <c r="U38" s="44" t="str">
        <f>IF('나눔&amp;협력'!D38=0,"",'나눔&amp;협력'!E38)</f>
        <v/>
      </c>
      <c r="V38" s="44" t="str">
        <f>IF('대인관계 지향성'!D38=0,"",'대인관계 지향성'!E38)</f>
        <v/>
      </c>
      <c r="W38" s="44" t="str">
        <f>IF(규칙준수!D38=0,"",규칙준수!E38)</f>
        <v/>
      </c>
      <c r="X38" s="44" t="str">
        <f>IF(예체능!D38=0,"",예체능!E38)</f>
        <v/>
      </c>
      <c r="Y38" s="44" t="str">
        <f t="shared" si="2"/>
        <v/>
      </c>
      <c r="Z38" s="44" t="str">
        <f t="shared" si="3"/>
        <v/>
      </c>
      <c r="AA38" s="4"/>
      <c r="AB38" s="4"/>
      <c r="AC38" s="4"/>
      <c r="AD38" s="4"/>
      <c r="AE38" s="4"/>
      <c r="AF38" s="4"/>
      <c r="AG38" s="4"/>
      <c r="AH38" s="4"/>
      <c r="AI38" s="4"/>
      <c r="AJ38" s="4"/>
      <c r="AK38" s="4"/>
      <c r="AL38" s="4"/>
      <c r="AM38" s="4"/>
      <c r="AN38" s="4"/>
      <c r="AO38" s="4"/>
      <c r="AP38" s="4"/>
      <c r="AQ38" s="4"/>
      <c r="AR38" s="4"/>
    </row>
    <row r="39" spans="1:44">
      <c r="A39" s="4"/>
      <c r="B39" s="32" t="str">
        <f>IF(학급명렬표!B39&gt;0,학급명렬표!B39,"")</f>
        <v/>
      </c>
      <c r="C39" s="32" t="str">
        <f>IF(학급명렬표!C39&gt;0,학급명렬표!C39,"")</f>
        <v/>
      </c>
      <c r="D39" s="45"/>
      <c r="E39" s="39"/>
      <c r="F39" s="6" t="str">
        <f>IF(인성!D39&gt;0,"O","X")</f>
        <v>X</v>
      </c>
      <c r="G39" s="6" t="str">
        <f>IF('인지적특성&amp;학습능력'!D39&gt;0,"O","X")</f>
        <v>X</v>
      </c>
      <c r="H39" s="6" t="str">
        <f>IF(창의성!D39&gt;0,"O","X")</f>
        <v>X</v>
      </c>
      <c r="I39" s="6" t="str">
        <f>IF('잠재력&amp;진로'!D39&gt;0,"O","X")</f>
        <v>X</v>
      </c>
      <c r="J39" s="6" t="str">
        <f>IF('배려&amp;타인존중'!D39&gt;0,"O","X")</f>
        <v>X</v>
      </c>
      <c r="K39" s="6" t="str">
        <f>IF('나눔&amp;협력'!D39&gt;0,"O","X")</f>
        <v>X</v>
      </c>
      <c r="L39" s="6" t="str">
        <f>IF('대인관계 지향성'!D39&gt;0,"O","X")</f>
        <v>X</v>
      </c>
      <c r="M39" s="6" t="str">
        <f>IF(규칙준수!D39&gt;0,"O","X")</f>
        <v>X</v>
      </c>
      <c r="N39" s="6" t="str">
        <f>IF(예체능!D39&gt;0,"O","X")</f>
        <v>X</v>
      </c>
      <c r="O39" s="46">
        <f t="shared" si="1"/>
        <v>0</v>
      </c>
      <c r="P39" s="44" t="str">
        <f>IF(인성!D39=0,"",인성!E39)</f>
        <v/>
      </c>
      <c r="Q39" s="44" t="str">
        <f>IF('인지적특성&amp;학습능력'!D39=0,"",'인지적특성&amp;학습능력'!E39)</f>
        <v/>
      </c>
      <c r="R39" s="44" t="str">
        <f>IF(창의성!D39=0,"",창의성!E39)</f>
        <v/>
      </c>
      <c r="S39" s="44" t="str">
        <f>IF('잠재력&amp;진로'!D39=0,"",'잠재력&amp;진로'!E39)</f>
        <v/>
      </c>
      <c r="T39" s="44" t="str">
        <f>IF('배려&amp;타인존중'!D39=0,"",'배려&amp;타인존중'!E39)</f>
        <v/>
      </c>
      <c r="U39" s="44" t="str">
        <f>IF('나눔&amp;협력'!D39=0,"",'나눔&amp;협력'!E39)</f>
        <v/>
      </c>
      <c r="V39" s="44" t="str">
        <f>IF('대인관계 지향성'!D39=0,"",'대인관계 지향성'!E39)</f>
        <v/>
      </c>
      <c r="W39" s="44" t="str">
        <f>IF(규칙준수!D39=0,"",규칙준수!E39)</f>
        <v/>
      </c>
      <c r="X39" s="44" t="str">
        <f>IF(예체능!D39=0,"",예체능!E39)</f>
        <v/>
      </c>
      <c r="Y39" s="44" t="str">
        <f t="shared" si="2"/>
        <v/>
      </c>
      <c r="Z39" s="44" t="str">
        <f t="shared" si="3"/>
        <v/>
      </c>
      <c r="AA39" s="4"/>
      <c r="AB39" s="4"/>
      <c r="AC39" s="4"/>
      <c r="AD39" s="4"/>
      <c r="AE39" s="4"/>
      <c r="AF39" s="4"/>
      <c r="AG39" s="4"/>
      <c r="AH39" s="4"/>
      <c r="AI39" s="4"/>
      <c r="AJ39" s="4"/>
      <c r="AK39" s="4"/>
      <c r="AL39" s="4"/>
      <c r="AM39" s="4"/>
      <c r="AN39" s="4"/>
      <c r="AO39" s="4"/>
      <c r="AP39" s="4"/>
      <c r="AQ39" s="4"/>
      <c r="AR39" s="4"/>
    </row>
    <row r="40" spans="1:44">
      <c r="A40" s="4"/>
      <c r="B40" s="32" t="str">
        <f>IF(학급명렬표!B40&gt;0,학급명렬표!B40,"")</f>
        <v/>
      </c>
      <c r="C40" s="32" t="str">
        <f>IF(학급명렬표!C40&gt;0,학급명렬표!C40,"")</f>
        <v/>
      </c>
      <c r="D40" s="45"/>
      <c r="E40" s="39"/>
      <c r="F40" s="6" t="str">
        <f>IF(인성!D40&gt;0,"O","X")</f>
        <v>X</v>
      </c>
      <c r="G40" s="6" t="str">
        <f>IF('인지적특성&amp;학습능력'!D40&gt;0,"O","X")</f>
        <v>X</v>
      </c>
      <c r="H40" s="6" t="str">
        <f>IF(창의성!D40&gt;0,"O","X")</f>
        <v>X</v>
      </c>
      <c r="I40" s="6" t="str">
        <f>IF('잠재력&amp;진로'!D40&gt;0,"O","X")</f>
        <v>X</v>
      </c>
      <c r="J40" s="6" t="str">
        <f>IF('배려&amp;타인존중'!D40&gt;0,"O","X")</f>
        <v>X</v>
      </c>
      <c r="K40" s="6" t="str">
        <f>IF('나눔&amp;협력'!D40&gt;0,"O","X")</f>
        <v>X</v>
      </c>
      <c r="L40" s="6" t="str">
        <f>IF('대인관계 지향성'!D40&gt;0,"O","X")</f>
        <v>X</v>
      </c>
      <c r="M40" s="6" t="str">
        <f>IF(규칙준수!D40&gt;0,"O","X")</f>
        <v>X</v>
      </c>
      <c r="N40" s="6" t="str">
        <f>IF(예체능!D40&gt;0,"O","X")</f>
        <v>X</v>
      </c>
      <c r="O40" s="46">
        <f t="shared" si="1"/>
        <v>0</v>
      </c>
      <c r="P40" s="44" t="str">
        <f>IF(인성!D40=0,"",인성!E40)</f>
        <v/>
      </c>
      <c r="Q40" s="44" t="str">
        <f>IF('인지적특성&amp;학습능력'!D40=0,"",'인지적특성&amp;학습능력'!E40)</f>
        <v/>
      </c>
      <c r="R40" s="44" t="str">
        <f>IF(창의성!D40=0,"",창의성!E40)</f>
        <v/>
      </c>
      <c r="S40" s="44" t="str">
        <f>IF('잠재력&amp;진로'!D40=0,"",'잠재력&amp;진로'!E40)</f>
        <v/>
      </c>
      <c r="T40" s="44" t="str">
        <f>IF('배려&amp;타인존중'!D40=0,"",'배려&amp;타인존중'!E40)</f>
        <v/>
      </c>
      <c r="U40" s="44" t="str">
        <f>IF('나눔&amp;협력'!D40=0,"",'나눔&amp;협력'!E40)</f>
        <v/>
      </c>
      <c r="V40" s="44" t="str">
        <f>IF('대인관계 지향성'!D40=0,"",'대인관계 지향성'!E40)</f>
        <v/>
      </c>
      <c r="W40" s="44" t="str">
        <f>IF(규칙준수!D40=0,"",규칙준수!E40)</f>
        <v/>
      </c>
      <c r="X40" s="44" t="str">
        <f>IF(예체능!D40=0,"",예체능!E40)</f>
        <v/>
      </c>
      <c r="Y40" s="44" t="str">
        <f t="shared" si="2"/>
        <v/>
      </c>
      <c r="Z40" s="44" t="str">
        <f t="shared" si="3"/>
        <v/>
      </c>
      <c r="AA40" s="4"/>
      <c r="AB40" s="4"/>
      <c r="AC40" s="4"/>
      <c r="AD40" s="4"/>
      <c r="AE40" s="4"/>
      <c r="AF40" s="4"/>
      <c r="AG40" s="4"/>
      <c r="AH40" s="4"/>
      <c r="AI40" s="4"/>
      <c r="AJ40" s="4"/>
      <c r="AK40" s="4"/>
      <c r="AL40" s="4"/>
      <c r="AM40" s="4"/>
      <c r="AN40" s="4"/>
      <c r="AO40" s="4"/>
      <c r="AP40" s="4"/>
      <c r="AQ40" s="4"/>
      <c r="AR40" s="4"/>
    </row>
    <row r="41" spans="1:44">
      <c r="A41" s="4"/>
      <c r="B41" s="32" t="str">
        <f>IF(학급명렬표!B41&gt;0,학급명렬표!B41,"")</f>
        <v/>
      </c>
      <c r="C41" s="32" t="str">
        <f>IF(학급명렬표!C41&gt;0,학급명렬표!C41,"")</f>
        <v/>
      </c>
      <c r="D41" s="45"/>
      <c r="E41" s="39"/>
      <c r="F41" s="6" t="str">
        <f>IF(인성!D41&gt;0,"O","X")</f>
        <v>X</v>
      </c>
      <c r="G41" s="6" t="str">
        <f>IF('인지적특성&amp;학습능력'!D41&gt;0,"O","X")</f>
        <v>X</v>
      </c>
      <c r="H41" s="6" t="str">
        <f>IF(창의성!D41&gt;0,"O","X")</f>
        <v>X</v>
      </c>
      <c r="I41" s="6" t="str">
        <f>IF('잠재력&amp;진로'!D41&gt;0,"O","X")</f>
        <v>X</v>
      </c>
      <c r="J41" s="6" t="str">
        <f>IF('배려&amp;타인존중'!D41&gt;0,"O","X")</f>
        <v>X</v>
      </c>
      <c r="K41" s="6" t="str">
        <f>IF('나눔&amp;협력'!D41&gt;0,"O","X")</f>
        <v>X</v>
      </c>
      <c r="L41" s="6" t="str">
        <f>IF('대인관계 지향성'!D41&gt;0,"O","X")</f>
        <v>X</v>
      </c>
      <c r="M41" s="6" t="str">
        <f>IF(규칙준수!D41&gt;0,"O","X")</f>
        <v>X</v>
      </c>
      <c r="N41" s="6" t="str">
        <f>IF(예체능!D41&gt;0,"O","X")</f>
        <v>X</v>
      </c>
      <c r="O41" s="46">
        <f t="shared" si="1"/>
        <v>0</v>
      </c>
      <c r="P41" s="44" t="str">
        <f>IF(인성!D41=0,"",인성!E41)</f>
        <v/>
      </c>
      <c r="Q41" s="44" t="str">
        <f>IF('인지적특성&amp;학습능력'!D41=0,"",'인지적특성&amp;학습능력'!E41)</f>
        <v/>
      </c>
      <c r="R41" s="44" t="str">
        <f>IF(창의성!D41=0,"",창의성!E41)</f>
        <v/>
      </c>
      <c r="S41" s="44" t="str">
        <f>IF('잠재력&amp;진로'!D41=0,"",'잠재력&amp;진로'!E41)</f>
        <v/>
      </c>
      <c r="T41" s="44" t="str">
        <f>IF('배려&amp;타인존중'!D41=0,"",'배려&amp;타인존중'!E41)</f>
        <v/>
      </c>
      <c r="U41" s="44" t="str">
        <f>IF('나눔&amp;협력'!D41=0,"",'나눔&amp;협력'!E41)</f>
        <v/>
      </c>
      <c r="V41" s="44" t="str">
        <f>IF('대인관계 지향성'!D41=0,"",'대인관계 지향성'!E41)</f>
        <v/>
      </c>
      <c r="W41" s="44" t="str">
        <f>IF(규칙준수!D41=0,"",규칙준수!E41)</f>
        <v/>
      </c>
      <c r="X41" s="44" t="str">
        <f>IF(예체능!D41=0,"",예체능!E41)</f>
        <v/>
      </c>
      <c r="Y41" s="44" t="str">
        <f t="shared" si="2"/>
        <v/>
      </c>
      <c r="Z41" s="44" t="str">
        <f t="shared" si="3"/>
        <v/>
      </c>
      <c r="AA41" s="4"/>
      <c r="AB41" s="4"/>
      <c r="AC41" s="4"/>
      <c r="AD41" s="4"/>
      <c r="AE41" s="4"/>
      <c r="AF41" s="4"/>
      <c r="AG41" s="4"/>
      <c r="AH41" s="4"/>
      <c r="AI41" s="4"/>
      <c r="AJ41" s="4"/>
      <c r="AK41" s="4"/>
      <c r="AL41" s="4"/>
      <c r="AM41" s="4"/>
      <c r="AN41" s="4"/>
      <c r="AO41" s="4"/>
      <c r="AP41" s="4"/>
      <c r="AQ41" s="4"/>
      <c r="AR41" s="4"/>
    </row>
    <row r="42" spans="1:44">
      <c r="A42" s="4"/>
      <c r="B42" s="32" t="str">
        <f>IF(학급명렬표!B42&gt;0,학급명렬표!B42,"")</f>
        <v/>
      </c>
      <c r="C42" s="32" t="str">
        <f>IF(학급명렬표!C42&gt;0,학급명렬표!C42,"")</f>
        <v/>
      </c>
      <c r="D42" s="45"/>
      <c r="E42" s="39"/>
      <c r="F42" s="6" t="str">
        <f>IF(인성!D42&gt;0,"O","X")</f>
        <v>X</v>
      </c>
      <c r="G42" s="6" t="str">
        <f>IF('인지적특성&amp;학습능력'!D42&gt;0,"O","X")</f>
        <v>X</v>
      </c>
      <c r="H42" s="6" t="str">
        <f>IF(창의성!D42&gt;0,"O","X")</f>
        <v>X</v>
      </c>
      <c r="I42" s="6" t="str">
        <f>IF('잠재력&amp;진로'!D42&gt;0,"O","X")</f>
        <v>X</v>
      </c>
      <c r="J42" s="6" t="str">
        <f>IF('배려&amp;타인존중'!D42&gt;0,"O","X")</f>
        <v>X</v>
      </c>
      <c r="K42" s="6" t="str">
        <f>IF('나눔&amp;협력'!D42&gt;0,"O","X")</f>
        <v>X</v>
      </c>
      <c r="L42" s="6" t="str">
        <f>IF('대인관계 지향성'!D42&gt;0,"O","X")</f>
        <v>X</v>
      </c>
      <c r="M42" s="6" t="str">
        <f>IF(규칙준수!D42&gt;0,"O","X")</f>
        <v>X</v>
      </c>
      <c r="N42" s="6" t="str">
        <f>IF(예체능!D42&gt;0,"O","X")</f>
        <v>X</v>
      </c>
      <c r="O42" s="46">
        <f t="shared" si="1"/>
        <v>0</v>
      </c>
      <c r="P42" s="44" t="str">
        <f>IF(인성!D42=0,"",인성!E42)</f>
        <v/>
      </c>
      <c r="Q42" s="44" t="str">
        <f>IF('인지적특성&amp;학습능력'!D42=0,"",'인지적특성&amp;학습능력'!E42)</f>
        <v/>
      </c>
      <c r="R42" s="44" t="str">
        <f>IF(창의성!D42=0,"",창의성!E42)</f>
        <v/>
      </c>
      <c r="S42" s="44" t="str">
        <f>IF('잠재력&amp;진로'!D42=0,"",'잠재력&amp;진로'!E42)</f>
        <v/>
      </c>
      <c r="T42" s="44" t="str">
        <f>IF('배려&amp;타인존중'!D42=0,"",'배려&amp;타인존중'!E42)</f>
        <v/>
      </c>
      <c r="U42" s="44" t="str">
        <f>IF('나눔&amp;협력'!D42=0,"",'나눔&amp;협력'!E42)</f>
        <v/>
      </c>
      <c r="V42" s="44" t="str">
        <f>IF('대인관계 지향성'!D42=0,"",'대인관계 지향성'!E42)</f>
        <v/>
      </c>
      <c r="W42" s="44" t="str">
        <f>IF(규칙준수!D42=0,"",규칙준수!E42)</f>
        <v/>
      </c>
      <c r="X42" s="44" t="str">
        <f>IF(예체능!D42=0,"",예체능!E42)</f>
        <v/>
      </c>
      <c r="Y42" s="44" t="str">
        <f t="shared" si="2"/>
        <v/>
      </c>
      <c r="Z42" s="44" t="str">
        <f t="shared" si="3"/>
        <v/>
      </c>
      <c r="AA42" s="4"/>
      <c r="AB42" s="4"/>
      <c r="AC42" s="4"/>
      <c r="AD42" s="4"/>
      <c r="AE42" s="4"/>
      <c r="AF42" s="4"/>
      <c r="AG42" s="4"/>
      <c r="AH42" s="4"/>
      <c r="AI42" s="4"/>
      <c r="AJ42" s="4"/>
      <c r="AK42" s="4"/>
      <c r="AL42" s="4"/>
      <c r="AM42" s="4"/>
      <c r="AN42" s="4"/>
      <c r="AO42" s="4"/>
      <c r="AP42" s="4"/>
      <c r="AQ42" s="4"/>
      <c r="AR42" s="4"/>
    </row>
    <row r="43" spans="1:44">
      <c r="A43" s="4"/>
      <c r="B43" s="32" t="str">
        <f>IF(학급명렬표!B43&gt;0,학급명렬표!B43,"")</f>
        <v/>
      </c>
      <c r="C43" s="32" t="str">
        <f>IF(학급명렬표!C43&gt;0,학급명렬표!C43,"")</f>
        <v/>
      </c>
      <c r="D43" s="45"/>
      <c r="E43" s="39"/>
      <c r="F43" s="6" t="str">
        <f>IF(인성!D43&gt;0,"O","X")</f>
        <v>X</v>
      </c>
      <c r="G43" s="6" t="str">
        <f>IF('인지적특성&amp;학습능력'!D43&gt;0,"O","X")</f>
        <v>X</v>
      </c>
      <c r="H43" s="6" t="str">
        <f>IF(창의성!D43&gt;0,"O","X")</f>
        <v>X</v>
      </c>
      <c r="I43" s="6" t="str">
        <f>IF('잠재력&amp;진로'!D43&gt;0,"O","X")</f>
        <v>X</v>
      </c>
      <c r="J43" s="6" t="str">
        <f>IF('배려&amp;타인존중'!D43&gt;0,"O","X")</f>
        <v>X</v>
      </c>
      <c r="K43" s="6" t="str">
        <f>IF('나눔&amp;협력'!D43&gt;0,"O","X")</f>
        <v>X</v>
      </c>
      <c r="L43" s="6" t="str">
        <f>IF('대인관계 지향성'!D43&gt;0,"O","X")</f>
        <v>X</v>
      </c>
      <c r="M43" s="6" t="str">
        <f>IF(규칙준수!D43&gt;0,"O","X")</f>
        <v>X</v>
      </c>
      <c r="N43" s="6" t="str">
        <f>IF(예체능!D43&gt;0,"O","X")</f>
        <v>X</v>
      </c>
      <c r="O43" s="46">
        <f t="shared" si="1"/>
        <v>0</v>
      </c>
      <c r="P43" s="44" t="str">
        <f>IF(인성!D43=0,"",인성!E43)</f>
        <v/>
      </c>
      <c r="Q43" s="44" t="str">
        <f>IF('인지적특성&amp;학습능력'!D43=0,"",'인지적특성&amp;학습능력'!E43)</f>
        <v/>
      </c>
      <c r="R43" s="44" t="str">
        <f>IF(창의성!D43=0,"",창의성!E43)</f>
        <v/>
      </c>
      <c r="S43" s="44" t="str">
        <f>IF('잠재력&amp;진로'!D43=0,"",'잠재력&amp;진로'!E43)</f>
        <v/>
      </c>
      <c r="T43" s="44" t="str">
        <f>IF('배려&amp;타인존중'!D43=0,"",'배려&amp;타인존중'!E43)</f>
        <v/>
      </c>
      <c r="U43" s="44" t="str">
        <f>IF('나눔&amp;협력'!D43=0,"",'나눔&amp;협력'!E43)</f>
        <v/>
      </c>
      <c r="V43" s="44" t="str">
        <f>IF('대인관계 지향성'!D43=0,"",'대인관계 지향성'!E43)</f>
        <v/>
      </c>
      <c r="W43" s="44" t="str">
        <f>IF(규칙준수!D43=0,"",규칙준수!E43)</f>
        <v/>
      </c>
      <c r="X43" s="44" t="str">
        <f>IF(예체능!D43=0,"",예체능!E43)</f>
        <v/>
      </c>
      <c r="Y43" s="44" t="str">
        <f t="shared" si="2"/>
        <v/>
      </c>
      <c r="Z43" s="44" t="str">
        <f t="shared" si="3"/>
        <v/>
      </c>
      <c r="AA43" s="4"/>
      <c r="AB43" s="4"/>
      <c r="AC43" s="4"/>
      <c r="AD43" s="4"/>
      <c r="AE43" s="4"/>
      <c r="AF43" s="4"/>
      <c r="AG43" s="4"/>
      <c r="AH43" s="4"/>
      <c r="AI43" s="4"/>
      <c r="AJ43" s="4"/>
      <c r="AK43" s="4"/>
      <c r="AL43" s="4"/>
      <c r="AM43" s="4"/>
      <c r="AN43" s="4"/>
      <c r="AO43" s="4"/>
      <c r="AP43" s="4"/>
      <c r="AQ43" s="4"/>
      <c r="AR43" s="4"/>
    </row>
    <row r="44" spans="1:44">
      <c r="A44" s="4"/>
      <c r="B44" s="32" t="str">
        <f>IF(학급명렬표!B44&gt;0,학급명렬표!B44,"")</f>
        <v/>
      </c>
      <c r="C44" s="32" t="str">
        <f>IF(학급명렬표!C44&gt;0,학급명렬표!C44,"")</f>
        <v/>
      </c>
      <c r="D44" s="45"/>
      <c r="E44" s="39"/>
      <c r="F44" s="6" t="str">
        <f>IF(인성!D44&gt;0,"O","X")</f>
        <v>X</v>
      </c>
      <c r="G44" s="6" t="str">
        <f>IF('인지적특성&amp;학습능력'!D44&gt;0,"O","X")</f>
        <v>X</v>
      </c>
      <c r="H44" s="6" t="str">
        <f>IF(창의성!D44&gt;0,"O","X")</f>
        <v>X</v>
      </c>
      <c r="I44" s="6" t="str">
        <f>IF('잠재력&amp;진로'!D44&gt;0,"O","X")</f>
        <v>X</v>
      </c>
      <c r="J44" s="6" t="str">
        <f>IF('배려&amp;타인존중'!D44&gt;0,"O","X")</f>
        <v>X</v>
      </c>
      <c r="K44" s="6" t="str">
        <f>IF('나눔&amp;협력'!D44&gt;0,"O","X")</f>
        <v>X</v>
      </c>
      <c r="L44" s="6" t="str">
        <f>IF('대인관계 지향성'!D44&gt;0,"O","X")</f>
        <v>X</v>
      </c>
      <c r="M44" s="6" t="str">
        <f>IF(규칙준수!D44&gt;0,"O","X")</f>
        <v>X</v>
      </c>
      <c r="N44" s="6" t="str">
        <f>IF(예체능!D44&gt;0,"O","X")</f>
        <v>X</v>
      </c>
      <c r="O44" s="46">
        <f t="shared" si="1"/>
        <v>0</v>
      </c>
      <c r="P44" s="44" t="str">
        <f>IF(인성!D44=0,"",인성!E44)</f>
        <v/>
      </c>
      <c r="Q44" s="44" t="str">
        <f>IF('인지적특성&amp;학습능력'!D44=0,"",'인지적특성&amp;학습능력'!E44)</f>
        <v/>
      </c>
      <c r="R44" s="44" t="str">
        <f>IF(창의성!D44=0,"",창의성!E44)</f>
        <v/>
      </c>
      <c r="S44" s="44" t="str">
        <f>IF('잠재력&amp;진로'!D44=0,"",'잠재력&amp;진로'!E44)</f>
        <v/>
      </c>
      <c r="T44" s="44" t="str">
        <f>IF('배려&amp;타인존중'!D44=0,"",'배려&amp;타인존중'!E44)</f>
        <v/>
      </c>
      <c r="U44" s="44" t="str">
        <f>IF('나눔&amp;협력'!D44=0,"",'나눔&amp;협력'!E44)</f>
        <v/>
      </c>
      <c r="V44" s="44" t="str">
        <f>IF('대인관계 지향성'!D44=0,"",'대인관계 지향성'!E44)</f>
        <v/>
      </c>
      <c r="W44" s="44" t="str">
        <f>IF(규칙준수!D44=0,"",규칙준수!E44)</f>
        <v/>
      </c>
      <c r="X44" s="44" t="str">
        <f>IF(예체능!D44=0,"",예체능!E44)</f>
        <v/>
      </c>
      <c r="Y44" s="44" t="str">
        <f t="shared" si="2"/>
        <v/>
      </c>
      <c r="Z44" s="44" t="str">
        <f t="shared" si="3"/>
        <v/>
      </c>
      <c r="AA44" s="4"/>
      <c r="AB44" s="4"/>
      <c r="AC44" s="4"/>
      <c r="AD44" s="4"/>
      <c r="AE44" s="4"/>
      <c r="AF44" s="4"/>
      <c r="AG44" s="4"/>
      <c r="AH44" s="4"/>
      <c r="AI44" s="4"/>
      <c r="AJ44" s="4"/>
      <c r="AK44" s="4"/>
      <c r="AL44" s="4"/>
      <c r="AM44" s="4"/>
      <c r="AN44" s="4"/>
      <c r="AO44" s="4"/>
      <c r="AP44" s="4"/>
      <c r="AQ44" s="4"/>
      <c r="AR44" s="4"/>
    </row>
    <row r="45" spans="1:44">
      <c r="A45" s="4"/>
      <c r="B45" s="32" t="str">
        <f>IF(학급명렬표!B45&gt;0,학급명렬표!B45,"")</f>
        <v/>
      </c>
      <c r="C45" s="32" t="str">
        <f>IF(학급명렬표!C45&gt;0,학급명렬표!C45,"")</f>
        <v/>
      </c>
      <c r="D45" s="45"/>
      <c r="E45" s="39"/>
      <c r="F45" s="6" t="str">
        <f>IF(인성!D45&gt;0,"O","X")</f>
        <v>X</v>
      </c>
      <c r="G45" s="6" t="str">
        <f>IF('인지적특성&amp;학습능력'!D45&gt;0,"O","X")</f>
        <v>X</v>
      </c>
      <c r="H45" s="6" t="str">
        <f>IF(창의성!D45&gt;0,"O","X")</f>
        <v>X</v>
      </c>
      <c r="I45" s="6" t="str">
        <f>IF('잠재력&amp;진로'!D45&gt;0,"O","X")</f>
        <v>X</v>
      </c>
      <c r="J45" s="6" t="str">
        <f>IF('배려&amp;타인존중'!D45&gt;0,"O","X")</f>
        <v>X</v>
      </c>
      <c r="K45" s="6" t="str">
        <f>IF('나눔&amp;협력'!D45&gt;0,"O","X")</f>
        <v>X</v>
      </c>
      <c r="L45" s="6" t="str">
        <f>IF('대인관계 지향성'!D45&gt;0,"O","X")</f>
        <v>X</v>
      </c>
      <c r="M45" s="6" t="str">
        <f>IF(규칙준수!D45&gt;0,"O","X")</f>
        <v>X</v>
      </c>
      <c r="N45" s="6" t="str">
        <f>IF(예체능!D45&gt;0,"O","X")</f>
        <v>X</v>
      </c>
      <c r="O45" s="46">
        <f t="shared" si="1"/>
        <v>0</v>
      </c>
      <c r="P45" s="44" t="str">
        <f>IF(인성!D45=0,"",인성!E45)</f>
        <v/>
      </c>
      <c r="Q45" s="44" t="str">
        <f>IF('인지적특성&amp;학습능력'!D45=0,"",'인지적특성&amp;학습능력'!E45)</f>
        <v/>
      </c>
      <c r="R45" s="44" t="str">
        <f>IF(창의성!D45=0,"",창의성!E45)</f>
        <v/>
      </c>
      <c r="S45" s="44" t="str">
        <f>IF('잠재력&amp;진로'!D45=0,"",'잠재력&amp;진로'!E45)</f>
        <v/>
      </c>
      <c r="T45" s="44" t="str">
        <f>IF('배려&amp;타인존중'!D45=0,"",'배려&amp;타인존중'!E45)</f>
        <v/>
      </c>
      <c r="U45" s="44" t="str">
        <f>IF('나눔&amp;협력'!D45=0,"",'나눔&amp;협력'!E45)</f>
        <v/>
      </c>
      <c r="V45" s="44" t="str">
        <f>IF('대인관계 지향성'!D45=0,"",'대인관계 지향성'!E45)</f>
        <v/>
      </c>
      <c r="W45" s="44" t="str">
        <f>IF(규칙준수!D45=0,"",규칙준수!E45)</f>
        <v/>
      </c>
      <c r="X45" s="44" t="str">
        <f>IF(예체능!D45=0,"",예체능!E45)</f>
        <v/>
      </c>
      <c r="Y45" s="44" t="str">
        <f t="shared" si="2"/>
        <v/>
      </c>
      <c r="Z45" s="44" t="str">
        <f t="shared" si="3"/>
        <v/>
      </c>
      <c r="AA45" s="4"/>
      <c r="AB45" s="4"/>
      <c r="AC45" s="4"/>
      <c r="AD45" s="4"/>
      <c r="AE45" s="4"/>
      <c r="AF45" s="4"/>
      <c r="AG45" s="4"/>
      <c r="AH45" s="4"/>
      <c r="AI45" s="4"/>
      <c r="AJ45" s="4"/>
      <c r="AK45" s="4"/>
      <c r="AL45" s="4"/>
      <c r="AM45" s="4"/>
      <c r="AN45" s="4"/>
      <c r="AO45" s="4"/>
      <c r="AP45" s="4"/>
      <c r="AQ45" s="4"/>
      <c r="AR45" s="4"/>
    </row>
    <row r="46" spans="1:44">
      <c r="A46" s="4"/>
      <c r="B46" s="32" t="str">
        <f>IF(학급명렬표!B46&gt;0,학급명렬표!B46,"")</f>
        <v/>
      </c>
      <c r="C46" s="32" t="str">
        <f>IF(학급명렬표!C46&gt;0,학급명렬표!C46,"")</f>
        <v/>
      </c>
      <c r="D46" s="45"/>
      <c r="E46" s="39"/>
      <c r="F46" s="6" t="str">
        <f>IF(인성!D46&gt;0,"O","X")</f>
        <v>X</v>
      </c>
      <c r="G46" s="6" t="str">
        <f>IF('인지적특성&amp;학습능력'!D46&gt;0,"O","X")</f>
        <v>X</v>
      </c>
      <c r="H46" s="6" t="str">
        <f>IF(창의성!D46&gt;0,"O","X")</f>
        <v>X</v>
      </c>
      <c r="I46" s="6" t="str">
        <f>IF('잠재력&amp;진로'!D46&gt;0,"O","X")</f>
        <v>X</v>
      </c>
      <c r="J46" s="6" t="str">
        <f>IF('배려&amp;타인존중'!D46&gt;0,"O","X")</f>
        <v>X</v>
      </c>
      <c r="K46" s="6" t="str">
        <f>IF('나눔&amp;협력'!D46&gt;0,"O","X")</f>
        <v>X</v>
      </c>
      <c r="L46" s="6" t="str">
        <f>IF('대인관계 지향성'!D46&gt;0,"O","X")</f>
        <v>X</v>
      </c>
      <c r="M46" s="6" t="str">
        <f>IF(규칙준수!D46&gt;0,"O","X")</f>
        <v>X</v>
      </c>
      <c r="N46" s="6" t="str">
        <f>IF(예체능!D46&gt;0,"O","X")</f>
        <v>X</v>
      </c>
      <c r="O46" s="46">
        <f t="shared" si="1"/>
        <v>0</v>
      </c>
      <c r="P46" s="44" t="str">
        <f>IF(인성!D46=0,"",인성!E46)</f>
        <v/>
      </c>
      <c r="Q46" s="44" t="str">
        <f>IF('인지적특성&amp;학습능력'!D46=0,"",'인지적특성&amp;학습능력'!E46)</f>
        <v/>
      </c>
      <c r="R46" s="44" t="str">
        <f>IF(창의성!D46=0,"",창의성!E46)</f>
        <v/>
      </c>
      <c r="S46" s="44" t="str">
        <f>IF('잠재력&amp;진로'!D46=0,"",'잠재력&amp;진로'!E46)</f>
        <v/>
      </c>
      <c r="T46" s="44" t="str">
        <f>IF('배려&amp;타인존중'!D46=0,"",'배려&amp;타인존중'!E46)</f>
        <v/>
      </c>
      <c r="U46" s="44" t="str">
        <f>IF('나눔&amp;협력'!D46=0,"",'나눔&amp;협력'!E46)</f>
        <v/>
      </c>
      <c r="V46" s="44" t="str">
        <f>IF('대인관계 지향성'!D46=0,"",'대인관계 지향성'!E46)</f>
        <v/>
      </c>
      <c r="W46" s="44" t="str">
        <f>IF(규칙준수!D46=0,"",규칙준수!E46)</f>
        <v/>
      </c>
      <c r="X46" s="44" t="str">
        <f>IF(예체능!D46=0,"",예체능!E46)</f>
        <v/>
      </c>
      <c r="Y46" s="44" t="str">
        <f t="shared" si="2"/>
        <v/>
      </c>
      <c r="Z46" s="44" t="str">
        <f t="shared" si="3"/>
        <v/>
      </c>
      <c r="AA46" s="4"/>
      <c r="AB46" s="4"/>
      <c r="AC46" s="4"/>
      <c r="AD46" s="4"/>
      <c r="AE46" s="4"/>
      <c r="AF46" s="4"/>
      <c r="AG46" s="4"/>
      <c r="AH46" s="4"/>
      <c r="AI46" s="4"/>
      <c r="AJ46" s="4"/>
      <c r="AK46" s="4"/>
      <c r="AL46" s="4"/>
      <c r="AM46" s="4"/>
      <c r="AN46" s="4"/>
      <c r="AO46" s="4"/>
      <c r="AP46" s="4"/>
      <c r="AQ46" s="4"/>
      <c r="AR46" s="4"/>
    </row>
    <row r="47" spans="1:44">
      <c r="A47" s="4"/>
      <c r="B47" s="32" t="str">
        <f>IF(학급명렬표!B47&gt;0,학급명렬표!B47,"")</f>
        <v/>
      </c>
      <c r="C47" s="32" t="str">
        <f>IF(학급명렬표!C47&gt;0,학급명렬표!C47,"")</f>
        <v/>
      </c>
      <c r="D47" s="45"/>
      <c r="E47" s="39"/>
      <c r="F47" s="6" t="str">
        <f>IF(인성!D47&gt;0,"O","X")</f>
        <v>X</v>
      </c>
      <c r="G47" s="6" t="str">
        <f>IF('인지적특성&amp;학습능력'!D47&gt;0,"O","X")</f>
        <v>X</v>
      </c>
      <c r="H47" s="6" t="str">
        <f>IF(창의성!D47&gt;0,"O","X")</f>
        <v>X</v>
      </c>
      <c r="I47" s="6" t="str">
        <f>IF('잠재력&amp;진로'!D47&gt;0,"O","X")</f>
        <v>X</v>
      </c>
      <c r="J47" s="6" t="str">
        <f>IF('배려&amp;타인존중'!D47&gt;0,"O","X")</f>
        <v>X</v>
      </c>
      <c r="K47" s="6" t="str">
        <f>IF('나눔&amp;협력'!D47&gt;0,"O","X")</f>
        <v>X</v>
      </c>
      <c r="L47" s="6" t="str">
        <f>IF('대인관계 지향성'!D47&gt;0,"O","X")</f>
        <v>X</v>
      </c>
      <c r="M47" s="6" t="str">
        <f>IF(규칙준수!D47&gt;0,"O","X")</f>
        <v>X</v>
      </c>
      <c r="N47" s="6" t="str">
        <f>IF(예체능!D47&gt;0,"O","X")</f>
        <v>X</v>
      </c>
      <c r="O47" s="46">
        <f t="shared" si="1"/>
        <v>0</v>
      </c>
      <c r="P47" s="44" t="str">
        <f>IF(인성!D47=0,"",인성!E47)</f>
        <v/>
      </c>
      <c r="Q47" s="44" t="str">
        <f>IF('인지적특성&amp;학습능력'!D47=0,"",'인지적특성&amp;학습능력'!E47)</f>
        <v/>
      </c>
      <c r="R47" s="44" t="str">
        <f>IF(창의성!D47=0,"",창의성!E47)</f>
        <v/>
      </c>
      <c r="S47" s="44" t="str">
        <f>IF('잠재력&amp;진로'!D47=0,"",'잠재력&amp;진로'!E47)</f>
        <v/>
      </c>
      <c r="T47" s="44" t="str">
        <f>IF('배려&amp;타인존중'!D47=0,"",'배려&amp;타인존중'!E47)</f>
        <v/>
      </c>
      <c r="U47" s="44" t="str">
        <f>IF('나눔&amp;협력'!D47=0,"",'나눔&amp;협력'!E47)</f>
        <v/>
      </c>
      <c r="V47" s="44" t="str">
        <f>IF('대인관계 지향성'!D47=0,"",'대인관계 지향성'!E47)</f>
        <v/>
      </c>
      <c r="W47" s="44" t="str">
        <f>IF(규칙준수!D47=0,"",규칙준수!E47)</f>
        <v/>
      </c>
      <c r="X47" s="44" t="str">
        <f>IF(예체능!D47=0,"",예체능!E47)</f>
        <v/>
      </c>
      <c r="Y47" s="44" t="str">
        <f t="shared" si="2"/>
        <v/>
      </c>
      <c r="Z47" s="44" t="str">
        <f t="shared" si="3"/>
        <v/>
      </c>
      <c r="AA47" s="4"/>
      <c r="AB47" s="4"/>
      <c r="AC47" s="4"/>
      <c r="AD47" s="4"/>
      <c r="AE47" s="4"/>
      <c r="AF47" s="4"/>
      <c r="AG47" s="4"/>
      <c r="AH47" s="4"/>
      <c r="AI47" s="4"/>
      <c r="AJ47" s="4"/>
      <c r="AK47" s="4"/>
      <c r="AL47" s="4"/>
      <c r="AM47" s="4"/>
      <c r="AN47" s="4"/>
      <c r="AO47" s="4"/>
      <c r="AP47" s="4"/>
      <c r="AQ47" s="4"/>
      <c r="AR47" s="4"/>
    </row>
    <row r="48" spans="1:44">
      <c r="A48" s="4"/>
      <c r="B48" s="32" t="str">
        <f>IF(학급명렬표!B48&gt;0,학급명렬표!B48,"")</f>
        <v/>
      </c>
      <c r="C48" s="32" t="str">
        <f>IF(학급명렬표!C48&gt;0,학급명렬표!C48,"")</f>
        <v/>
      </c>
      <c r="D48" s="45"/>
      <c r="E48" s="39"/>
      <c r="F48" s="6" t="str">
        <f>IF(인성!D48&gt;0,"O","X")</f>
        <v>X</v>
      </c>
      <c r="G48" s="6" t="str">
        <f>IF('인지적특성&amp;학습능력'!D48&gt;0,"O","X")</f>
        <v>X</v>
      </c>
      <c r="H48" s="6" t="str">
        <f>IF(창의성!D48&gt;0,"O","X")</f>
        <v>X</v>
      </c>
      <c r="I48" s="6" t="str">
        <f>IF('잠재력&amp;진로'!D48&gt;0,"O","X")</f>
        <v>X</v>
      </c>
      <c r="J48" s="6" t="str">
        <f>IF('배려&amp;타인존중'!D48&gt;0,"O","X")</f>
        <v>X</v>
      </c>
      <c r="K48" s="6" t="str">
        <f>IF('나눔&amp;협력'!D48&gt;0,"O","X")</f>
        <v>X</v>
      </c>
      <c r="L48" s="6" t="str">
        <f>IF('대인관계 지향성'!D48&gt;0,"O","X")</f>
        <v>X</v>
      </c>
      <c r="M48" s="6" t="str">
        <f>IF(규칙준수!D48&gt;0,"O","X")</f>
        <v>X</v>
      </c>
      <c r="N48" s="6" t="str">
        <f>IF(예체능!D48&gt;0,"O","X")</f>
        <v>X</v>
      </c>
      <c r="O48" s="46">
        <f t="shared" si="1"/>
        <v>0</v>
      </c>
      <c r="P48" s="44" t="str">
        <f>IF(인성!D48=0,"",인성!E48)</f>
        <v/>
      </c>
      <c r="Q48" s="44" t="str">
        <f>IF('인지적특성&amp;학습능력'!D48=0,"",'인지적특성&amp;학습능력'!E48)</f>
        <v/>
      </c>
      <c r="R48" s="44" t="str">
        <f>IF(창의성!D48=0,"",창의성!E48)</f>
        <v/>
      </c>
      <c r="S48" s="44" t="str">
        <f>IF('잠재력&amp;진로'!D48=0,"",'잠재력&amp;진로'!E48)</f>
        <v/>
      </c>
      <c r="T48" s="44" t="str">
        <f>IF('배려&amp;타인존중'!D48=0,"",'배려&amp;타인존중'!E48)</f>
        <v/>
      </c>
      <c r="U48" s="44" t="str">
        <f>IF('나눔&amp;협력'!D48=0,"",'나눔&amp;협력'!E48)</f>
        <v/>
      </c>
      <c r="V48" s="44" t="str">
        <f>IF('대인관계 지향성'!D48=0,"",'대인관계 지향성'!E48)</f>
        <v/>
      </c>
      <c r="W48" s="44" t="str">
        <f>IF(규칙준수!D48=0,"",규칙준수!E48)</f>
        <v/>
      </c>
      <c r="X48" s="44" t="str">
        <f>IF(예체능!D48=0,"",예체능!E48)</f>
        <v/>
      </c>
      <c r="Y48" s="44" t="str">
        <f t="shared" si="2"/>
        <v/>
      </c>
      <c r="Z48" s="44" t="str">
        <f t="shared" si="3"/>
        <v/>
      </c>
      <c r="AA48" s="4"/>
      <c r="AB48" s="4"/>
      <c r="AC48" s="4"/>
      <c r="AD48" s="4"/>
      <c r="AE48" s="4"/>
      <c r="AF48" s="4"/>
      <c r="AG48" s="4"/>
      <c r="AH48" s="4"/>
      <c r="AI48" s="4"/>
      <c r="AJ48" s="4"/>
      <c r="AK48" s="4"/>
      <c r="AL48" s="4"/>
      <c r="AM48" s="4"/>
      <c r="AN48" s="4"/>
      <c r="AO48" s="4"/>
      <c r="AP48" s="4"/>
      <c r="AQ48" s="4"/>
      <c r="AR48" s="4"/>
    </row>
    <row r="49" spans="1:44">
      <c r="A49" s="4"/>
      <c r="B49" s="32" t="str">
        <f>IF(학급명렬표!B49&gt;0,학급명렬표!B49,"")</f>
        <v/>
      </c>
      <c r="C49" s="32" t="str">
        <f>IF(학급명렬표!C49&gt;0,학급명렬표!C49,"")</f>
        <v/>
      </c>
      <c r="D49" s="45"/>
      <c r="E49" s="39"/>
      <c r="F49" s="6" t="str">
        <f>IF(인성!D49&gt;0,"O","X")</f>
        <v>X</v>
      </c>
      <c r="G49" s="6" t="str">
        <f>IF('인지적특성&amp;학습능력'!D49&gt;0,"O","X")</f>
        <v>X</v>
      </c>
      <c r="H49" s="6" t="str">
        <f>IF(창의성!D49&gt;0,"O","X")</f>
        <v>X</v>
      </c>
      <c r="I49" s="6" t="str">
        <f>IF('잠재력&amp;진로'!D49&gt;0,"O","X")</f>
        <v>X</v>
      </c>
      <c r="J49" s="6" t="str">
        <f>IF('배려&amp;타인존중'!D49&gt;0,"O","X")</f>
        <v>X</v>
      </c>
      <c r="K49" s="6" t="str">
        <f>IF('나눔&amp;협력'!D49&gt;0,"O","X")</f>
        <v>X</v>
      </c>
      <c r="L49" s="6" t="str">
        <f>IF('대인관계 지향성'!D49&gt;0,"O","X")</f>
        <v>X</v>
      </c>
      <c r="M49" s="6" t="str">
        <f>IF(규칙준수!D49&gt;0,"O","X")</f>
        <v>X</v>
      </c>
      <c r="N49" s="6" t="str">
        <f>IF(예체능!D49&gt;0,"O","X")</f>
        <v>X</v>
      </c>
      <c r="O49" s="46">
        <f t="shared" si="1"/>
        <v>0</v>
      </c>
      <c r="P49" s="44" t="str">
        <f>IF(인성!D49=0,"",인성!E49)</f>
        <v/>
      </c>
      <c r="Q49" s="44" t="str">
        <f>IF('인지적특성&amp;학습능력'!D49=0,"",'인지적특성&amp;학습능력'!E49)</f>
        <v/>
      </c>
      <c r="R49" s="44" t="str">
        <f>IF(창의성!D49=0,"",창의성!E49)</f>
        <v/>
      </c>
      <c r="S49" s="44" t="str">
        <f>IF('잠재력&amp;진로'!D49=0,"",'잠재력&amp;진로'!E49)</f>
        <v/>
      </c>
      <c r="T49" s="44" t="str">
        <f>IF('배려&amp;타인존중'!D49=0,"",'배려&amp;타인존중'!E49)</f>
        <v/>
      </c>
      <c r="U49" s="44" t="str">
        <f>IF('나눔&amp;협력'!D49=0,"",'나눔&amp;협력'!E49)</f>
        <v/>
      </c>
      <c r="V49" s="44" t="str">
        <f>IF('대인관계 지향성'!D49=0,"",'대인관계 지향성'!E49)</f>
        <v/>
      </c>
      <c r="W49" s="44" t="str">
        <f>IF(규칙준수!D49=0,"",규칙준수!E49)</f>
        <v/>
      </c>
      <c r="X49" s="44" t="str">
        <f>IF(예체능!D49=0,"",예체능!E49)</f>
        <v/>
      </c>
      <c r="Y49" s="44" t="str">
        <f t="shared" si="2"/>
        <v/>
      </c>
      <c r="Z49" s="44" t="str">
        <f t="shared" si="3"/>
        <v/>
      </c>
      <c r="AA49" s="4"/>
      <c r="AB49" s="4"/>
      <c r="AC49" s="4"/>
      <c r="AD49" s="4"/>
      <c r="AE49" s="4"/>
      <c r="AF49" s="4"/>
      <c r="AG49" s="4"/>
      <c r="AH49" s="4"/>
      <c r="AI49" s="4"/>
      <c r="AJ49" s="4"/>
      <c r="AK49" s="4"/>
      <c r="AL49" s="4"/>
      <c r="AM49" s="4"/>
      <c r="AN49" s="4"/>
      <c r="AO49" s="4"/>
      <c r="AP49" s="4"/>
      <c r="AQ49" s="4"/>
      <c r="AR49" s="4"/>
    </row>
    <row r="50" spans="1:44">
      <c r="A50" s="4"/>
      <c r="B50" s="47"/>
      <c r="C50" s="47"/>
      <c r="D50" s="48"/>
      <c r="E50" s="4"/>
      <c r="F50" s="11"/>
      <c r="G50" s="11"/>
      <c r="H50" s="11"/>
      <c r="I50" s="11"/>
      <c r="J50" s="11"/>
      <c r="K50" s="11"/>
      <c r="L50" s="11"/>
      <c r="M50" s="11"/>
      <c r="N50" s="11"/>
      <c r="O50" s="11"/>
      <c r="P50" s="14"/>
      <c r="Q50" s="14"/>
      <c r="R50" s="14"/>
      <c r="S50" s="14"/>
      <c r="T50" s="14"/>
      <c r="U50" s="14"/>
      <c r="V50" s="14"/>
      <c r="W50" s="14"/>
      <c r="X50" s="14"/>
      <c r="Y50" s="14"/>
      <c r="Z50" s="14"/>
      <c r="AA50" s="4"/>
      <c r="AB50" s="4"/>
      <c r="AC50" s="4"/>
      <c r="AD50" s="4"/>
      <c r="AE50" s="4"/>
      <c r="AF50" s="4"/>
      <c r="AG50" s="4"/>
      <c r="AH50" s="4"/>
      <c r="AI50" s="4"/>
      <c r="AJ50" s="4"/>
      <c r="AK50" s="4"/>
      <c r="AL50" s="4"/>
      <c r="AM50" s="4"/>
      <c r="AN50" s="4"/>
      <c r="AO50" s="4"/>
      <c r="AP50" s="4"/>
      <c r="AQ50" s="4"/>
      <c r="AR50" s="4"/>
    </row>
    <row r="51" spans="1:44">
      <c r="A51" s="4"/>
      <c r="B51" s="47"/>
      <c r="C51" s="47"/>
      <c r="D51" s="48"/>
      <c r="E51" s="4"/>
      <c r="F51" s="11"/>
      <c r="G51" s="11"/>
      <c r="H51" s="11"/>
      <c r="I51" s="11"/>
      <c r="J51" s="11"/>
      <c r="K51" s="11"/>
      <c r="L51" s="11"/>
      <c r="M51" s="11"/>
      <c r="N51" s="11"/>
      <c r="O51" s="11"/>
      <c r="P51" s="14"/>
      <c r="Q51" s="14"/>
      <c r="R51" s="14"/>
      <c r="S51" s="14"/>
      <c r="T51" s="14"/>
      <c r="U51" s="14"/>
      <c r="V51" s="14"/>
      <c r="W51" s="14"/>
      <c r="X51" s="14"/>
      <c r="Y51" s="14"/>
      <c r="Z51" s="14"/>
      <c r="AA51" s="4"/>
      <c r="AB51" s="4"/>
      <c r="AC51" s="4"/>
      <c r="AD51" s="4"/>
      <c r="AE51" s="4"/>
      <c r="AF51" s="4"/>
      <c r="AG51" s="4"/>
      <c r="AH51" s="4"/>
      <c r="AI51" s="4"/>
      <c r="AJ51" s="4"/>
      <c r="AK51" s="4"/>
      <c r="AL51" s="4"/>
      <c r="AM51" s="4"/>
      <c r="AN51" s="4"/>
      <c r="AO51" s="4"/>
      <c r="AP51" s="4"/>
      <c r="AQ51" s="4"/>
      <c r="AR51" s="4"/>
    </row>
    <row r="52" spans="1:44">
      <c r="A52" s="4"/>
      <c r="B52" s="47"/>
      <c r="C52" s="47"/>
      <c r="D52" s="48"/>
      <c r="E52" s="4"/>
      <c r="F52" s="11"/>
      <c r="G52" s="11"/>
      <c r="H52" s="11"/>
      <c r="I52" s="11"/>
      <c r="J52" s="11"/>
      <c r="K52" s="11"/>
      <c r="L52" s="11"/>
      <c r="M52" s="11"/>
      <c r="N52" s="11"/>
      <c r="O52" s="11"/>
      <c r="P52" s="14"/>
      <c r="Q52" s="14"/>
      <c r="R52" s="14"/>
      <c r="S52" s="14"/>
      <c r="T52" s="14"/>
      <c r="U52" s="14"/>
      <c r="V52" s="14"/>
      <c r="W52" s="14"/>
      <c r="X52" s="14"/>
      <c r="Y52" s="14"/>
      <c r="Z52" s="14"/>
      <c r="AA52" s="4"/>
      <c r="AB52" s="4"/>
      <c r="AC52" s="4"/>
      <c r="AD52" s="4"/>
      <c r="AE52" s="4"/>
      <c r="AF52" s="4"/>
      <c r="AG52" s="4"/>
      <c r="AH52" s="4"/>
      <c r="AI52" s="4"/>
      <c r="AJ52" s="4"/>
      <c r="AK52" s="4"/>
      <c r="AL52" s="4"/>
      <c r="AM52" s="4"/>
      <c r="AN52" s="4"/>
      <c r="AO52" s="4"/>
      <c r="AP52" s="4"/>
      <c r="AQ52" s="4"/>
      <c r="AR52" s="4"/>
    </row>
    <row r="53" spans="1:44">
      <c r="A53" s="4"/>
      <c r="B53" s="47"/>
      <c r="C53" s="47"/>
      <c r="D53" s="48"/>
      <c r="E53" s="4"/>
      <c r="F53" s="11"/>
      <c r="G53" s="11"/>
      <c r="H53" s="11"/>
      <c r="I53" s="11"/>
      <c r="J53" s="11"/>
      <c r="K53" s="11"/>
      <c r="L53" s="11"/>
      <c r="M53" s="11"/>
      <c r="N53" s="11"/>
      <c r="O53" s="11"/>
      <c r="P53" s="14"/>
      <c r="Q53" s="14"/>
      <c r="R53" s="14"/>
      <c r="S53" s="14"/>
      <c r="T53" s="14"/>
      <c r="U53" s="14"/>
      <c r="V53" s="14"/>
      <c r="W53" s="14"/>
      <c r="X53" s="14"/>
      <c r="Y53" s="14"/>
      <c r="Z53" s="14"/>
      <c r="AA53" s="4"/>
      <c r="AB53" s="4"/>
      <c r="AC53" s="4"/>
      <c r="AD53" s="4"/>
      <c r="AE53" s="4"/>
      <c r="AF53" s="4"/>
      <c r="AG53" s="4"/>
      <c r="AH53" s="4"/>
      <c r="AI53" s="4"/>
      <c r="AJ53" s="4"/>
      <c r="AK53" s="4"/>
      <c r="AL53" s="4"/>
      <c r="AM53" s="4"/>
      <c r="AN53" s="4"/>
      <c r="AO53" s="4"/>
      <c r="AP53" s="4"/>
      <c r="AQ53" s="4"/>
      <c r="AR53" s="4"/>
    </row>
    <row r="54" spans="1:44">
      <c r="A54" s="4"/>
      <c r="B54" s="47"/>
      <c r="C54" s="47"/>
      <c r="D54" s="48"/>
      <c r="E54" s="4"/>
      <c r="F54" s="11"/>
      <c r="G54" s="11"/>
      <c r="H54" s="11"/>
      <c r="I54" s="11"/>
      <c r="J54" s="11"/>
      <c r="K54" s="11"/>
      <c r="L54" s="11"/>
      <c r="M54" s="11"/>
      <c r="N54" s="11"/>
      <c r="O54" s="11"/>
      <c r="P54" s="14"/>
      <c r="Q54" s="14"/>
      <c r="R54" s="14"/>
      <c r="S54" s="14"/>
      <c r="T54" s="14"/>
      <c r="U54" s="14"/>
      <c r="V54" s="14"/>
      <c r="W54" s="14"/>
      <c r="X54" s="14"/>
      <c r="Y54" s="14"/>
      <c r="Z54" s="14"/>
      <c r="AA54" s="4"/>
      <c r="AB54" s="4"/>
      <c r="AC54" s="4"/>
      <c r="AD54" s="4"/>
      <c r="AE54" s="4"/>
      <c r="AF54" s="4"/>
      <c r="AG54" s="4"/>
      <c r="AH54" s="4"/>
      <c r="AI54" s="4"/>
      <c r="AJ54" s="4"/>
      <c r="AK54" s="4"/>
      <c r="AL54" s="4"/>
      <c r="AM54" s="4"/>
      <c r="AN54" s="4"/>
      <c r="AO54" s="4"/>
      <c r="AP54" s="4"/>
      <c r="AQ54" s="4"/>
      <c r="AR54" s="4"/>
    </row>
    <row r="55" spans="1:44">
      <c r="A55" s="4"/>
      <c r="B55" s="47"/>
      <c r="C55" s="47"/>
      <c r="D55" s="48"/>
      <c r="E55" s="4"/>
      <c r="F55" s="11"/>
      <c r="G55" s="11"/>
      <c r="H55" s="11"/>
      <c r="I55" s="11"/>
      <c r="J55" s="11"/>
      <c r="K55" s="11"/>
      <c r="L55" s="11"/>
      <c r="M55" s="11"/>
      <c r="N55" s="11"/>
      <c r="O55" s="11"/>
      <c r="P55" s="14"/>
      <c r="Q55" s="14"/>
      <c r="R55" s="14"/>
      <c r="S55" s="14"/>
      <c r="T55" s="14"/>
      <c r="U55" s="14"/>
      <c r="V55" s="14"/>
      <c r="W55" s="14"/>
      <c r="X55" s="14"/>
      <c r="Y55" s="14"/>
      <c r="Z55" s="14"/>
      <c r="AA55" s="4"/>
      <c r="AB55" s="4"/>
      <c r="AC55" s="4"/>
      <c r="AD55" s="4"/>
      <c r="AE55" s="4"/>
      <c r="AF55" s="4"/>
      <c r="AG55" s="4"/>
      <c r="AH55" s="4"/>
      <c r="AI55" s="4"/>
      <c r="AJ55" s="4"/>
      <c r="AK55" s="4"/>
      <c r="AL55" s="4"/>
      <c r="AM55" s="4"/>
      <c r="AN55" s="4"/>
      <c r="AO55" s="4"/>
      <c r="AP55" s="4"/>
      <c r="AQ55" s="4"/>
      <c r="AR55" s="4"/>
    </row>
    <row r="56" spans="1:44">
      <c r="A56" s="4"/>
      <c r="B56" s="47"/>
      <c r="C56" s="47"/>
      <c r="D56" s="48"/>
      <c r="E56" s="4"/>
      <c r="F56" s="11"/>
      <c r="G56" s="11"/>
      <c r="H56" s="11"/>
      <c r="I56" s="11"/>
      <c r="J56" s="11"/>
      <c r="K56" s="11"/>
      <c r="L56" s="11"/>
      <c r="M56" s="11"/>
      <c r="N56" s="11"/>
      <c r="O56" s="11"/>
      <c r="P56" s="14"/>
      <c r="Q56" s="14"/>
      <c r="R56" s="14"/>
      <c r="S56" s="14"/>
      <c r="T56" s="14"/>
      <c r="U56" s="14"/>
      <c r="V56" s="14"/>
      <c r="W56" s="14"/>
      <c r="X56" s="14"/>
      <c r="Y56" s="14"/>
      <c r="Z56" s="14"/>
      <c r="AA56" s="4"/>
      <c r="AB56" s="4"/>
      <c r="AC56" s="4"/>
      <c r="AD56" s="4"/>
      <c r="AE56" s="4"/>
      <c r="AF56" s="4"/>
      <c r="AG56" s="4"/>
      <c r="AH56" s="4"/>
      <c r="AI56" s="4"/>
      <c r="AJ56" s="4"/>
      <c r="AK56" s="4"/>
      <c r="AL56" s="4"/>
      <c r="AM56" s="4"/>
      <c r="AN56" s="4"/>
      <c r="AO56" s="4"/>
      <c r="AP56" s="4"/>
      <c r="AQ56" s="4"/>
      <c r="AR56" s="4"/>
    </row>
    <row r="57" spans="1:44">
      <c r="A57" s="4"/>
      <c r="B57" s="47"/>
      <c r="C57" s="47"/>
      <c r="D57" s="48"/>
      <c r="E57" s="4"/>
      <c r="F57" s="11"/>
      <c r="G57" s="11"/>
      <c r="H57" s="11"/>
      <c r="I57" s="11"/>
      <c r="J57" s="11"/>
      <c r="K57" s="11"/>
      <c r="L57" s="11"/>
      <c r="M57" s="11"/>
      <c r="N57" s="11"/>
      <c r="O57" s="11"/>
      <c r="P57" s="14"/>
      <c r="Q57" s="14"/>
      <c r="R57" s="14"/>
      <c r="S57" s="14"/>
      <c r="T57" s="14"/>
      <c r="U57" s="14"/>
      <c r="V57" s="14"/>
      <c r="W57" s="14"/>
      <c r="X57" s="14"/>
      <c r="Y57" s="14"/>
      <c r="Z57" s="14"/>
      <c r="AA57" s="4"/>
      <c r="AB57" s="4"/>
      <c r="AC57" s="4"/>
      <c r="AD57" s="4"/>
      <c r="AE57" s="4"/>
      <c r="AF57" s="4"/>
      <c r="AG57" s="4"/>
      <c r="AH57" s="4"/>
      <c r="AI57" s="4"/>
      <c r="AJ57" s="4"/>
      <c r="AK57" s="4"/>
      <c r="AL57" s="4"/>
      <c r="AM57" s="4"/>
      <c r="AN57" s="4"/>
      <c r="AO57" s="4"/>
      <c r="AP57" s="4"/>
      <c r="AQ57" s="4"/>
      <c r="AR57" s="4"/>
    </row>
    <row r="58" spans="1:44">
      <c r="A58" s="4"/>
      <c r="B58" s="47"/>
      <c r="C58" s="47"/>
      <c r="D58" s="48"/>
      <c r="E58" s="4"/>
      <c r="F58" s="11"/>
      <c r="G58" s="11"/>
      <c r="H58" s="11"/>
      <c r="I58" s="11"/>
      <c r="J58" s="11"/>
      <c r="K58" s="11"/>
      <c r="L58" s="11"/>
      <c r="M58" s="11"/>
      <c r="N58" s="11"/>
      <c r="O58" s="11"/>
      <c r="P58" s="14"/>
      <c r="Q58" s="14"/>
      <c r="R58" s="14"/>
      <c r="S58" s="14"/>
      <c r="T58" s="14"/>
      <c r="U58" s="14"/>
      <c r="V58" s="14"/>
      <c r="W58" s="14"/>
      <c r="X58" s="14"/>
      <c r="Y58" s="14"/>
      <c r="Z58" s="14"/>
      <c r="AA58" s="4"/>
      <c r="AB58" s="4"/>
      <c r="AC58" s="4"/>
      <c r="AD58" s="4"/>
      <c r="AE58" s="4"/>
      <c r="AF58" s="4"/>
      <c r="AG58" s="4"/>
      <c r="AH58" s="4"/>
      <c r="AI58" s="4"/>
      <c r="AJ58" s="4"/>
      <c r="AK58" s="4"/>
      <c r="AL58" s="4"/>
      <c r="AM58" s="4"/>
      <c r="AN58" s="4"/>
      <c r="AO58" s="4"/>
      <c r="AP58" s="4"/>
      <c r="AQ58" s="4"/>
      <c r="AR58" s="4"/>
    </row>
    <row r="59" spans="1:44">
      <c r="A59" s="4"/>
      <c r="B59" s="47"/>
      <c r="C59" s="47"/>
      <c r="D59" s="48"/>
      <c r="E59" s="4"/>
      <c r="F59" s="11"/>
      <c r="G59" s="11"/>
      <c r="H59" s="11"/>
      <c r="I59" s="11"/>
      <c r="J59" s="11"/>
      <c r="K59" s="11"/>
      <c r="L59" s="11"/>
      <c r="M59" s="11"/>
      <c r="N59" s="11"/>
      <c r="O59" s="11"/>
      <c r="P59" s="14"/>
      <c r="Q59" s="14"/>
      <c r="R59" s="14"/>
      <c r="S59" s="14"/>
      <c r="T59" s="14"/>
      <c r="U59" s="14"/>
      <c r="V59" s="14"/>
      <c r="W59" s="14"/>
      <c r="X59" s="14"/>
      <c r="Y59" s="14"/>
      <c r="Z59" s="14"/>
      <c r="AA59" s="4"/>
      <c r="AB59" s="4"/>
      <c r="AC59" s="4"/>
      <c r="AD59" s="4"/>
      <c r="AE59" s="4"/>
      <c r="AF59" s="4"/>
      <c r="AG59" s="4"/>
      <c r="AH59" s="4"/>
      <c r="AI59" s="4"/>
      <c r="AJ59" s="4"/>
      <c r="AK59" s="4"/>
      <c r="AL59" s="4"/>
      <c r="AM59" s="4"/>
      <c r="AN59" s="4"/>
      <c r="AO59" s="4"/>
      <c r="AP59" s="4"/>
      <c r="AQ59" s="4"/>
      <c r="AR59" s="4"/>
    </row>
    <row r="60" spans="1:44">
      <c r="A60" s="4"/>
      <c r="B60" s="47"/>
      <c r="C60" s="47"/>
      <c r="D60" s="48"/>
      <c r="E60" s="4"/>
      <c r="F60" s="11"/>
      <c r="G60" s="11"/>
      <c r="H60" s="11"/>
      <c r="I60" s="11"/>
      <c r="J60" s="11"/>
      <c r="K60" s="11"/>
      <c r="L60" s="11"/>
      <c r="M60" s="11"/>
      <c r="N60" s="11"/>
      <c r="O60" s="11"/>
      <c r="P60" s="14"/>
      <c r="Q60" s="14"/>
      <c r="R60" s="14"/>
      <c r="S60" s="14"/>
      <c r="T60" s="14"/>
      <c r="U60" s="14"/>
      <c r="V60" s="14"/>
      <c r="W60" s="14"/>
      <c r="X60" s="14"/>
      <c r="Y60" s="14"/>
      <c r="Z60" s="14"/>
      <c r="AA60" s="4"/>
      <c r="AB60" s="4"/>
      <c r="AC60" s="4"/>
      <c r="AD60" s="4"/>
      <c r="AE60" s="4"/>
      <c r="AF60" s="4"/>
      <c r="AG60" s="4"/>
      <c r="AH60" s="4"/>
      <c r="AI60" s="4"/>
      <c r="AJ60" s="4"/>
      <c r="AK60" s="4"/>
      <c r="AL60" s="4"/>
      <c r="AM60" s="4"/>
      <c r="AN60" s="4"/>
      <c r="AO60" s="4"/>
      <c r="AP60" s="4"/>
      <c r="AQ60" s="4"/>
      <c r="AR60" s="4"/>
    </row>
    <row r="61" spans="1:44">
      <c r="A61" s="4"/>
      <c r="B61" s="47"/>
      <c r="C61" s="47"/>
      <c r="D61" s="48"/>
      <c r="E61" s="4"/>
      <c r="F61" s="11"/>
      <c r="G61" s="11"/>
      <c r="H61" s="11"/>
      <c r="I61" s="11"/>
      <c r="J61" s="11"/>
      <c r="K61" s="11"/>
      <c r="L61" s="11"/>
      <c r="M61" s="11"/>
      <c r="N61" s="11"/>
      <c r="O61" s="11"/>
      <c r="P61" s="14"/>
      <c r="Q61" s="14"/>
      <c r="R61" s="14"/>
      <c r="S61" s="14"/>
      <c r="T61" s="14"/>
      <c r="U61" s="14"/>
      <c r="V61" s="14"/>
      <c r="W61" s="14"/>
      <c r="X61" s="14"/>
      <c r="Y61" s="14"/>
      <c r="Z61" s="14"/>
      <c r="AA61" s="4"/>
      <c r="AB61" s="4"/>
      <c r="AC61" s="4"/>
      <c r="AD61" s="4"/>
      <c r="AE61" s="4"/>
      <c r="AF61" s="4"/>
      <c r="AG61" s="4"/>
      <c r="AH61" s="4"/>
      <c r="AI61" s="4"/>
      <c r="AJ61" s="4"/>
      <c r="AK61" s="4"/>
      <c r="AL61" s="4"/>
      <c r="AM61" s="4"/>
      <c r="AN61" s="4"/>
      <c r="AO61" s="4"/>
      <c r="AP61" s="4"/>
      <c r="AQ61" s="4"/>
      <c r="AR61" s="4"/>
    </row>
    <row r="62" spans="1:44">
      <c r="A62" s="4"/>
      <c r="B62" s="47"/>
      <c r="C62" s="47"/>
      <c r="D62" s="48"/>
      <c r="E62" s="4"/>
      <c r="F62" s="11"/>
      <c r="G62" s="11"/>
      <c r="H62" s="11"/>
      <c r="I62" s="11"/>
      <c r="J62" s="11"/>
      <c r="K62" s="11"/>
      <c r="L62" s="11"/>
      <c r="M62" s="11"/>
      <c r="N62" s="11"/>
      <c r="O62" s="11"/>
      <c r="P62" s="14"/>
      <c r="Q62" s="14"/>
      <c r="R62" s="14"/>
      <c r="S62" s="14"/>
      <c r="T62" s="14"/>
      <c r="U62" s="14"/>
      <c r="V62" s="14"/>
      <c r="W62" s="14"/>
      <c r="X62" s="14"/>
      <c r="Y62" s="14"/>
      <c r="Z62" s="14"/>
      <c r="AA62" s="4"/>
      <c r="AB62" s="4"/>
      <c r="AC62" s="4"/>
      <c r="AD62" s="4"/>
      <c r="AE62" s="4"/>
      <c r="AF62" s="4"/>
      <c r="AG62" s="4"/>
      <c r="AH62" s="4"/>
      <c r="AI62" s="4"/>
      <c r="AJ62" s="4"/>
      <c r="AK62" s="4"/>
      <c r="AL62" s="4"/>
      <c r="AM62" s="4"/>
      <c r="AN62" s="4"/>
      <c r="AO62" s="4"/>
      <c r="AP62" s="4"/>
      <c r="AQ62" s="4"/>
      <c r="AR62" s="4"/>
    </row>
    <row r="63" spans="1:44">
      <c r="A63" s="4"/>
      <c r="B63" s="47"/>
      <c r="C63" s="47"/>
      <c r="D63" s="48"/>
      <c r="E63" s="4"/>
      <c r="F63" s="11"/>
      <c r="G63" s="11"/>
      <c r="H63" s="11"/>
      <c r="I63" s="11"/>
      <c r="J63" s="11"/>
      <c r="K63" s="11"/>
      <c r="L63" s="11"/>
      <c r="M63" s="11"/>
      <c r="N63" s="11"/>
      <c r="O63" s="11"/>
      <c r="P63" s="14"/>
      <c r="Q63" s="14"/>
      <c r="R63" s="14"/>
      <c r="S63" s="14"/>
      <c r="T63" s="14"/>
      <c r="U63" s="14"/>
      <c r="V63" s="14"/>
      <c r="W63" s="14"/>
      <c r="X63" s="14"/>
      <c r="Y63" s="14"/>
      <c r="Z63" s="14"/>
      <c r="AA63" s="4"/>
      <c r="AB63" s="4"/>
      <c r="AC63" s="4"/>
      <c r="AD63" s="4"/>
      <c r="AE63" s="4"/>
      <c r="AF63" s="4"/>
      <c r="AG63" s="4"/>
      <c r="AH63" s="4"/>
      <c r="AI63" s="4"/>
      <c r="AJ63" s="4"/>
      <c r="AK63" s="4"/>
      <c r="AL63" s="4"/>
      <c r="AM63" s="4"/>
      <c r="AN63" s="4"/>
      <c r="AO63" s="4"/>
      <c r="AP63" s="4"/>
      <c r="AQ63" s="4"/>
      <c r="AR63" s="4"/>
    </row>
    <row r="64" spans="1:44">
      <c r="A64" s="4"/>
      <c r="B64" s="47"/>
      <c r="C64" s="47"/>
      <c r="D64" s="48"/>
      <c r="E64" s="4"/>
      <c r="F64" s="11"/>
      <c r="G64" s="11"/>
      <c r="H64" s="11"/>
      <c r="I64" s="11"/>
      <c r="J64" s="11"/>
      <c r="K64" s="11"/>
      <c r="L64" s="11"/>
      <c r="M64" s="11"/>
      <c r="N64" s="11"/>
      <c r="O64" s="11"/>
      <c r="P64" s="14"/>
      <c r="Q64" s="14"/>
      <c r="R64" s="14"/>
      <c r="S64" s="14"/>
      <c r="T64" s="14"/>
      <c r="U64" s="14"/>
      <c r="V64" s="14"/>
      <c r="W64" s="14"/>
      <c r="X64" s="14"/>
      <c r="Y64" s="14"/>
      <c r="Z64" s="14"/>
      <c r="AA64" s="4"/>
      <c r="AB64" s="4"/>
      <c r="AC64" s="4"/>
      <c r="AD64" s="4"/>
      <c r="AE64" s="4"/>
      <c r="AF64" s="4"/>
      <c r="AG64" s="4"/>
      <c r="AH64" s="4"/>
      <c r="AI64" s="4"/>
      <c r="AJ64" s="4"/>
      <c r="AK64" s="4"/>
      <c r="AL64" s="4"/>
      <c r="AM64" s="4"/>
      <c r="AN64" s="4"/>
      <c r="AO64" s="4"/>
      <c r="AP64" s="4"/>
      <c r="AQ64" s="4"/>
      <c r="AR64" s="4"/>
    </row>
    <row r="65" spans="1:44">
      <c r="A65" s="4"/>
      <c r="B65" s="47"/>
      <c r="C65" s="47"/>
      <c r="D65" s="48"/>
      <c r="E65" s="4"/>
      <c r="F65" s="11"/>
      <c r="G65" s="11"/>
      <c r="H65" s="11"/>
      <c r="I65" s="11"/>
      <c r="J65" s="11"/>
      <c r="K65" s="11"/>
      <c r="L65" s="11"/>
      <c r="M65" s="11"/>
      <c r="N65" s="11"/>
      <c r="O65" s="11"/>
      <c r="P65" s="14"/>
      <c r="Q65" s="14"/>
      <c r="R65" s="14"/>
      <c r="S65" s="14"/>
      <c r="T65" s="14"/>
      <c r="U65" s="14"/>
      <c r="V65" s="14"/>
      <c r="W65" s="14"/>
      <c r="X65" s="14"/>
      <c r="Y65" s="14"/>
      <c r="Z65" s="14"/>
      <c r="AA65" s="4"/>
      <c r="AB65" s="4"/>
      <c r="AC65" s="4"/>
      <c r="AD65" s="4"/>
      <c r="AE65" s="4"/>
      <c r="AF65" s="4"/>
      <c r="AG65" s="4"/>
      <c r="AH65" s="4"/>
      <c r="AI65" s="4"/>
      <c r="AJ65" s="4"/>
      <c r="AK65" s="4"/>
      <c r="AL65" s="4"/>
      <c r="AM65" s="4"/>
      <c r="AN65" s="4"/>
      <c r="AO65" s="4"/>
      <c r="AP65" s="4"/>
      <c r="AQ65" s="4"/>
      <c r="AR65" s="4"/>
    </row>
    <row r="66" spans="1:44">
      <c r="A66" s="4"/>
      <c r="B66" s="47"/>
      <c r="C66" s="47"/>
      <c r="D66" s="48"/>
      <c r="E66" s="4"/>
      <c r="F66" s="11"/>
      <c r="G66" s="11"/>
      <c r="H66" s="11"/>
      <c r="I66" s="11"/>
      <c r="J66" s="11"/>
      <c r="K66" s="11"/>
      <c r="L66" s="11"/>
      <c r="M66" s="11"/>
      <c r="N66" s="11"/>
      <c r="O66" s="11"/>
      <c r="P66" s="14"/>
      <c r="Q66" s="14"/>
      <c r="R66" s="14"/>
      <c r="S66" s="14"/>
      <c r="T66" s="14"/>
      <c r="U66" s="14"/>
      <c r="V66" s="14"/>
      <c r="W66" s="14"/>
      <c r="X66" s="14"/>
      <c r="Y66" s="14"/>
      <c r="Z66" s="14"/>
      <c r="AA66" s="4"/>
      <c r="AB66" s="4"/>
      <c r="AC66" s="4"/>
      <c r="AD66" s="4"/>
      <c r="AE66" s="4"/>
      <c r="AF66" s="4"/>
      <c r="AG66" s="4"/>
      <c r="AH66" s="4"/>
      <c r="AI66" s="4"/>
      <c r="AJ66" s="4"/>
      <c r="AK66" s="4"/>
      <c r="AL66" s="4"/>
      <c r="AM66" s="4"/>
      <c r="AN66" s="4"/>
      <c r="AO66" s="4"/>
      <c r="AP66" s="4"/>
      <c r="AQ66" s="4"/>
      <c r="AR66" s="4"/>
    </row>
    <row r="67" spans="1:44">
      <c r="A67" s="4"/>
      <c r="B67" s="47"/>
      <c r="C67" s="47"/>
      <c r="D67" s="48"/>
      <c r="E67" s="4"/>
      <c r="F67" s="11"/>
      <c r="G67" s="11"/>
      <c r="H67" s="11"/>
      <c r="I67" s="11"/>
      <c r="J67" s="11"/>
      <c r="K67" s="11"/>
      <c r="L67" s="11"/>
      <c r="M67" s="11"/>
      <c r="N67" s="11"/>
      <c r="O67" s="11"/>
      <c r="P67" s="14"/>
      <c r="Q67" s="14"/>
      <c r="R67" s="14"/>
      <c r="S67" s="14"/>
      <c r="T67" s="14"/>
      <c r="U67" s="14"/>
      <c r="V67" s="14"/>
      <c r="W67" s="14"/>
      <c r="X67" s="14"/>
      <c r="Y67" s="14"/>
      <c r="Z67" s="14"/>
      <c r="AA67" s="4"/>
      <c r="AB67" s="4"/>
      <c r="AC67" s="4"/>
      <c r="AD67" s="4"/>
      <c r="AE67" s="4"/>
      <c r="AF67" s="4"/>
      <c r="AG67" s="4"/>
      <c r="AH67" s="4"/>
      <c r="AI67" s="4"/>
      <c r="AJ67" s="4"/>
      <c r="AK67" s="4"/>
      <c r="AL67" s="4"/>
      <c r="AM67" s="4"/>
      <c r="AN67" s="4"/>
      <c r="AO67" s="4"/>
      <c r="AP67" s="4"/>
      <c r="AQ67" s="4"/>
      <c r="AR67" s="4"/>
    </row>
    <row r="68" spans="1:44">
      <c r="A68" s="4"/>
      <c r="B68" s="47"/>
      <c r="C68" s="47"/>
      <c r="D68" s="48"/>
      <c r="E68" s="4"/>
      <c r="F68" s="11"/>
      <c r="G68" s="11"/>
      <c r="H68" s="11"/>
      <c r="I68" s="11"/>
      <c r="J68" s="11"/>
      <c r="K68" s="11"/>
      <c r="L68" s="11"/>
      <c r="M68" s="11"/>
      <c r="N68" s="11"/>
      <c r="O68" s="11"/>
      <c r="P68" s="14"/>
      <c r="Q68" s="14"/>
      <c r="R68" s="14"/>
      <c r="S68" s="14"/>
      <c r="T68" s="14"/>
      <c r="U68" s="14"/>
      <c r="V68" s="14"/>
      <c r="W68" s="14"/>
      <c r="X68" s="14"/>
      <c r="Y68" s="14"/>
      <c r="Z68" s="14"/>
      <c r="AA68" s="4"/>
      <c r="AB68" s="4"/>
      <c r="AC68" s="4"/>
      <c r="AD68" s="4"/>
      <c r="AE68" s="4"/>
      <c r="AF68" s="4"/>
      <c r="AG68" s="4"/>
      <c r="AH68" s="4"/>
      <c r="AI68" s="4"/>
      <c r="AJ68" s="4"/>
      <c r="AK68" s="4"/>
      <c r="AL68" s="4"/>
      <c r="AM68" s="4"/>
      <c r="AN68" s="4"/>
      <c r="AO68" s="4"/>
      <c r="AP68" s="4"/>
      <c r="AQ68" s="4"/>
      <c r="AR68" s="4"/>
    </row>
    <row r="69" spans="1:44">
      <c r="A69" s="4"/>
      <c r="B69" s="47"/>
      <c r="C69" s="47"/>
      <c r="D69" s="48"/>
      <c r="E69" s="4"/>
      <c r="F69" s="11"/>
      <c r="G69" s="11"/>
      <c r="H69" s="11"/>
      <c r="I69" s="11"/>
      <c r="J69" s="11"/>
      <c r="K69" s="11"/>
      <c r="L69" s="11"/>
      <c r="M69" s="11"/>
      <c r="N69" s="11"/>
      <c r="O69" s="11"/>
      <c r="P69" s="14"/>
      <c r="Q69" s="14"/>
      <c r="R69" s="14"/>
      <c r="S69" s="14"/>
      <c r="T69" s="14"/>
      <c r="U69" s="14"/>
      <c r="V69" s="14"/>
      <c r="W69" s="14"/>
      <c r="X69" s="14"/>
      <c r="Y69" s="14"/>
      <c r="Z69" s="14"/>
      <c r="AA69" s="4"/>
      <c r="AB69" s="4"/>
      <c r="AC69" s="4"/>
      <c r="AD69" s="4"/>
      <c r="AE69" s="4"/>
      <c r="AF69" s="4"/>
      <c r="AG69" s="4"/>
      <c r="AH69" s="4"/>
      <c r="AI69" s="4"/>
      <c r="AJ69" s="4"/>
      <c r="AK69" s="4"/>
      <c r="AL69" s="4"/>
      <c r="AM69" s="4"/>
      <c r="AN69" s="4"/>
      <c r="AO69" s="4"/>
      <c r="AP69" s="4"/>
      <c r="AQ69" s="4"/>
      <c r="AR69" s="4"/>
    </row>
    <row r="70" spans="1:44">
      <c r="A70" s="4"/>
      <c r="B70" s="47"/>
      <c r="C70" s="47"/>
      <c r="D70" s="48"/>
      <c r="E70" s="4"/>
      <c r="F70" s="11"/>
      <c r="G70" s="11"/>
      <c r="H70" s="11"/>
      <c r="I70" s="11"/>
      <c r="J70" s="11"/>
      <c r="K70" s="11"/>
      <c r="L70" s="11"/>
      <c r="M70" s="11"/>
      <c r="N70" s="11"/>
      <c r="O70" s="11"/>
      <c r="P70" s="14"/>
      <c r="Q70" s="14"/>
      <c r="R70" s="14"/>
      <c r="S70" s="14"/>
      <c r="T70" s="14"/>
      <c r="U70" s="14"/>
      <c r="V70" s="14"/>
      <c r="W70" s="14"/>
      <c r="X70" s="14"/>
      <c r="Y70" s="14"/>
      <c r="Z70" s="14"/>
      <c r="AA70" s="4"/>
      <c r="AB70" s="4"/>
      <c r="AC70" s="4"/>
      <c r="AD70" s="4"/>
      <c r="AE70" s="4"/>
      <c r="AF70" s="4"/>
      <c r="AG70" s="4"/>
      <c r="AH70" s="4"/>
      <c r="AI70" s="4"/>
      <c r="AJ70" s="4"/>
      <c r="AK70" s="4"/>
      <c r="AL70" s="4"/>
      <c r="AM70" s="4"/>
      <c r="AN70" s="4"/>
      <c r="AO70" s="4"/>
      <c r="AP70" s="4"/>
      <c r="AQ70" s="4"/>
      <c r="AR70" s="4"/>
    </row>
    <row r="71" spans="1:44">
      <c r="A71" s="4"/>
      <c r="B71" s="47"/>
      <c r="C71" s="47"/>
      <c r="D71" s="48"/>
      <c r="E71" s="4"/>
      <c r="F71" s="11"/>
      <c r="G71" s="11"/>
      <c r="H71" s="11"/>
      <c r="I71" s="11"/>
      <c r="J71" s="11"/>
      <c r="K71" s="11"/>
      <c r="L71" s="11"/>
      <c r="M71" s="11"/>
      <c r="N71" s="11"/>
      <c r="O71" s="11"/>
      <c r="P71" s="14"/>
      <c r="Q71" s="14"/>
      <c r="R71" s="14"/>
      <c r="S71" s="14"/>
      <c r="T71" s="14"/>
      <c r="U71" s="14"/>
      <c r="V71" s="14"/>
      <c r="W71" s="14"/>
      <c r="X71" s="14"/>
      <c r="Y71" s="14"/>
      <c r="Z71" s="14"/>
      <c r="AA71" s="4"/>
      <c r="AB71" s="4"/>
      <c r="AC71" s="4"/>
      <c r="AD71" s="4"/>
      <c r="AE71" s="4"/>
      <c r="AF71" s="4"/>
      <c r="AG71" s="4"/>
      <c r="AH71" s="4"/>
      <c r="AI71" s="4"/>
      <c r="AJ71" s="4"/>
      <c r="AK71" s="4"/>
      <c r="AL71" s="4"/>
      <c r="AM71" s="4"/>
      <c r="AN71" s="4"/>
      <c r="AO71" s="4"/>
      <c r="AP71" s="4"/>
      <c r="AQ71" s="4"/>
      <c r="AR71" s="4"/>
    </row>
    <row r="72" spans="1:44">
      <c r="A72" s="4"/>
      <c r="B72" s="47"/>
      <c r="C72" s="47"/>
      <c r="D72" s="48"/>
      <c r="E72" s="4"/>
      <c r="F72" s="11"/>
      <c r="G72" s="11"/>
      <c r="H72" s="11"/>
      <c r="I72" s="11"/>
      <c r="J72" s="11"/>
      <c r="K72" s="11"/>
      <c r="L72" s="11"/>
      <c r="M72" s="11"/>
      <c r="N72" s="11"/>
      <c r="O72" s="11"/>
      <c r="P72" s="14"/>
      <c r="Q72" s="14"/>
      <c r="R72" s="14"/>
      <c r="S72" s="14"/>
      <c r="T72" s="14"/>
      <c r="U72" s="14"/>
      <c r="V72" s="14"/>
      <c r="W72" s="14"/>
      <c r="X72" s="14"/>
      <c r="Y72" s="14"/>
      <c r="Z72" s="14"/>
      <c r="AA72" s="4"/>
      <c r="AB72" s="4"/>
      <c r="AC72" s="4"/>
      <c r="AD72" s="4"/>
      <c r="AE72" s="4"/>
      <c r="AF72" s="4"/>
      <c r="AG72" s="4"/>
      <c r="AH72" s="4"/>
      <c r="AI72" s="4"/>
      <c r="AJ72" s="4"/>
      <c r="AK72" s="4"/>
      <c r="AL72" s="4"/>
      <c r="AM72" s="4"/>
      <c r="AN72" s="4"/>
      <c r="AO72" s="4"/>
      <c r="AP72" s="4"/>
      <c r="AQ72" s="4"/>
      <c r="AR72" s="4"/>
    </row>
    <row r="73" spans="1:44">
      <c r="A73" s="4"/>
      <c r="B73" s="47"/>
      <c r="C73" s="47"/>
      <c r="D73" s="48"/>
      <c r="E73" s="4"/>
      <c r="F73" s="11"/>
      <c r="G73" s="11"/>
      <c r="H73" s="11"/>
      <c r="I73" s="11"/>
      <c r="J73" s="11"/>
      <c r="K73" s="11"/>
      <c r="L73" s="11"/>
      <c r="M73" s="11"/>
      <c r="N73" s="11"/>
      <c r="O73" s="11"/>
      <c r="P73" s="14"/>
      <c r="Q73" s="14"/>
      <c r="R73" s="14"/>
      <c r="S73" s="14"/>
      <c r="T73" s="14"/>
      <c r="U73" s="14"/>
      <c r="V73" s="14"/>
      <c r="W73" s="14"/>
      <c r="X73" s="14"/>
      <c r="Y73" s="14"/>
      <c r="Z73" s="14"/>
      <c r="AA73" s="4"/>
      <c r="AB73" s="4"/>
      <c r="AC73" s="4"/>
      <c r="AD73" s="4"/>
      <c r="AE73" s="4"/>
      <c r="AF73" s="4"/>
      <c r="AG73" s="4"/>
      <c r="AH73" s="4"/>
      <c r="AI73" s="4"/>
      <c r="AJ73" s="4"/>
      <c r="AK73" s="4"/>
      <c r="AL73" s="4"/>
      <c r="AM73" s="4"/>
      <c r="AN73" s="4"/>
      <c r="AO73" s="4"/>
      <c r="AP73" s="4"/>
      <c r="AQ73" s="4"/>
      <c r="AR73" s="4"/>
    </row>
    <row r="74" spans="1:44">
      <c r="A74" s="4"/>
      <c r="B74" s="47"/>
      <c r="C74" s="47"/>
      <c r="D74" s="48"/>
      <c r="E74" s="4"/>
      <c r="F74" s="11"/>
      <c r="G74" s="11"/>
      <c r="H74" s="11"/>
      <c r="I74" s="11"/>
      <c r="J74" s="11"/>
      <c r="K74" s="11"/>
      <c r="L74" s="11"/>
      <c r="M74" s="11"/>
      <c r="N74" s="11"/>
      <c r="O74" s="11"/>
      <c r="P74" s="14"/>
      <c r="Q74" s="14"/>
      <c r="R74" s="14"/>
      <c r="S74" s="14"/>
      <c r="T74" s="14"/>
      <c r="U74" s="14"/>
      <c r="V74" s="14"/>
      <c r="W74" s="14"/>
      <c r="X74" s="14"/>
      <c r="Y74" s="14"/>
      <c r="Z74" s="14"/>
      <c r="AA74" s="4"/>
      <c r="AB74" s="4"/>
      <c r="AC74" s="4"/>
      <c r="AD74" s="4"/>
      <c r="AE74" s="4"/>
      <c r="AF74" s="4"/>
      <c r="AG74" s="4"/>
      <c r="AH74" s="4"/>
      <c r="AI74" s="4"/>
      <c r="AJ74" s="4"/>
      <c r="AK74" s="4"/>
      <c r="AL74" s="4"/>
      <c r="AM74" s="4"/>
      <c r="AN74" s="4"/>
      <c r="AO74" s="4"/>
      <c r="AP74" s="4"/>
      <c r="AQ74" s="4"/>
      <c r="AR74" s="4"/>
    </row>
    <row r="75" spans="1:44">
      <c r="A75" s="4"/>
      <c r="B75" s="47"/>
      <c r="C75" s="47"/>
      <c r="D75" s="48"/>
      <c r="E75" s="4"/>
      <c r="F75" s="11"/>
      <c r="G75" s="11"/>
      <c r="H75" s="11"/>
      <c r="I75" s="11"/>
      <c r="J75" s="11"/>
      <c r="K75" s="11"/>
      <c r="L75" s="11"/>
      <c r="M75" s="11"/>
      <c r="N75" s="11"/>
      <c r="O75" s="11"/>
      <c r="P75" s="14"/>
      <c r="Q75" s="14"/>
      <c r="R75" s="14"/>
      <c r="S75" s="14"/>
      <c r="T75" s="14"/>
      <c r="U75" s="14"/>
      <c r="V75" s="14"/>
      <c r="W75" s="14"/>
      <c r="X75" s="14"/>
      <c r="Y75" s="14"/>
      <c r="Z75" s="14"/>
      <c r="AA75" s="4"/>
      <c r="AB75" s="4"/>
      <c r="AC75" s="4"/>
      <c r="AD75" s="4"/>
      <c r="AE75" s="4"/>
      <c r="AF75" s="4"/>
      <c r="AG75" s="4"/>
      <c r="AH75" s="4"/>
      <c r="AI75" s="4"/>
      <c r="AJ75" s="4"/>
      <c r="AK75" s="4"/>
      <c r="AL75" s="4"/>
      <c r="AM75" s="4"/>
      <c r="AN75" s="4"/>
      <c r="AO75" s="4"/>
      <c r="AP75" s="4"/>
      <c r="AQ75" s="4"/>
      <c r="AR75" s="4"/>
    </row>
    <row r="76" spans="1:44">
      <c r="A76" s="4"/>
      <c r="B76" s="47"/>
      <c r="C76" s="47"/>
      <c r="D76" s="48"/>
      <c r="E76" s="4"/>
      <c r="F76" s="11"/>
      <c r="G76" s="11"/>
      <c r="H76" s="11"/>
      <c r="I76" s="11"/>
      <c r="J76" s="11"/>
      <c r="K76" s="11"/>
      <c r="L76" s="11"/>
      <c r="M76" s="11"/>
      <c r="N76" s="11"/>
      <c r="O76" s="11"/>
      <c r="P76" s="14"/>
      <c r="Q76" s="14"/>
      <c r="R76" s="14"/>
      <c r="S76" s="14"/>
      <c r="T76" s="14"/>
      <c r="U76" s="14"/>
      <c r="V76" s="14"/>
      <c r="W76" s="14"/>
      <c r="X76" s="14"/>
      <c r="Y76" s="14"/>
      <c r="Z76" s="14"/>
      <c r="AA76" s="4"/>
      <c r="AB76" s="4"/>
      <c r="AC76" s="4"/>
      <c r="AD76" s="4"/>
      <c r="AE76" s="4"/>
      <c r="AF76" s="4"/>
      <c r="AG76" s="4"/>
      <c r="AH76" s="4"/>
      <c r="AI76" s="4"/>
      <c r="AJ76" s="4"/>
      <c r="AK76" s="4"/>
      <c r="AL76" s="4"/>
      <c r="AM76" s="4"/>
      <c r="AN76" s="4"/>
      <c r="AO76" s="4"/>
      <c r="AP76" s="4"/>
      <c r="AQ76" s="4"/>
      <c r="AR76" s="4"/>
    </row>
    <row r="77" spans="1:44">
      <c r="A77" s="4"/>
      <c r="B77" s="47"/>
      <c r="C77" s="47"/>
      <c r="D77" s="48"/>
      <c r="E77" s="4"/>
      <c r="F77" s="11"/>
      <c r="G77" s="11"/>
      <c r="H77" s="11"/>
      <c r="I77" s="11"/>
      <c r="J77" s="11"/>
      <c r="K77" s="11"/>
      <c r="L77" s="11"/>
      <c r="M77" s="11"/>
      <c r="N77" s="11"/>
      <c r="O77" s="11"/>
      <c r="P77" s="14"/>
      <c r="Q77" s="14"/>
      <c r="R77" s="14"/>
      <c r="S77" s="14"/>
      <c r="T77" s="14"/>
      <c r="U77" s="14"/>
      <c r="V77" s="14"/>
      <c r="W77" s="14"/>
      <c r="X77" s="14"/>
      <c r="Y77" s="14"/>
      <c r="Z77" s="14"/>
      <c r="AA77" s="4"/>
      <c r="AB77" s="4"/>
      <c r="AC77" s="4"/>
      <c r="AD77" s="4"/>
      <c r="AE77" s="4"/>
      <c r="AF77" s="4"/>
      <c r="AG77" s="4"/>
      <c r="AH77" s="4"/>
      <c r="AI77" s="4"/>
      <c r="AJ77" s="4"/>
      <c r="AK77" s="4"/>
      <c r="AL77" s="4"/>
      <c r="AM77" s="4"/>
      <c r="AN77" s="4"/>
      <c r="AO77" s="4"/>
      <c r="AP77" s="4"/>
      <c r="AQ77" s="4"/>
      <c r="AR77" s="4"/>
    </row>
    <row r="78" spans="1:44">
      <c r="A78" s="4"/>
      <c r="B78" s="47"/>
      <c r="C78" s="47"/>
      <c r="D78" s="48"/>
      <c r="E78" s="4"/>
      <c r="F78" s="11"/>
      <c r="G78" s="11"/>
      <c r="H78" s="11"/>
      <c r="I78" s="11"/>
      <c r="J78" s="11"/>
      <c r="K78" s="11"/>
      <c r="L78" s="11"/>
      <c r="M78" s="11"/>
      <c r="N78" s="11"/>
      <c r="O78" s="11"/>
      <c r="P78" s="14"/>
      <c r="Q78" s="14"/>
      <c r="R78" s="14"/>
      <c r="S78" s="14"/>
      <c r="T78" s="14"/>
      <c r="U78" s="14"/>
      <c r="V78" s="14"/>
      <c r="W78" s="14"/>
      <c r="X78" s="14"/>
      <c r="Y78" s="14"/>
      <c r="Z78" s="14"/>
      <c r="AA78" s="4"/>
      <c r="AB78" s="4"/>
      <c r="AC78" s="4"/>
      <c r="AD78" s="4"/>
      <c r="AE78" s="4"/>
      <c r="AF78" s="4"/>
      <c r="AG78" s="4"/>
      <c r="AH78" s="4"/>
      <c r="AI78" s="4"/>
      <c r="AJ78" s="4"/>
      <c r="AK78" s="4"/>
      <c r="AL78" s="4"/>
      <c r="AM78" s="4"/>
      <c r="AN78" s="4"/>
      <c r="AO78" s="4"/>
      <c r="AP78" s="4"/>
      <c r="AQ78" s="4"/>
      <c r="AR78" s="4"/>
    </row>
    <row r="79" spans="1:44">
      <c r="A79" s="4"/>
      <c r="B79" s="47"/>
      <c r="C79" s="47"/>
      <c r="D79" s="48"/>
      <c r="E79" s="4"/>
      <c r="F79" s="11"/>
      <c r="G79" s="11"/>
      <c r="H79" s="11"/>
      <c r="I79" s="11"/>
      <c r="J79" s="11"/>
      <c r="K79" s="11"/>
      <c r="L79" s="11"/>
      <c r="M79" s="11"/>
      <c r="N79" s="11"/>
      <c r="O79" s="11"/>
      <c r="P79" s="14"/>
      <c r="Q79" s="14"/>
      <c r="R79" s="14"/>
      <c r="S79" s="14"/>
      <c r="T79" s="14"/>
      <c r="U79" s="14"/>
      <c r="V79" s="14"/>
      <c r="W79" s="14"/>
      <c r="X79" s="14"/>
      <c r="Y79" s="14"/>
      <c r="Z79" s="14"/>
      <c r="AA79" s="4"/>
      <c r="AB79" s="4"/>
      <c r="AC79" s="4"/>
      <c r="AD79" s="4"/>
      <c r="AE79" s="4"/>
      <c r="AF79" s="4"/>
      <c r="AG79" s="4"/>
      <c r="AH79" s="4"/>
      <c r="AI79" s="4"/>
      <c r="AJ79" s="4"/>
      <c r="AK79" s="4"/>
      <c r="AL79" s="4"/>
      <c r="AM79" s="4"/>
      <c r="AN79" s="4"/>
      <c r="AO79" s="4"/>
      <c r="AP79" s="4"/>
      <c r="AQ79" s="4"/>
      <c r="AR79" s="4"/>
    </row>
    <row r="80" spans="1:44">
      <c r="A80" s="4"/>
      <c r="B80" s="47"/>
      <c r="C80" s="47"/>
      <c r="D80" s="48"/>
      <c r="E80" s="4"/>
      <c r="F80" s="11"/>
      <c r="G80" s="11"/>
      <c r="H80" s="11"/>
      <c r="I80" s="11"/>
      <c r="J80" s="11"/>
      <c r="K80" s="11"/>
      <c r="L80" s="11"/>
      <c r="M80" s="11"/>
      <c r="N80" s="11"/>
      <c r="O80" s="11"/>
      <c r="P80" s="14"/>
      <c r="Q80" s="14"/>
      <c r="R80" s="14"/>
      <c r="S80" s="14"/>
      <c r="T80" s="14"/>
      <c r="U80" s="14"/>
      <c r="V80" s="14"/>
      <c r="W80" s="14"/>
      <c r="X80" s="14"/>
      <c r="Y80" s="14"/>
      <c r="Z80" s="14"/>
      <c r="AA80" s="4"/>
      <c r="AB80" s="4"/>
      <c r="AC80" s="4"/>
      <c r="AD80" s="4"/>
      <c r="AE80" s="4"/>
      <c r="AF80" s="4"/>
      <c r="AG80" s="4"/>
      <c r="AH80" s="4"/>
      <c r="AI80" s="4"/>
      <c r="AJ80" s="4"/>
      <c r="AK80" s="4"/>
      <c r="AL80" s="4"/>
      <c r="AM80" s="4"/>
      <c r="AN80" s="4"/>
      <c r="AO80" s="4"/>
      <c r="AP80" s="4"/>
      <c r="AQ80" s="4"/>
      <c r="AR80" s="4"/>
    </row>
    <row r="81" spans="1:44">
      <c r="A81" s="4"/>
      <c r="B81" s="47"/>
      <c r="C81" s="47"/>
      <c r="D81" s="48"/>
      <c r="E81" s="4"/>
      <c r="F81" s="11"/>
      <c r="G81" s="11"/>
      <c r="H81" s="11"/>
      <c r="I81" s="11"/>
      <c r="J81" s="11"/>
      <c r="K81" s="11"/>
      <c r="L81" s="11"/>
      <c r="M81" s="11"/>
      <c r="N81" s="11"/>
      <c r="O81" s="11"/>
      <c r="P81" s="14"/>
      <c r="Q81" s="14"/>
      <c r="R81" s="14"/>
      <c r="S81" s="14"/>
      <c r="T81" s="14"/>
      <c r="U81" s="14"/>
      <c r="V81" s="14"/>
      <c r="W81" s="14"/>
      <c r="X81" s="14"/>
      <c r="Y81" s="14"/>
      <c r="Z81" s="14"/>
      <c r="AA81" s="4"/>
      <c r="AB81" s="4"/>
      <c r="AC81" s="4"/>
      <c r="AD81" s="4"/>
      <c r="AE81" s="4"/>
      <c r="AF81" s="4"/>
      <c r="AG81" s="4"/>
      <c r="AH81" s="4"/>
      <c r="AI81" s="4"/>
      <c r="AJ81" s="4"/>
      <c r="AK81" s="4"/>
      <c r="AL81" s="4"/>
      <c r="AM81" s="4"/>
      <c r="AN81" s="4"/>
      <c r="AO81" s="4"/>
      <c r="AP81" s="4"/>
      <c r="AQ81" s="4"/>
      <c r="AR81" s="4"/>
    </row>
    <row r="82" spans="1:44">
      <c r="A82" s="4"/>
      <c r="B82" s="47"/>
      <c r="C82" s="47"/>
      <c r="D82" s="48"/>
      <c r="E82" s="4"/>
      <c r="F82" s="11"/>
      <c r="G82" s="11"/>
      <c r="H82" s="11"/>
      <c r="I82" s="11"/>
      <c r="J82" s="11"/>
      <c r="K82" s="11"/>
      <c r="L82" s="11"/>
      <c r="M82" s="11"/>
      <c r="N82" s="11"/>
      <c r="O82" s="11"/>
      <c r="P82" s="14"/>
      <c r="Q82" s="14"/>
      <c r="R82" s="14"/>
      <c r="S82" s="14"/>
      <c r="T82" s="14"/>
      <c r="U82" s="14"/>
      <c r="V82" s="14"/>
      <c r="W82" s="14"/>
      <c r="X82" s="14"/>
      <c r="Y82" s="14"/>
      <c r="Z82" s="14"/>
      <c r="AA82" s="4"/>
      <c r="AB82" s="4"/>
      <c r="AC82" s="4"/>
      <c r="AD82" s="4"/>
      <c r="AE82" s="4"/>
      <c r="AF82" s="4"/>
      <c r="AG82" s="4"/>
      <c r="AH82" s="4"/>
      <c r="AI82" s="4"/>
      <c r="AJ82" s="4"/>
      <c r="AK82" s="4"/>
      <c r="AL82" s="4"/>
      <c r="AM82" s="4"/>
      <c r="AN82" s="4"/>
      <c r="AO82" s="4"/>
      <c r="AP82" s="4"/>
      <c r="AQ82" s="4"/>
      <c r="AR82" s="4"/>
    </row>
    <row r="83" spans="1:44">
      <c r="A83" s="4"/>
      <c r="B83" s="47"/>
      <c r="C83" s="47"/>
      <c r="D83" s="48"/>
      <c r="E83" s="4"/>
      <c r="F83" s="11"/>
      <c r="G83" s="11"/>
      <c r="H83" s="11"/>
      <c r="I83" s="11"/>
      <c r="J83" s="11"/>
      <c r="K83" s="11"/>
      <c r="L83" s="11"/>
      <c r="M83" s="11"/>
      <c r="N83" s="11"/>
      <c r="O83" s="11"/>
      <c r="P83" s="14"/>
      <c r="Q83" s="14"/>
      <c r="R83" s="14"/>
      <c r="S83" s="14"/>
      <c r="T83" s="14"/>
      <c r="U83" s="14"/>
      <c r="V83" s="14"/>
      <c r="W83" s="14"/>
      <c r="X83" s="14"/>
      <c r="Y83" s="14"/>
      <c r="Z83" s="14"/>
      <c r="AA83" s="4"/>
      <c r="AB83" s="4"/>
      <c r="AC83" s="4"/>
      <c r="AD83" s="4"/>
      <c r="AE83" s="4"/>
      <c r="AF83" s="4"/>
      <c r="AG83" s="4"/>
      <c r="AH83" s="4"/>
      <c r="AI83" s="4"/>
      <c r="AJ83" s="4"/>
      <c r="AK83" s="4"/>
      <c r="AL83" s="4"/>
      <c r="AM83" s="4"/>
      <c r="AN83" s="4"/>
      <c r="AO83" s="4"/>
      <c r="AP83" s="4"/>
      <c r="AQ83" s="4"/>
      <c r="AR83" s="4"/>
    </row>
    <row r="84" spans="1:44">
      <c r="A84" s="4"/>
      <c r="B84" s="47"/>
      <c r="C84" s="47"/>
      <c r="D84" s="48"/>
      <c r="E84" s="4"/>
      <c r="F84" s="11"/>
      <c r="G84" s="11"/>
      <c r="H84" s="11"/>
      <c r="I84" s="11"/>
      <c r="J84" s="11"/>
      <c r="K84" s="11"/>
      <c r="L84" s="11"/>
      <c r="M84" s="11"/>
      <c r="N84" s="11"/>
      <c r="O84" s="11"/>
      <c r="P84" s="14"/>
      <c r="Q84" s="14"/>
      <c r="R84" s="14"/>
      <c r="S84" s="14"/>
      <c r="T84" s="14"/>
      <c r="U84" s="14"/>
      <c r="V84" s="14"/>
      <c r="W84" s="14"/>
      <c r="X84" s="14"/>
      <c r="Y84" s="14"/>
      <c r="Z84" s="14"/>
      <c r="AA84" s="4"/>
      <c r="AB84" s="4"/>
      <c r="AC84" s="4"/>
      <c r="AD84" s="4"/>
      <c r="AE84" s="4"/>
      <c r="AF84" s="4"/>
      <c r="AG84" s="4"/>
      <c r="AH84" s="4"/>
      <c r="AI84" s="4"/>
      <c r="AJ84" s="4"/>
      <c r="AK84" s="4"/>
      <c r="AL84" s="4"/>
      <c r="AM84" s="4"/>
      <c r="AN84" s="4"/>
      <c r="AO84" s="4"/>
      <c r="AP84" s="4"/>
      <c r="AQ84" s="4"/>
      <c r="AR84" s="4"/>
    </row>
    <row r="85" spans="1:44">
      <c r="A85" s="4"/>
      <c r="B85" s="47"/>
      <c r="C85" s="47"/>
      <c r="D85" s="48"/>
      <c r="E85" s="4"/>
      <c r="F85" s="11"/>
      <c r="G85" s="11"/>
      <c r="H85" s="11"/>
      <c r="I85" s="11"/>
      <c r="J85" s="11"/>
      <c r="K85" s="11"/>
      <c r="L85" s="11"/>
      <c r="M85" s="11"/>
      <c r="N85" s="11"/>
      <c r="O85" s="11"/>
      <c r="P85" s="14"/>
      <c r="Q85" s="14"/>
      <c r="R85" s="14"/>
      <c r="S85" s="14"/>
      <c r="T85" s="14"/>
      <c r="U85" s="14"/>
      <c r="V85" s="14"/>
      <c r="W85" s="14"/>
      <c r="X85" s="14"/>
      <c r="Y85" s="14"/>
      <c r="Z85" s="14"/>
      <c r="AA85" s="4"/>
      <c r="AB85" s="4"/>
      <c r="AC85" s="4"/>
      <c r="AD85" s="4"/>
      <c r="AE85" s="4"/>
      <c r="AF85" s="4"/>
      <c r="AG85" s="4"/>
      <c r="AH85" s="4"/>
      <c r="AI85" s="4"/>
      <c r="AJ85" s="4"/>
      <c r="AK85" s="4"/>
      <c r="AL85" s="4"/>
      <c r="AM85" s="4"/>
      <c r="AN85" s="4"/>
      <c r="AO85" s="4"/>
      <c r="AP85" s="4"/>
      <c r="AQ85" s="4"/>
      <c r="AR85" s="4"/>
    </row>
    <row r="86" spans="1:44">
      <c r="A86" s="4"/>
      <c r="B86" s="47"/>
      <c r="C86" s="47"/>
      <c r="D86" s="48"/>
      <c r="E86" s="4"/>
      <c r="F86" s="11"/>
      <c r="G86" s="11"/>
      <c r="H86" s="11"/>
      <c r="I86" s="11"/>
      <c r="J86" s="11"/>
      <c r="K86" s="11"/>
      <c r="L86" s="11"/>
      <c r="M86" s="11"/>
      <c r="N86" s="11"/>
      <c r="O86" s="11"/>
      <c r="P86" s="14"/>
      <c r="Q86" s="14"/>
      <c r="R86" s="14"/>
      <c r="S86" s="14"/>
      <c r="T86" s="14"/>
      <c r="U86" s="14"/>
      <c r="V86" s="14"/>
      <c r="W86" s="14"/>
      <c r="X86" s="14"/>
      <c r="Y86" s="14"/>
      <c r="Z86" s="14"/>
      <c r="AA86" s="4"/>
      <c r="AB86" s="4"/>
      <c r="AC86" s="4"/>
      <c r="AD86" s="4"/>
      <c r="AE86" s="4"/>
      <c r="AF86" s="4"/>
      <c r="AG86" s="4"/>
      <c r="AH86" s="4"/>
      <c r="AI86" s="4"/>
      <c r="AJ86" s="4"/>
      <c r="AK86" s="4"/>
      <c r="AL86" s="4"/>
      <c r="AM86" s="4"/>
      <c r="AN86" s="4"/>
      <c r="AO86" s="4"/>
      <c r="AP86" s="4"/>
      <c r="AQ86" s="4"/>
      <c r="AR86" s="4"/>
    </row>
    <row r="87" spans="1:44">
      <c r="A87" s="4"/>
      <c r="B87" s="47"/>
      <c r="C87" s="47"/>
      <c r="D87" s="48"/>
      <c r="E87" s="4"/>
      <c r="F87" s="11"/>
      <c r="G87" s="11"/>
      <c r="H87" s="11"/>
      <c r="I87" s="11"/>
      <c r="J87" s="11"/>
      <c r="K87" s="11"/>
      <c r="L87" s="11"/>
      <c r="M87" s="11"/>
      <c r="N87" s="11"/>
      <c r="O87" s="11"/>
      <c r="P87" s="14"/>
      <c r="Q87" s="14"/>
      <c r="R87" s="14"/>
      <c r="S87" s="14"/>
      <c r="T87" s="14"/>
      <c r="U87" s="14"/>
      <c r="V87" s="14"/>
      <c r="W87" s="14"/>
      <c r="X87" s="14"/>
      <c r="Y87" s="14"/>
      <c r="Z87" s="14"/>
      <c r="AA87" s="4"/>
      <c r="AB87" s="4"/>
      <c r="AC87" s="4"/>
      <c r="AD87" s="4"/>
      <c r="AE87" s="4"/>
      <c r="AF87" s="4"/>
      <c r="AG87" s="4"/>
      <c r="AH87" s="4"/>
      <c r="AI87" s="4"/>
      <c r="AJ87" s="4"/>
      <c r="AK87" s="4"/>
      <c r="AL87" s="4"/>
      <c r="AM87" s="4"/>
      <c r="AN87" s="4"/>
      <c r="AO87" s="4"/>
      <c r="AP87" s="4"/>
      <c r="AQ87" s="4"/>
      <c r="AR87" s="4"/>
    </row>
    <row r="88" spans="1:44">
      <c r="A88" s="4"/>
      <c r="B88" s="47"/>
      <c r="C88" s="47"/>
      <c r="D88" s="48"/>
      <c r="E88" s="4"/>
      <c r="F88" s="11"/>
      <c r="G88" s="11"/>
      <c r="H88" s="11"/>
      <c r="I88" s="11"/>
      <c r="J88" s="11"/>
      <c r="K88" s="11"/>
      <c r="L88" s="11"/>
      <c r="M88" s="11"/>
      <c r="N88" s="11"/>
      <c r="O88" s="11"/>
      <c r="P88" s="14"/>
      <c r="Q88" s="14"/>
      <c r="R88" s="14"/>
      <c r="S88" s="14"/>
      <c r="T88" s="14"/>
      <c r="U88" s="14"/>
      <c r="V88" s="14"/>
      <c r="W88" s="14"/>
      <c r="X88" s="14"/>
      <c r="Y88" s="14"/>
      <c r="Z88" s="14"/>
      <c r="AA88" s="4"/>
      <c r="AB88" s="4"/>
      <c r="AC88" s="4"/>
      <c r="AD88" s="4"/>
      <c r="AE88" s="4"/>
      <c r="AF88" s="4"/>
      <c r="AG88" s="4"/>
      <c r="AH88" s="4"/>
      <c r="AI88" s="4"/>
      <c r="AJ88" s="4"/>
      <c r="AK88" s="4"/>
      <c r="AL88" s="4"/>
      <c r="AM88" s="4"/>
      <c r="AN88" s="4"/>
      <c r="AO88" s="4"/>
      <c r="AP88" s="4"/>
      <c r="AQ88" s="4"/>
      <c r="AR88" s="4"/>
    </row>
    <row r="89" spans="1:44">
      <c r="A89" s="4"/>
      <c r="B89" s="47"/>
      <c r="C89" s="47"/>
      <c r="D89" s="48"/>
      <c r="E89" s="4"/>
      <c r="F89" s="11"/>
      <c r="G89" s="11"/>
      <c r="H89" s="11"/>
      <c r="I89" s="11"/>
      <c r="J89" s="11"/>
      <c r="K89" s="11"/>
      <c r="L89" s="11"/>
      <c r="M89" s="11"/>
      <c r="N89" s="11"/>
      <c r="O89" s="11"/>
      <c r="P89" s="14"/>
      <c r="Q89" s="14"/>
      <c r="R89" s="14"/>
      <c r="S89" s="14"/>
      <c r="T89" s="14"/>
      <c r="U89" s="14"/>
      <c r="V89" s="14"/>
      <c r="W89" s="14"/>
      <c r="X89" s="14"/>
      <c r="Y89" s="14"/>
      <c r="Z89" s="14"/>
      <c r="AA89" s="4"/>
      <c r="AB89" s="4"/>
      <c r="AC89" s="4"/>
      <c r="AD89" s="4"/>
      <c r="AE89" s="4"/>
      <c r="AF89" s="4"/>
      <c r="AG89" s="4"/>
      <c r="AH89" s="4"/>
      <c r="AI89" s="4"/>
      <c r="AJ89" s="4"/>
      <c r="AK89" s="4"/>
      <c r="AL89" s="4"/>
      <c r="AM89" s="4"/>
      <c r="AN89" s="4"/>
      <c r="AO89" s="4"/>
      <c r="AP89" s="4"/>
      <c r="AQ89" s="4"/>
      <c r="AR89" s="4"/>
    </row>
    <row r="90" spans="1:44">
      <c r="A90" s="4"/>
      <c r="B90" s="47"/>
      <c r="C90" s="47"/>
      <c r="D90" s="48"/>
      <c r="E90" s="4"/>
      <c r="F90" s="11"/>
      <c r="G90" s="11"/>
      <c r="H90" s="11"/>
      <c r="I90" s="11"/>
      <c r="J90" s="11"/>
      <c r="K90" s="11"/>
      <c r="L90" s="11"/>
      <c r="M90" s="11"/>
      <c r="N90" s="11"/>
      <c r="O90" s="11"/>
      <c r="P90" s="14"/>
      <c r="Q90" s="14"/>
      <c r="R90" s="14"/>
      <c r="S90" s="14"/>
      <c r="T90" s="14"/>
      <c r="U90" s="14"/>
      <c r="V90" s="14"/>
      <c r="W90" s="14"/>
      <c r="X90" s="14"/>
      <c r="Y90" s="14"/>
      <c r="Z90" s="14"/>
      <c r="AA90" s="4"/>
      <c r="AB90" s="4"/>
      <c r="AC90" s="4"/>
      <c r="AD90" s="4"/>
      <c r="AE90" s="4"/>
      <c r="AF90" s="4"/>
      <c r="AG90" s="4"/>
      <c r="AH90" s="4"/>
      <c r="AI90" s="4"/>
      <c r="AJ90" s="4"/>
      <c r="AK90" s="4"/>
      <c r="AL90" s="4"/>
      <c r="AM90" s="4"/>
      <c r="AN90" s="4"/>
      <c r="AO90" s="4"/>
      <c r="AP90" s="4"/>
      <c r="AQ90" s="4"/>
      <c r="AR90" s="4"/>
    </row>
    <row r="91" spans="1:44">
      <c r="A91" s="4"/>
      <c r="B91" s="47"/>
      <c r="C91" s="47"/>
      <c r="D91" s="48"/>
      <c r="E91" s="4"/>
      <c r="F91" s="11"/>
      <c r="G91" s="11"/>
      <c r="H91" s="11"/>
      <c r="I91" s="11"/>
      <c r="J91" s="11"/>
      <c r="K91" s="11"/>
      <c r="L91" s="11"/>
      <c r="M91" s="11"/>
      <c r="N91" s="11"/>
      <c r="O91" s="11"/>
      <c r="P91" s="14"/>
      <c r="Q91" s="14"/>
      <c r="R91" s="14"/>
      <c r="S91" s="14"/>
      <c r="T91" s="14"/>
      <c r="U91" s="14"/>
      <c r="V91" s="14"/>
      <c r="W91" s="14"/>
      <c r="X91" s="14"/>
      <c r="Y91" s="14"/>
      <c r="Z91" s="14"/>
      <c r="AA91" s="4"/>
      <c r="AB91" s="4"/>
      <c r="AC91" s="4"/>
      <c r="AD91" s="4"/>
      <c r="AE91" s="4"/>
      <c r="AF91" s="4"/>
      <c r="AG91" s="4"/>
      <c r="AH91" s="4"/>
      <c r="AI91" s="4"/>
      <c r="AJ91" s="4"/>
      <c r="AK91" s="4"/>
      <c r="AL91" s="4"/>
      <c r="AM91" s="4"/>
      <c r="AN91" s="4"/>
      <c r="AO91" s="4"/>
      <c r="AP91" s="4"/>
      <c r="AQ91" s="4"/>
      <c r="AR91" s="4"/>
    </row>
    <row r="92" spans="1:44">
      <c r="A92" s="4"/>
      <c r="B92" s="47"/>
      <c r="C92" s="47"/>
      <c r="D92" s="48"/>
      <c r="E92" s="4"/>
      <c r="F92" s="11"/>
      <c r="G92" s="11"/>
      <c r="H92" s="11"/>
      <c r="I92" s="11"/>
      <c r="J92" s="11"/>
      <c r="K92" s="11"/>
      <c r="L92" s="11"/>
      <c r="M92" s="11"/>
      <c r="N92" s="11"/>
      <c r="O92" s="11"/>
      <c r="P92" s="14"/>
      <c r="Q92" s="14"/>
      <c r="R92" s="14"/>
      <c r="S92" s="14"/>
      <c r="T92" s="14"/>
      <c r="U92" s="14"/>
      <c r="V92" s="14"/>
      <c r="W92" s="14"/>
      <c r="X92" s="14"/>
      <c r="Y92" s="14"/>
      <c r="Z92" s="14"/>
      <c r="AA92" s="4"/>
      <c r="AB92" s="4"/>
      <c r="AC92" s="4"/>
      <c r="AD92" s="4"/>
      <c r="AE92" s="4"/>
      <c r="AF92" s="4"/>
      <c r="AG92" s="4"/>
      <c r="AH92" s="4"/>
      <c r="AI92" s="4"/>
      <c r="AJ92" s="4"/>
      <c r="AK92" s="4"/>
      <c r="AL92" s="4"/>
      <c r="AM92" s="4"/>
      <c r="AN92" s="4"/>
      <c r="AO92" s="4"/>
      <c r="AP92" s="4"/>
      <c r="AQ92" s="4"/>
      <c r="AR92" s="4"/>
    </row>
    <row r="93" spans="1:44">
      <c r="A93" s="4"/>
      <c r="B93" s="47"/>
      <c r="C93" s="47"/>
      <c r="D93" s="48"/>
      <c r="E93" s="4"/>
      <c r="F93" s="11"/>
      <c r="G93" s="11"/>
      <c r="H93" s="11"/>
      <c r="I93" s="11"/>
      <c r="J93" s="11"/>
      <c r="K93" s="11"/>
      <c r="L93" s="11"/>
      <c r="M93" s="11"/>
      <c r="N93" s="11"/>
      <c r="O93" s="11"/>
      <c r="P93" s="14"/>
      <c r="Q93" s="14"/>
      <c r="R93" s="14"/>
      <c r="S93" s="14"/>
      <c r="T93" s="14"/>
      <c r="U93" s="14"/>
      <c r="V93" s="14"/>
      <c r="W93" s="14"/>
      <c r="X93" s="14"/>
      <c r="Y93" s="14"/>
      <c r="Z93" s="14"/>
      <c r="AA93" s="4"/>
      <c r="AB93" s="4"/>
      <c r="AC93" s="4"/>
      <c r="AD93" s="4"/>
      <c r="AE93" s="4"/>
      <c r="AF93" s="4"/>
      <c r="AG93" s="4"/>
      <c r="AH93" s="4"/>
      <c r="AI93" s="4"/>
      <c r="AJ93" s="4"/>
      <c r="AK93" s="4"/>
      <c r="AL93" s="4"/>
      <c r="AM93" s="4"/>
      <c r="AN93" s="4"/>
      <c r="AO93" s="4"/>
      <c r="AP93" s="4"/>
      <c r="AQ93" s="4"/>
      <c r="AR93" s="4"/>
    </row>
    <row r="94" spans="1:44">
      <c r="A94" s="4"/>
      <c r="B94" s="47"/>
      <c r="C94" s="47"/>
      <c r="D94" s="48"/>
      <c r="E94" s="4"/>
      <c r="F94" s="11"/>
      <c r="G94" s="11"/>
      <c r="H94" s="11"/>
      <c r="I94" s="11"/>
      <c r="J94" s="11"/>
      <c r="K94" s="11"/>
      <c r="L94" s="11"/>
      <c r="M94" s="11"/>
      <c r="N94" s="11"/>
      <c r="O94" s="11"/>
      <c r="P94" s="14"/>
      <c r="Q94" s="14"/>
      <c r="R94" s="14"/>
      <c r="S94" s="14"/>
      <c r="T94" s="14"/>
      <c r="U94" s="14"/>
      <c r="V94" s="14"/>
      <c r="W94" s="14"/>
      <c r="X94" s="14"/>
      <c r="Y94" s="14"/>
      <c r="Z94" s="14"/>
      <c r="AA94" s="4"/>
      <c r="AB94" s="4"/>
      <c r="AC94" s="4"/>
      <c r="AD94" s="4"/>
      <c r="AE94" s="4"/>
      <c r="AF94" s="4"/>
      <c r="AG94" s="4"/>
      <c r="AH94" s="4"/>
      <c r="AI94" s="4"/>
      <c r="AJ94" s="4"/>
      <c r="AK94" s="4"/>
      <c r="AL94" s="4"/>
      <c r="AM94" s="4"/>
      <c r="AN94" s="4"/>
      <c r="AO94" s="4"/>
      <c r="AP94" s="4"/>
      <c r="AQ94" s="4"/>
      <c r="AR94" s="4"/>
    </row>
    <row r="95" spans="1:44">
      <c r="A95" s="4"/>
      <c r="B95" s="47"/>
      <c r="C95" s="47"/>
      <c r="D95" s="48"/>
      <c r="E95" s="4"/>
      <c r="F95" s="11"/>
      <c r="G95" s="11"/>
      <c r="H95" s="11"/>
      <c r="I95" s="11"/>
      <c r="J95" s="11"/>
      <c r="K95" s="11"/>
      <c r="L95" s="11"/>
      <c r="M95" s="11"/>
      <c r="N95" s="11"/>
      <c r="O95" s="11"/>
      <c r="P95" s="14"/>
      <c r="Q95" s="14"/>
      <c r="R95" s="14"/>
      <c r="S95" s="14"/>
      <c r="T95" s="14"/>
      <c r="U95" s="14"/>
      <c r="V95" s="14"/>
      <c r="W95" s="14"/>
      <c r="X95" s="14"/>
      <c r="Y95" s="14"/>
      <c r="Z95" s="14"/>
      <c r="AA95" s="4"/>
      <c r="AB95" s="4"/>
      <c r="AC95" s="4"/>
      <c r="AD95" s="4"/>
      <c r="AE95" s="4"/>
      <c r="AF95" s="4"/>
      <c r="AG95" s="4"/>
      <c r="AH95" s="4"/>
      <c r="AI95" s="4"/>
      <c r="AJ95" s="4"/>
      <c r="AK95" s="4"/>
      <c r="AL95" s="4"/>
      <c r="AM95" s="4"/>
      <c r="AN95" s="4"/>
      <c r="AO95" s="4"/>
      <c r="AP95" s="4"/>
      <c r="AQ95" s="4"/>
      <c r="AR95" s="4"/>
    </row>
    <row r="96" spans="1:44">
      <c r="A96" s="4"/>
      <c r="B96" s="47"/>
      <c r="C96" s="47"/>
      <c r="D96" s="48"/>
      <c r="E96" s="4"/>
      <c r="F96" s="11"/>
      <c r="G96" s="11"/>
      <c r="H96" s="11"/>
      <c r="I96" s="11"/>
      <c r="J96" s="11"/>
      <c r="K96" s="11"/>
      <c r="L96" s="11"/>
      <c r="M96" s="11"/>
      <c r="N96" s="11"/>
      <c r="O96" s="11"/>
      <c r="P96" s="14"/>
      <c r="Q96" s="14"/>
      <c r="R96" s="14"/>
      <c r="S96" s="14"/>
      <c r="T96" s="14"/>
      <c r="U96" s="14"/>
      <c r="V96" s="14"/>
      <c r="W96" s="14"/>
      <c r="X96" s="14"/>
      <c r="Y96" s="14"/>
      <c r="Z96" s="14"/>
      <c r="AA96" s="4"/>
      <c r="AB96" s="4"/>
      <c r="AC96" s="4"/>
      <c r="AD96" s="4"/>
      <c r="AE96" s="4"/>
      <c r="AF96" s="4"/>
      <c r="AG96" s="4"/>
      <c r="AH96" s="4"/>
      <c r="AI96" s="4"/>
      <c r="AJ96" s="4"/>
      <c r="AK96" s="4"/>
      <c r="AL96" s="4"/>
      <c r="AM96" s="4"/>
      <c r="AN96" s="4"/>
      <c r="AO96" s="4"/>
      <c r="AP96" s="4"/>
      <c r="AQ96" s="4"/>
      <c r="AR96" s="4"/>
    </row>
    <row r="97" spans="1:44">
      <c r="A97" s="4"/>
      <c r="B97" s="47"/>
      <c r="C97" s="47"/>
      <c r="D97" s="48"/>
      <c r="E97" s="4"/>
      <c r="F97" s="11"/>
      <c r="G97" s="11"/>
      <c r="H97" s="11"/>
      <c r="I97" s="11"/>
      <c r="J97" s="11"/>
      <c r="K97" s="11"/>
      <c r="L97" s="11"/>
      <c r="M97" s="11"/>
      <c r="N97" s="11"/>
      <c r="O97" s="11"/>
      <c r="P97" s="14"/>
      <c r="Q97" s="14"/>
      <c r="R97" s="14"/>
      <c r="S97" s="14"/>
      <c r="T97" s="14"/>
      <c r="U97" s="14"/>
      <c r="V97" s="14"/>
      <c r="W97" s="14"/>
      <c r="X97" s="14"/>
      <c r="Y97" s="14"/>
      <c r="Z97" s="14"/>
      <c r="AA97" s="4"/>
      <c r="AB97" s="4"/>
      <c r="AC97" s="4"/>
      <c r="AD97" s="4"/>
      <c r="AE97" s="4"/>
      <c r="AF97" s="4"/>
      <c r="AG97" s="4"/>
      <c r="AH97" s="4"/>
      <c r="AI97" s="4"/>
      <c r="AJ97" s="4"/>
      <c r="AK97" s="4"/>
      <c r="AL97" s="4"/>
      <c r="AM97" s="4"/>
      <c r="AN97" s="4"/>
      <c r="AO97" s="4"/>
      <c r="AP97" s="4"/>
      <c r="AQ97" s="4"/>
      <c r="AR97" s="4"/>
    </row>
    <row r="98" spans="1:44">
      <c r="A98" s="4"/>
      <c r="B98" s="47"/>
      <c r="C98" s="47"/>
      <c r="D98" s="48"/>
      <c r="E98" s="4"/>
      <c r="F98" s="11"/>
      <c r="G98" s="11"/>
      <c r="H98" s="11"/>
      <c r="I98" s="11"/>
      <c r="J98" s="11"/>
      <c r="K98" s="11"/>
      <c r="L98" s="11"/>
      <c r="M98" s="11"/>
      <c r="N98" s="11"/>
      <c r="O98" s="11"/>
      <c r="P98" s="14"/>
      <c r="Q98" s="14"/>
      <c r="R98" s="14"/>
      <c r="S98" s="14"/>
      <c r="T98" s="14"/>
      <c r="U98" s="14"/>
      <c r="V98" s="14"/>
      <c r="W98" s="14"/>
      <c r="X98" s="14"/>
      <c r="Y98" s="14"/>
      <c r="Z98" s="14"/>
      <c r="AA98" s="4"/>
      <c r="AB98" s="4"/>
      <c r="AC98" s="4"/>
      <c r="AD98" s="4"/>
      <c r="AE98" s="4"/>
      <c r="AF98" s="4"/>
      <c r="AG98" s="4"/>
      <c r="AH98" s="4"/>
      <c r="AI98" s="4"/>
      <c r="AJ98" s="4"/>
      <c r="AK98" s="4"/>
      <c r="AL98" s="4"/>
      <c r="AM98" s="4"/>
      <c r="AN98" s="4"/>
      <c r="AO98" s="4"/>
      <c r="AP98" s="4"/>
      <c r="AQ98" s="4"/>
      <c r="AR98" s="4"/>
    </row>
    <row r="99" spans="1:44">
      <c r="A99" s="4"/>
      <c r="B99" s="47"/>
      <c r="C99" s="47"/>
      <c r="D99" s="48"/>
      <c r="E99" s="4"/>
      <c r="F99" s="11"/>
      <c r="G99" s="11"/>
      <c r="H99" s="11"/>
      <c r="I99" s="11"/>
      <c r="J99" s="11"/>
      <c r="K99" s="11"/>
      <c r="L99" s="11"/>
      <c r="M99" s="11"/>
      <c r="N99" s="11"/>
      <c r="O99" s="11"/>
      <c r="P99" s="14"/>
      <c r="Q99" s="14"/>
      <c r="R99" s="14"/>
      <c r="S99" s="14"/>
      <c r="T99" s="14"/>
      <c r="U99" s="14"/>
      <c r="V99" s="14"/>
      <c r="W99" s="14"/>
      <c r="X99" s="14"/>
      <c r="Y99" s="14"/>
      <c r="Z99" s="14"/>
      <c r="AA99" s="4"/>
      <c r="AB99" s="4"/>
      <c r="AC99" s="4"/>
      <c r="AD99" s="4"/>
      <c r="AE99" s="4"/>
      <c r="AF99" s="4"/>
      <c r="AG99" s="4"/>
      <c r="AH99" s="4"/>
      <c r="AI99" s="4"/>
      <c r="AJ99" s="4"/>
      <c r="AK99" s="4"/>
      <c r="AL99" s="4"/>
      <c r="AM99" s="4"/>
      <c r="AN99" s="4"/>
      <c r="AO99" s="4"/>
      <c r="AP99" s="4"/>
      <c r="AQ99" s="4"/>
      <c r="AR99" s="4"/>
    </row>
    <row r="100" spans="1:44">
      <c r="A100" s="4"/>
      <c r="B100" s="47"/>
      <c r="C100" s="47"/>
      <c r="D100" s="48"/>
      <c r="E100" s="4"/>
      <c r="F100" s="11"/>
      <c r="G100" s="11"/>
      <c r="H100" s="11"/>
      <c r="I100" s="11"/>
      <c r="J100" s="11"/>
      <c r="K100" s="11"/>
      <c r="L100" s="11"/>
      <c r="M100" s="11"/>
      <c r="N100" s="11"/>
      <c r="O100" s="11"/>
      <c r="P100" s="14"/>
      <c r="Q100" s="14"/>
      <c r="R100" s="14"/>
      <c r="S100" s="14"/>
      <c r="T100" s="14"/>
      <c r="U100" s="14"/>
      <c r="V100" s="14"/>
      <c r="W100" s="14"/>
      <c r="X100" s="14"/>
      <c r="Y100" s="14"/>
      <c r="Z100" s="14"/>
      <c r="AA100" s="4"/>
      <c r="AB100" s="4"/>
      <c r="AC100" s="4"/>
      <c r="AD100" s="4"/>
      <c r="AE100" s="4"/>
      <c r="AF100" s="4"/>
      <c r="AG100" s="4"/>
      <c r="AH100" s="4"/>
      <c r="AI100" s="4"/>
      <c r="AJ100" s="4"/>
      <c r="AK100" s="4"/>
      <c r="AL100" s="4"/>
      <c r="AM100" s="4"/>
      <c r="AN100" s="4"/>
      <c r="AO100" s="4"/>
      <c r="AP100" s="4"/>
      <c r="AQ100" s="4"/>
      <c r="AR100" s="4"/>
    </row>
    <row r="101" spans="1:44">
      <c r="A101" s="4"/>
      <c r="B101" s="47"/>
      <c r="C101" s="47"/>
      <c r="D101" s="48"/>
      <c r="E101" s="4"/>
      <c r="F101" s="11"/>
      <c r="G101" s="11"/>
      <c r="H101" s="11"/>
      <c r="I101" s="11"/>
      <c r="J101" s="11"/>
      <c r="K101" s="11"/>
      <c r="L101" s="11"/>
      <c r="M101" s="11"/>
      <c r="N101" s="11"/>
      <c r="O101" s="11"/>
      <c r="P101" s="14"/>
      <c r="Q101" s="14"/>
      <c r="R101" s="14"/>
      <c r="S101" s="14"/>
      <c r="T101" s="14"/>
      <c r="U101" s="14"/>
      <c r="V101" s="14"/>
      <c r="W101" s="14"/>
      <c r="X101" s="14"/>
      <c r="Y101" s="14"/>
      <c r="Z101" s="14"/>
      <c r="AA101" s="4"/>
      <c r="AB101" s="4"/>
      <c r="AC101" s="4"/>
      <c r="AD101" s="4"/>
      <c r="AE101" s="4"/>
      <c r="AF101" s="4"/>
      <c r="AG101" s="4"/>
      <c r="AH101" s="4"/>
      <c r="AI101" s="4"/>
      <c r="AJ101" s="4"/>
      <c r="AK101" s="4"/>
      <c r="AL101" s="4"/>
      <c r="AM101" s="4"/>
      <c r="AN101" s="4"/>
      <c r="AO101" s="4"/>
      <c r="AP101" s="4"/>
      <c r="AQ101" s="4"/>
      <c r="AR101" s="4"/>
    </row>
    <row r="102" spans="1:44">
      <c r="A102" s="4"/>
      <c r="B102" s="47"/>
      <c r="C102" s="47"/>
      <c r="D102" s="48"/>
      <c r="E102" s="4"/>
      <c r="F102" s="11"/>
      <c r="G102" s="11"/>
      <c r="H102" s="11"/>
      <c r="I102" s="11"/>
      <c r="J102" s="11"/>
      <c r="K102" s="11"/>
      <c r="L102" s="11"/>
      <c r="M102" s="11"/>
      <c r="N102" s="11"/>
      <c r="O102" s="11"/>
      <c r="P102" s="14"/>
      <c r="Q102" s="14"/>
      <c r="R102" s="14"/>
      <c r="S102" s="14"/>
      <c r="T102" s="14"/>
      <c r="U102" s="14"/>
      <c r="V102" s="14"/>
      <c r="W102" s="14"/>
      <c r="X102" s="14"/>
      <c r="Y102" s="14"/>
      <c r="Z102" s="14"/>
      <c r="AA102" s="4"/>
      <c r="AB102" s="4"/>
      <c r="AC102" s="4"/>
      <c r="AD102" s="4"/>
      <c r="AE102" s="4"/>
      <c r="AF102" s="4"/>
      <c r="AG102" s="4"/>
      <c r="AH102" s="4"/>
      <c r="AI102" s="4"/>
      <c r="AJ102" s="4"/>
      <c r="AK102" s="4"/>
      <c r="AL102" s="4"/>
      <c r="AM102" s="4"/>
      <c r="AN102" s="4"/>
      <c r="AO102" s="4"/>
      <c r="AP102" s="4"/>
      <c r="AQ102" s="4"/>
      <c r="AR102" s="4"/>
    </row>
    <row r="103" spans="1:44">
      <c r="A103" s="4"/>
      <c r="B103" s="47"/>
      <c r="C103" s="47"/>
      <c r="D103" s="48"/>
      <c r="E103" s="4"/>
      <c r="F103" s="11"/>
      <c r="G103" s="11"/>
      <c r="H103" s="11"/>
      <c r="I103" s="11"/>
      <c r="J103" s="11"/>
      <c r="K103" s="11"/>
      <c r="L103" s="11"/>
      <c r="M103" s="11"/>
      <c r="N103" s="11"/>
      <c r="O103" s="11"/>
      <c r="P103" s="14"/>
      <c r="Q103" s="14"/>
      <c r="R103" s="14"/>
      <c r="S103" s="14"/>
      <c r="T103" s="14"/>
      <c r="U103" s="14"/>
      <c r="V103" s="14"/>
      <c r="W103" s="14"/>
      <c r="X103" s="14"/>
      <c r="Y103" s="14"/>
      <c r="Z103" s="14"/>
      <c r="AA103" s="4"/>
      <c r="AB103" s="4"/>
      <c r="AC103" s="4"/>
      <c r="AD103" s="4"/>
      <c r="AE103" s="4"/>
      <c r="AF103" s="4"/>
      <c r="AG103" s="4"/>
      <c r="AH103" s="4"/>
      <c r="AI103" s="4"/>
      <c r="AJ103" s="4"/>
      <c r="AK103" s="4"/>
      <c r="AL103" s="4"/>
      <c r="AM103" s="4"/>
      <c r="AN103" s="4"/>
      <c r="AO103" s="4"/>
      <c r="AP103" s="4"/>
      <c r="AQ103" s="4"/>
      <c r="AR103" s="4"/>
    </row>
    <row r="104" spans="1:44">
      <c r="A104" s="4"/>
      <c r="B104" s="47"/>
      <c r="C104" s="47"/>
      <c r="D104" s="48"/>
      <c r="E104" s="4"/>
      <c r="F104" s="11"/>
      <c r="G104" s="11"/>
      <c r="H104" s="11"/>
      <c r="I104" s="11"/>
      <c r="J104" s="11"/>
      <c r="K104" s="11"/>
      <c r="L104" s="11"/>
      <c r="M104" s="11"/>
      <c r="N104" s="11"/>
      <c r="O104" s="11"/>
      <c r="P104" s="14"/>
      <c r="Q104" s="14"/>
      <c r="R104" s="14"/>
      <c r="S104" s="14"/>
      <c r="T104" s="14"/>
      <c r="U104" s="14"/>
      <c r="V104" s="14"/>
      <c r="W104" s="14"/>
      <c r="X104" s="14"/>
      <c r="Y104" s="14"/>
      <c r="Z104" s="14"/>
      <c r="AA104" s="4"/>
      <c r="AB104" s="4"/>
      <c r="AC104" s="4"/>
      <c r="AD104" s="4"/>
      <c r="AE104" s="4"/>
      <c r="AF104" s="4"/>
      <c r="AG104" s="4"/>
      <c r="AH104" s="4"/>
      <c r="AI104" s="4"/>
      <c r="AJ104" s="4"/>
      <c r="AK104" s="4"/>
      <c r="AL104" s="4"/>
      <c r="AM104" s="4"/>
      <c r="AN104" s="4"/>
      <c r="AO104" s="4"/>
      <c r="AP104" s="4"/>
      <c r="AQ104" s="4"/>
      <c r="AR104" s="4"/>
    </row>
    <row r="105" spans="1:44">
      <c r="A105" s="4"/>
      <c r="B105" s="47"/>
      <c r="C105" s="47"/>
      <c r="D105" s="48"/>
      <c r="E105" s="4"/>
      <c r="F105" s="11"/>
      <c r="G105" s="11"/>
      <c r="H105" s="11"/>
      <c r="I105" s="11"/>
      <c r="J105" s="11"/>
      <c r="K105" s="11"/>
      <c r="L105" s="11"/>
      <c r="M105" s="11"/>
      <c r="N105" s="11"/>
      <c r="O105" s="11"/>
      <c r="P105" s="14"/>
      <c r="Q105" s="14"/>
      <c r="R105" s="14"/>
      <c r="S105" s="14"/>
      <c r="T105" s="14"/>
      <c r="U105" s="14"/>
      <c r="V105" s="14"/>
      <c r="W105" s="14"/>
      <c r="X105" s="14"/>
      <c r="Y105" s="14"/>
      <c r="Z105" s="14"/>
      <c r="AA105" s="4"/>
      <c r="AB105" s="4"/>
      <c r="AC105" s="4"/>
      <c r="AD105" s="4"/>
      <c r="AE105" s="4"/>
      <c r="AF105" s="4"/>
      <c r="AG105" s="4"/>
      <c r="AH105" s="4"/>
      <c r="AI105" s="4"/>
      <c r="AJ105" s="4"/>
      <c r="AK105" s="4"/>
      <c r="AL105" s="4"/>
      <c r="AM105" s="4"/>
      <c r="AN105" s="4"/>
      <c r="AO105" s="4"/>
      <c r="AP105" s="4"/>
      <c r="AQ105" s="4"/>
      <c r="AR105" s="4"/>
    </row>
    <row r="106" spans="1:44">
      <c r="A106" s="4"/>
      <c r="B106" s="47"/>
      <c r="C106" s="47"/>
      <c r="D106" s="48"/>
      <c r="E106" s="4"/>
      <c r="F106" s="11"/>
      <c r="G106" s="11"/>
      <c r="H106" s="11"/>
      <c r="I106" s="11"/>
      <c r="J106" s="11"/>
      <c r="K106" s="11"/>
      <c r="L106" s="11"/>
      <c r="M106" s="11"/>
      <c r="N106" s="11"/>
      <c r="O106" s="11"/>
      <c r="P106" s="14"/>
      <c r="Q106" s="14"/>
      <c r="R106" s="14"/>
      <c r="S106" s="14"/>
      <c r="T106" s="14"/>
      <c r="U106" s="14"/>
      <c r="V106" s="14"/>
      <c r="W106" s="14"/>
      <c r="X106" s="14"/>
      <c r="Y106" s="14"/>
      <c r="Z106" s="14"/>
      <c r="AA106" s="4"/>
      <c r="AB106" s="4"/>
      <c r="AC106" s="4"/>
      <c r="AD106" s="4"/>
      <c r="AE106" s="4"/>
      <c r="AF106" s="4"/>
      <c r="AG106" s="4"/>
      <c r="AH106" s="4"/>
      <c r="AI106" s="4"/>
      <c r="AJ106" s="4"/>
      <c r="AK106" s="4"/>
      <c r="AL106" s="4"/>
      <c r="AM106" s="4"/>
      <c r="AN106" s="4"/>
      <c r="AO106" s="4"/>
      <c r="AP106" s="4"/>
      <c r="AQ106" s="4"/>
      <c r="AR106" s="4"/>
    </row>
    <row r="107" spans="1:44">
      <c r="A107" s="4"/>
      <c r="B107" s="47"/>
      <c r="C107" s="47"/>
      <c r="D107" s="48"/>
      <c r="E107" s="4"/>
      <c r="F107" s="11"/>
      <c r="G107" s="11"/>
      <c r="H107" s="11"/>
      <c r="I107" s="11"/>
      <c r="J107" s="11"/>
      <c r="K107" s="11"/>
      <c r="L107" s="11"/>
      <c r="M107" s="11"/>
      <c r="N107" s="11"/>
      <c r="O107" s="11"/>
      <c r="P107" s="14"/>
      <c r="Q107" s="14"/>
      <c r="R107" s="14"/>
      <c r="S107" s="14"/>
      <c r="T107" s="14"/>
      <c r="U107" s="14"/>
      <c r="V107" s="14"/>
      <c r="W107" s="14"/>
      <c r="X107" s="14"/>
      <c r="Y107" s="14"/>
      <c r="Z107" s="14"/>
      <c r="AA107" s="4"/>
      <c r="AB107" s="4"/>
      <c r="AC107" s="4"/>
      <c r="AD107" s="4"/>
      <c r="AE107" s="4"/>
      <c r="AF107" s="4"/>
      <c r="AG107" s="4"/>
      <c r="AH107" s="4"/>
      <c r="AI107" s="4"/>
      <c r="AJ107" s="4"/>
      <c r="AK107" s="4"/>
      <c r="AL107" s="4"/>
      <c r="AM107" s="4"/>
      <c r="AN107" s="4"/>
      <c r="AO107" s="4"/>
      <c r="AP107" s="4"/>
      <c r="AQ107" s="4"/>
      <c r="AR107" s="4"/>
    </row>
    <row r="108" spans="1:44">
      <c r="A108" s="4"/>
      <c r="B108" s="47"/>
      <c r="C108" s="47"/>
      <c r="D108" s="48"/>
      <c r="E108" s="4"/>
      <c r="F108" s="11"/>
      <c r="G108" s="11"/>
      <c r="H108" s="11"/>
      <c r="I108" s="11"/>
      <c r="J108" s="11"/>
      <c r="K108" s="11"/>
      <c r="L108" s="11"/>
      <c r="M108" s="11"/>
      <c r="N108" s="11"/>
      <c r="O108" s="11"/>
      <c r="P108" s="14"/>
      <c r="Q108" s="14"/>
      <c r="R108" s="14"/>
      <c r="S108" s="14"/>
      <c r="T108" s="14"/>
      <c r="U108" s="14"/>
      <c r="V108" s="14"/>
      <c r="W108" s="14"/>
      <c r="X108" s="14"/>
      <c r="Y108" s="14"/>
      <c r="Z108" s="14"/>
      <c r="AA108" s="4"/>
      <c r="AB108" s="4"/>
      <c r="AC108" s="4"/>
      <c r="AD108" s="4"/>
      <c r="AE108" s="4"/>
      <c r="AF108" s="4"/>
      <c r="AG108" s="4"/>
      <c r="AH108" s="4"/>
      <c r="AI108" s="4"/>
      <c r="AJ108" s="4"/>
      <c r="AK108" s="4"/>
      <c r="AL108" s="4"/>
      <c r="AM108" s="4"/>
      <c r="AN108" s="4"/>
      <c r="AO108" s="4"/>
      <c r="AP108" s="4"/>
      <c r="AQ108" s="4"/>
      <c r="AR108" s="4"/>
    </row>
    <row r="109" spans="1:44">
      <c r="A109" s="4"/>
      <c r="B109" s="47"/>
      <c r="C109" s="47"/>
      <c r="D109" s="48"/>
      <c r="E109" s="4"/>
      <c r="F109" s="11"/>
      <c r="G109" s="11"/>
      <c r="H109" s="11"/>
      <c r="I109" s="11"/>
      <c r="J109" s="11"/>
      <c r="K109" s="11"/>
      <c r="L109" s="11"/>
      <c r="M109" s="11"/>
      <c r="N109" s="11"/>
      <c r="O109" s="11"/>
      <c r="P109" s="14"/>
      <c r="Q109" s="14"/>
      <c r="R109" s="14"/>
      <c r="S109" s="14"/>
      <c r="T109" s="14"/>
      <c r="U109" s="14"/>
      <c r="V109" s="14"/>
      <c r="W109" s="14"/>
      <c r="X109" s="14"/>
      <c r="Y109" s="14"/>
      <c r="Z109" s="14"/>
      <c r="AA109" s="4"/>
      <c r="AB109" s="4"/>
      <c r="AC109" s="4"/>
      <c r="AD109" s="4"/>
      <c r="AE109" s="4"/>
      <c r="AF109" s="4"/>
      <c r="AG109" s="4"/>
      <c r="AH109" s="4"/>
      <c r="AI109" s="4"/>
      <c r="AJ109" s="4"/>
      <c r="AK109" s="4"/>
      <c r="AL109" s="4"/>
      <c r="AM109" s="4"/>
      <c r="AN109" s="4"/>
      <c r="AO109" s="4"/>
      <c r="AP109" s="4"/>
      <c r="AQ109" s="4"/>
      <c r="AR109" s="4"/>
    </row>
    <row r="110" spans="1:44">
      <c r="A110" s="4"/>
      <c r="B110" s="47"/>
      <c r="C110" s="47"/>
      <c r="D110" s="48"/>
      <c r="E110" s="4"/>
      <c r="F110" s="11"/>
      <c r="G110" s="11"/>
      <c r="H110" s="11"/>
      <c r="I110" s="11"/>
      <c r="J110" s="11"/>
      <c r="K110" s="11"/>
      <c r="L110" s="11"/>
      <c r="M110" s="11"/>
      <c r="N110" s="11"/>
      <c r="O110" s="11"/>
      <c r="P110" s="14"/>
      <c r="Q110" s="14"/>
      <c r="R110" s="14"/>
      <c r="S110" s="14"/>
      <c r="T110" s="14"/>
      <c r="U110" s="14"/>
      <c r="V110" s="14"/>
      <c r="W110" s="14"/>
      <c r="X110" s="14"/>
      <c r="Y110" s="14"/>
      <c r="Z110" s="14"/>
      <c r="AA110" s="4"/>
      <c r="AB110" s="4"/>
      <c r="AC110" s="4"/>
      <c r="AD110" s="4"/>
      <c r="AE110" s="4"/>
      <c r="AF110" s="4"/>
      <c r="AG110" s="4"/>
      <c r="AH110" s="4"/>
      <c r="AI110" s="4"/>
      <c r="AJ110" s="4"/>
      <c r="AK110" s="4"/>
      <c r="AL110" s="4"/>
      <c r="AM110" s="4"/>
      <c r="AN110" s="4"/>
      <c r="AO110" s="4"/>
      <c r="AP110" s="4"/>
      <c r="AQ110" s="4"/>
      <c r="AR110" s="4"/>
    </row>
    <row r="111" spans="1:44">
      <c r="A111" s="4"/>
      <c r="B111" s="47"/>
      <c r="C111" s="47"/>
      <c r="D111" s="48"/>
      <c r="E111" s="4"/>
      <c r="F111" s="11"/>
      <c r="G111" s="11"/>
      <c r="H111" s="11"/>
      <c r="I111" s="11"/>
      <c r="J111" s="11"/>
      <c r="K111" s="11"/>
      <c r="L111" s="11"/>
      <c r="M111" s="11"/>
      <c r="N111" s="11"/>
      <c r="O111" s="11"/>
      <c r="P111" s="14"/>
      <c r="Q111" s="14"/>
      <c r="R111" s="14"/>
      <c r="S111" s="14"/>
      <c r="T111" s="14"/>
      <c r="U111" s="14"/>
      <c r="V111" s="14"/>
      <c r="W111" s="14"/>
      <c r="X111" s="14"/>
      <c r="Y111" s="14"/>
      <c r="Z111" s="14"/>
      <c r="AA111" s="4"/>
      <c r="AB111" s="4"/>
      <c r="AC111" s="4"/>
      <c r="AD111" s="4"/>
      <c r="AE111" s="4"/>
      <c r="AF111" s="4"/>
      <c r="AG111" s="4"/>
      <c r="AH111" s="4"/>
      <c r="AI111" s="4"/>
      <c r="AJ111" s="4"/>
      <c r="AK111" s="4"/>
      <c r="AL111" s="4"/>
      <c r="AM111" s="4"/>
      <c r="AN111" s="4"/>
      <c r="AO111" s="4"/>
      <c r="AP111" s="4"/>
      <c r="AQ111" s="4"/>
      <c r="AR111" s="4"/>
    </row>
    <row r="112" spans="1:44">
      <c r="A112" s="4"/>
      <c r="B112" s="47"/>
      <c r="C112" s="47"/>
      <c r="D112" s="48"/>
      <c r="E112" s="4"/>
      <c r="F112" s="11"/>
      <c r="G112" s="11"/>
      <c r="H112" s="11"/>
      <c r="I112" s="11"/>
      <c r="J112" s="11"/>
      <c r="K112" s="11"/>
      <c r="L112" s="11"/>
      <c r="M112" s="11"/>
      <c r="N112" s="11"/>
      <c r="O112" s="11"/>
      <c r="P112" s="14"/>
      <c r="Q112" s="14"/>
      <c r="R112" s="14"/>
      <c r="S112" s="14"/>
      <c r="T112" s="14"/>
      <c r="U112" s="14"/>
      <c r="V112" s="14"/>
      <c r="W112" s="14"/>
      <c r="X112" s="14"/>
      <c r="Y112" s="14"/>
      <c r="Z112" s="14"/>
      <c r="AA112" s="4"/>
      <c r="AB112" s="4"/>
      <c r="AC112" s="4"/>
      <c r="AD112" s="4"/>
      <c r="AE112" s="4"/>
      <c r="AF112" s="4"/>
      <c r="AG112" s="4"/>
      <c r="AH112" s="4"/>
      <c r="AI112" s="4"/>
      <c r="AJ112" s="4"/>
      <c r="AK112" s="4"/>
      <c r="AL112" s="4"/>
      <c r="AM112" s="4"/>
      <c r="AN112" s="4"/>
      <c r="AO112" s="4"/>
      <c r="AP112" s="4"/>
      <c r="AQ112" s="4"/>
      <c r="AR112" s="4"/>
    </row>
    <row r="113" spans="1:44">
      <c r="A113" s="4"/>
      <c r="B113" s="47"/>
      <c r="C113" s="47"/>
      <c r="D113" s="48"/>
      <c r="E113" s="4"/>
      <c r="F113" s="11"/>
      <c r="G113" s="11"/>
      <c r="H113" s="11"/>
      <c r="I113" s="11"/>
      <c r="J113" s="11"/>
      <c r="K113" s="11"/>
      <c r="L113" s="11"/>
      <c r="M113" s="11"/>
      <c r="N113" s="11"/>
      <c r="O113" s="11"/>
      <c r="P113" s="14"/>
      <c r="Q113" s="14"/>
      <c r="R113" s="14"/>
      <c r="S113" s="14"/>
      <c r="T113" s="14"/>
      <c r="U113" s="14"/>
      <c r="V113" s="14"/>
      <c r="W113" s="14"/>
      <c r="X113" s="14"/>
      <c r="Y113" s="14"/>
      <c r="Z113" s="14"/>
      <c r="AA113" s="4"/>
      <c r="AB113" s="4"/>
      <c r="AC113" s="4"/>
      <c r="AD113" s="4"/>
      <c r="AE113" s="4"/>
      <c r="AF113" s="4"/>
      <c r="AG113" s="4"/>
      <c r="AH113" s="4"/>
      <c r="AI113" s="4"/>
      <c r="AJ113" s="4"/>
      <c r="AK113" s="4"/>
      <c r="AL113" s="4"/>
      <c r="AM113" s="4"/>
      <c r="AN113" s="4"/>
      <c r="AO113" s="4"/>
      <c r="AP113" s="4"/>
      <c r="AQ113" s="4"/>
      <c r="AR113" s="4"/>
    </row>
    <row r="114" spans="1:44">
      <c r="A114" s="4"/>
      <c r="B114" s="47"/>
      <c r="C114" s="47"/>
      <c r="D114" s="48"/>
      <c r="E114" s="4"/>
      <c r="F114" s="11"/>
      <c r="G114" s="11"/>
      <c r="H114" s="11"/>
      <c r="I114" s="11"/>
      <c r="J114" s="11"/>
      <c r="K114" s="11"/>
      <c r="L114" s="11"/>
      <c r="M114" s="11"/>
      <c r="N114" s="11"/>
      <c r="O114" s="11"/>
      <c r="P114" s="14"/>
      <c r="Q114" s="14"/>
      <c r="R114" s="14"/>
      <c r="S114" s="14"/>
      <c r="T114" s="14"/>
      <c r="U114" s="14"/>
      <c r="V114" s="14"/>
      <c r="W114" s="14"/>
      <c r="X114" s="14"/>
      <c r="Y114" s="14"/>
      <c r="Z114" s="14"/>
      <c r="AA114" s="4"/>
      <c r="AB114" s="4"/>
      <c r="AC114" s="4"/>
      <c r="AD114" s="4"/>
      <c r="AE114" s="4"/>
      <c r="AF114" s="4"/>
      <c r="AG114" s="4"/>
      <c r="AH114" s="4"/>
      <c r="AI114" s="4"/>
      <c r="AJ114" s="4"/>
      <c r="AK114" s="4"/>
      <c r="AL114" s="4"/>
      <c r="AM114" s="4"/>
      <c r="AN114" s="4"/>
      <c r="AO114" s="4"/>
      <c r="AP114" s="4"/>
      <c r="AQ114" s="4"/>
      <c r="AR114" s="4"/>
    </row>
    <row r="115" spans="1:44">
      <c r="A115" s="4"/>
      <c r="B115" s="47"/>
      <c r="C115" s="47"/>
      <c r="D115" s="48"/>
      <c r="E115" s="4"/>
      <c r="F115" s="11"/>
      <c r="G115" s="11"/>
      <c r="H115" s="11"/>
      <c r="I115" s="11"/>
      <c r="J115" s="11"/>
      <c r="K115" s="11"/>
      <c r="L115" s="11"/>
      <c r="M115" s="11"/>
      <c r="N115" s="11"/>
      <c r="O115" s="11"/>
      <c r="P115" s="14"/>
      <c r="Q115" s="14"/>
      <c r="R115" s="14"/>
      <c r="S115" s="14"/>
      <c r="T115" s="14"/>
      <c r="U115" s="14"/>
      <c r="V115" s="14"/>
      <c r="W115" s="14"/>
      <c r="X115" s="14"/>
      <c r="Y115" s="14"/>
      <c r="Z115" s="14"/>
      <c r="AA115" s="4"/>
      <c r="AB115" s="4"/>
      <c r="AC115" s="4"/>
      <c r="AD115" s="4"/>
      <c r="AE115" s="4"/>
      <c r="AF115" s="4"/>
      <c r="AG115" s="4"/>
      <c r="AH115" s="4"/>
      <c r="AI115" s="4"/>
      <c r="AJ115" s="4"/>
      <c r="AK115" s="4"/>
      <c r="AL115" s="4"/>
      <c r="AM115" s="4"/>
      <c r="AN115" s="4"/>
      <c r="AO115" s="4"/>
      <c r="AP115" s="4"/>
      <c r="AQ115" s="4"/>
      <c r="AR115" s="4"/>
    </row>
    <row r="116" spans="1:44">
      <c r="A116" s="4"/>
      <c r="B116" s="47"/>
      <c r="C116" s="47"/>
      <c r="D116" s="48"/>
      <c r="E116" s="4"/>
      <c r="F116" s="11"/>
      <c r="G116" s="11"/>
      <c r="H116" s="11"/>
      <c r="I116" s="11"/>
      <c r="J116" s="11"/>
      <c r="K116" s="11"/>
      <c r="L116" s="11"/>
      <c r="M116" s="11"/>
      <c r="N116" s="11"/>
      <c r="O116" s="11"/>
      <c r="P116" s="14"/>
      <c r="Q116" s="14"/>
      <c r="R116" s="14"/>
      <c r="S116" s="14"/>
      <c r="T116" s="14"/>
      <c r="U116" s="14"/>
      <c r="V116" s="14"/>
      <c r="W116" s="14"/>
      <c r="X116" s="14"/>
      <c r="Y116" s="14"/>
      <c r="Z116" s="14"/>
      <c r="AA116" s="4"/>
      <c r="AB116" s="4"/>
      <c r="AC116" s="4"/>
      <c r="AD116" s="4"/>
      <c r="AE116" s="4"/>
      <c r="AF116" s="4"/>
      <c r="AG116" s="4"/>
      <c r="AH116" s="4"/>
      <c r="AI116" s="4"/>
      <c r="AJ116" s="4"/>
      <c r="AK116" s="4"/>
      <c r="AL116" s="4"/>
      <c r="AM116" s="4"/>
      <c r="AN116" s="4"/>
      <c r="AO116" s="4"/>
      <c r="AP116" s="4"/>
      <c r="AQ116" s="4"/>
      <c r="AR116" s="4"/>
    </row>
    <row r="117" spans="1:44">
      <c r="A117" s="4"/>
      <c r="B117" s="47"/>
      <c r="C117" s="47"/>
      <c r="D117" s="48"/>
      <c r="E117" s="4"/>
      <c r="F117" s="11"/>
      <c r="G117" s="11"/>
      <c r="H117" s="11"/>
      <c r="I117" s="11"/>
      <c r="J117" s="11"/>
      <c r="K117" s="11"/>
      <c r="L117" s="11"/>
      <c r="M117" s="11"/>
      <c r="N117" s="11"/>
      <c r="O117" s="11"/>
      <c r="P117" s="14"/>
      <c r="Q117" s="14"/>
      <c r="R117" s="14"/>
      <c r="S117" s="14"/>
      <c r="T117" s="14"/>
      <c r="U117" s="14"/>
      <c r="V117" s="14"/>
      <c r="W117" s="14"/>
      <c r="X117" s="14"/>
      <c r="Y117" s="14"/>
      <c r="Z117" s="14"/>
      <c r="AA117" s="4"/>
      <c r="AB117" s="4"/>
      <c r="AC117" s="4"/>
      <c r="AD117" s="4"/>
      <c r="AE117" s="4"/>
      <c r="AF117" s="4"/>
      <c r="AG117" s="4"/>
      <c r="AH117" s="4"/>
      <c r="AI117" s="4"/>
      <c r="AJ117" s="4"/>
      <c r="AK117" s="4"/>
      <c r="AL117" s="4"/>
      <c r="AM117" s="4"/>
      <c r="AN117" s="4"/>
      <c r="AO117" s="4"/>
      <c r="AP117" s="4"/>
      <c r="AQ117" s="4"/>
      <c r="AR117" s="4"/>
    </row>
    <row r="118" spans="1:44">
      <c r="A118" s="4"/>
      <c r="B118" s="47"/>
      <c r="C118" s="47"/>
      <c r="D118" s="48"/>
      <c r="E118" s="4"/>
      <c r="F118" s="11"/>
      <c r="G118" s="11"/>
      <c r="H118" s="11"/>
      <c r="I118" s="11"/>
      <c r="J118" s="11"/>
      <c r="K118" s="11"/>
      <c r="L118" s="11"/>
      <c r="M118" s="11"/>
      <c r="N118" s="11"/>
      <c r="O118" s="11"/>
      <c r="P118" s="14"/>
      <c r="Q118" s="14"/>
      <c r="R118" s="14"/>
      <c r="S118" s="14"/>
      <c r="T118" s="14"/>
      <c r="U118" s="14"/>
      <c r="V118" s="14"/>
      <c r="W118" s="14"/>
      <c r="X118" s="14"/>
      <c r="Y118" s="14"/>
      <c r="Z118" s="14"/>
      <c r="AA118" s="4"/>
      <c r="AB118" s="4"/>
      <c r="AC118" s="4"/>
      <c r="AD118" s="4"/>
      <c r="AE118" s="4"/>
      <c r="AF118" s="4"/>
      <c r="AG118" s="4"/>
      <c r="AH118" s="4"/>
      <c r="AI118" s="4"/>
      <c r="AJ118" s="4"/>
      <c r="AK118" s="4"/>
      <c r="AL118" s="4"/>
      <c r="AM118" s="4"/>
      <c r="AN118" s="4"/>
      <c r="AO118" s="4"/>
      <c r="AP118" s="4"/>
      <c r="AQ118" s="4"/>
      <c r="AR118" s="4"/>
    </row>
    <row r="119" spans="1:44">
      <c r="A119" s="4"/>
      <c r="B119" s="47"/>
      <c r="C119" s="47"/>
      <c r="D119" s="48"/>
      <c r="E119" s="4"/>
      <c r="F119" s="11"/>
      <c r="G119" s="11"/>
      <c r="H119" s="11"/>
      <c r="I119" s="11"/>
      <c r="J119" s="11"/>
      <c r="K119" s="11"/>
      <c r="L119" s="11"/>
      <c r="M119" s="11"/>
      <c r="N119" s="11"/>
      <c r="O119" s="11"/>
      <c r="P119" s="14"/>
      <c r="Q119" s="14"/>
      <c r="R119" s="14"/>
      <c r="S119" s="14"/>
      <c r="T119" s="14"/>
      <c r="U119" s="14"/>
      <c r="V119" s="14"/>
      <c r="W119" s="14"/>
      <c r="X119" s="14"/>
      <c r="Y119" s="14"/>
      <c r="Z119" s="14"/>
      <c r="AA119" s="4"/>
      <c r="AB119" s="4"/>
      <c r="AC119" s="4"/>
      <c r="AD119" s="4"/>
      <c r="AE119" s="4"/>
      <c r="AF119" s="4"/>
      <c r="AG119" s="4"/>
      <c r="AH119" s="4"/>
      <c r="AI119" s="4"/>
      <c r="AJ119" s="4"/>
      <c r="AK119" s="4"/>
      <c r="AL119" s="4"/>
      <c r="AM119" s="4"/>
      <c r="AN119" s="4"/>
      <c r="AO119" s="4"/>
      <c r="AP119" s="4"/>
      <c r="AQ119" s="4"/>
      <c r="AR119" s="4"/>
    </row>
    <row r="120" spans="1:44">
      <c r="A120" s="4"/>
      <c r="B120" s="47"/>
      <c r="C120" s="47"/>
      <c r="D120" s="48"/>
      <c r="E120" s="4"/>
      <c r="F120" s="11"/>
      <c r="G120" s="11"/>
      <c r="H120" s="11"/>
      <c r="I120" s="11"/>
      <c r="J120" s="11"/>
      <c r="K120" s="11"/>
      <c r="L120" s="11"/>
      <c r="M120" s="11"/>
      <c r="N120" s="11"/>
      <c r="O120" s="11"/>
      <c r="P120" s="14"/>
      <c r="Q120" s="14"/>
      <c r="R120" s="14"/>
      <c r="S120" s="14"/>
      <c r="T120" s="14"/>
      <c r="U120" s="14"/>
      <c r="V120" s="14"/>
      <c r="W120" s="14"/>
      <c r="X120" s="14"/>
      <c r="Y120" s="14"/>
      <c r="Z120" s="14"/>
      <c r="AA120" s="4"/>
      <c r="AB120" s="4"/>
      <c r="AC120" s="4"/>
      <c r="AD120" s="4"/>
      <c r="AE120" s="4"/>
      <c r="AF120" s="4"/>
      <c r="AG120" s="4"/>
      <c r="AH120" s="4"/>
      <c r="AI120" s="4"/>
      <c r="AJ120" s="4"/>
      <c r="AK120" s="4"/>
      <c r="AL120" s="4"/>
      <c r="AM120" s="4"/>
      <c r="AN120" s="4"/>
      <c r="AO120" s="4"/>
      <c r="AP120" s="4"/>
      <c r="AQ120" s="4"/>
      <c r="AR120" s="4"/>
    </row>
    <row r="121" spans="1:44">
      <c r="A121" s="4"/>
      <c r="B121" s="47"/>
      <c r="C121" s="47"/>
      <c r="D121" s="48"/>
      <c r="E121" s="4"/>
      <c r="F121" s="11"/>
      <c r="G121" s="11"/>
      <c r="H121" s="11"/>
      <c r="I121" s="11"/>
      <c r="J121" s="11"/>
      <c r="K121" s="11"/>
      <c r="L121" s="11"/>
      <c r="M121" s="11"/>
      <c r="N121" s="11"/>
      <c r="O121" s="11"/>
      <c r="P121" s="14"/>
      <c r="Q121" s="14"/>
      <c r="R121" s="14"/>
      <c r="S121" s="14"/>
      <c r="T121" s="14"/>
      <c r="U121" s="14"/>
      <c r="V121" s="14"/>
      <c r="W121" s="14"/>
      <c r="X121" s="14"/>
      <c r="Y121" s="14"/>
      <c r="Z121" s="14"/>
      <c r="AA121" s="4"/>
      <c r="AB121" s="4"/>
      <c r="AC121" s="4"/>
      <c r="AD121" s="4"/>
      <c r="AE121" s="4"/>
      <c r="AF121" s="4"/>
      <c r="AG121" s="4"/>
      <c r="AH121" s="4"/>
      <c r="AI121" s="4"/>
      <c r="AJ121" s="4"/>
      <c r="AK121" s="4"/>
      <c r="AL121" s="4"/>
      <c r="AM121" s="4"/>
      <c r="AN121" s="4"/>
      <c r="AO121" s="4"/>
      <c r="AP121" s="4"/>
      <c r="AQ121" s="4"/>
      <c r="AR121" s="4"/>
    </row>
    <row r="122" spans="1:44">
      <c r="A122" s="4"/>
      <c r="B122" s="47"/>
      <c r="C122" s="47"/>
      <c r="D122" s="48"/>
      <c r="E122" s="4"/>
      <c r="F122" s="11"/>
      <c r="G122" s="11"/>
      <c r="H122" s="11"/>
      <c r="I122" s="11"/>
      <c r="J122" s="11"/>
      <c r="K122" s="11"/>
      <c r="L122" s="11"/>
      <c r="M122" s="11"/>
      <c r="N122" s="11"/>
      <c r="O122" s="11"/>
      <c r="P122" s="14"/>
      <c r="Q122" s="14"/>
      <c r="R122" s="14"/>
      <c r="S122" s="14"/>
      <c r="T122" s="14"/>
      <c r="U122" s="14"/>
      <c r="V122" s="14"/>
      <c r="W122" s="14"/>
      <c r="X122" s="14"/>
      <c r="Y122" s="14"/>
      <c r="Z122" s="14"/>
      <c r="AA122" s="4"/>
      <c r="AB122" s="4"/>
      <c r="AC122" s="4"/>
      <c r="AD122" s="4"/>
      <c r="AE122" s="4"/>
      <c r="AF122" s="4"/>
      <c r="AG122" s="4"/>
      <c r="AH122" s="4"/>
      <c r="AI122" s="4"/>
      <c r="AJ122" s="4"/>
      <c r="AK122" s="4"/>
      <c r="AL122" s="4"/>
      <c r="AM122" s="4"/>
      <c r="AN122" s="4"/>
      <c r="AO122" s="4"/>
      <c r="AP122" s="4"/>
      <c r="AQ122" s="4"/>
      <c r="AR122" s="4"/>
    </row>
    <row r="123" spans="1:44">
      <c r="A123" s="4"/>
      <c r="B123" s="47"/>
      <c r="C123" s="47"/>
      <c r="D123" s="48"/>
      <c r="E123" s="4"/>
      <c r="F123" s="11"/>
      <c r="G123" s="11"/>
      <c r="H123" s="11"/>
      <c r="I123" s="11"/>
      <c r="J123" s="11"/>
      <c r="K123" s="11"/>
      <c r="L123" s="11"/>
      <c r="M123" s="11"/>
      <c r="N123" s="11"/>
      <c r="O123" s="11"/>
      <c r="P123" s="14"/>
      <c r="Q123" s="14"/>
      <c r="R123" s="14"/>
      <c r="S123" s="14"/>
      <c r="T123" s="14"/>
      <c r="U123" s="14"/>
      <c r="V123" s="14"/>
      <c r="W123" s="14"/>
      <c r="X123" s="14"/>
      <c r="Y123" s="14"/>
      <c r="Z123" s="14"/>
      <c r="AA123" s="4"/>
      <c r="AB123" s="4"/>
      <c r="AC123" s="4"/>
      <c r="AD123" s="4"/>
      <c r="AE123" s="4"/>
      <c r="AF123" s="4"/>
      <c r="AG123" s="4"/>
      <c r="AH123" s="4"/>
      <c r="AI123" s="4"/>
      <c r="AJ123" s="4"/>
      <c r="AK123" s="4"/>
      <c r="AL123" s="4"/>
      <c r="AM123" s="4"/>
      <c r="AN123" s="4"/>
      <c r="AO123" s="4"/>
      <c r="AP123" s="4"/>
      <c r="AQ123" s="4"/>
      <c r="AR123" s="4"/>
    </row>
    <row r="124" spans="1:44">
      <c r="A124" s="4"/>
      <c r="B124" s="47"/>
      <c r="C124" s="47"/>
      <c r="D124" s="48"/>
      <c r="E124" s="4"/>
      <c r="F124" s="11"/>
      <c r="G124" s="11"/>
      <c r="H124" s="11"/>
      <c r="I124" s="11"/>
      <c r="J124" s="11"/>
      <c r="K124" s="11"/>
      <c r="L124" s="11"/>
      <c r="M124" s="11"/>
      <c r="N124" s="11"/>
      <c r="O124" s="11"/>
      <c r="P124" s="14"/>
      <c r="Q124" s="14"/>
      <c r="R124" s="14"/>
      <c r="S124" s="14"/>
      <c r="T124" s="14"/>
      <c r="U124" s="14"/>
      <c r="V124" s="14"/>
      <c r="W124" s="14"/>
      <c r="X124" s="14"/>
      <c r="Y124" s="14"/>
      <c r="Z124" s="14"/>
      <c r="AA124" s="4"/>
      <c r="AB124" s="4"/>
      <c r="AC124" s="4"/>
      <c r="AD124" s="4"/>
      <c r="AE124" s="4"/>
      <c r="AF124" s="4"/>
      <c r="AG124" s="4"/>
      <c r="AH124" s="4"/>
      <c r="AI124" s="4"/>
      <c r="AJ124" s="4"/>
      <c r="AK124" s="4"/>
      <c r="AL124" s="4"/>
      <c r="AM124" s="4"/>
      <c r="AN124" s="4"/>
      <c r="AO124" s="4"/>
      <c r="AP124" s="4"/>
      <c r="AQ124" s="4"/>
      <c r="AR124" s="4"/>
    </row>
    <row r="125" spans="1:44">
      <c r="A125" s="4"/>
      <c r="B125" s="47"/>
      <c r="C125" s="47"/>
      <c r="D125" s="48"/>
      <c r="E125" s="4"/>
      <c r="F125" s="11"/>
      <c r="G125" s="11"/>
      <c r="H125" s="11"/>
      <c r="I125" s="11"/>
      <c r="J125" s="11"/>
      <c r="K125" s="11"/>
      <c r="L125" s="11"/>
      <c r="M125" s="11"/>
      <c r="N125" s="11"/>
      <c r="O125" s="11"/>
      <c r="P125" s="14"/>
      <c r="Q125" s="14"/>
      <c r="R125" s="14"/>
      <c r="S125" s="14"/>
      <c r="T125" s="14"/>
      <c r="U125" s="14"/>
      <c r="V125" s="14"/>
      <c r="W125" s="14"/>
      <c r="X125" s="14"/>
      <c r="Y125" s="14"/>
      <c r="Z125" s="14"/>
      <c r="AA125" s="4"/>
      <c r="AB125" s="4"/>
      <c r="AC125" s="4"/>
      <c r="AD125" s="4"/>
      <c r="AE125" s="4"/>
      <c r="AF125" s="4"/>
      <c r="AG125" s="4"/>
      <c r="AH125" s="4"/>
      <c r="AI125" s="4"/>
      <c r="AJ125" s="4"/>
      <c r="AK125" s="4"/>
      <c r="AL125" s="4"/>
      <c r="AM125" s="4"/>
      <c r="AN125" s="4"/>
      <c r="AO125" s="4"/>
      <c r="AP125" s="4"/>
      <c r="AQ125" s="4"/>
      <c r="AR125" s="4"/>
    </row>
    <row r="126" spans="1:44">
      <c r="A126" s="4"/>
      <c r="B126" s="47"/>
      <c r="C126" s="47"/>
      <c r="D126" s="48"/>
      <c r="E126" s="4"/>
      <c r="F126" s="11"/>
      <c r="G126" s="11"/>
      <c r="H126" s="11"/>
      <c r="I126" s="11"/>
      <c r="J126" s="11"/>
      <c r="K126" s="11"/>
      <c r="L126" s="11"/>
      <c r="M126" s="11"/>
      <c r="N126" s="11"/>
      <c r="O126" s="11"/>
      <c r="P126" s="14"/>
      <c r="Q126" s="14"/>
      <c r="R126" s="14"/>
      <c r="S126" s="14"/>
      <c r="T126" s="14"/>
      <c r="U126" s="14"/>
      <c r="V126" s="14"/>
      <c r="W126" s="14"/>
      <c r="X126" s="14"/>
      <c r="Y126" s="14"/>
      <c r="Z126" s="14"/>
      <c r="AA126" s="4"/>
      <c r="AB126" s="4"/>
      <c r="AC126" s="4"/>
      <c r="AD126" s="4"/>
      <c r="AE126" s="4"/>
      <c r="AF126" s="4"/>
      <c r="AG126" s="4"/>
      <c r="AH126" s="4"/>
      <c r="AI126" s="4"/>
      <c r="AJ126" s="4"/>
      <c r="AK126" s="4"/>
      <c r="AL126" s="4"/>
      <c r="AM126" s="4"/>
      <c r="AN126" s="4"/>
      <c r="AO126" s="4"/>
      <c r="AP126" s="4"/>
      <c r="AQ126" s="4"/>
      <c r="AR126" s="4"/>
    </row>
    <row r="127" spans="1:44">
      <c r="A127" s="4"/>
      <c r="B127" s="47"/>
      <c r="C127" s="47"/>
      <c r="D127" s="48"/>
      <c r="E127" s="4"/>
      <c r="F127" s="11"/>
      <c r="G127" s="11"/>
      <c r="H127" s="11"/>
      <c r="I127" s="11"/>
      <c r="J127" s="11"/>
      <c r="K127" s="11"/>
      <c r="L127" s="11"/>
      <c r="M127" s="11"/>
      <c r="N127" s="11"/>
      <c r="O127" s="11"/>
      <c r="P127" s="14"/>
      <c r="Q127" s="14"/>
      <c r="R127" s="14"/>
      <c r="S127" s="14"/>
      <c r="T127" s="14"/>
      <c r="U127" s="14"/>
      <c r="V127" s="14"/>
      <c r="W127" s="14"/>
      <c r="X127" s="14"/>
      <c r="Y127" s="14"/>
      <c r="Z127" s="14"/>
      <c r="AA127" s="4"/>
      <c r="AB127" s="4"/>
      <c r="AC127" s="4"/>
      <c r="AD127" s="4"/>
      <c r="AE127" s="4"/>
      <c r="AF127" s="4"/>
      <c r="AG127" s="4"/>
      <c r="AH127" s="4"/>
      <c r="AI127" s="4"/>
      <c r="AJ127" s="4"/>
      <c r="AK127" s="4"/>
      <c r="AL127" s="4"/>
      <c r="AM127" s="4"/>
      <c r="AN127" s="4"/>
      <c r="AO127" s="4"/>
      <c r="AP127" s="4"/>
      <c r="AQ127" s="4"/>
      <c r="AR127" s="4"/>
    </row>
    <row r="128" spans="1:44">
      <c r="A128" s="4"/>
      <c r="B128" s="47"/>
      <c r="C128" s="47"/>
      <c r="D128" s="48"/>
      <c r="E128" s="4"/>
      <c r="F128" s="11"/>
      <c r="G128" s="11"/>
      <c r="H128" s="11"/>
      <c r="I128" s="11"/>
      <c r="J128" s="11"/>
      <c r="K128" s="11"/>
      <c r="L128" s="11"/>
      <c r="M128" s="11"/>
      <c r="N128" s="11"/>
      <c r="O128" s="11"/>
      <c r="P128" s="14"/>
      <c r="Q128" s="14"/>
      <c r="R128" s="14"/>
      <c r="S128" s="14"/>
      <c r="T128" s="14"/>
      <c r="U128" s="14"/>
      <c r="V128" s="14"/>
      <c r="W128" s="14"/>
      <c r="X128" s="14"/>
      <c r="Y128" s="14"/>
      <c r="Z128" s="14"/>
      <c r="AA128" s="4"/>
      <c r="AB128" s="4"/>
      <c r="AC128" s="4"/>
      <c r="AD128" s="4"/>
      <c r="AE128" s="4"/>
      <c r="AF128" s="4"/>
      <c r="AG128" s="4"/>
      <c r="AH128" s="4"/>
      <c r="AI128" s="4"/>
      <c r="AJ128" s="4"/>
      <c r="AK128" s="4"/>
      <c r="AL128" s="4"/>
      <c r="AM128" s="4"/>
      <c r="AN128" s="4"/>
      <c r="AO128" s="4"/>
      <c r="AP128" s="4"/>
      <c r="AQ128" s="4"/>
      <c r="AR128" s="4"/>
    </row>
    <row r="129" spans="1:44">
      <c r="A129" s="4"/>
      <c r="B129" s="47"/>
      <c r="C129" s="47"/>
      <c r="D129" s="48"/>
      <c r="E129" s="4"/>
      <c r="F129" s="11"/>
      <c r="G129" s="11"/>
      <c r="H129" s="11"/>
      <c r="I129" s="11"/>
      <c r="J129" s="11"/>
      <c r="K129" s="11"/>
      <c r="L129" s="11"/>
      <c r="M129" s="11"/>
      <c r="N129" s="11"/>
      <c r="O129" s="11"/>
      <c r="P129" s="14"/>
      <c r="Q129" s="14"/>
      <c r="R129" s="14"/>
      <c r="S129" s="14"/>
      <c r="T129" s="14"/>
      <c r="U129" s="14"/>
      <c r="V129" s="14"/>
      <c r="W129" s="14"/>
      <c r="X129" s="14"/>
      <c r="Y129" s="14"/>
      <c r="Z129" s="14"/>
      <c r="AA129" s="4"/>
      <c r="AB129" s="4"/>
      <c r="AC129" s="4"/>
      <c r="AD129" s="4"/>
      <c r="AE129" s="4"/>
      <c r="AF129" s="4"/>
      <c r="AG129" s="4"/>
      <c r="AH129" s="4"/>
      <c r="AI129" s="4"/>
      <c r="AJ129" s="4"/>
      <c r="AK129" s="4"/>
      <c r="AL129" s="4"/>
      <c r="AM129" s="4"/>
      <c r="AN129" s="4"/>
      <c r="AO129" s="4"/>
      <c r="AP129" s="4"/>
      <c r="AQ129" s="4"/>
      <c r="AR129" s="4"/>
    </row>
    <row r="130" spans="1:44">
      <c r="A130" s="4"/>
      <c r="B130" s="47"/>
      <c r="C130" s="47"/>
      <c r="D130" s="48"/>
      <c r="E130" s="4"/>
      <c r="F130" s="11"/>
      <c r="G130" s="11"/>
      <c r="H130" s="11"/>
      <c r="I130" s="11"/>
      <c r="J130" s="11"/>
      <c r="K130" s="11"/>
      <c r="L130" s="11"/>
      <c r="M130" s="11"/>
      <c r="N130" s="11"/>
      <c r="O130" s="11"/>
      <c r="P130" s="14"/>
      <c r="Q130" s="14"/>
      <c r="R130" s="14"/>
      <c r="S130" s="14"/>
      <c r="T130" s="14"/>
      <c r="U130" s="14"/>
      <c r="V130" s="14"/>
      <c r="W130" s="14"/>
      <c r="X130" s="14"/>
      <c r="Y130" s="14"/>
      <c r="Z130" s="14"/>
      <c r="AA130" s="4"/>
      <c r="AB130" s="4"/>
      <c r="AC130" s="4"/>
      <c r="AD130" s="4"/>
      <c r="AE130" s="4"/>
      <c r="AF130" s="4"/>
      <c r="AG130" s="4"/>
      <c r="AH130" s="4"/>
      <c r="AI130" s="4"/>
      <c r="AJ130" s="4"/>
      <c r="AK130" s="4"/>
      <c r="AL130" s="4"/>
      <c r="AM130" s="4"/>
      <c r="AN130" s="4"/>
      <c r="AO130" s="4"/>
      <c r="AP130" s="4"/>
      <c r="AQ130" s="4"/>
      <c r="AR130" s="4"/>
    </row>
    <row r="131" spans="1:44">
      <c r="A131" s="4"/>
      <c r="B131" s="47"/>
      <c r="C131" s="47"/>
      <c r="D131" s="48"/>
      <c r="E131" s="4"/>
      <c r="F131" s="11"/>
      <c r="G131" s="11"/>
      <c r="H131" s="11"/>
      <c r="I131" s="11"/>
      <c r="J131" s="11"/>
      <c r="K131" s="11"/>
      <c r="L131" s="11"/>
      <c r="M131" s="11"/>
      <c r="N131" s="11"/>
      <c r="O131" s="11"/>
      <c r="P131" s="14"/>
      <c r="Q131" s="14"/>
      <c r="R131" s="14"/>
      <c r="S131" s="14"/>
      <c r="T131" s="14"/>
      <c r="U131" s="14"/>
      <c r="V131" s="14"/>
      <c r="W131" s="14"/>
      <c r="X131" s="14"/>
      <c r="Y131" s="14"/>
      <c r="Z131" s="14"/>
      <c r="AA131" s="4"/>
      <c r="AB131" s="4"/>
      <c r="AC131" s="4"/>
      <c r="AD131" s="4"/>
      <c r="AE131" s="4"/>
      <c r="AF131" s="4"/>
      <c r="AG131" s="4"/>
      <c r="AH131" s="4"/>
      <c r="AI131" s="4"/>
      <c r="AJ131" s="4"/>
      <c r="AK131" s="4"/>
      <c r="AL131" s="4"/>
      <c r="AM131" s="4"/>
      <c r="AN131" s="4"/>
      <c r="AO131" s="4"/>
      <c r="AP131" s="4"/>
      <c r="AQ131" s="4"/>
      <c r="AR131" s="4"/>
    </row>
    <row r="132" spans="1:44">
      <c r="A132" s="4"/>
      <c r="B132" s="47"/>
      <c r="C132" s="47"/>
      <c r="D132" s="48"/>
      <c r="E132" s="4"/>
      <c r="F132" s="11"/>
      <c r="G132" s="11"/>
      <c r="H132" s="11"/>
      <c r="I132" s="11"/>
      <c r="J132" s="11"/>
      <c r="K132" s="11"/>
      <c r="L132" s="11"/>
      <c r="M132" s="11"/>
      <c r="N132" s="11"/>
      <c r="O132" s="11"/>
      <c r="P132" s="14"/>
      <c r="Q132" s="14"/>
      <c r="R132" s="14"/>
      <c r="S132" s="14"/>
      <c r="T132" s="14"/>
      <c r="U132" s="14"/>
      <c r="V132" s="14"/>
      <c r="W132" s="14"/>
      <c r="X132" s="14"/>
      <c r="Y132" s="14"/>
      <c r="Z132" s="14"/>
      <c r="AA132" s="4"/>
      <c r="AB132" s="4"/>
      <c r="AC132" s="4"/>
      <c r="AD132" s="4"/>
      <c r="AE132" s="4"/>
      <c r="AF132" s="4"/>
      <c r="AG132" s="4"/>
      <c r="AH132" s="4"/>
      <c r="AI132" s="4"/>
      <c r="AJ132" s="4"/>
      <c r="AK132" s="4"/>
      <c r="AL132" s="4"/>
      <c r="AM132" s="4"/>
      <c r="AN132" s="4"/>
      <c r="AO132" s="4"/>
      <c r="AP132" s="4"/>
      <c r="AQ132" s="4"/>
      <c r="AR132" s="4"/>
    </row>
    <row r="133" spans="1:44">
      <c r="A133" s="4"/>
      <c r="B133" s="47"/>
      <c r="C133" s="47"/>
      <c r="D133" s="48"/>
      <c r="E133" s="4"/>
      <c r="F133" s="11"/>
      <c r="G133" s="11"/>
      <c r="H133" s="11"/>
      <c r="I133" s="11"/>
      <c r="J133" s="11"/>
      <c r="K133" s="11"/>
      <c r="L133" s="11"/>
      <c r="M133" s="11"/>
      <c r="N133" s="11"/>
      <c r="O133" s="11"/>
      <c r="P133" s="14"/>
      <c r="Q133" s="14"/>
      <c r="R133" s="14"/>
      <c r="S133" s="14"/>
      <c r="T133" s="14"/>
      <c r="U133" s="14"/>
      <c r="V133" s="14"/>
      <c r="W133" s="14"/>
      <c r="X133" s="14"/>
      <c r="Y133" s="14"/>
      <c r="Z133" s="14"/>
      <c r="AA133" s="4"/>
      <c r="AB133" s="4"/>
      <c r="AC133" s="4"/>
      <c r="AD133" s="4"/>
      <c r="AE133" s="4"/>
      <c r="AF133" s="4"/>
      <c r="AG133" s="4"/>
      <c r="AH133" s="4"/>
      <c r="AI133" s="4"/>
      <c r="AJ133" s="4"/>
      <c r="AK133" s="4"/>
      <c r="AL133" s="4"/>
      <c r="AM133" s="4"/>
      <c r="AN133" s="4"/>
      <c r="AO133" s="4"/>
      <c r="AP133" s="4"/>
      <c r="AQ133" s="4"/>
      <c r="AR133" s="4"/>
    </row>
    <row r="134" spans="1:44">
      <c r="A134" s="4"/>
      <c r="B134" s="47"/>
      <c r="C134" s="47"/>
      <c r="D134" s="48"/>
      <c r="E134" s="4"/>
      <c r="F134" s="11"/>
      <c r="G134" s="11"/>
      <c r="H134" s="11"/>
      <c r="I134" s="11"/>
      <c r="J134" s="11"/>
      <c r="K134" s="11"/>
      <c r="L134" s="11"/>
      <c r="M134" s="11"/>
      <c r="N134" s="11"/>
      <c r="O134" s="11"/>
      <c r="P134" s="14"/>
      <c r="Q134" s="14"/>
      <c r="R134" s="14"/>
      <c r="S134" s="14"/>
      <c r="T134" s="14"/>
      <c r="U134" s="14"/>
      <c r="V134" s="14"/>
      <c r="W134" s="14"/>
      <c r="X134" s="14"/>
      <c r="Y134" s="14"/>
      <c r="Z134" s="14"/>
      <c r="AA134" s="4"/>
      <c r="AB134" s="4"/>
      <c r="AC134" s="4"/>
      <c r="AD134" s="4"/>
      <c r="AE134" s="4"/>
      <c r="AF134" s="4"/>
      <c r="AG134" s="4"/>
      <c r="AH134" s="4"/>
      <c r="AI134" s="4"/>
      <c r="AJ134" s="4"/>
      <c r="AK134" s="4"/>
      <c r="AL134" s="4"/>
      <c r="AM134" s="4"/>
      <c r="AN134" s="4"/>
      <c r="AO134" s="4"/>
      <c r="AP134" s="4"/>
      <c r="AQ134" s="4"/>
      <c r="AR134" s="4"/>
    </row>
    <row r="135" spans="1:44">
      <c r="A135" s="4"/>
      <c r="B135" s="47"/>
      <c r="C135" s="47"/>
      <c r="D135" s="48"/>
      <c r="E135" s="4"/>
      <c r="F135" s="11"/>
      <c r="G135" s="11"/>
      <c r="H135" s="11"/>
      <c r="I135" s="11"/>
      <c r="J135" s="11"/>
      <c r="K135" s="11"/>
      <c r="L135" s="11"/>
      <c r="M135" s="11"/>
      <c r="N135" s="11"/>
      <c r="O135" s="11"/>
      <c r="P135" s="14"/>
      <c r="Q135" s="14"/>
      <c r="R135" s="14"/>
      <c r="S135" s="14"/>
      <c r="T135" s="14"/>
      <c r="U135" s="14"/>
      <c r="V135" s="14"/>
      <c r="W135" s="14"/>
      <c r="X135" s="14"/>
      <c r="Y135" s="14"/>
      <c r="Z135" s="14"/>
      <c r="AA135" s="4"/>
      <c r="AB135" s="4"/>
      <c r="AC135" s="4"/>
      <c r="AD135" s="4"/>
      <c r="AE135" s="4"/>
      <c r="AF135" s="4"/>
      <c r="AG135" s="4"/>
      <c r="AH135" s="4"/>
      <c r="AI135" s="4"/>
      <c r="AJ135" s="4"/>
      <c r="AK135" s="4"/>
      <c r="AL135" s="4"/>
      <c r="AM135" s="4"/>
      <c r="AN135" s="4"/>
      <c r="AO135" s="4"/>
      <c r="AP135" s="4"/>
      <c r="AQ135" s="4"/>
      <c r="AR135" s="4"/>
    </row>
    <row r="136" spans="1:44">
      <c r="A136" s="4"/>
      <c r="B136" s="47"/>
      <c r="C136" s="47"/>
      <c r="D136" s="48"/>
      <c r="E136" s="4"/>
      <c r="F136" s="11"/>
      <c r="G136" s="11"/>
      <c r="H136" s="11"/>
      <c r="I136" s="11"/>
      <c r="J136" s="11"/>
      <c r="K136" s="11"/>
      <c r="L136" s="11"/>
      <c r="M136" s="11"/>
      <c r="N136" s="11"/>
      <c r="O136" s="11"/>
      <c r="P136" s="14"/>
      <c r="Q136" s="14"/>
      <c r="R136" s="14"/>
      <c r="S136" s="14"/>
      <c r="T136" s="14"/>
      <c r="U136" s="14"/>
      <c r="V136" s="14"/>
      <c r="W136" s="14"/>
      <c r="X136" s="14"/>
      <c r="Y136" s="14"/>
      <c r="Z136" s="14"/>
      <c r="AA136" s="4"/>
      <c r="AB136" s="4"/>
      <c r="AC136" s="4"/>
      <c r="AD136" s="4"/>
      <c r="AE136" s="4"/>
      <c r="AF136" s="4"/>
      <c r="AG136" s="4"/>
      <c r="AH136" s="4"/>
      <c r="AI136" s="4"/>
      <c r="AJ136" s="4"/>
      <c r="AK136" s="4"/>
      <c r="AL136" s="4"/>
      <c r="AM136" s="4"/>
      <c r="AN136" s="4"/>
      <c r="AO136" s="4"/>
      <c r="AP136" s="4"/>
      <c r="AQ136" s="4"/>
      <c r="AR136" s="4"/>
    </row>
    <row r="137" spans="1:44">
      <c r="A137" s="4"/>
      <c r="B137" s="47"/>
      <c r="C137" s="47"/>
      <c r="D137" s="48"/>
      <c r="E137" s="4"/>
      <c r="F137" s="11"/>
      <c r="G137" s="11"/>
      <c r="H137" s="11"/>
      <c r="I137" s="11"/>
      <c r="J137" s="11"/>
      <c r="K137" s="11"/>
      <c r="L137" s="11"/>
      <c r="M137" s="11"/>
      <c r="N137" s="11"/>
      <c r="O137" s="11"/>
      <c r="P137" s="14"/>
      <c r="Q137" s="14"/>
      <c r="R137" s="14"/>
      <c r="S137" s="14"/>
      <c r="T137" s="14"/>
      <c r="U137" s="14"/>
      <c r="V137" s="14"/>
      <c r="W137" s="14"/>
      <c r="X137" s="14"/>
      <c r="Y137" s="14"/>
      <c r="Z137" s="14"/>
      <c r="AA137" s="4"/>
      <c r="AB137" s="4"/>
      <c r="AC137" s="4"/>
      <c r="AD137" s="4"/>
      <c r="AE137" s="4"/>
      <c r="AF137" s="4"/>
      <c r="AG137" s="4"/>
      <c r="AH137" s="4"/>
      <c r="AI137" s="4"/>
      <c r="AJ137" s="4"/>
      <c r="AK137" s="4"/>
      <c r="AL137" s="4"/>
      <c r="AM137" s="4"/>
      <c r="AN137" s="4"/>
      <c r="AO137" s="4"/>
      <c r="AP137" s="4"/>
      <c r="AQ137" s="4"/>
      <c r="AR137" s="4"/>
    </row>
    <row r="138" spans="1:44">
      <c r="A138" s="4"/>
      <c r="B138" s="47"/>
      <c r="C138" s="47"/>
      <c r="D138" s="48"/>
      <c r="E138" s="4"/>
      <c r="F138" s="11"/>
      <c r="G138" s="11"/>
      <c r="H138" s="11"/>
      <c r="I138" s="11"/>
      <c r="J138" s="11"/>
      <c r="K138" s="11"/>
      <c r="L138" s="11"/>
      <c r="M138" s="11"/>
      <c r="N138" s="11"/>
      <c r="O138" s="11"/>
      <c r="P138" s="14"/>
      <c r="Q138" s="14"/>
      <c r="R138" s="14"/>
      <c r="S138" s="14"/>
      <c r="T138" s="14"/>
      <c r="U138" s="14"/>
      <c r="V138" s="14"/>
      <c r="W138" s="14"/>
      <c r="X138" s="14"/>
      <c r="Y138" s="14"/>
      <c r="Z138" s="14"/>
      <c r="AA138" s="4"/>
      <c r="AB138" s="4"/>
      <c r="AC138" s="4"/>
      <c r="AD138" s="4"/>
      <c r="AE138" s="4"/>
      <c r="AF138" s="4"/>
      <c r="AG138" s="4"/>
      <c r="AH138" s="4"/>
      <c r="AI138" s="4"/>
      <c r="AJ138" s="4"/>
      <c r="AK138" s="4"/>
      <c r="AL138" s="4"/>
      <c r="AM138" s="4"/>
      <c r="AN138" s="4"/>
      <c r="AO138" s="4"/>
      <c r="AP138" s="4"/>
      <c r="AQ138" s="4"/>
      <c r="AR138" s="4"/>
    </row>
    <row r="139" spans="1:44">
      <c r="A139" s="4"/>
      <c r="B139" s="47"/>
      <c r="C139" s="47"/>
      <c r="D139" s="48"/>
      <c r="E139" s="4"/>
      <c r="F139" s="11"/>
      <c r="G139" s="11"/>
      <c r="H139" s="11"/>
      <c r="I139" s="11"/>
      <c r="J139" s="11"/>
      <c r="K139" s="11"/>
      <c r="L139" s="11"/>
      <c r="M139" s="11"/>
      <c r="N139" s="11"/>
      <c r="O139" s="11"/>
      <c r="P139" s="14"/>
      <c r="Q139" s="14"/>
      <c r="R139" s="14"/>
      <c r="S139" s="14"/>
      <c r="T139" s="14"/>
      <c r="U139" s="14"/>
      <c r="V139" s="14"/>
      <c r="W139" s="14"/>
      <c r="X139" s="14"/>
      <c r="Y139" s="14"/>
      <c r="Z139" s="14"/>
      <c r="AA139" s="4"/>
      <c r="AB139" s="4"/>
      <c r="AC139" s="4"/>
      <c r="AD139" s="4"/>
      <c r="AE139" s="4"/>
      <c r="AF139" s="4"/>
      <c r="AG139" s="4"/>
      <c r="AH139" s="4"/>
      <c r="AI139" s="4"/>
      <c r="AJ139" s="4"/>
      <c r="AK139" s="4"/>
      <c r="AL139" s="4"/>
      <c r="AM139" s="4"/>
      <c r="AN139" s="4"/>
      <c r="AO139" s="4"/>
      <c r="AP139" s="4"/>
      <c r="AQ139" s="4"/>
      <c r="AR139" s="4"/>
    </row>
    <row r="140" spans="1:44">
      <c r="A140" s="4"/>
      <c r="B140" s="47"/>
      <c r="C140" s="47"/>
      <c r="D140" s="48"/>
      <c r="E140" s="4"/>
      <c r="F140" s="11"/>
      <c r="G140" s="11"/>
      <c r="H140" s="11"/>
      <c r="I140" s="11"/>
      <c r="J140" s="11"/>
      <c r="K140" s="11"/>
      <c r="L140" s="11"/>
      <c r="M140" s="11"/>
      <c r="N140" s="11"/>
      <c r="O140" s="11"/>
      <c r="P140" s="14"/>
      <c r="Q140" s="14"/>
      <c r="R140" s="14"/>
      <c r="S140" s="14"/>
      <c r="T140" s="14"/>
      <c r="U140" s="14"/>
      <c r="V140" s="14"/>
      <c r="W140" s="14"/>
      <c r="X140" s="14"/>
      <c r="Y140" s="14"/>
      <c r="Z140" s="14"/>
      <c r="AA140" s="4"/>
      <c r="AB140" s="4"/>
      <c r="AC140" s="4"/>
      <c r="AD140" s="4"/>
      <c r="AE140" s="4"/>
      <c r="AF140" s="4"/>
      <c r="AG140" s="4"/>
      <c r="AH140" s="4"/>
      <c r="AI140" s="4"/>
      <c r="AJ140" s="4"/>
      <c r="AK140" s="4"/>
      <c r="AL140" s="4"/>
      <c r="AM140" s="4"/>
      <c r="AN140" s="4"/>
      <c r="AO140" s="4"/>
      <c r="AP140" s="4"/>
      <c r="AQ140" s="4"/>
      <c r="AR140" s="4"/>
    </row>
    <row r="141" spans="1:44">
      <c r="A141" s="4"/>
      <c r="B141" s="47"/>
      <c r="C141" s="47"/>
      <c r="D141" s="48"/>
      <c r="E141" s="4"/>
      <c r="F141" s="11"/>
      <c r="G141" s="11"/>
      <c r="H141" s="11"/>
      <c r="I141" s="11"/>
      <c r="J141" s="11"/>
      <c r="K141" s="11"/>
      <c r="L141" s="11"/>
      <c r="M141" s="11"/>
      <c r="N141" s="11"/>
      <c r="O141" s="11"/>
      <c r="P141" s="14"/>
      <c r="Q141" s="14"/>
      <c r="R141" s="14"/>
      <c r="S141" s="14"/>
      <c r="T141" s="14"/>
      <c r="U141" s="14"/>
      <c r="V141" s="14"/>
      <c r="W141" s="14"/>
      <c r="X141" s="14"/>
      <c r="Y141" s="14"/>
      <c r="Z141" s="14"/>
      <c r="AA141" s="4"/>
      <c r="AB141" s="4"/>
      <c r="AC141" s="4"/>
      <c r="AD141" s="4"/>
      <c r="AE141" s="4"/>
      <c r="AF141" s="4"/>
      <c r="AG141" s="4"/>
      <c r="AH141" s="4"/>
      <c r="AI141" s="4"/>
      <c r="AJ141" s="4"/>
      <c r="AK141" s="4"/>
      <c r="AL141" s="4"/>
      <c r="AM141" s="4"/>
      <c r="AN141" s="4"/>
      <c r="AO141" s="4"/>
      <c r="AP141" s="4"/>
      <c r="AQ141" s="4"/>
      <c r="AR141" s="4"/>
    </row>
    <row r="142" spans="1:44">
      <c r="A142" s="4"/>
      <c r="B142" s="47"/>
      <c r="C142" s="47"/>
      <c r="D142" s="48"/>
      <c r="E142" s="4"/>
      <c r="F142" s="11"/>
      <c r="G142" s="11"/>
      <c r="H142" s="11"/>
      <c r="I142" s="11"/>
      <c r="J142" s="11"/>
      <c r="K142" s="11"/>
      <c r="L142" s="11"/>
      <c r="M142" s="11"/>
      <c r="N142" s="11"/>
      <c r="O142" s="11"/>
      <c r="P142" s="14"/>
      <c r="Q142" s="14"/>
      <c r="R142" s="14"/>
      <c r="S142" s="14"/>
      <c r="T142" s="14"/>
      <c r="U142" s="14"/>
      <c r="V142" s="14"/>
      <c r="W142" s="14"/>
      <c r="X142" s="14"/>
      <c r="Y142" s="14"/>
      <c r="Z142" s="14"/>
      <c r="AA142" s="4"/>
      <c r="AB142" s="4"/>
      <c r="AC142" s="4"/>
      <c r="AD142" s="4"/>
      <c r="AE142" s="4"/>
      <c r="AF142" s="4"/>
      <c r="AG142" s="4"/>
      <c r="AH142" s="4"/>
      <c r="AI142" s="4"/>
      <c r="AJ142" s="4"/>
      <c r="AK142" s="4"/>
      <c r="AL142" s="4"/>
      <c r="AM142" s="4"/>
      <c r="AN142" s="4"/>
      <c r="AO142" s="4"/>
      <c r="AP142" s="4"/>
      <c r="AQ142" s="4"/>
      <c r="AR142" s="4"/>
    </row>
    <row r="143" spans="1:44">
      <c r="A143" s="4"/>
      <c r="B143" s="47"/>
      <c r="C143" s="47"/>
      <c r="D143" s="48"/>
      <c r="E143" s="4"/>
      <c r="F143" s="11"/>
      <c r="G143" s="11"/>
      <c r="H143" s="11"/>
      <c r="I143" s="11"/>
      <c r="J143" s="11"/>
      <c r="K143" s="11"/>
      <c r="L143" s="11"/>
      <c r="M143" s="11"/>
      <c r="N143" s="11"/>
      <c r="O143" s="11"/>
      <c r="P143" s="14"/>
      <c r="Q143" s="14"/>
      <c r="R143" s="14"/>
      <c r="S143" s="14"/>
      <c r="T143" s="14"/>
      <c r="U143" s="14"/>
      <c r="V143" s="14"/>
      <c r="W143" s="14"/>
      <c r="X143" s="14"/>
      <c r="Y143" s="14"/>
      <c r="Z143" s="14"/>
      <c r="AA143" s="4"/>
      <c r="AB143" s="4"/>
      <c r="AC143" s="4"/>
      <c r="AD143" s="4"/>
      <c r="AE143" s="4"/>
      <c r="AF143" s="4"/>
      <c r="AG143" s="4"/>
      <c r="AH143" s="4"/>
      <c r="AI143" s="4"/>
      <c r="AJ143" s="4"/>
      <c r="AK143" s="4"/>
      <c r="AL143" s="4"/>
      <c r="AM143" s="4"/>
      <c r="AN143" s="4"/>
      <c r="AO143" s="4"/>
      <c r="AP143" s="4"/>
      <c r="AQ143" s="4"/>
      <c r="AR143" s="4"/>
    </row>
    <row r="144" spans="1:44">
      <c r="A144" s="4"/>
      <c r="B144" s="47"/>
      <c r="C144" s="47"/>
      <c r="D144" s="48"/>
      <c r="E144" s="4"/>
      <c r="F144" s="11"/>
      <c r="G144" s="11"/>
      <c r="H144" s="11"/>
      <c r="I144" s="11"/>
      <c r="J144" s="11"/>
      <c r="K144" s="11"/>
      <c r="L144" s="11"/>
      <c r="M144" s="11"/>
      <c r="N144" s="11"/>
      <c r="O144" s="11"/>
      <c r="P144" s="14"/>
      <c r="Q144" s="14"/>
      <c r="R144" s="14"/>
      <c r="S144" s="14"/>
      <c r="T144" s="14"/>
      <c r="U144" s="14"/>
      <c r="V144" s="14"/>
      <c r="W144" s="14"/>
      <c r="X144" s="14"/>
      <c r="Y144" s="14"/>
      <c r="Z144" s="14"/>
      <c r="AA144" s="4"/>
      <c r="AB144" s="4"/>
      <c r="AC144" s="4"/>
      <c r="AD144" s="4"/>
      <c r="AE144" s="4"/>
      <c r="AF144" s="4"/>
      <c r="AG144" s="4"/>
      <c r="AH144" s="4"/>
      <c r="AI144" s="4"/>
      <c r="AJ144" s="4"/>
      <c r="AK144" s="4"/>
      <c r="AL144" s="4"/>
      <c r="AM144" s="4"/>
      <c r="AN144" s="4"/>
      <c r="AO144" s="4"/>
      <c r="AP144" s="4"/>
      <c r="AQ144" s="4"/>
      <c r="AR144" s="4"/>
    </row>
    <row r="145" spans="1:44">
      <c r="A145" s="4"/>
      <c r="B145" s="47"/>
      <c r="C145" s="47"/>
      <c r="D145" s="48"/>
      <c r="E145" s="4"/>
      <c r="F145" s="11"/>
      <c r="G145" s="11"/>
      <c r="H145" s="11"/>
      <c r="I145" s="11"/>
      <c r="J145" s="11"/>
      <c r="K145" s="11"/>
      <c r="L145" s="11"/>
      <c r="M145" s="11"/>
      <c r="N145" s="11"/>
      <c r="O145" s="11"/>
      <c r="P145" s="14"/>
      <c r="Q145" s="14"/>
      <c r="R145" s="14"/>
      <c r="S145" s="14"/>
      <c r="T145" s="14"/>
      <c r="U145" s="14"/>
      <c r="V145" s="14"/>
      <c r="W145" s="14"/>
      <c r="X145" s="14"/>
      <c r="Y145" s="14"/>
      <c r="Z145" s="14"/>
      <c r="AA145" s="4"/>
      <c r="AB145" s="4"/>
      <c r="AC145" s="4"/>
      <c r="AD145" s="4"/>
      <c r="AE145" s="4"/>
      <c r="AF145" s="4"/>
      <c r="AG145" s="4"/>
      <c r="AH145" s="4"/>
      <c r="AI145" s="4"/>
      <c r="AJ145" s="4"/>
      <c r="AK145" s="4"/>
      <c r="AL145" s="4"/>
      <c r="AM145" s="4"/>
      <c r="AN145" s="4"/>
      <c r="AO145" s="4"/>
      <c r="AP145" s="4"/>
      <c r="AQ145" s="4"/>
      <c r="AR145" s="4"/>
    </row>
    <row r="146" spans="1:44">
      <c r="A146" s="4"/>
      <c r="B146" s="47"/>
      <c r="C146" s="47"/>
      <c r="D146" s="48"/>
      <c r="E146" s="4"/>
      <c r="F146" s="11"/>
      <c r="G146" s="11"/>
      <c r="H146" s="11"/>
      <c r="I146" s="11"/>
      <c r="J146" s="11"/>
      <c r="K146" s="11"/>
      <c r="L146" s="11"/>
      <c r="M146" s="11"/>
      <c r="N146" s="11"/>
      <c r="O146" s="11"/>
      <c r="P146" s="14"/>
      <c r="Q146" s="14"/>
      <c r="R146" s="14"/>
      <c r="S146" s="14"/>
      <c r="T146" s="14"/>
      <c r="U146" s="14"/>
      <c r="V146" s="14"/>
      <c r="W146" s="14"/>
      <c r="X146" s="14"/>
      <c r="Y146" s="14"/>
      <c r="Z146" s="14"/>
      <c r="AA146" s="4"/>
      <c r="AB146" s="4"/>
      <c r="AC146" s="4"/>
      <c r="AD146" s="4"/>
      <c r="AE146" s="4"/>
      <c r="AF146" s="4"/>
      <c r="AG146" s="4"/>
      <c r="AH146" s="4"/>
      <c r="AI146" s="4"/>
      <c r="AJ146" s="4"/>
      <c r="AK146" s="4"/>
      <c r="AL146" s="4"/>
      <c r="AM146" s="4"/>
      <c r="AN146" s="4"/>
      <c r="AO146" s="4"/>
      <c r="AP146" s="4"/>
      <c r="AQ146" s="4"/>
      <c r="AR146" s="4"/>
    </row>
    <row r="147" spans="1:44">
      <c r="A147" s="4"/>
      <c r="B147" s="47"/>
      <c r="C147" s="47"/>
      <c r="D147" s="48"/>
      <c r="E147" s="4"/>
      <c r="F147" s="11"/>
      <c r="G147" s="11"/>
      <c r="H147" s="11"/>
      <c r="I147" s="11"/>
      <c r="J147" s="11"/>
      <c r="K147" s="11"/>
      <c r="L147" s="11"/>
      <c r="M147" s="11"/>
      <c r="N147" s="11"/>
      <c r="O147" s="11"/>
      <c r="P147" s="14"/>
      <c r="Q147" s="14"/>
      <c r="R147" s="14"/>
      <c r="S147" s="14"/>
      <c r="T147" s="14"/>
      <c r="U147" s="14"/>
      <c r="V147" s="14"/>
      <c r="W147" s="14"/>
      <c r="X147" s="14"/>
      <c r="Y147" s="14"/>
      <c r="Z147" s="14"/>
      <c r="AA147" s="4"/>
      <c r="AB147" s="4"/>
      <c r="AC147" s="4"/>
      <c r="AD147" s="4"/>
      <c r="AE147" s="4"/>
      <c r="AF147" s="4"/>
      <c r="AG147" s="4"/>
      <c r="AH147" s="4"/>
      <c r="AI147" s="4"/>
      <c r="AJ147" s="4"/>
      <c r="AK147" s="4"/>
      <c r="AL147" s="4"/>
      <c r="AM147" s="4"/>
      <c r="AN147" s="4"/>
      <c r="AO147" s="4"/>
      <c r="AP147" s="4"/>
      <c r="AQ147" s="4"/>
      <c r="AR147" s="4"/>
    </row>
    <row r="148" spans="1:44">
      <c r="A148" s="4"/>
      <c r="B148" s="47"/>
      <c r="C148" s="47"/>
      <c r="D148" s="48"/>
      <c r="E148" s="4"/>
      <c r="F148" s="11"/>
      <c r="G148" s="11"/>
      <c r="H148" s="11"/>
      <c r="I148" s="11"/>
      <c r="J148" s="11"/>
      <c r="K148" s="11"/>
      <c r="L148" s="11"/>
      <c r="M148" s="11"/>
      <c r="N148" s="11"/>
      <c r="O148" s="11"/>
      <c r="P148" s="14"/>
      <c r="Q148" s="14"/>
      <c r="R148" s="14"/>
      <c r="S148" s="14"/>
      <c r="T148" s="14"/>
      <c r="U148" s="14"/>
      <c r="V148" s="14"/>
      <c r="W148" s="14"/>
      <c r="X148" s="14"/>
      <c r="Y148" s="14"/>
      <c r="Z148" s="14"/>
      <c r="AA148" s="4"/>
      <c r="AB148" s="4"/>
      <c r="AC148" s="4"/>
      <c r="AD148" s="4"/>
      <c r="AE148" s="4"/>
      <c r="AF148" s="4"/>
      <c r="AG148" s="4"/>
      <c r="AH148" s="4"/>
      <c r="AI148" s="4"/>
      <c r="AJ148" s="4"/>
      <c r="AK148" s="4"/>
      <c r="AL148" s="4"/>
      <c r="AM148" s="4"/>
      <c r="AN148" s="4"/>
      <c r="AO148" s="4"/>
      <c r="AP148" s="4"/>
      <c r="AQ148" s="4"/>
      <c r="AR148" s="4"/>
    </row>
    <row r="149" spans="1:44">
      <c r="A149" s="4"/>
      <c r="B149" s="47"/>
      <c r="C149" s="47"/>
      <c r="D149" s="48"/>
      <c r="E149" s="4"/>
      <c r="F149" s="11"/>
      <c r="G149" s="11"/>
      <c r="H149" s="11"/>
      <c r="I149" s="11"/>
      <c r="J149" s="11"/>
      <c r="K149" s="11"/>
      <c r="L149" s="11"/>
      <c r="M149" s="11"/>
      <c r="N149" s="11"/>
      <c r="O149" s="11"/>
      <c r="P149" s="14"/>
      <c r="Q149" s="14"/>
      <c r="R149" s="14"/>
      <c r="S149" s="14"/>
      <c r="T149" s="14"/>
      <c r="U149" s="14"/>
      <c r="V149" s="14"/>
      <c r="W149" s="14"/>
      <c r="X149" s="14"/>
      <c r="Y149" s="14"/>
      <c r="Z149" s="14"/>
      <c r="AA149" s="4"/>
      <c r="AB149" s="4"/>
      <c r="AC149" s="4"/>
      <c r="AD149" s="4"/>
      <c r="AE149" s="4"/>
      <c r="AF149" s="4"/>
      <c r="AG149" s="4"/>
      <c r="AH149" s="4"/>
      <c r="AI149" s="4"/>
      <c r="AJ149" s="4"/>
      <c r="AK149" s="4"/>
      <c r="AL149" s="4"/>
      <c r="AM149" s="4"/>
      <c r="AN149" s="4"/>
      <c r="AO149" s="4"/>
      <c r="AP149" s="4"/>
      <c r="AQ149" s="4"/>
      <c r="AR149" s="4"/>
    </row>
    <row r="150" spans="1:44">
      <c r="A150" s="4"/>
      <c r="B150" s="47"/>
      <c r="C150" s="47"/>
      <c r="D150" s="48"/>
      <c r="E150" s="4"/>
      <c r="F150" s="11"/>
      <c r="G150" s="11"/>
      <c r="H150" s="11"/>
      <c r="I150" s="11"/>
      <c r="J150" s="11"/>
      <c r="K150" s="11"/>
      <c r="L150" s="11"/>
      <c r="M150" s="11"/>
      <c r="N150" s="11"/>
      <c r="O150" s="11"/>
      <c r="P150" s="14"/>
      <c r="Q150" s="14"/>
      <c r="R150" s="14"/>
      <c r="S150" s="14"/>
      <c r="T150" s="14"/>
      <c r="U150" s="14"/>
      <c r="V150" s="14"/>
      <c r="W150" s="14"/>
      <c r="X150" s="14"/>
      <c r="Y150" s="14"/>
      <c r="Z150" s="14"/>
      <c r="AA150" s="4"/>
      <c r="AB150" s="4"/>
      <c r="AC150" s="4"/>
      <c r="AD150" s="4"/>
      <c r="AE150" s="4"/>
      <c r="AF150" s="4"/>
      <c r="AG150" s="4"/>
      <c r="AH150" s="4"/>
      <c r="AI150" s="4"/>
      <c r="AJ150" s="4"/>
      <c r="AK150" s="4"/>
      <c r="AL150" s="4"/>
      <c r="AM150" s="4"/>
      <c r="AN150" s="4"/>
      <c r="AO150" s="4"/>
      <c r="AP150" s="4"/>
      <c r="AQ150" s="4"/>
      <c r="AR150" s="4"/>
    </row>
    <row r="151" spans="1:44">
      <c r="A151" s="4"/>
      <c r="B151" s="47"/>
      <c r="C151" s="47"/>
      <c r="D151" s="48"/>
      <c r="E151" s="4"/>
      <c r="F151" s="11"/>
      <c r="G151" s="11"/>
      <c r="H151" s="11"/>
      <c r="I151" s="11"/>
      <c r="J151" s="11"/>
      <c r="K151" s="11"/>
      <c r="L151" s="11"/>
      <c r="M151" s="11"/>
      <c r="N151" s="11"/>
      <c r="O151" s="11"/>
      <c r="P151" s="14"/>
      <c r="Q151" s="14"/>
      <c r="R151" s="14"/>
      <c r="S151" s="14"/>
      <c r="T151" s="14"/>
      <c r="U151" s="14"/>
      <c r="V151" s="14"/>
      <c r="W151" s="14"/>
      <c r="X151" s="14"/>
      <c r="Y151" s="14"/>
      <c r="Z151" s="14"/>
      <c r="AA151" s="4"/>
      <c r="AB151" s="4"/>
      <c r="AC151" s="4"/>
      <c r="AD151" s="4"/>
      <c r="AE151" s="4"/>
      <c r="AF151" s="4"/>
      <c r="AG151" s="4"/>
      <c r="AH151" s="4"/>
      <c r="AI151" s="4"/>
      <c r="AJ151" s="4"/>
      <c r="AK151" s="4"/>
      <c r="AL151" s="4"/>
      <c r="AM151" s="4"/>
      <c r="AN151" s="4"/>
      <c r="AO151" s="4"/>
      <c r="AP151" s="4"/>
      <c r="AQ151" s="4"/>
      <c r="AR151" s="4"/>
    </row>
    <row r="152" spans="1:44">
      <c r="A152" s="4"/>
      <c r="B152" s="47"/>
      <c r="C152" s="47"/>
      <c r="D152" s="48"/>
      <c r="E152" s="4"/>
      <c r="F152" s="11"/>
      <c r="G152" s="11"/>
      <c r="H152" s="11"/>
      <c r="I152" s="11"/>
      <c r="J152" s="11"/>
      <c r="K152" s="11"/>
      <c r="L152" s="11"/>
      <c r="M152" s="11"/>
      <c r="N152" s="11"/>
      <c r="O152" s="11"/>
      <c r="P152" s="14"/>
      <c r="Q152" s="14"/>
      <c r="R152" s="14"/>
      <c r="S152" s="14"/>
      <c r="T152" s="14"/>
      <c r="U152" s="14"/>
      <c r="V152" s="14"/>
      <c r="W152" s="14"/>
      <c r="X152" s="14"/>
      <c r="Y152" s="14"/>
      <c r="Z152" s="14"/>
      <c r="AA152" s="4"/>
      <c r="AB152" s="4"/>
      <c r="AC152" s="4"/>
      <c r="AD152" s="4"/>
      <c r="AE152" s="4"/>
      <c r="AF152" s="4"/>
      <c r="AG152" s="4"/>
      <c r="AH152" s="4"/>
      <c r="AI152" s="4"/>
      <c r="AJ152" s="4"/>
      <c r="AK152" s="4"/>
      <c r="AL152" s="4"/>
      <c r="AM152" s="4"/>
      <c r="AN152" s="4"/>
      <c r="AO152" s="4"/>
      <c r="AP152" s="4"/>
      <c r="AQ152" s="4"/>
      <c r="AR152" s="4"/>
    </row>
    <row r="153" spans="1:44">
      <c r="A153" s="4"/>
      <c r="B153" s="47"/>
      <c r="C153" s="47"/>
      <c r="D153" s="48"/>
      <c r="E153" s="4"/>
      <c r="F153" s="11"/>
      <c r="G153" s="11"/>
      <c r="H153" s="11"/>
      <c r="I153" s="11"/>
      <c r="J153" s="11"/>
      <c r="K153" s="11"/>
      <c r="L153" s="11"/>
      <c r="M153" s="11"/>
      <c r="N153" s="11"/>
      <c r="O153" s="11"/>
      <c r="P153" s="14"/>
      <c r="Q153" s="14"/>
      <c r="R153" s="14"/>
      <c r="S153" s="14"/>
      <c r="T153" s="14"/>
      <c r="U153" s="14"/>
      <c r="V153" s="14"/>
      <c r="W153" s="14"/>
      <c r="X153" s="14"/>
      <c r="Y153" s="14"/>
      <c r="Z153" s="14"/>
      <c r="AA153" s="4"/>
      <c r="AB153" s="4"/>
      <c r="AC153" s="4"/>
      <c r="AD153" s="4"/>
      <c r="AE153" s="4"/>
      <c r="AF153" s="4"/>
      <c r="AG153" s="4"/>
      <c r="AH153" s="4"/>
      <c r="AI153" s="4"/>
      <c r="AJ153" s="4"/>
      <c r="AK153" s="4"/>
      <c r="AL153" s="4"/>
      <c r="AM153" s="4"/>
      <c r="AN153" s="4"/>
      <c r="AO153" s="4"/>
      <c r="AP153" s="4"/>
      <c r="AQ153" s="4"/>
      <c r="AR153" s="4"/>
    </row>
    <row r="154" spans="1:44">
      <c r="A154" s="4"/>
      <c r="B154" s="47"/>
      <c r="C154" s="47"/>
      <c r="D154" s="48"/>
      <c r="E154" s="4"/>
      <c r="F154" s="11"/>
      <c r="G154" s="11"/>
      <c r="H154" s="11"/>
      <c r="I154" s="11"/>
      <c r="J154" s="11"/>
      <c r="K154" s="11"/>
      <c r="L154" s="11"/>
      <c r="M154" s="11"/>
      <c r="N154" s="11"/>
      <c r="O154" s="11"/>
      <c r="P154" s="14"/>
      <c r="Q154" s="14"/>
      <c r="R154" s="14"/>
      <c r="S154" s="14"/>
      <c r="T154" s="14"/>
      <c r="U154" s="14"/>
      <c r="V154" s="14"/>
      <c r="W154" s="14"/>
      <c r="X154" s="14"/>
      <c r="Y154" s="14"/>
      <c r="Z154" s="14"/>
      <c r="AA154" s="4"/>
      <c r="AB154" s="4"/>
      <c r="AC154" s="4"/>
      <c r="AD154" s="4"/>
      <c r="AE154" s="4"/>
      <c r="AF154" s="4"/>
      <c r="AG154" s="4"/>
      <c r="AH154" s="4"/>
      <c r="AI154" s="4"/>
      <c r="AJ154" s="4"/>
      <c r="AK154" s="4"/>
      <c r="AL154" s="4"/>
      <c r="AM154" s="4"/>
      <c r="AN154" s="4"/>
      <c r="AO154" s="4"/>
      <c r="AP154" s="4"/>
      <c r="AQ154" s="4"/>
      <c r="AR154" s="4"/>
    </row>
    <row r="155" spans="1:44">
      <c r="A155" s="4"/>
      <c r="B155" s="47"/>
      <c r="C155" s="47"/>
      <c r="D155" s="48"/>
      <c r="E155" s="4"/>
      <c r="F155" s="11"/>
      <c r="G155" s="11"/>
      <c r="H155" s="11"/>
      <c r="I155" s="11"/>
      <c r="J155" s="11"/>
      <c r="K155" s="11"/>
      <c r="L155" s="11"/>
      <c r="M155" s="11"/>
      <c r="N155" s="11"/>
      <c r="O155" s="11"/>
      <c r="P155" s="14"/>
      <c r="Q155" s="14"/>
      <c r="R155" s="14"/>
      <c r="S155" s="14"/>
      <c r="T155" s="14"/>
      <c r="U155" s="14"/>
      <c r="V155" s="14"/>
      <c r="W155" s="14"/>
      <c r="X155" s="14"/>
      <c r="Y155" s="14"/>
      <c r="Z155" s="14"/>
      <c r="AA155" s="4"/>
      <c r="AB155" s="4"/>
      <c r="AC155" s="4"/>
      <c r="AD155" s="4"/>
      <c r="AE155" s="4"/>
      <c r="AF155" s="4"/>
      <c r="AG155" s="4"/>
      <c r="AH155" s="4"/>
      <c r="AI155" s="4"/>
      <c r="AJ155" s="4"/>
      <c r="AK155" s="4"/>
      <c r="AL155" s="4"/>
      <c r="AM155" s="4"/>
      <c r="AN155" s="4"/>
      <c r="AO155" s="4"/>
      <c r="AP155" s="4"/>
      <c r="AQ155" s="4"/>
      <c r="AR155" s="4"/>
    </row>
    <row r="156" spans="1:44">
      <c r="A156" s="4"/>
      <c r="B156" s="47"/>
      <c r="C156" s="47"/>
      <c r="D156" s="48"/>
      <c r="E156" s="4"/>
      <c r="F156" s="11"/>
      <c r="G156" s="11"/>
      <c r="H156" s="11"/>
      <c r="I156" s="11"/>
      <c r="J156" s="11"/>
      <c r="K156" s="11"/>
      <c r="L156" s="11"/>
      <c r="M156" s="11"/>
      <c r="N156" s="11"/>
      <c r="O156" s="11"/>
      <c r="P156" s="14"/>
      <c r="Q156" s="14"/>
      <c r="R156" s="14"/>
      <c r="S156" s="14"/>
      <c r="T156" s="14"/>
      <c r="U156" s="14"/>
      <c r="V156" s="14"/>
      <c r="W156" s="14"/>
      <c r="X156" s="14"/>
      <c r="Y156" s="14"/>
      <c r="Z156" s="14"/>
      <c r="AA156" s="4"/>
      <c r="AB156" s="4"/>
      <c r="AC156" s="4"/>
      <c r="AD156" s="4"/>
      <c r="AE156" s="4"/>
      <c r="AF156" s="4"/>
      <c r="AG156" s="4"/>
      <c r="AH156" s="4"/>
      <c r="AI156" s="4"/>
      <c r="AJ156" s="4"/>
      <c r="AK156" s="4"/>
      <c r="AL156" s="4"/>
      <c r="AM156" s="4"/>
      <c r="AN156" s="4"/>
      <c r="AO156" s="4"/>
      <c r="AP156" s="4"/>
      <c r="AQ156" s="4"/>
      <c r="AR156" s="4"/>
    </row>
    <row r="157" spans="1:44">
      <c r="A157" s="4"/>
      <c r="B157" s="47"/>
      <c r="C157" s="47"/>
      <c r="D157" s="48"/>
      <c r="E157" s="4"/>
      <c r="F157" s="11"/>
      <c r="G157" s="11"/>
      <c r="H157" s="11"/>
      <c r="I157" s="11"/>
      <c r="J157" s="11"/>
      <c r="K157" s="11"/>
      <c r="L157" s="11"/>
      <c r="M157" s="11"/>
      <c r="N157" s="11"/>
      <c r="O157" s="11"/>
      <c r="P157" s="14"/>
      <c r="Q157" s="14"/>
      <c r="R157" s="14"/>
      <c r="S157" s="14"/>
      <c r="T157" s="14"/>
      <c r="U157" s="14"/>
      <c r="V157" s="14"/>
      <c r="W157" s="14"/>
      <c r="X157" s="14"/>
      <c r="Y157" s="14"/>
      <c r="Z157" s="14"/>
      <c r="AA157" s="4"/>
      <c r="AB157" s="4"/>
      <c r="AC157" s="4"/>
      <c r="AD157" s="4"/>
      <c r="AE157" s="4"/>
      <c r="AF157" s="4"/>
      <c r="AG157" s="4"/>
      <c r="AH157" s="4"/>
      <c r="AI157" s="4"/>
      <c r="AJ157" s="4"/>
      <c r="AK157" s="4"/>
      <c r="AL157" s="4"/>
      <c r="AM157" s="4"/>
      <c r="AN157" s="4"/>
      <c r="AO157" s="4"/>
      <c r="AP157" s="4"/>
      <c r="AQ157" s="4"/>
      <c r="AR157" s="4"/>
    </row>
    <row r="158" spans="1:44">
      <c r="A158" s="4"/>
      <c r="B158" s="47"/>
      <c r="C158" s="47"/>
      <c r="D158" s="48"/>
      <c r="E158" s="4"/>
      <c r="F158" s="11"/>
      <c r="G158" s="11"/>
      <c r="H158" s="11"/>
      <c r="I158" s="11"/>
      <c r="J158" s="11"/>
      <c r="K158" s="11"/>
      <c r="L158" s="11"/>
      <c r="M158" s="11"/>
      <c r="N158" s="11"/>
      <c r="O158" s="11"/>
      <c r="P158" s="14"/>
      <c r="Q158" s="14"/>
      <c r="R158" s="14"/>
      <c r="S158" s="14"/>
      <c r="T158" s="14"/>
      <c r="U158" s="14"/>
      <c r="V158" s="14"/>
      <c r="W158" s="14"/>
      <c r="X158" s="14"/>
      <c r="Y158" s="14"/>
      <c r="Z158" s="14"/>
      <c r="AA158" s="4"/>
      <c r="AB158" s="4"/>
      <c r="AC158" s="4"/>
      <c r="AD158" s="4"/>
      <c r="AE158" s="4"/>
      <c r="AF158" s="4"/>
      <c r="AG158" s="4"/>
      <c r="AH158" s="4"/>
      <c r="AI158" s="4"/>
      <c r="AJ158" s="4"/>
      <c r="AK158" s="4"/>
      <c r="AL158" s="4"/>
      <c r="AM158" s="4"/>
      <c r="AN158" s="4"/>
      <c r="AO158" s="4"/>
      <c r="AP158" s="4"/>
      <c r="AQ158" s="4"/>
      <c r="AR158" s="4"/>
    </row>
    <row r="159" spans="1:44">
      <c r="A159" s="4"/>
      <c r="B159" s="47"/>
      <c r="C159" s="47"/>
      <c r="D159" s="48"/>
      <c r="E159" s="4"/>
      <c r="F159" s="11"/>
      <c r="G159" s="11"/>
      <c r="H159" s="11"/>
      <c r="I159" s="11"/>
      <c r="J159" s="11"/>
      <c r="K159" s="11"/>
      <c r="L159" s="11"/>
      <c r="M159" s="11"/>
      <c r="N159" s="11"/>
      <c r="O159" s="11"/>
      <c r="P159" s="14"/>
      <c r="Q159" s="14"/>
      <c r="R159" s="14"/>
      <c r="S159" s="14"/>
      <c r="T159" s="14"/>
      <c r="U159" s="14"/>
      <c r="V159" s="14"/>
      <c r="W159" s="14"/>
      <c r="X159" s="14"/>
      <c r="Y159" s="14"/>
      <c r="Z159" s="14"/>
      <c r="AA159" s="4"/>
      <c r="AB159" s="4"/>
      <c r="AC159" s="4"/>
      <c r="AD159" s="4"/>
      <c r="AE159" s="4"/>
      <c r="AF159" s="4"/>
      <c r="AG159" s="4"/>
      <c r="AH159" s="4"/>
      <c r="AI159" s="4"/>
      <c r="AJ159" s="4"/>
      <c r="AK159" s="4"/>
      <c r="AL159" s="4"/>
      <c r="AM159" s="4"/>
      <c r="AN159" s="4"/>
      <c r="AO159" s="4"/>
      <c r="AP159" s="4"/>
      <c r="AQ159" s="4"/>
      <c r="AR159" s="4"/>
    </row>
    <row r="160" spans="1:44">
      <c r="A160" s="4"/>
      <c r="B160" s="47"/>
      <c r="C160" s="47"/>
      <c r="D160" s="48"/>
      <c r="E160" s="4"/>
      <c r="F160" s="11"/>
      <c r="G160" s="11"/>
      <c r="H160" s="11"/>
      <c r="I160" s="11"/>
      <c r="J160" s="11"/>
      <c r="K160" s="11"/>
      <c r="L160" s="11"/>
      <c r="M160" s="11"/>
      <c r="N160" s="11"/>
      <c r="O160" s="11"/>
      <c r="P160" s="14"/>
      <c r="Q160" s="14"/>
      <c r="R160" s="14"/>
      <c r="S160" s="14"/>
      <c r="T160" s="14"/>
      <c r="U160" s="14"/>
      <c r="V160" s="14"/>
      <c r="W160" s="14"/>
      <c r="X160" s="14"/>
      <c r="Y160" s="14"/>
      <c r="Z160" s="14"/>
      <c r="AA160" s="4"/>
      <c r="AB160" s="4"/>
      <c r="AC160" s="4"/>
      <c r="AD160" s="4"/>
      <c r="AE160" s="4"/>
      <c r="AF160" s="4"/>
      <c r="AG160" s="4"/>
      <c r="AH160" s="4"/>
      <c r="AI160" s="4"/>
      <c r="AJ160" s="4"/>
      <c r="AK160" s="4"/>
      <c r="AL160" s="4"/>
      <c r="AM160" s="4"/>
      <c r="AN160" s="4"/>
      <c r="AO160" s="4"/>
      <c r="AP160" s="4"/>
      <c r="AQ160" s="4"/>
      <c r="AR160" s="4"/>
    </row>
    <row r="161" spans="1:44">
      <c r="A161" s="4"/>
      <c r="B161" s="47"/>
      <c r="C161" s="47"/>
      <c r="D161" s="48"/>
      <c r="E161" s="4"/>
      <c r="F161" s="11"/>
      <c r="G161" s="11"/>
      <c r="H161" s="11"/>
      <c r="I161" s="11"/>
      <c r="J161" s="11"/>
      <c r="K161" s="11"/>
      <c r="L161" s="11"/>
      <c r="M161" s="11"/>
      <c r="N161" s="11"/>
      <c r="O161" s="11"/>
      <c r="P161" s="14"/>
      <c r="Q161" s="14"/>
      <c r="R161" s="14"/>
      <c r="S161" s="14"/>
      <c r="T161" s="14"/>
      <c r="U161" s="14"/>
      <c r="V161" s="14"/>
      <c r="W161" s="14"/>
      <c r="X161" s="14"/>
      <c r="Y161" s="14"/>
      <c r="Z161" s="14"/>
      <c r="AA161" s="4"/>
      <c r="AB161" s="4"/>
      <c r="AC161" s="4"/>
      <c r="AD161" s="4"/>
      <c r="AE161" s="4"/>
      <c r="AF161" s="4"/>
      <c r="AG161" s="4"/>
      <c r="AH161" s="4"/>
      <c r="AI161" s="4"/>
      <c r="AJ161" s="4"/>
      <c r="AK161" s="4"/>
      <c r="AL161" s="4"/>
      <c r="AM161" s="4"/>
      <c r="AN161" s="4"/>
      <c r="AO161" s="4"/>
      <c r="AP161" s="4"/>
      <c r="AQ161" s="4"/>
      <c r="AR161" s="4"/>
    </row>
    <row r="162" spans="1:44">
      <c r="A162" s="4"/>
      <c r="B162" s="47"/>
      <c r="C162" s="47"/>
      <c r="D162" s="48"/>
      <c r="E162" s="4"/>
      <c r="F162" s="11"/>
      <c r="G162" s="11"/>
      <c r="H162" s="11"/>
      <c r="I162" s="11"/>
      <c r="J162" s="11"/>
      <c r="K162" s="11"/>
      <c r="L162" s="11"/>
      <c r="M162" s="11"/>
      <c r="N162" s="11"/>
      <c r="O162" s="11"/>
      <c r="P162" s="14"/>
      <c r="Q162" s="14"/>
      <c r="R162" s="14"/>
      <c r="S162" s="14"/>
      <c r="T162" s="14"/>
      <c r="U162" s="14"/>
      <c r="V162" s="14"/>
      <c r="W162" s="14"/>
      <c r="X162" s="14"/>
      <c r="Y162" s="14"/>
      <c r="Z162" s="14"/>
      <c r="AA162" s="4"/>
      <c r="AB162" s="4"/>
      <c r="AC162" s="4"/>
      <c r="AD162" s="4"/>
      <c r="AE162" s="4"/>
      <c r="AF162" s="4"/>
      <c r="AG162" s="4"/>
      <c r="AH162" s="4"/>
      <c r="AI162" s="4"/>
      <c r="AJ162" s="4"/>
      <c r="AK162" s="4"/>
      <c r="AL162" s="4"/>
      <c r="AM162" s="4"/>
      <c r="AN162" s="4"/>
      <c r="AO162" s="4"/>
      <c r="AP162" s="4"/>
      <c r="AQ162" s="4"/>
      <c r="AR162" s="4"/>
    </row>
    <row r="163" spans="1:44">
      <c r="A163" s="4"/>
      <c r="B163" s="47"/>
      <c r="C163" s="47"/>
      <c r="D163" s="48"/>
      <c r="E163" s="4"/>
      <c r="F163" s="11"/>
      <c r="G163" s="11"/>
      <c r="H163" s="11"/>
      <c r="I163" s="11"/>
      <c r="J163" s="11"/>
      <c r="K163" s="11"/>
      <c r="L163" s="11"/>
      <c r="M163" s="11"/>
      <c r="N163" s="11"/>
      <c r="O163" s="11"/>
      <c r="P163" s="14"/>
      <c r="Q163" s="14"/>
      <c r="R163" s="14"/>
      <c r="S163" s="14"/>
      <c r="T163" s="14"/>
      <c r="U163" s="14"/>
      <c r="V163" s="14"/>
      <c r="W163" s="14"/>
      <c r="X163" s="14"/>
      <c r="Y163" s="14"/>
      <c r="Z163" s="14"/>
      <c r="AA163" s="4"/>
      <c r="AB163" s="4"/>
      <c r="AC163" s="4"/>
      <c r="AD163" s="4"/>
      <c r="AE163" s="4"/>
      <c r="AF163" s="4"/>
      <c r="AG163" s="4"/>
      <c r="AH163" s="4"/>
      <c r="AI163" s="4"/>
      <c r="AJ163" s="4"/>
      <c r="AK163" s="4"/>
      <c r="AL163" s="4"/>
      <c r="AM163" s="4"/>
      <c r="AN163" s="4"/>
      <c r="AO163" s="4"/>
      <c r="AP163" s="4"/>
      <c r="AQ163" s="4"/>
      <c r="AR163" s="4"/>
    </row>
    <row r="164" spans="1:44">
      <c r="A164" s="4"/>
      <c r="B164" s="47"/>
      <c r="C164" s="47"/>
      <c r="D164" s="48"/>
      <c r="E164" s="4"/>
      <c r="F164" s="11"/>
      <c r="G164" s="11"/>
      <c r="H164" s="11"/>
      <c r="I164" s="11"/>
      <c r="J164" s="11"/>
      <c r="K164" s="11"/>
      <c r="L164" s="11"/>
      <c r="M164" s="11"/>
      <c r="N164" s="11"/>
      <c r="O164" s="11"/>
      <c r="P164" s="14"/>
      <c r="Q164" s="14"/>
      <c r="R164" s="14"/>
      <c r="S164" s="14"/>
      <c r="T164" s="14"/>
      <c r="U164" s="14"/>
      <c r="V164" s="14"/>
      <c r="W164" s="14"/>
      <c r="X164" s="14"/>
      <c r="Y164" s="14"/>
      <c r="Z164" s="14"/>
      <c r="AA164" s="4"/>
      <c r="AB164" s="4"/>
      <c r="AC164" s="4"/>
      <c r="AD164" s="4"/>
      <c r="AE164" s="4"/>
      <c r="AF164" s="4"/>
      <c r="AG164" s="4"/>
      <c r="AH164" s="4"/>
      <c r="AI164" s="4"/>
      <c r="AJ164" s="4"/>
      <c r="AK164" s="4"/>
      <c r="AL164" s="4"/>
      <c r="AM164" s="4"/>
      <c r="AN164" s="4"/>
      <c r="AO164" s="4"/>
      <c r="AP164" s="4"/>
      <c r="AQ164" s="4"/>
      <c r="AR164" s="4"/>
    </row>
    <row r="165" spans="1:44">
      <c r="A165" s="4"/>
      <c r="B165" s="47"/>
      <c r="C165" s="47"/>
      <c r="D165" s="48"/>
      <c r="E165" s="4"/>
      <c r="F165" s="11"/>
      <c r="G165" s="11"/>
      <c r="H165" s="11"/>
      <c r="I165" s="11"/>
      <c r="J165" s="11"/>
      <c r="K165" s="11"/>
      <c r="L165" s="11"/>
      <c r="M165" s="11"/>
      <c r="N165" s="11"/>
      <c r="O165" s="11"/>
      <c r="P165" s="14"/>
      <c r="Q165" s="14"/>
      <c r="R165" s="14"/>
      <c r="S165" s="14"/>
      <c r="T165" s="14"/>
      <c r="U165" s="14"/>
      <c r="V165" s="14"/>
      <c r="W165" s="14"/>
      <c r="X165" s="14"/>
      <c r="Y165" s="14"/>
      <c r="Z165" s="14"/>
      <c r="AA165" s="4"/>
      <c r="AB165" s="4"/>
      <c r="AC165" s="4"/>
      <c r="AD165" s="4"/>
      <c r="AE165" s="4"/>
      <c r="AF165" s="4"/>
      <c r="AG165" s="4"/>
      <c r="AH165" s="4"/>
      <c r="AI165" s="4"/>
      <c r="AJ165" s="4"/>
      <c r="AK165" s="4"/>
      <c r="AL165" s="4"/>
      <c r="AM165" s="4"/>
      <c r="AN165" s="4"/>
      <c r="AO165" s="4"/>
      <c r="AP165" s="4"/>
      <c r="AQ165" s="4"/>
      <c r="AR165" s="4"/>
    </row>
    <row r="166" spans="1:44">
      <c r="A166" s="4"/>
      <c r="B166" s="47"/>
      <c r="C166" s="47"/>
      <c r="D166" s="48"/>
      <c r="E166" s="4"/>
      <c r="F166" s="11"/>
      <c r="G166" s="11"/>
      <c r="H166" s="11"/>
      <c r="I166" s="11"/>
      <c r="J166" s="11"/>
      <c r="K166" s="11"/>
      <c r="L166" s="11"/>
      <c r="M166" s="11"/>
      <c r="N166" s="11"/>
      <c r="O166" s="11"/>
      <c r="P166" s="14"/>
      <c r="Q166" s="14"/>
      <c r="R166" s="14"/>
      <c r="S166" s="14"/>
      <c r="T166" s="14"/>
      <c r="U166" s="14"/>
      <c r="V166" s="14"/>
      <c r="W166" s="14"/>
      <c r="X166" s="14"/>
      <c r="Y166" s="14"/>
      <c r="Z166" s="14"/>
      <c r="AA166" s="4"/>
      <c r="AB166" s="4"/>
      <c r="AC166" s="4"/>
      <c r="AD166" s="4"/>
      <c r="AE166" s="4"/>
      <c r="AF166" s="4"/>
      <c r="AG166" s="4"/>
      <c r="AH166" s="4"/>
      <c r="AI166" s="4"/>
      <c r="AJ166" s="4"/>
      <c r="AK166" s="4"/>
      <c r="AL166" s="4"/>
      <c r="AM166" s="4"/>
      <c r="AN166" s="4"/>
      <c r="AO166" s="4"/>
      <c r="AP166" s="4"/>
      <c r="AQ166" s="4"/>
      <c r="AR166" s="4"/>
    </row>
    <row r="167" spans="1:44">
      <c r="A167" s="4"/>
      <c r="B167" s="47"/>
      <c r="C167" s="47"/>
      <c r="D167" s="48"/>
      <c r="E167" s="4"/>
      <c r="F167" s="11"/>
      <c r="G167" s="11"/>
      <c r="H167" s="11"/>
      <c r="I167" s="11"/>
      <c r="J167" s="11"/>
      <c r="K167" s="11"/>
      <c r="L167" s="11"/>
      <c r="M167" s="11"/>
      <c r="N167" s="11"/>
      <c r="O167" s="11"/>
      <c r="P167" s="14"/>
      <c r="Q167" s="14"/>
      <c r="R167" s="14"/>
      <c r="S167" s="14"/>
      <c r="T167" s="14"/>
      <c r="U167" s="14"/>
      <c r="V167" s="14"/>
      <c r="W167" s="14"/>
      <c r="X167" s="14"/>
      <c r="Y167" s="14"/>
      <c r="Z167" s="14"/>
      <c r="AA167" s="4"/>
      <c r="AB167" s="4"/>
      <c r="AC167" s="4"/>
      <c r="AD167" s="4"/>
      <c r="AE167" s="4"/>
      <c r="AF167" s="4"/>
      <c r="AG167" s="4"/>
      <c r="AH167" s="4"/>
      <c r="AI167" s="4"/>
      <c r="AJ167" s="4"/>
      <c r="AK167" s="4"/>
      <c r="AL167" s="4"/>
      <c r="AM167" s="4"/>
      <c r="AN167" s="4"/>
      <c r="AO167" s="4"/>
      <c r="AP167" s="4"/>
      <c r="AQ167" s="4"/>
      <c r="AR167" s="4"/>
    </row>
    <row r="168" spans="1:44">
      <c r="A168" s="4"/>
      <c r="B168" s="47"/>
      <c r="C168" s="47"/>
      <c r="D168" s="48"/>
      <c r="E168" s="4"/>
      <c r="F168" s="11"/>
      <c r="G168" s="11"/>
      <c r="H168" s="11"/>
      <c r="I168" s="11"/>
      <c r="J168" s="11"/>
      <c r="K168" s="11"/>
      <c r="L168" s="11"/>
      <c r="M168" s="11"/>
      <c r="N168" s="11"/>
      <c r="O168" s="11"/>
      <c r="P168" s="14"/>
      <c r="Q168" s="14"/>
      <c r="R168" s="14"/>
      <c r="S168" s="14"/>
      <c r="T168" s="14"/>
      <c r="U168" s="14"/>
      <c r="V168" s="14"/>
      <c r="W168" s="14"/>
      <c r="X168" s="14"/>
      <c r="Y168" s="14"/>
      <c r="Z168" s="14"/>
      <c r="AA168" s="4"/>
      <c r="AB168" s="4"/>
      <c r="AC168" s="4"/>
      <c r="AD168" s="4"/>
      <c r="AE168" s="4"/>
      <c r="AF168" s="4"/>
      <c r="AG168" s="4"/>
      <c r="AH168" s="4"/>
      <c r="AI168" s="4"/>
      <c r="AJ168" s="4"/>
      <c r="AK168" s="4"/>
      <c r="AL168" s="4"/>
      <c r="AM168" s="4"/>
      <c r="AN168" s="4"/>
      <c r="AO168" s="4"/>
      <c r="AP168" s="4"/>
      <c r="AQ168" s="4"/>
      <c r="AR168" s="4"/>
    </row>
    <row r="169" spans="1:44">
      <c r="A169" s="4"/>
      <c r="B169" s="47"/>
      <c r="C169" s="47"/>
      <c r="D169" s="48"/>
      <c r="E169" s="4"/>
      <c r="F169" s="11"/>
      <c r="G169" s="11"/>
      <c r="H169" s="11"/>
      <c r="I169" s="11"/>
      <c r="J169" s="11"/>
      <c r="K169" s="11"/>
      <c r="L169" s="11"/>
      <c r="M169" s="11"/>
      <c r="N169" s="11"/>
      <c r="O169" s="11"/>
      <c r="P169" s="14"/>
      <c r="Q169" s="14"/>
      <c r="R169" s="14"/>
      <c r="S169" s="14"/>
      <c r="T169" s="14"/>
      <c r="U169" s="14"/>
      <c r="V169" s="14"/>
      <c r="W169" s="14"/>
      <c r="X169" s="14"/>
      <c r="Y169" s="14"/>
      <c r="Z169" s="14"/>
      <c r="AA169" s="4"/>
      <c r="AB169" s="4"/>
      <c r="AC169" s="4"/>
      <c r="AD169" s="4"/>
      <c r="AE169" s="4"/>
      <c r="AF169" s="4"/>
      <c r="AG169" s="4"/>
      <c r="AH169" s="4"/>
      <c r="AI169" s="4"/>
      <c r="AJ169" s="4"/>
      <c r="AK169" s="4"/>
      <c r="AL169" s="4"/>
      <c r="AM169" s="4"/>
      <c r="AN169" s="4"/>
      <c r="AO169" s="4"/>
      <c r="AP169" s="4"/>
      <c r="AQ169" s="4"/>
      <c r="AR169" s="4"/>
    </row>
    <row r="170" spans="1:44">
      <c r="A170" s="4"/>
      <c r="B170" s="47"/>
      <c r="C170" s="47"/>
      <c r="D170" s="48"/>
      <c r="E170" s="4"/>
      <c r="F170" s="11"/>
      <c r="G170" s="11"/>
      <c r="H170" s="11"/>
      <c r="I170" s="11"/>
      <c r="J170" s="11"/>
      <c r="K170" s="11"/>
      <c r="L170" s="11"/>
      <c r="M170" s="11"/>
      <c r="N170" s="11"/>
      <c r="O170" s="11"/>
      <c r="P170" s="14"/>
      <c r="Q170" s="14"/>
      <c r="R170" s="14"/>
      <c r="S170" s="14"/>
      <c r="T170" s="14"/>
      <c r="U170" s="14"/>
      <c r="V170" s="14"/>
      <c r="W170" s="14"/>
      <c r="X170" s="14"/>
      <c r="Y170" s="14"/>
      <c r="Z170" s="14"/>
      <c r="AA170" s="4"/>
      <c r="AB170" s="4"/>
      <c r="AC170" s="4"/>
      <c r="AD170" s="4"/>
      <c r="AE170" s="4"/>
      <c r="AF170" s="4"/>
      <c r="AG170" s="4"/>
      <c r="AH170" s="4"/>
      <c r="AI170" s="4"/>
      <c r="AJ170" s="4"/>
      <c r="AK170" s="4"/>
      <c r="AL170" s="4"/>
      <c r="AM170" s="4"/>
      <c r="AN170" s="4"/>
      <c r="AO170" s="4"/>
      <c r="AP170" s="4"/>
      <c r="AQ170" s="4"/>
      <c r="AR170" s="4"/>
    </row>
    <row r="171" spans="1:44">
      <c r="A171" s="4"/>
      <c r="B171" s="47"/>
      <c r="C171" s="47"/>
      <c r="D171" s="48"/>
      <c r="E171" s="4"/>
      <c r="F171" s="11"/>
      <c r="G171" s="11"/>
      <c r="H171" s="11"/>
      <c r="I171" s="11"/>
      <c r="J171" s="11"/>
      <c r="K171" s="11"/>
      <c r="L171" s="11"/>
      <c r="M171" s="11"/>
      <c r="N171" s="11"/>
      <c r="O171" s="11"/>
      <c r="P171" s="14"/>
      <c r="Q171" s="14"/>
      <c r="R171" s="14"/>
      <c r="S171" s="14"/>
      <c r="T171" s="14"/>
      <c r="U171" s="14"/>
      <c r="V171" s="14"/>
      <c r="W171" s="14"/>
      <c r="X171" s="14"/>
      <c r="Y171" s="14"/>
      <c r="Z171" s="14"/>
      <c r="AA171" s="4"/>
      <c r="AB171" s="4"/>
      <c r="AC171" s="4"/>
      <c r="AD171" s="4"/>
      <c r="AE171" s="4"/>
      <c r="AF171" s="4"/>
      <c r="AG171" s="4"/>
      <c r="AH171" s="4"/>
      <c r="AI171" s="4"/>
      <c r="AJ171" s="4"/>
      <c r="AK171" s="4"/>
      <c r="AL171" s="4"/>
      <c r="AM171" s="4"/>
      <c r="AN171" s="4"/>
      <c r="AO171" s="4"/>
      <c r="AP171" s="4"/>
      <c r="AQ171" s="4"/>
      <c r="AR171" s="4"/>
    </row>
    <row r="172" spans="1:44">
      <c r="A172" s="4"/>
      <c r="B172" s="47"/>
      <c r="C172" s="47"/>
      <c r="D172" s="48"/>
      <c r="E172" s="4"/>
      <c r="F172" s="11"/>
      <c r="G172" s="11"/>
      <c r="H172" s="11"/>
      <c r="I172" s="11"/>
      <c r="J172" s="11"/>
      <c r="K172" s="11"/>
      <c r="L172" s="11"/>
      <c r="M172" s="11"/>
      <c r="N172" s="11"/>
      <c r="O172" s="11"/>
      <c r="P172" s="14"/>
      <c r="Q172" s="14"/>
      <c r="R172" s="14"/>
      <c r="S172" s="14"/>
      <c r="T172" s="14"/>
      <c r="U172" s="14"/>
      <c r="V172" s="14"/>
      <c r="W172" s="14"/>
      <c r="X172" s="14"/>
      <c r="Y172" s="14"/>
      <c r="Z172" s="14"/>
      <c r="AA172" s="4"/>
      <c r="AB172" s="4"/>
      <c r="AC172" s="4"/>
      <c r="AD172" s="4"/>
      <c r="AE172" s="4"/>
      <c r="AF172" s="4"/>
      <c r="AG172" s="4"/>
      <c r="AH172" s="4"/>
      <c r="AI172" s="4"/>
      <c r="AJ172" s="4"/>
      <c r="AK172" s="4"/>
      <c r="AL172" s="4"/>
      <c r="AM172" s="4"/>
      <c r="AN172" s="4"/>
      <c r="AO172" s="4"/>
      <c r="AP172" s="4"/>
      <c r="AQ172" s="4"/>
      <c r="AR172" s="4"/>
    </row>
    <row r="173" spans="1:44">
      <c r="A173" s="4"/>
      <c r="B173" s="47"/>
      <c r="C173" s="47"/>
      <c r="D173" s="48"/>
      <c r="E173" s="4"/>
      <c r="F173" s="11"/>
      <c r="G173" s="11"/>
      <c r="H173" s="11"/>
      <c r="I173" s="11"/>
      <c r="J173" s="11"/>
      <c r="K173" s="11"/>
      <c r="L173" s="11"/>
      <c r="M173" s="11"/>
      <c r="N173" s="11"/>
      <c r="O173" s="11"/>
      <c r="P173" s="14"/>
      <c r="Q173" s="14"/>
      <c r="R173" s="14"/>
      <c r="S173" s="14"/>
      <c r="T173" s="14"/>
      <c r="U173" s="14"/>
      <c r="V173" s="14"/>
      <c r="W173" s="14"/>
      <c r="X173" s="14"/>
      <c r="Y173" s="14"/>
      <c r="Z173" s="14"/>
      <c r="AA173" s="4"/>
      <c r="AB173" s="4"/>
      <c r="AC173" s="4"/>
      <c r="AD173" s="4"/>
      <c r="AE173" s="4"/>
      <c r="AF173" s="4"/>
      <c r="AG173" s="4"/>
      <c r="AH173" s="4"/>
      <c r="AI173" s="4"/>
      <c r="AJ173" s="4"/>
      <c r="AK173" s="4"/>
      <c r="AL173" s="4"/>
      <c r="AM173" s="4"/>
      <c r="AN173" s="4"/>
      <c r="AO173" s="4"/>
      <c r="AP173" s="4"/>
      <c r="AQ173" s="4"/>
      <c r="AR173" s="4"/>
    </row>
    <row r="174" spans="1:44">
      <c r="A174" s="4"/>
      <c r="B174" s="47"/>
      <c r="C174" s="47"/>
      <c r="D174" s="48"/>
      <c r="E174" s="4"/>
      <c r="F174" s="11"/>
      <c r="G174" s="11"/>
      <c r="H174" s="11"/>
      <c r="I174" s="11"/>
      <c r="J174" s="11"/>
      <c r="K174" s="11"/>
      <c r="L174" s="11"/>
      <c r="M174" s="11"/>
      <c r="N174" s="11"/>
      <c r="O174" s="11"/>
      <c r="P174" s="14"/>
      <c r="Q174" s="14"/>
      <c r="R174" s="14"/>
      <c r="S174" s="14"/>
      <c r="T174" s="14"/>
      <c r="U174" s="14"/>
      <c r="V174" s="14"/>
      <c r="W174" s="14"/>
      <c r="X174" s="14"/>
      <c r="Y174" s="14"/>
      <c r="Z174" s="14"/>
      <c r="AA174" s="4"/>
      <c r="AB174" s="4"/>
      <c r="AC174" s="4"/>
      <c r="AD174" s="4"/>
      <c r="AE174" s="4"/>
      <c r="AF174" s="4"/>
      <c r="AG174" s="4"/>
      <c r="AH174" s="4"/>
      <c r="AI174" s="4"/>
      <c r="AJ174" s="4"/>
      <c r="AK174" s="4"/>
      <c r="AL174" s="4"/>
      <c r="AM174" s="4"/>
      <c r="AN174" s="4"/>
      <c r="AO174" s="4"/>
      <c r="AP174" s="4"/>
      <c r="AQ174" s="4"/>
      <c r="AR174" s="4"/>
    </row>
    <row r="175" spans="1:44">
      <c r="A175" s="4"/>
      <c r="B175" s="47"/>
      <c r="C175" s="47"/>
      <c r="D175" s="48"/>
      <c r="E175" s="4"/>
      <c r="F175" s="11"/>
      <c r="G175" s="11"/>
      <c r="H175" s="11"/>
      <c r="I175" s="11"/>
      <c r="J175" s="11"/>
      <c r="K175" s="11"/>
      <c r="L175" s="11"/>
      <c r="M175" s="11"/>
      <c r="N175" s="11"/>
      <c r="O175" s="11"/>
      <c r="P175" s="14"/>
      <c r="Q175" s="14"/>
      <c r="R175" s="14"/>
      <c r="S175" s="14"/>
      <c r="T175" s="14"/>
      <c r="U175" s="14"/>
      <c r="V175" s="14"/>
      <c r="W175" s="14"/>
      <c r="X175" s="14"/>
      <c r="Y175" s="14"/>
      <c r="Z175" s="14"/>
      <c r="AA175" s="4"/>
      <c r="AB175" s="4"/>
      <c r="AC175" s="4"/>
      <c r="AD175" s="4"/>
      <c r="AE175" s="4"/>
      <c r="AF175" s="4"/>
      <c r="AG175" s="4"/>
      <c r="AH175" s="4"/>
      <c r="AI175" s="4"/>
      <c r="AJ175" s="4"/>
      <c r="AK175" s="4"/>
      <c r="AL175" s="4"/>
      <c r="AM175" s="4"/>
      <c r="AN175" s="4"/>
      <c r="AO175" s="4"/>
      <c r="AP175" s="4"/>
      <c r="AQ175" s="4"/>
      <c r="AR175" s="4"/>
    </row>
    <row r="176" spans="1:44">
      <c r="A176" s="4"/>
      <c r="B176" s="47"/>
      <c r="C176" s="47"/>
      <c r="D176" s="48"/>
      <c r="E176" s="4"/>
      <c r="F176" s="11"/>
      <c r="G176" s="11"/>
      <c r="H176" s="11"/>
      <c r="I176" s="11"/>
      <c r="J176" s="11"/>
      <c r="K176" s="11"/>
      <c r="L176" s="11"/>
      <c r="M176" s="11"/>
      <c r="N176" s="11"/>
      <c r="O176" s="11"/>
      <c r="P176" s="14"/>
      <c r="Q176" s="14"/>
      <c r="R176" s="14"/>
      <c r="S176" s="14"/>
      <c r="T176" s="14"/>
      <c r="U176" s="14"/>
      <c r="V176" s="14"/>
      <c r="W176" s="14"/>
      <c r="X176" s="14"/>
      <c r="Y176" s="14"/>
      <c r="Z176" s="14"/>
      <c r="AA176" s="4"/>
      <c r="AB176" s="4"/>
      <c r="AC176" s="4"/>
      <c r="AD176" s="4"/>
      <c r="AE176" s="4"/>
      <c r="AF176" s="4"/>
      <c r="AG176" s="4"/>
      <c r="AH176" s="4"/>
      <c r="AI176" s="4"/>
      <c r="AJ176" s="4"/>
      <c r="AK176" s="4"/>
      <c r="AL176" s="4"/>
      <c r="AM176" s="4"/>
      <c r="AN176" s="4"/>
      <c r="AO176" s="4"/>
      <c r="AP176" s="4"/>
      <c r="AQ176" s="4"/>
      <c r="AR176" s="4"/>
    </row>
    <row r="177" spans="1:44">
      <c r="A177" s="4"/>
      <c r="B177" s="47"/>
      <c r="C177" s="47"/>
      <c r="D177" s="48"/>
      <c r="E177" s="4"/>
      <c r="F177" s="11"/>
      <c r="G177" s="11"/>
      <c r="H177" s="11"/>
      <c r="I177" s="11"/>
      <c r="J177" s="11"/>
      <c r="K177" s="11"/>
      <c r="L177" s="11"/>
      <c r="M177" s="11"/>
      <c r="N177" s="11"/>
      <c r="O177" s="11"/>
      <c r="P177" s="14"/>
      <c r="Q177" s="14"/>
      <c r="R177" s="14"/>
      <c r="S177" s="14"/>
      <c r="T177" s="14"/>
      <c r="U177" s="14"/>
      <c r="V177" s="14"/>
      <c r="W177" s="14"/>
      <c r="X177" s="14"/>
      <c r="Y177" s="14"/>
      <c r="Z177" s="14"/>
      <c r="AA177" s="4"/>
      <c r="AB177" s="4"/>
      <c r="AC177" s="4"/>
      <c r="AD177" s="4"/>
      <c r="AE177" s="4"/>
      <c r="AF177" s="4"/>
      <c r="AG177" s="4"/>
      <c r="AH177" s="4"/>
      <c r="AI177" s="4"/>
      <c r="AJ177" s="4"/>
      <c r="AK177" s="4"/>
      <c r="AL177" s="4"/>
      <c r="AM177" s="4"/>
      <c r="AN177" s="4"/>
      <c r="AO177" s="4"/>
      <c r="AP177" s="4"/>
      <c r="AQ177" s="4"/>
      <c r="AR177" s="4"/>
    </row>
    <row r="178" spans="1:44">
      <c r="A178" s="4"/>
      <c r="B178" s="47"/>
      <c r="C178" s="47"/>
      <c r="D178" s="48"/>
      <c r="E178" s="4"/>
      <c r="F178" s="11"/>
      <c r="G178" s="11"/>
      <c r="H178" s="11"/>
      <c r="I178" s="11"/>
      <c r="J178" s="11"/>
      <c r="K178" s="11"/>
      <c r="L178" s="11"/>
      <c r="M178" s="11"/>
      <c r="N178" s="11"/>
      <c r="O178" s="11"/>
      <c r="P178" s="14"/>
      <c r="Q178" s="14"/>
      <c r="R178" s="14"/>
      <c r="S178" s="14"/>
      <c r="T178" s="14"/>
      <c r="U178" s="14"/>
      <c r="V178" s="14"/>
      <c r="W178" s="14"/>
      <c r="X178" s="14"/>
      <c r="Y178" s="14"/>
      <c r="Z178" s="14"/>
      <c r="AA178" s="4"/>
      <c r="AB178" s="4"/>
      <c r="AC178" s="4"/>
      <c r="AD178" s="4"/>
      <c r="AE178" s="4"/>
      <c r="AF178" s="4"/>
      <c r="AG178" s="4"/>
      <c r="AH178" s="4"/>
      <c r="AI178" s="4"/>
      <c r="AJ178" s="4"/>
      <c r="AK178" s="4"/>
      <c r="AL178" s="4"/>
      <c r="AM178" s="4"/>
      <c r="AN178" s="4"/>
      <c r="AO178" s="4"/>
      <c r="AP178" s="4"/>
      <c r="AQ178" s="4"/>
      <c r="AR178" s="4"/>
    </row>
    <row r="179" spans="1:44">
      <c r="A179" s="4"/>
      <c r="B179" s="47"/>
      <c r="C179" s="47"/>
      <c r="D179" s="48"/>
      <c r="E179" s="4"/>
      <c r="F179" s="11"/>
      <c r="G179" s="11"/>
      <c r="H179" s="11"/>
      <c r="I179" s="11"/>
      <c r="J179" s="11"/>
      <c r="K179" s="11"/>
      <c r="L179" s="11"/>
      <c r="M179" s="11"/>
      <c r="N179" s="11"/>
      <c r="O179" s="11"/>
      <c r="P179" s="14"/>
      <c r="Q179" s="14"/>
      <c r="R179" s="14"/>
      <c r="S179" s="14"/>
      <c r="T179" s="14"/>
      <c r="U179" s="14"/>
      <c r="V179" s="14"/>
      <c r="W179" s="14"/>
      <c r="X179" s="14"/>
      <c r="Y179" s="14"/>
      <c r="Z179" s="14"/>
      <c r="AA179" s="4"/>
      <c r="AB179" s="4"/>
      <c r="AC179" s="4"/>
      <c r="AD179" s="4"/>
      <c r="AE179" s="4"/>
      <c r="AF179" s="4"/>
      <c r="AG179" s="4"/>
      <c r="AH179" s="4"/>
      <c r="AI179" s="4"/>
      <c r="AJ179" s="4"/>
      <c r="AK179" s="4"/>
      <c r="AL179" s="4"/>
      <c r="AM179" s="4"/>
      <c r="AN179" s="4"/>
      <c r="AO179" s="4"/>
      <c r="AP179" s="4"/>
      <c r="AQ179" s="4"/>
      <c r="AR179" s="4"/>
    </row>
    <row r="180" spans="1:44">
      <c r="A180" s="4"/>
      <c r="B180" s="47"/>
      <c r="C180" s="47"/>
      <c r="D180" s="48"/>
      <c r="E180" s="4"/>
      <c r="F180" s="11"/>
      <c r="G180" s="11"/>
      <c r="H180" s="11"/>
      <c r="I180" s="11"/>
      <c r="J180" s="11"/>
      <c r="K180" s="11"/>
      <c r="L180" s="11"/>
      <c r="M180" s="11"/>
      <c r="N180" s="11"/>
      <c r="O180" s="11"/>
      <c r="P180" s="14"/>
      <c r="Q180" s="14"/>
      <c r="R180" s="14"/>
      <c r="S180" s="14"/>
      <c r="T180" s="14"/>
      <c r="U180" s="14"/>
      <c r="V180" s="14"/>
      <c r="W180" s="14"/>
      <c r="X180" s="14"/>
      <c r="Y180" s="14"/>
      <c r="Z180" s="14"/>
      <c r="AA180" s="4"/>
      <c r="AB180" s="4"/>
      <c r="AC180" s="4"/>
      <c r="AD180" s="4"/>
      <c r="AE180" s="4"/>
      <c r="AF180" s="4"/>
      <c r="AG180" s="4"/>
      <c r="AH180" s="4"/>
      <c r="AI180" s="4"/>
      <c r="AJ180" s="4"/>
      <c r="AK180" s="4"/>
      <c r="AL180" s="4"/>
      <c r="AM180" s="4"/>
      <c r="AN180" s="4"/>
      <c r="AO180" s="4"/>
      <c r="AP180" s="4"/>
      <c r="AQ180" s="4"/>
      <c r="AR180" s="4"/>
    </row>
    <row r="181" spans="1:44">
      <c r="A181" s="4"/>
      <c r="B181" s="47"/>
      <c r="C181" s="47"/>
      <c r="D181" s="48"/>
      <c r="E181" s="4"/>
      <c r="F181" s="11"/>
      <c r="G181" s="11"/>
      <c r="H181" s="11"/>
      <c r="I181" s="11"/>
      <c r="J181" s="11"/>
      <c r="K181" s="11"/>
      <c r="L181" s="11"/>
      <c r="M181" s="11"/>
      <c r="N181" s="11"/>
      <c r="O181" s="11"/>
      <c r="P181" s="14"/>
      <c r="Q181" s="14"/>
      <c r="R181" s="14"/>
      <c r="S181" s="14"/>
      <c r="T181" s="14"/>
      <c r="U181" s="14"/>
      <c r="V181" s="14"/>
      <c r="W181" s="14"/>
      <c r="X181" s="14"/>
      <c r="Y181" s="14"/>
      <c r="Z181" s="14"/>
      <c r="AA181" s="4"/>
      <c r="AB181" s="4"/>
      <c r="AC181" s="4"/>
      <c r="AD181" s="4"/>
      <c r="AE181" s="4"/>
      <c r="AF181" s="4"/>
      <c r="AG181" s="4"/>
      <c r="AH181" s="4"/>
      <c r="AI181" s="4"/>
      <c r="AJ181" s="4"/>
      <c r="AK181" s="4"/>
      <c r="AL181" s="4"/>
      <c r="AM181" s="4"/>
      <c r="AN181" s="4"/>
      <c r="AO181" s="4"/>
      <c r="AP181" s="4"/>
      <c r="AQ181" s="4"/>
      <c r="AR181" s="4"/>
    </row>
    <row r="182" spans="1:44">
      <c r="A182" s="4"/>
      <c r="B182" s="47"/>
      <c r="C182" s="47"/>
      <c r="D182" s="48"/>
      <c r="E182" s="4"/>
      <c r="F182" s="11"/>
      <c r="G182" s="11"/>
      <c r="H182" s="11"/>
      <c r="I182" s="11"/>
      <c r="J182" s="11"/>
      <c r="K182" s="11"/>
      <c r="L182" s="11"/>
      <c r="M182" s="11"/>
      <c r="N182" s="11"/>
      <c r="O182" s="11"/>
      <c r="P182" s="14"/>
      <c r="Q182" s="14"/>
      <c r="R182" s="14"/>
      <c r="S182" s="14"/>
      <c r="T182" s="14"/>
      <c r="U182" s="14"/>
      <c r="V182" s="14"/>
      <c r="W182" s="14"/>
      <c r="X182" s="14"/>
      <c r="Y182" s="14"/>
      <c r="Z182" s="14"/>
      <c r="AA182" s="4"/>
      <c r="AB182" s="4"/>
      <c r="AC182" s="4"/>
      <c r="AD182" s="4"/>
      <c r="AE182" s="4"/>
      <c r="AF182" s="4"/>
      <c r="AG182" s="4"/>
      <c r="AH182" s="4"/>
      <c r="AI182" s="4"/>
      <c r="AJ182" s="4"/>
      <c r="AK182" s="4"/>
      <c r="AL182" s="4"/>
      <c r="AM182" s="4"/>
      <c r="AN182" s="4"/>
      <c r="AO182" s="4"/>
      <c r="AP182" s="4"/>
      <c r="AQ182" s="4"/>
      <c r="AR182" s="4"/>
    </row>
    <row r="183" spans="1:44">
      <c r="A183" s="4"/>
      <c r="B183" s="47"/>
      <c r="C183" s="47"/>
      <c r="D183" s="48"/>
      <c r="E183" s="4"/>
      <c r="F183" s="11"/>
      <c r="G183" s="11"/>
      <c r="H183" s="11"/>
      <c r="I183" s="11"/>
      <c r="J183" s="11"/>
      <c r="K183" s="11"/>
      <c r="L183" s="11"/>
      <c r="M183" s="11"/>
      <c r="N183" s="11"/>
      <c r="O183" s="11"/>
      <c r="P183" s="14"/>
      <c r="Q183" s="14"/>
      <c r="R183" s="14"/>
      <c r="S183" s="14"/>
      <c r="T183" s="14"/>
      <c r="U183" s="14"/>
      <c r="V183" s="14"/>
      <c r="W183" s="14"/>
      <c r="X183" s="14"/>
      <c r="Y183" s="14"/>
      <c r="Z183" s="14"/>
      <c r="AA183" s="4"/>
      <c r="AB183" s="4"/>
      <c r="AC183" s="4"/>
      <c r="AD183" s="4"/>
      <c r="AE183" s="4"/>
      <c r="AF183" s="4"/>
      <c r="AG183" s="4"/>
      <c r="AH183" s="4"/>
      <c r="AI183" s="4"/>
      <c r="AJ183" s="4"/>
      <c r="AK183" s="4"/>
      <c r="AL183" s="4"/>
      <c r="AM183" s="4"/>
      <c r="AN183" s="4"/>
      <c r="AO183" s="4"/>
      <c r="AP183" s="4"/>
      <c r="AQ183" s="4"/>
      <c r="AR183" s="4"/>
    </row>
    <row r="184" spans="1:44">
      <c r="A184" s="4"/>
      <c r="B184" s="47"/>
      <c r="C184" s="47"/>
      <c r="D184" s="48"/>
      <c r="E184" s="4"/>
      <c r="F184" s="11"/>
      <c r="G184" s="11"/>
      <c r="H184" s="11"/>
      <c r="I184" s="11"/>
      <c r="J184" s="11"/>
      <c r="K184" s="11"/>
      <c r="L184" s="11"/>
      <c r="M184" s="11"/>
      <c r="N184" s="11"/>
      <c r="O184" s="11"/>
      <c r="P184" s="14"/>
      <c r="Q184" s="14"/>
      <c r="R184" s="14"/>
      <c r="S184" s="14"/>
      <c r="T184" s="14"/>
      <c r="U184" s="14"/>
      <c r="V184" s="14"/>
      <c r="W184" s="14"/>
      <c r="X184" s="14"/>
      <c r="Y184" s="14"/>
      <c r="Z184" s="14"/>
      <c r="AA184" s="4"/>
      <c r="AB184" s="4"/>
      <c r="AC184" s="4"/>
      <c r="AD184" s="4"/>
      <c r="AE184" s="4"/>
      <c r="AF184" s="4"/>
      <c r="AG184" s="4"/>
      <c r="AH184" s="4"/>
      <c r="AI184" s="4"/>
      <c r="AJ184" s="4"/>
      <c r="AK184" s="4"/>
      <c r="AL184" s="4"/>
      <c r="AM184" s="4"/>
      <c r="AN184" s="4"/>
      <c r="AO184" s="4"/>
      <c r="AP184" s="4"/>
      <c r="AQ184" s="4"/>
      <c r="AR184" s="4"/>
    </row>
    <row r="185" spans="1:44">
      <c r="A185" s="4"/>
      <c r="B185" s="47"/>
      <c r="C185" s="47"/>
      <c r="D185" s="48"/>
      <c r="E185" s="4"/>
      <c r="F185" s="11"/>
      <c r="G185" s="11"/>
      <c r="H185" s="11"/>
      <c r="I185" s="11"/>
      <c r="J185" s="11"/>
      <c r="K185" s="11"/>
      <c r="L185" s="11"/>
      <c r="M185" s="11"/>
      <c r="N185" s="11"/>
      <c r="O185" s="11"/>
      <c r="P185" s="14"/>
      <c r="Q185" s="14"/>
      <c r="R185" s="14"/>
      <c r="S185" s="14"/>
      <c r="T185" s="14"/>
      <c r="U185" s="14"/>
      <c r="V185" s="14"/>
      <c r="W185" s="14"/>
      <c r="X185" s="14"/>
      <c r="Y185" s="14"/>
      <c r="Z185" s="14"/>
      <c r="AA185" s="4"/>
      <c r="AB185" s="4"/>
      <c r="AC185" s="4"/>
      <c r="AD185" s="4"/>
      <c r="AE185" s="4"/>
      <c r="AF185" s="4"/>
      <c r="AG185" s="4"/>
      <c r="AH185" s="4"/>
      <c r="AI185" s="4"/>
      <c r="AJ185" s="4"/>
      <c r="AK185" s="4"/>
      <c r="AL185" s="4"/>
      <c r="AM185" s="4"/>
      <c r="AN185" s="4"/>
      <c r="AO185" s="4"/>
      <c r="AP185" s="4"/>
      <c r="AQ185" s="4"/>
      <c r="AR185" s="4"/>
    </row>
    <row r="186" spans="1:44">
      <c r="A186" s="4"/>
      <c r="B186" s="47"/>
      <c r="C186" s="47"/>
      <c r="D186" s="48"/>
      <c r="E186" s="4"/>
      <c r="F186" s="11"/>
      <c r="G186" s="11"/>
      <c r="H186" s="11"/>
      <c r="I186" s="11"/>
      <c r="J186" s="11"/>
      <c r="K186" s="11"/>
      <c r="L186" s="11"/>
      <c r="M186" s="11"/>
      <c r="N186" s="11"/>
      <c r="O186" s="11"/>
      <c r="P186" s="14"/>
      <c r="Q186" s="14"/>
      <c r="R186" s="14"/>
      <c r="S186" s="14"/>
      <c r="T186" s="14"/>
      <c r="U186" s="14"/>
      <c r="V186" s="14"/>
      <c r="W186" s="14"/>
      <c r="X186" s="14"/>
      <c r="Y186" s="14"/>
      <c r="Z186" s="14"/>
      <c r="AA186" s="4"/>
      <c r="AB186" s="4"/>
      <c r="AC186" s="4"/>
      <c r="AD186" s="4"/>
      <c r="AE186" s="4"/>
      <c r="AF186" s="4"/>
      <c r="AG186" s="4"/>
      <c r="AH186" s="4"/>
      <c r="AI186" s="4"/>
      <c r="AJ186" s="4"/>
      <c r="AK186" s="4"/>
      <c r="AL186" s="4"/>
      <c r="AM186" s="4"/>
      <c r="AN186" s="4"/>
      <c r="AO186" s="4"/>
      <c r="AP186" s="4"/>
      <c r="AQ186" s="4"/>
      <c r="AR186" s="4"/>
    </row>
    <row r="187" spans="1:44">
      <c r="A187" s="4"/>
      <c r="B187" s="47"/>
      <c r="C187" s="47"/>
      <c r="D187" s="48"/>
      <c r="E187" s="4"/>
      <c r="F187" s="11"/>
      <c r="G187" s="11"/>
      <c r="H187" s="11"/>
      <c r="I187" s="11"/>
      <c r="J187" s="11"/>
      <c r="K187" s="11"/>
      <c r="L187" s="11"/>
      <c r="M187" s="11"/>
      <c r="N187" s="11"/>
      <c r="O187" s="11"/>
      <c r="P187" s="14"/>
      <c r="Q187" s="14"/>
      <c r="R187" s="14"/>
      <c r="S187" s="14"/>
      <c r="T187" s="14"/>
      <c r="U187" s="14"/>
      <c r="V187" s="14"/>
      <c r="W187" s="14"/>
      <c r="X187" s="14"/>
      <c r="Y187" s="14"/>
      <c r="Z187" s="14"/>
      <c r="AA187" s="4"/>
      <c r="AB187" s="4"/>
      <c r="AC187" s="4"/>
      <c r="AD187" s="4"/>
      <c r="AE187" s="4"/>
      <c r="AF187" s="4"/>
      <c r="AG187" s="4"/>
      <c r="AH187" s="4"/>
      <c r="AI187" s="4"/>
      <c r="AJ187" s="4"/>
      <c r="AK187" s="4"/>
      <c r="AL187" s="4"/>
      <c r="AM187" s="4"/>
      <c r="AN187" s="4"/>
      <c r="AO187" s="4"/>
      <c r="AP187" s="4"/>
      <c r="AQ187" s="4"/>
      <c r="AR187" s="4"/>
    </row>
    <row r="188" spans="1:44">
      <c r="A188" s="4"/>
      <c r="B188" s="47"/>
      <c r="C188" s="47"/>
      <c r="D188" s="48"/>
      <c r="E188" s="4"/>
      <c r="F188" s="11"/>
      <c r="G188" s="11"/>
      <c r="H188" s="11"/>
      <c r="I188" s="11"/>
      <c r="J188" s="11"/>
      <c r="K188" s="11"/>
      <c r="L188" s="11"/>
      <c r="M188" s="11"/>
      <c r="N188" s="11"/>
      <c r="O188" s="11"/>
      <c r="P188" s="14"/>
      <c r="Q188" s="14"/>
      <c r="R188" s="14"/>
      <c r="S188" s="14"/>
      <c r="T188" s="14"/>
      <c r="U188" s="14"/>
      <c r="V188" s="14"/>
      <c r="W188" s="14"/>
      <c r="X188" s="14"/>
      <c r="Y188" s="14"/>
      <c r="Z188" s="14"/>
      <c r="AA188" s="4"/>
      <c r="AB188" s="4"/>
      <c r="AC188" s="4"/>
      <c r="AD188" s="4"/>
      <c r="AE188" s="4"/>
      <c r="AF188" s="4"/>
      <c r="AG188" s="4"/>
      <c r="AH188" s="4"/>
      <c r="AI188" s="4"/>
      <c r="AJ188" s="4"/>
      <c r="AK188" s="4"/>
      <c r="AL188" s="4"/>
      <c r="AM188" s="4"/>
      <c r="AN188" s="4"/>
      <c r="AO188" s="4"/>
      <c r="AP188" s="4"/>
      <c r="AQ188" s="4"/>
      <c r="AR188" s="4"/>
    </row>
    <row r="189" spans="1:44">
      <c r="A189" s="4"/>
      <c r="B189" s="47"/>
      <c r="C189" s="47"/>
      <c r="D189" s="48"/>
      <c r="E189" s="4"/>
      <c r="F189" s="11"/>
      <c r="G189" s="11"/>
      <c r="H189" s="11"/>
      <c r="I189" s="11"/>
      <c r="J189" s="11"/>
      <c r="K189" s="11"/>
      <c r="L189" s="11"/>
      <c r="M189" s="11"/>
      <c r="N189" s="11"/>
      <c r="O189" s="11"/>
      <c r="P189" s="14"/>
      <c r="Q189" s="14"/>
      <c r="R189" s="14"/>
      <c r="S189" s="14"/>
      <c r="T189" s="14"/>
      <c r="U189" s="14"/>
      <c r="V189" s="14"/>
      <c r="W189" s="14"/>
      <c r="X189" s="14"/>
      <c r="Y189" s="14"/>
      <c r="Z189" s="14"/>
      <c r="AA189" s="4"/>
      <c r="AB189" s="4"/>
      <c r="AC189" s="4"/>
      <c r="AD189" s="4"/>
      <c r="AE189" s="4"/>
      <c r="AF189" s="4"/>
      <c r="AG189" s="4"/>
      <c r="AH189" s="4"/>
      <c r="AI189" s="4"/>
      <c r="AJ189" s="4"/>
      <c r="AK189" s="4"/>
      <c r="AL189" s="4"/>
      <c r="AM189" s="4"/>
      <c r="AN189" s="4"/>
      <c r="AO189" s="4"/>
      <c r="AP189" s="4"/>
      <c r="AQ189" s="4"/>
      <c r="AR189" s="4"/>
    </row>
    <row r="190" spans="1:44">
      <c r="A190" s="4"/>
      <c r="B190" s="47"/>
      <c r="C190" s="47"/>
      <c r="D190" s="48"/>
      <c r="E190" s="4"/>
      <c r="F190" s="11"/>
      <c r="G190" s="11"/>
      <c r="H190" s="11"/>
      <c r="I190" s="11"/>
      <c r="J190" s="11"/>
      <c r="K190" s="11"/>
      <c r="L190" s="11"/>
      <c r="M190" s="11"/>
      <c r="N190" s="11"/>
      <c r="O190" s="11"/>
      <c r="P190" s="14"/>
      <c r="Q190" s="14"/>
      <c r="R190" s="14"/>
      <c r="S190" s="14"/>
      <c r="T190" s="14"/>
      <c r="U190" s="14"/>
      <c r="V190" s="14"/>
      <c r="W190" s="14"/>
      <c r="X190" s="14"/>
      <c r="Y190" s="14"/>
      <c r="Z190" s="14"/>
      <c r="AA190" s="4"/>
      <c r="AB190" s="4"/>
      <c r="AC190" s="4"/>
      <c r="AD190" s="4"/>
      <c r="AE190" s="4"/>
      <c r="AF190" s="4"/>
      <c r="AG190" s="4"/>
      <c r="AH190" s="4"/>
      <c r="AI190" s="4"/>
      <c r="AJ190" s="4"/>
      <c r="AK190" s="4"/>
      <c r="AL190" s="4"/>
      <c r="AM190" s="4"/>
      <c r="AN190" s="4"/>
      <c r="AO190" s="4"/>
      <c r="AP190" s="4"/>
      <c r="AQ190" s="4"/>
      <c r="AR190" s="4"/>
    </row>
    <row r="191" spans="1:44">
      <c r="A191" s="4"/>
      <c r="B191" s="47"/>
      <c r="C191" s="47"/>
      <c r="D191" s="48"/>
      <c r="E191" s="4"/>
      <c r="F191" s="11"/>
      <c r="G191" s="11"/>
      <c r="H191" s="11"/>
      <c r="I191" s="11"/>
      <c r="J191" s="11"/>
      <c r="K191" s="11"/>
      <c r="L191" s="11"/>
      <c r="M191" s="11"/>
      <c r="N191" s="11"/>
      <c r="O191" s="11"/>
      <c r="P191" s="14"/>
      <c r="Q191" s="14"/>
      <c r="R191" s="14"/>
      <c r="S191" s="14"/>
      <c r="T191" s="14"/>
      <c r="U191" s="14"/>
      <c r="V191" s="14"/>
      <c r="W191" s="14"/>
      <c r="X191" s="14"/>
      <c r="Y191" s="14"/>
      <c r="Z191" s="14"/>
      <c r="AA191" s="4"/>
      <c r="AB191" s="4"/>
      <c r="AC191" s="4"/>
      <c r="AD191" s="4"/>
      <c r="AE191" s="4"/>
      <c r="AF191" s="4"/>
      <c r="AG191" s="4"/>
      <c r="AH191" s="4"/>
      <c r="AI191" s="4"/>
      <c r="AJ191" s="4"/>
      <c r="AK191" s="4"/>
      <c r="AL191" s="4"/>
      <c r="AM191" s="4"/>
      <c r="AN191" s="4"/>
      <c r="AO191" s="4"/>
      <c r="AP191" s="4"/>
      <c r="AQ191" s="4"/>
      <c r="AR191" s="4"/>
    </row>
    <row r="192" spans="1:44">
      <c r="A192" s="4"/>
      <c r="B192" s="47"/>
      <c r="C192" s="47"/>
      <c r="D192" s="48"/>
      <c r="E192" s="4"/>
      <c r="F192" s="11"/>
      <c r="G192" s="11"/>
      <c r="H192" s="11"/>
      <c r="I192" s="11"/>
      <c r="J192" s="11"/>
      <c r="K192" s="11"/>
      <c r="L192" s="11"/>
      <c r="M192" s="11"/>
      <c r="N192" s="11"/>
      <c r="O192" s="11"/>
      <c r="P192" s="14"/>
      <c r="Q192" s="14"/>
      <c r="R192" s="14"/>
      <c r="S192" s="14"/>
      <c r="T192" s="14"/>
      <c r="U192" s="14"/>
      <c r="V192" s="14"/>
      <c r="W192" s="14"/>
      <c r="X192" s="14"/>
      <c r="Y192" s="14"/>
      <c r="Z192" s="14"/>
      <c r="AA192" s="4"/>
      <c r="AB192" s="4"/>
      <c r="AC192" s="4"/>
      <c r="AD192" s="4"/>
      <c r="AE192" s="4"/>
      <c r="AF192" s="4"/>
      <c r="AG192" s="4"/>
      <c r="AH192" s="4"/>
      <c r="AI192" s="4"/>
      <c r="AJ192" s="4"/>
      <c r="AK192" s="4"/>
      <c r="AL192" s="4"/>
      <c r="AM192" s="4"/>
      <c r="AN192" s="4"/>
      <c r="AO192" s="4"/>
      <c r="AP192" s="4"/>
      <c r="AQ192" s="4"/>
      <c r="AR192" s="4"/>
    </row>
    <row r="193" spans="1:44">
      <c r="A193" s="4"/>
      <c r="B193" s="47"/>
      <c r="C193" s="47"/>
      <c r="D193" s="48"/>
      <c r="E193" s="4"/>
      <c r="F193" s="11"/>
      <c r="G193" s="11"/>
      <c r="H193" s="11"/>
      <c r="I193" s="11"/>
      <c r="J193" s="11"/>
      <c r="K193" s="11"/>
      <c r="L193" s="11"/>
      <c r="M193" s="11"/>
      <c r="N193" s="11"/>
      <c r="O193" s="11"/>
      <c r="P193" s="14"/>
      <c r="Q193" s="14"/>
      <c r="R193" s="14"/>
      <c r="S193" s="14"/>
      <c r="T193" s="14"/>
      <c r="U193" s="14"/>
      <c r="V193" s="14"/>
      <c r="W193" s="14"/>
      <c r="X193" s="14"/>
      <c r="Y193" s="14"/>
      <c r="Z193" s="14"/>
      <c r="AA193" s="4"/>
      <c r="AB193" s="4"/>
      <c r="AC193" s="4"/>
      <c r="AD193" s="4"/>
      <c r="AE193" s="4"/>
      <c r="AF193" s="4"/>
      <c r="AG193" s="4"/>
      <c r="AH193" s="4"/>
      <c r="AI193" s="4"/>
      <c r="AJ193" s="4"/>
      <c r="AK193" s="4"/>
      <c r="AL193" s="4"/>
      <c r="AM193" s="4"/>
      <c r="AN193" s="4"/>
      <c r="AO193" s="4"/>
      <c r="AP193" s="4"/>
      <c r="AQ193" s="4"/>
      <c r="AR193" s="4"/>
    </row>
    <row r="194" spans="1:44">
      <c r="A194" s="4"/>
      <c r="B194" s="47"/>
      <c r="C194" s="47"/>
      <c r="D194" s="48"/>
      <c r="E194" s="4"/>
      <c r="F194" s="11"/>
      <c r="G194" s="11"/>
      <c r="H194" s="11"/>
      <c r="I194" s="11"/>
      <c r="J194" s="11"/>
      <c r="K194" s="11"/>
      <c r="L194" s="11"/>
      <c r="M194" s="11"/>
      <c r="N194" s="11"/>
      <c r="O194" s="11"/>
      <c r="P194" s="14"/>
      <c r="Q194" s="14"/>
      <c r="R194" s="14"/>
      <c r="S194" s="14"/>
      <c r="T194" s="14"/>
      <c r="U194" s="14"/>
      <c r="V194" s="14"/>
      <c r="W194" s="14"/>
      <c r="X194" s="14"/>
      <c r="Y194" s="14"/>
      <c r="Z194" s="14"/>
      <c r="AA194" s="4"/>
      <c r="AB194" s="4"/>
      <c r="AC194" s="4"/>
      <c r="AD194" s="4"/>
      <c r="AE194" s="4"/>
      <c r="AF194" s="4"/>
      <c r="AG194" s="4"/>
      <c r="AH194" s="4"/>
      <c r="AI194" s="4"/>
      <c r="AJ194" s="4"/>
      <c r="AK194" s="4"/>
      <c r="AL194" s="4"/>
      <c r="AM194" s="4"/>
      <c r="AN194" s="4"/>
      <c r="AO194" s="4"/>
      <c r="AP194" s="4"/>
      <c r="AQ194" s="4"/>
      <c r="AR194" s="4"/>
    </row>
    <row r="195" spans="1:44">
      <c r="A195" s="4"/>
      <c r="B195" s="47"/>
      <c r="C195" s="47"/>
      <c r="D195" s="48"/>
      <c r="E195" s="4"/>
      <c r="F195" s="11"/>
      <c r="G195" s="11"/>
      <c r="H195" s="11"/>
      <c r="I195" s="11"/>
      <c r="J195" s="11"/>
      <c r="K195" s="11"/>
      <c r="L195" s="11"/>
      <c r="M195" s="11"/>
      <c r="N195" s="11"/>
      <c r="O195" s="11"/>
      <c r="P195" s="14"/>
      <c r="Q195" s="14"/>
      <c r="R195" s="14"/>
      <c r="S195" s="14"/>
      <c r="T195" s="14"/>
      <c r="U195" s="14"/>
      <c r="V195" s="14"/>
      <c r="W195" s="14"/>
      <c r="X195" s="14"/>
      <c r="Y195" s="14"/>
      <c r="Z195" s="14"/>
      <c r="AA195" s="4"/>
      <c r="AB195" s="4"/>
      <c r="AC195" s="4"/>
      <c r="AD195" s="4"/>
      <c r="AE195" s="4"/>
      <c r="AF195" s="4"/>
      <c r="AG195" s="4"/>
      <c r="AH195" s="4"/>
      <c r="AI195" s="4"/>
      <c r="AJ195" s="4"/>
      <c r="AK195" s="4"/>
      <c r="AL195" s="4"/>
      <c r="AM195" s="4"/>
      <c r="AN195" s="4"/>
      <c r="AO195" s="4"/>
      <c r="AP195" s="4"/>
      <c r="AQ195" s="4"/>
      <c r="AR195" s="4"/>
    </row>
    <row r="196" spans="1:44">
      <c r="A196" s="4"/>
      <c r="B196" s="47"/>
      <c r="C196" s="47"/>
      <c r="D196" s="48"/>
      <c r="E196" s="4"/>
      <c r="F196" s="11"/>
      <c r="G196" s="11"/>
      <c r="H196" s="11"/>
      <c r="I196" s="11"/>
      <c r="J196" s="11"/>
      <c r="K196" s="11"/>
      <c r="L196" s="11"/>
      <c r="M196" s="11"/>
      <c r="N196" s="11"/>
      <c r="O196" s="11"/>
      <c r="P196" s="14"/>
      <c r="Q196" s="14"/>
      <c r="R196" s="14"/>
      <c r="S196" s="14"/>
      <c r="T196" s="14"/>
      <c r="U196" s="14"/>
      <c r="V196" s="14"/>
      <c r="W196" s="14"/>
      <c r="X196" s="14"/>
      <c r="Y196" s="14"/>
      <c r="Z196" s="14"/>
      <c r="AA196" s="4"/>
      <c r="AB196" s="4"/>
      <c r="AC196" s="4"/>
      <c r="AD196" s="4"/>
      <c r="AE196" s="4"/>
      <c r="AF196" s="4"/>
      <c r="AG196" s="4"/>
      <c r="AH196" s="4"/>
      <c r="AI196" s="4"/>
      <c r="AJ196" s="4"/>
      <c r="AK196" s="4"/>
      <c r="AL196" s="4"/>
      <c r="AM196" s="4"/>
      <c r="AN196" s="4"/>
      <c r="AO196" s="4"/>
      <c r="AP196" s="4"/>
      <c r="AQ196" s="4"/>
      <c r="AR196" s="4"/>
    </row>
    <row r="197" spans="1:44">
      <c r="A197" s="4"/>
      <c r="B197" s="47"/>
      <c r="C197" s="47"/>
      <c r="D197" s="48"/>
      <c r="E197" s="4"/>
      <c r="F197" s="11"/>
      <c r="G197" s="11"/>
      <c r="H197" s="11"/>
      <c r="I197" s="11"/>
      <c r="J197" s="11"/>
      <c r="K197" s="11"/>
      <c r="L197" s="11"/>
      <c r="M197" s="11"/>
      <c r="N197" s="11"/>
      <c r="O197" s="11"/>
      <c r="P197" s="14"/>
      <c r="Q197" s="14"/>
      <c r="R197" s="14"/>
      <c r="S197" s="14"/>
      <c r="T197" s="14"/>
      <c r="U197" s="14"/>
      <c r="V197" s="14"/>
      <c r="W197" s="14"/>
      <c r="X197" s="14"/>
      <c r="Y197" s="14"/>
      <c r="Z197" s="14"/>
      <c r="AA197" s="4"/>
      <c r="AB197" s="4"/>
      <c r="AC197" s="4"/>
      <c r="AD197" s="4"/>
      <c r="AE197" s="4"/>
      <c r="AF197" s="4"/>
      <c r="AG197" s="4"/>
      <c r="AH197" s="4"/>
      <c r="AI197" s="4"/>
      <c r="AJ197" s="4"/>
      <c r="AK197" s="4"/>
      <c r="AL197" s="4"/>
      <c r="AM197" s="4"/>
      <c r="AN197" s="4"/>
      <c r="AO197" s="4"/>
      <c r="AP197" s="4"/>
      <c r="AQ197" s="4"/>
      <c r="AR197" s="4"/>
    </row>
    <row r="198" spans="1:44">
      <c r="A198" s="4"/>
      <c r="B198" s="47"/>
      <c r="C198" s="47"/>
      <c r="D198" s="48"/>
      <c r="E198" s="4"/>
      <c r="F198" s="11"/>
      <c r="G198" s="11"/>
      <c r="H198" s="11"/>
      <c r="I198" s="11"/>
      <c r="J198" s="11"/>
      <c r="K198" s="11"/>
      <c r="L198" s="11"/>
      <c r="M198" s="11"/>
      <c r="N198" s="11"/>
      <c r="O198" s="11"/>
      <c r="P198" s="14"/>
      <c r="Q198" s="14"/>
      <c r="R198" s="14"/>
      <c r="S198" s="14"/>
      <c r="T198" s="14"/>
      <c r="U198" s="14"/>
      <c r="V198" s="14"/>
      <c r="W198" s="14"/>
      <c r="X198" s="14"/>
      <c r="Y198" s="14"/>
      <c r="Z198" s="14"/>
      <c r="AA198" s="4"/>
      <c r="AB198" s="4"/>
      <c r="AC198" s="4"/>
      <c r="AD198" s="4"/>
      <c r="AE198" s="4"/>
      <c r="AF198" s="4"/>
      <c r="AG198" s="4"/>
      <c r="AH198" s="4"/>
      <c r="AI198" s="4"/>
      <c r="AJ198" s="4"/>
      <c r="AK198" s="4"/>
      <c r="AL198" s="4"/>
      <c r="AM198" s="4"/>
      <c r="AN198" s="4"/>
      <c r="AO198" s="4"/>
      <c r="AP198" s="4"/>
      <c r="AQ198" s="4"/>
      <c r="AR198" s="4"/>
    </row>
    <row r="199" spans="1:44">
      <c r="A199" s="4"/>
      <c r="B199" s="47"/>
      <c r="C199" s="47"/>
      <c r="D199" s="48"/>
      <c r="E199" s="4"/>
      <c r="F199" s="11"/>
      <c r="G199" s="11"/>
      <c r="H199" s="11"/>
      <c r="I199" s="11"/>
      <c r="J199" s="11"/>
      <c r="K199" s="11"/>
      <c r="L199" s="11"/>
      <c r="M199" s="11"/>
      <c r="N199" s="11"/>
      <c r="O199" s="11"/>
      <c r="P199" s="14"/>
      <c r="Q199" s="14"/>
      <c r="R199" s="14"/>
      <c r="S199" s="14"/>
      <c r="T199" s="14"/>
      <c r="U199" s="14"/>
      <c r="V199" s="14"/>
      <c r="W199" s="14"/>
      <c r="X199" s="14"/>
      <c r="Y199" s="14"/>
      <c r="Z199" s="14"/>
      <c r="AA199" s="4"/>
      <c r="AB199" s="4"/>
      <c r="AC199" s="4"/>
      <c r="AD199" s="4"/>
      <c r="AE199" s="4"/>
      <c r="AF199" s="4"/>
      <c r="AG199" s="4"/>
      <c r="AH199" s="4"/>
      <c r="AI199" s="4"/>
      <c r="AJ199" s="4"/>
      <c r="AK199" s="4"/>
      <c r="AL199" s="4"/>
      <c r="AM199" s="4"/>
      <c r="AN199" s="4"/>
      <c r="AO199" s="4"/>
      <c r="AP199" s="4"/>
      <c r="AQ199" s="4"/>
      <c r="AR199" s="4"/>
    </row>
    <row r="200" spans="1:44">
      <c r="A200" s="4"/>
      <c r="B200" s="47"/>
      <c r="C200" s="47"/>
      <c r="D200" s="48"/>
      <c r="E200" s="4"/>
      <c r="F200" s="11"/>
      <c r="G200" s="11"/>
      <c r="H200" s="11"/>
      <c r="I200" s="11"/>
      <c r="J200" s="11"/>
      <c r="K200" s="11"/>
      <c r="L200" s="11"/>
      <c r="M200" s="11"/>
      <c r="N200" s="11"/>
      <c r="O200" s="11"/>
      <c r="P200" s="14"/>
      <c r="Q200" s="14"/>
      <c r="R200" s="14"/>
      <c r="S200" s="14"/>
      <c r="T200" s="14"/>
      <c r="U200" s="14"/>
      <c r="V200" s="14"/>
      <c r="W200" s="14"/>
      <c r="X200" s="14"/>
      <c r="Y200" s="14"/>
      <c r="Z200" s="14"/>
      <c r="AA200" s="4"/>
      <c r="AB200" s="4"/>
      <c r="AC200" s="4"/>
      <c r="AD200" s="4"/>
      <c r="AE200" s="4"/>
      <c r="AF200" s="4"/>
      <c r="AG200" s="4"/>
      <c r="AH200" s="4"/>
      <c r="AI200" s="4"/>
      <c r="AJ200" s="4"/>
      <c r="AK200" s="4"/>
      <c r="AL200" s="4"/>
      <c r="AM200" s="4"/>
      <c r="AN200" s="4"/>
      <c r="AO200" s="4"/>
      <c r="AP200" s="4"/>
      <c r="AQ200" s="4"/>
      <c r="AR200" s="4"/>
    </row>
    <row r="201" spans="1:44">
      <c r="A201" s="4"/>
      <c r="B201" s="47"/>
      <c r="C201" s="47"/>
      <c r="D201" s="48"/>
      <c r="E201" s="4"/>
      <c r="F201" s="11"/>
      <c r="G201" s="11"/>
      <c r="H201" s="11"/>
      <c r="I201" s="11"/>
      <c r="J201" s="11"/>
      <c r="K201" s="11"/>
      <c r="L201" s="11"/>
      <c r="M201" s="11"/>
      <c r="N201" s="11"/>
      <c r="O201" s="11"/>
      <c r="P201" s="14"/>
      <c r="Q201" s="14"/>
      <c r="R201" s="14"/>
      <c r="S201" s="14"/>
      <c r="T201" s="14"/>
      <c r="U201" s="14"/>
      <c r="V201" s="14"/>
      <c r="W201" s="14"/>
      <c r="X201" s="14"/>
      <c r="Y201" s="14"/>
      <c r="Z201" s="14"/>
      <c r="AA201" s="4"/>
      <c r="AB201" s="4"/>
      <c r="AC201" s="4"/>
      <c r="AD201" s="4"/>
      <c r="AE201" s="4"/>
      <c r="AF201" s="4"/>
      <c r="AG201" s="4"/>
      <c r="AH201" s="4"/>
      <c r="AI201" s="4"/>
      <c r="AJ201" s="4"/>
      <c r="AK201" s="4"/>
      <c r="AL201" s="4"/>
      <c r="AM201" s="4"/>
      <c r="AN201" s="4"/>
      <c r="AO201" s="4"/>
      <c r="AP201" s="4"/>
      <c r="AQ201" s="4"/>
      <c r="AR201" s="4"/>
    </row>
    <row r="202" spans="1:44">
      <c r="A202" s="4"/>
      <c r="B202" s="47"/>
      <c r="C202" s="47"/>
      <c r="D202" s="48"/>
      <c r="E202" s="4"/>
      <c r="F202" s="11"/>
      <c r="G202" s="11"/>
      <c r="H202" s="11"/>
      <c r="I202" s="11"/>
      <c r="J202" s="11"/>
      <c r="K202" s="11"/>
      <c r="L202" s="11"/>
      <c r="M202" s="11"/>
      <c r="N202" s="11"/>
      <c r="O202" s="11"/>
      <c r="P202" s="14"/>
      <c r="Q202" s="14"/>
      <c r="R202" s="14"/>
      <c r="S202" s="14"/>
      <c r="T202" s="14"/>
      <c r="U202" s="14"/>
      <c r="V202" s="14"/>
      <c r="W202" s="14"/>
      <c r="X202" s="14"/>
      <c r="Y202" s="14"/>
      <c r="Z202" s="14"/>
      <c r="AA202" s="4"/>
      <c r="AB202" s="4"/>
      <c r="AC202" s="4"/>
      <c r="AD202" s="4"/>
      <c r="AE202" s="4"/>
      <c r="AF202" s="4"/>
      <c r="AG202" s="4"/>
      <c r="AH202" s="4"/>
      <c r="AI202" s="4"/>
      <c r="AJ202" s="4"/>
      <c r="AK202" s="4"/>
      <c r="AL202" s="4"/>
      <c r="AM202" s="4"/>
      <c r="AN202" s="4"/>
      <c r="AO202" s="4"/>
      <c r="AP202" s="4"/>
      <c r="AQ202" s="4"/>
      <c r="AR202" s="4"/>
    </row>
    <row r="203" spans="1:44">
      <c r="A203" s="4"/>
      <c r="B203" s="47"/>
      <c r="C203" s="47"/>
      <c r="D203" s="48"/>
      <c r="E203" s="4"/>
      <c r="F203" s="11"/>
      <c r="G203" s="11"/>
      <c r="H203" s="11"/>
      <c r="I203" s="11"/>
      <c r="J203" s="11"/>
      <c r="K203" s="11"/>
      <c r="L203" s="11"/>
      <c r="M203" s="11"/>
      <c r="N203" s="11"/>
      <c r="O203" s="11"/>
      <c r="P203" s="14"/>
      <c r="Q203" s="14"/>
      <c r="R203" s="14"/>
      <c r="S203" s="14"/>
      <c r="T203" s="14"/>
      <c r="U203" s="14"/>
      <c r="V203" s="14"/>
      <c r="W203" s="14"/>
      <c r="X203" s="14"/>
      <c r="Y203" s="14"/>
      <c r="Z203" s="14"/>
      <c r="AA203" s="4"/>
      <c r="AB203" s="4"/>
      <c r="AC203" s="4"/>
      <c r="AD203" s="4"/>
      <c r="AE203" s="4"/>
      <c r="AF203" s="4"/>
      <c r="AG203" s="4"/>
      <c r="AH203" s="4"/>
      <c r="AI203" s="4"/>
      <c r="AJ203" s="4"/>
      <c r="AK203" s="4"/>
      <c r="AL203" s="4"/>
      <c r="AM203" s="4"/>
      <c r="AN203" s="4"/>
      <c r="AO203" s="4"/>
      <c r="AP203" s="4"/>
      <c r="AQ203" s="4"/>
      <c r="AR203" s="4"/>
    </row>
    <row r="204" spans="1:44">
      <c r="A204" s="4"/>
      <c r="B204" s="47"/>
      <c r="C204" s="47"/>
      <c r="D204" s="48"/>
      <c r="E204" s="4"/>
      <c r="F204" s="11"/>
      <c r="G204" s="11"/>
      <c r="H204" s="11"/>
      <c r="I204" s="11"/>
      <c r="J204" s="11"/>
      <c r="K204" s="11"/>
      <c r="L204" s="11"/>
      <c r="M204" s="11"/>
      <c r="N204" s="11"/>
      <c r="O204" s="11"/>
      <c r="P204" s="14"/>
      <c r="Q204" s="14"/>
      <c r="R204" s="14"/>
      <c r="S204" s="14"/>
      <c r="T204" s="14"/>
      <c r="U204" s="14"/>
      <c r="V204" s="14"/>
      <c r="W204" s="14"/>
      <c r="X204" s="14"/>
      <c r="Y204" s="14"/>
      <c r="Z204" s="14"/>
      <c r="AA204" s="4"/>
      <c r="AB204" s="4"/>
      <c r="AC204" s="4"/>
      <c r="AD204" s="4"/>
      <c r="AE204" s="4"/>
      <c r="AF204" s="4"/>
      <c r="AG204" s="4"/>
      <c r="AH204" s="4"/>
      <c r="AI204" s="4"/>
      <c r="AJ204" s="4"/>
      <c r="AK204" s="4"/>
      <c r="AL204" s="4"/>
      <c r="AM204" s="4"/>
      <c r="AN204" s="4"/>
      <c r="AO204" s="4"/>
      <c r="AP204" s="4"/>
      <c r="AQ204" s="4"/>
      <c r="AR204" s="4"/>
    </row>
    <row r="205" spans="1:44">
      <c r="A205" s="4"/>
      <c r="B205" s="47"/>
      <c r="C205" s="47"/>
      <c r="D205" s="48"/>
      <c r="E205" s="4"/>
      <c r="F205" s="11"/>
      <c r="G205" s="11"/>
      <c r="H205" s="11"/>
      <c r="I205" s="11"/>
      <c r="J205" s="11"/>
      <c r="K205" s="11"/>
      <c r="L205" s="11"/>
      <c r="M205" s="11"/>
      <c r="N205" s="11"/>
      <c r="O205" s="11"/>
      <c r="P205" s="14"/>
      <c r="Q205" s="14"/>
      <c r="R205" s="14"/>
      <c r="S205" s="14"/>
      <c r="T205" s="14"/>
      <c r="U205" s="14"/>
      <c r="V205" s="14"/>
      <c r="W205" s="14"/>
      <c r="X205" s="14"/>
      <c r="Y205" s="14"/>
      <c r="Z205" s="14"/>
      <c r="AA205" s="4"/>
      <c r="AB205" s="4"/>
      <c r="AC205" s="4"/>
      <c r="AD205" s="4"/>
      <c r="AE205" s="4"/>
      <c r="AF205" s="4"/>
      <c r="AG205" s="4"/>
      <c r="AH205" s="4"/>
      <c r="AI205" s="4"/>
      <c r="AJ205" s="4"/>
      <c r="AK205" s="4"/>
      <c r="AL205" s="4"/>
      <c r="AM205" s="4"/>
      <c r="AN205" s="4"/>
      <c r="AO205" s="4"/>
      <c r="AP205" s="4"/>
      <c r="AQ205" s="4"/>
      <c r="AR205" s="4"/>
    </row>
    <row r="206" spans="1:44">
      <c r="A206" s="4"/>
      <c r="B206" s="47"/>
      <c r="C206" s="47"/>
      <c r="D206" s="48"/>
      <c r="E206" s="4"/>
      <c r="F206" s="11"/>
      <c r="G206" s="11"/>
      <c r="H206" s="11"/>
      <c r="I206" s="11"/>
      <c r="J206" s="11"/>
      <c r="K206" s="11"/>
      <c r="L206" s="11"/>
      <c r="M206" s="11"/>
      <c r="N206" s="11"/>
      <c r="O206" s="11"/>
      <c r="P206" s="14"/>
      <c r="Q206" s="14"/>
      <c r="R206" s="14"/>
      <c r="S206" s="14"/>
      <c r="T206" s="14"/>
      <c r="U206" s="14"/>
      <c r="V206" s="14"/>
      <c r="W206" s="14"/>
      <c r="X206" s="14"/>
      <c r="Y206" s="14"/>
      <c r="Z206" s="14"/>
      <c r="AA206" s="4"/>
      <c r="AB206" s="4"/>
      <c r="AC206" s="4"/>
      <c r="AD206" s="4"/>
      <c r="AE206" s="4"/>
      <c r="AF206" s="4"/>
      <c r="AG206" s="4"/>
      <c r="AH206" s="4"/>
      <c r="AI206" s="4"/>
      <c r="AJ206" s="4"/>
      <c r="AK206" s="4"/>
      <c r="AL206" s="4"/>
      <c r="AM206" s="4"/>
      <c r="AN206" s="4"/>
      <c r="AO206" s="4"/>
      <c r="AP206" s="4"/>
      <c r="AQ206" s="4"/>
      <c r="AR206" s="4"/>
    </row>
    <row r="207" spans="1:44">
      <c r="A207" s="4"/>
      <c r="B207" s="47"/>
      <c r="C207" s="47"/>
      <c r="D207" s="48"/>
      <c r="E207" s="4"/>
      <c r="F207" s="11"/>
      <c r="G207" s="11"/>
      <c r="H207" s="11"/>
      <c r="I207" s="11"/>
      <c r="J207" s="11"/>
      <c r="K207" s="11"/>
      <c r="L207" s="11"/>
      <c r="M207" s="11"/>
      <c r="N207" s="11"/>
      <c r="O207" s="11"/>
      <c r="P207" s="14"/>
      <c r="Q207" s="14"/>
      <c r="R207" s="14"/>
      <c r="S207" s="14"/>
      <c r="T207" s="14"/>
      <c r="U207" s="14"/>
      <c r="V207" s="14"/>
      <c r="W207" s="14"/>
      <c r="X207" s="14"/>
      <c r="Y207" s="14"/>
      <c r="Z207" s="14"/>
      <c r="AA207" s="4"/>
      <c r="AB207" s="4"/>
      <c r="AC207" s="4"/>
      <c r="AD207" s="4"/>
      <c r="AE207" s="4"/>
      <c r="AF207" s="4"/>
      <c r="AG207" s="4"/>
      <c r="AH207" s="4"/>
      <c r="AI207" s="4"/>
      <c r="AJ207" s="4"/>
      <c r="AK207" s="4"/>
      <c r="AL207" s="4"/>
      <c r="AM207" s="4"/>
      <c r="AN207" s="4"/>
      <c r="AO207" s="4"/>
      <c r="AP207" s="4"/>
      <c r="AQ207" s="4"/>
      <c r="AR207" s="4"/>
    </row>
    <row r="208" spans="1:44">
      <c r="A208" s="4"/>
      <c r="B208" s="47"/>
      <c r="C208" s="47"/>
      <c r="D208" s="48"/>
      <c r="E208" s="4"/>
      <c r="F208" s="11"/>
      <c r="G208" s="11"/>
      <c r="H208" s="11"/>
      <c r="I208" s="11"/>
      <c r="J208" s="11"/>
      <c r="K208" s="11"/>
      <c r="L208" s="11"/>
      <c r="M208" s="11"/>
      <c r="N208" s="11"/>
      <c r="O208" s="11"/>
      <c r="P208" s="14"/>
      <c r="Q208" s="14"/>
      <c r="R208" s="14"/>
      <c r="S208" s="14"/>
      <c r="T208" s="14"/>
      <c r="U208" s="14"/>
      <c r="V208" s="14"/>
      <c r="W208" s="14"/>
      <c r="X208" s="14"/>
      <c r="Y208" s="14"/>
      <c r="Z208" s="14"/>
      <c r="AA208" s="4"/>
      <c r="AB208" s="4"/>
      <c r="AC208" s="4"/>
      <c r="AD208" s="4"/>
      <c r="AE208" s="4"/>
      <c r="AF208" s="4"/>
      <c r="AG208" s="4"/>
      <c r="AH208" s="4"/>
      <c r="AI208" s="4"/>
      <c r="AJ208" s="4"/>
      <c r="AK208" s="4"/>
      <c r="AL208" s="4"/>
      <c r="AM208" s="4"/>
      <c r="AN208" s="4"/>
      <c r="AO208" s="4"/>
      <c r="AP208" s="4"/>
      <c r="AQ208" s="4"/>
      <c r="AR208" s="4"/>
    </row>
    <row r="209" spans="1:44">
      <c r="A209" s="4"/>
      <c r="B209" s="47"/>
      <c r="C209" s="47"/>
      <c r="D209" s="48"/>
      <c r="E209" s="4"/>
      <c r="F209" s="11"/>
      <c r="G209" s="11"/>
      <c r="H209" s="11"/>
      <c r="I209" s="11"/>
      <c r="J209" s="11"/>
      <c r="K209" s="11"/>
      <c r="L209" s="11"/>
      <c r="M209" s="11"/>
      <c r="N209" s="11"/>
      <c r="O209" s="11"/>
      <c r="P209" s="14"/>
      <c r="Q209" s="14"/>
      <c r="R209" s="14"/>
      <c r="S209" s="14"/>
      <c r="T209" s="14"/>
      <c r="U209" s="14"/>
      <c r="V209" s="14"/>
      <c r="W209" s="14"/>
      <c r="X209" s="14"/>
      <c r="Y209" s="14"/>
      <c r="Z209" s="14"/>
      <c r="AA209" s="4"/>
      <c r="AB209" s="4"/>
      <c r="AC209" s="4"/>
      <c r="AD209" s="4"/>
      <c r="AE209" s="4"/>
      <c r="AF209" s="4"/>
      <c r="AG209" s="4"/>
      <c r="AH209" s="4"/>
      <c r="AI209" s="4"/>
      <c r="AJ209" s="4"/>
      <c r="AK209" s="4"/>
      <c r="AL209" s="4"/>
      <c r="AM209" s="4"/>
      <c r="AN209" s="4"/>
      <c r="AO209" s="4"/>
      <c r="AP209" s="4"/>
      <c r="AQ209" s="4"/>
      <c r="AR209" s="4"/>
    </row>
    <row r="210" spans="1:44">
      <c r="A210" s="4"/>
      <c r="B210" s="47"/>
      <c r="C210" s="47"/>
      <c r="D210" s="48"/>
      <c r="E210" s="4"/>
      <c r="F210" s="11"/>
      <c r="G210" s="11"/>
      <c r="H210" s="11"/>
      <c r="I210" s="11"/>
      <c r="J210" s="11"/>
      <c r="K210" s="11"/>
      <c r="L210" s="11"/>
      <c r="M210" s="11"/>
      <c r="N210" s="11"/>
      <c r="O210" s="11"/>
      <c r="P210" s="14"/>
      <c r="Q210" s="14"/>
      <c r="R210" s="14"/>
      <c r="S210" s="14"/>
      <c r="T210" s="14"/>
      <c r="U210" s="14"/>
      <c r="V210" s="14"/>
      <c r="W210" s="14"/>
      <c r="X210" s="14"/>
      <c r="Y210" s="14"/>
      <c r="Z210" s="14"/>
      <c r="AA210" s="4"/>
      <c r="AB210" s="4"/>
      <c r="AC210" s="4"/>
      <c r="AD210" s="4"/>
      <c r="AE210" s="4"/>
      <c r="AF210" s="4"/>
      <c r="AG210" s="4"/>
      <c r="AH210" s="4"/>
      <c r="AI210" s="4"/>
      <c r="AJ210" s="4"/>
      <c r="AK210" s="4"/>
      <c r="AL210" s="4"/>
      <c r="AM210" s="4"/>
      <c r="AN210" s="4"/>
      <c r="AO210" s="4"/>
      <c r="AP210" s="4"/>
      <c r="AQ210" s="4"/>
      <c r="AR210" s="4"/>
    </row>
    <row r="211" spans="1:44">
      <c r="A211" s="4"/>
      <c r="B211" s="47"/>
      <c r="C211" s="47"/>
      <c r="D211" s="48"/>
      <c r="E211" s="4"/>
      <c r="F211" s="11"/>
      <c r="G211" s="11"/>
      <c r="H211" s="11"/>
      <c r="I211" s="11"/>
      <c r="J211" s="11"/>
      <c r="K211" s="11"/>
      <c r="L211" s="11"/>
      <c r="M211" s="11"/>
      <c r="N211" s="11"/>
      <c r="O211" s="11"/>
      <c r="P211" s="14"/>
      <c r="Q211" s="14"/>
      <c r="R211" s="14"/>
      <c r="S211" s="14"/>
      <c r="T211" s="14"/>
      <c r="U211" s="14"/>
      <c r="V211" s="14"/>
      <c r="W211" s="14"/>
      <c r="X211" s="14"/>
      <c r="Y211" s="14"/>
      <c r="Z211" s="14"/>
      <c r="AA211" s="4"/>
      <c r="AB211" s="4"/>
      <c r="AC211" s="4"/>
      <c r="AD211" s="4"/>
      <c r="AE211" s="4"/>
      <c r="AF211" s="4"/>
      <c r="AG211" s="4"/>
      <c r="AH211" s="4"/>
      <c r="AI211" s="4"/>
      <c r="AJ211" s="4"/>
      <c r="AK211" s="4"/>
      <c r="AL211" s="4"/>
      <c r="AM211" s="4"/>
      <c r="AN211" s="4"/>
      <c r="AO211" s="4"/>
      <c r="AP211" s="4"/>
      <c r="AQ211" s="4"/>
      <c r="AR211" s="4"/>
    </row>
    <row r="212" spans="1:44">
      <c r="A212" s="4"/>
      <c r="B212" s="47"/>
      <c r="C212" s="47"/>
      <c r="D212" s="48"/>
      <c r="E212" s="4"/>
      <c r="F212" s="11"/>
      <c r="G212" s="11"/>
      <c r="H212" s="11"/>
      <c r="I212" s="11"/>
      <c r="J212" s="11"/>
      <c r="K212" s="11"/>
      <c r="L212" s="11"/>
      <c r="M212" s="11"/>
      <c r="N212" s="11"/>
      <c r="O212" s="11"/>
      <c r="P212" s="14"/>
      <c r="Q212" s="14"/>
      <c r="R212" s="14"/>
      <c r="S212" s="14"/>
      <c r="T212" s="14"/>
      <c r="U212" s="14"/>
      <c r="V212" s="14"/>
      <c r="W212" s="14"/>
      <c r="X212" s="14"/>
      <c r="Y212" s="14"/>
      <c r="Z212" s="14"/>
      <c r="AA212" s="4"/>
      <c r="AB212" s="4"/>
      <c r="AC212" s="4"/>
      <c r="AD212" s="4"/>
      <c r="AE212" s="4"/>
      <c r="AF212" s="4"/>
      <c r="AG212" s="4"/>
      <c r="AH212" s="4"/>
      <c r="AI212" s="4"/>
      <c r="AJ212" s="4"/>
      <c r="AK212" s="4"/>
      <c r="AL212" s="4"/>
      <c r="AM212" s="4"/>
      <c r="AN212" s="4"/>
      <c r="AO212" s="4"/>
      <c r="AP212" s="4"/>
      <c r="AQ212" s="4"/>
      <c r="AR212" s="4"/>
    </row>
    <row r="213" spans="1:44">
      <c r="A213" s="4"/>
      <c r="B213" s="47"/>
      <c r="C213" s="47"/>
      <c r="D213" s="48"/>
      <c r="E213" s="4"/>
      <c r="F213" s="11"/>
      <c r="G213" s="11"/>
      <c r="H213" s="11"/>
      <c r="I213" s="11"/>
      <c r="J213" s="11"/>
      <c r="K213" s="11"/>
      <c r="L213" s="11"/>
      <c r="M213" s="11"/>
      <c r="N213" s="11"/>
      <c r="O213" s="11"/>
      <c r="P213" s="14"/>
      <c r="Q213" s="14"/>
      <c r="R213" s="14"/>
      <c r="S213" s="14"/>
      <c r="T213" s="14"/>
      <c r="U213" s="14"/>
      <c r="V213" s="14"/>
      <c r="W213" s="14"/>
      <c r="X213" s="14"/>
      <c r="Y213" s="14"/>
      <c r="Z213" s="14"/>
      <c r="AA213" s="4"/>
      <c r="AB213" s="4"/>
      <c r="AC213" s="4"/>
      <c r="AD213" s="4"/>
      <c r="AE213" s="4"/>
      <c r="AF213" s="4"/>
      <c r="AG213" s="4"/>
      <c r="AH213" s="4"/>
      <c r="AI213" s="4"/>
      <c r="AJ213" s="4"/>
      <c r="AK213" s="4"/>
      <c r="AL213" s="4"/>
      <c r="AM213" s="4"/>
      <c r="AN213" s="4"/>
      <c r="AO213" s="4"/>
      <c r="AP213" s="4"/>
      <c r="AQ213" s="4"/>
      <c r="AR213" s="4"/>
    </row>
    <row r="214" spans="1:44">
      <c r="A214" s="4"/>
      <c r="B214" s="47"/>
      <c r="C214" s="47"/>
      <c r="D214" s="48"/>
      <c r="E214" s="4"/>
      <c r="F214" s="11"/>
      <c r="G214" s="11"/>
      <c r="H214" s="11"/>
      <c r="I214" s="11"/>
      <c r="J214" s="11"/>
      <c r="K214" s="11"/>
      <c r="L214" s="11"/>
      <c r="M214" s="11"/>
      <c r="N214" s="11"/>
      <c r="O214" s="11"/>
      <c r="P214" s="14"/>
      <c r="Q214" s="14"/>
      <c r="R214" s="14"/>
      <c r="S214" s="14"/>
      <c r="T214" s="14"/>
      <c r="U214" s="14"/>
      <c r="V214" s="14"/>
      <c r="W214" s="14"/>
      <c r="X214" s="14"/>
      <c r="Y214" s="14"/>
      <c r="Z214" s="14"/>
      <c r="AA214" s="4"/>
      <c r="AB214" s="4"/>
      <c r="AC214" s="4"/>
      <c r="AD214" s="4"/>
      <c r="AE214" s="4"/>
      <c r="AF214" s="4"/>
      <c r="AG214" s="4"/>
      <c r="AH214" s="4"/>
      <c r="AI214" s="4"/>
      <c r="AJ214" s="4"/>
      <c r="AK214" s="4"/>
      <c r="AL214" s="4"/>
      <c r="AM214" s="4"/>
      <c r="AN214" s="4"/>
      <c r="AO214" s="4"/>
      <c r="AP214" s="4"/>
      <c r="AQ214" s="4"/>
      <c r="AR214" s="4"/>
    </row>
    <row r="215" spans="1:44">
      <c r="A215" s="4"/>
      <c r="B215" s="47"/>
      <c r="C215" s="47"/>
      <c r="D215" s="48"/>
      <c r="E215" s="4"/>
      <c r="F215" s="11"/>
      <c r="G215" s="11"/>
      <c r="H215" s="11"/>
      <c r="I215" s="11"/>
      <c r="J215" s="11"/>
      <c r="K215" s="11"/>
      <c r="L215" s="11"/>
      <c r="M215" s="11"/>
      <c r="N215" s="11"/>
      <c r="O215" s="11"/>
      <c r="P215" s="14"/>
      <c r="Q215" s="14"/>
      <c r="R215" s="14"/>
      <c r="S215" s="14"/>
      <c r="T215" s="14"/>
      <c r="U215" s="14"/>
      <c r="V215" s="14"/>
      <c r="W215" s="14"/>
      <c r="X215" s="14"/>
      <c r="Y215" s="14"/>
      <c r="Z215" s="14"/>
      <c r="AA215" s="4"/>
      <c r="AB215" s="4"/>
      <c r="AC215" s="4"/>
      <c r="AD215" s="4"/>
      <c r="AE215" s="4"/>
      <c r="AF215" s="4"/>
      <c r="AG215" s="4"/>
      <c r="AH215" s="4"/>
      <c r="AI215" s="4"/>
      <c r="AJ215" s="4"/>
      <c r="AK215" s="4"/>
      <c r="AL215" s="4"/>
      <c r="AM215" s="4"/>
      <c r="AN215" s="4"/>
      <c r="AO215" s="4"/>
      <c r="AP215" s="4"/>
      <c r="AQ215" s="4"/>
      <c r="AR215" s="4"/>
    </row>
    <row r="216" spans="1:44">
      <c r="A216" s="4"/>
      <c r="B216" s="47"/>
      <c r="C216" s="47"/>
      <c r="D216" s="48"/>
      <c r="E216" s="4"/>
      <c r="F216" s="11"/>
      <c r="G216" s="11"/>
      <c r="H216" s="11"/>
      <c r="I216" s="11"/>
      <c r="J216" s="11"/>
      <c r="K216" s="11"/>
      <c r="L216" s="11"/>
      <c r="M216" s="11"/>
      <c r="N216" s="11"/>
      <c r="O216" s="11"/>
      <c r="P216" s="14"/>
      <c r="Q216" s="14"/>
      <c r="R216" s="14"/>
      <c r="S216" s="14"/>
      <c r="T216" s="14"/>
      <c r="U216" s="14"/>
      <c r="V216" s="14"/>
      <c r="W216" s="14"/>
      <c r="X216" s="14"/>
      <c r="Y216" s="14"/>
      <c r="Z216" s="14"/>
      <c r="AA216" s="4"/>
      <c r="AB216" s="4"/>
      <c r="AC216" s="4"/>
      <c r="AD216" s="4"/>
      <c r="AE216" s="4"/>
      <c r="AF216" s="4"/>
      <c r="AG216" s="4"/>
      <c r="AH216" s="4"/>
      <c r="AI216" s="4"/>
      <c r="AJ216" s="4"/>
      <c r="AK216" s="4"/>
      <c r="AL216" s="4"/>
      <c r="AM216" s="4"/>
      <c r="AN216" s="4"/>
      <c r="AO216" s="4"/>
      <c r="AP216" s="4"/>
      <c r="AQ216" s="4"/>
      <c r="AR216" s="4"/>
    </row>
    <row r="217" spans="1:44">
      <c r="A217" s="4"/>
      <c r="B217" s="47"/>
      <c r="C217" s="47"/>
      <c r="D217" s="48"/>
      <c r="E217" s="4"/>
      <c r="F217" s="11"/>
      <c r="G217" s="11"/>
      <c r="H217" s="11"/>
      <c r="I217" s="11"/>
      <c r="J217" s="11"/>
      <c r="K217" s="11"/>
      <c r="L217" s="11"/>
      <c r="M217" s="11"/>
      <c r="N217" s="11"/>
      <c r="O217" s="11"/>
      <c r="P217" s="14"/>
      <c r="Q217" s="14"/>
      <c r="R217" s="14"/>
      <c r="S217" s="14"/>
      <c r="T217" s="14"/>
      <c r="U217" s="14"/>
      <c r="V217" s="14"/>
      <c r="W217" s="14"/>
      <c r="X217" s="14"/>
      <c r="Y217" s="14"/>
      <c r="Z217" s="14"/>
      <c r="AA217" s="4"/>
      <c r="AB217" s="4"/>
      <c r="AC217" s="4"/>
      <c r="AD217" s="4"/>
      <c r="AE217" s="4"/>
      <c r="AF217" s="4"/>
      <c r="AG217" s="4"/>
      <c r="AH217" s="4"/>
      <c r="AI217" s="4"/>
      <c r="AJ217" s="4"/>
      <c r="AK217" s="4"/>
      <c r="AL217" s="4"/>
      <c r="AM217" s="4"/>
      <c r="AN217" s="4"/>
      <c r="AO217" s="4"/>
      <c r="AP217" s="4"/>
      <c r="AQ217" s="4"/>
      <c r="AR217" s="4"/>
    </row>
    <row r="218" spans="1:44">
      <c r="A218" s="4"/>
      <c r="B218" s="47"/>
      <c r="C218" s="47"/>
      <c r="D218" s="48"/>
      <c r="E218" s="4"/>
      <c r="F218" s="11"/>
      <c r="G218" s="11"/>
      <c r="H218" s="11"/>
      <c r="I218" s="11"/>
      <c r="J218" s="11"/>
      <c r="K218" s="11"/>
      <c r="L218" s="11"/>
      <c r="M218" s="11"/>
      <c r="N218" s="11"/>
      <c r="O218" s="11"/>
      <c r="P218" s="14"/>
      <c r="Q218" s="14"/>
      <c r="R218" s="14"/>
      <c r="S218" s="14"/>
      <c r="T218" s="14"/>
      <c r="U218" s="14"/>
      <c r="V218" s="14"/>
      <c r="W218" s="14"/>
      <c r="X218" s="14"/>
      <c r="Y218" s="14"/>
      <c r="Z218" s="14"/>
      <c r="AA218" s="4"/>
      <c r="AB218" s="4"/>
      <c r="AC218" s="4"/>
      <c r="AD218" s="4"/>
      <c r="AE218" s="4"/>
      <c r="AF218" s="4"/>
      <c r="AG218" s="4"/>
      <c r="AH218" s="4"/>
      <c r="AI218" s="4"/>
      <c r="AJ218" s="4"/>
      <c r="AK218" s="4"/>
      <c r="AL218" s="4"/>
      <c r="AM218" s="4"/>
      <c r="AN218" s="4"/>
      <c r="AO218" s="4"/>
      <c r="AP218" s="4"/>
      <c r="AQ218" s="4"/>
      <c r="AR218" s="4"/>
    </row>
    <row r="219" spans="1:44">
      <c r="A219" s="4"/>
      <c r="B219" s="47"/>
      <c r="C219" s="47"/>
      <c r="D219" s="48"/>
      <c r="E219" s="4"/>
      <c r="F219" s="11"/>
      <c r="G219" s="11"/>
      <c r="H219" s="11"/>
      <c r="I219" s="11"/>
      <c r="J219" s="11"/>
      <c r="K219" s="11"/>
      <c r="L219" s="11"/>
      <c r="M219" s="11"/>
      <c r="N219" s="11"/>
      <c r="O219" s="11"/>
      <c r="P219" s="14"/>
      <c r="Q219" s="14"/>
      <c r="R219" s="14"/>
      <c r="S219" s="14"/>
      <c r="T219" s="14"/>
      <c r="U219" s="14"/>
      <c r="V219" s="14"/>
      <c r="W219" s="14"/>
      <c r="X219" s="14"/>
      <c r="Y219" s="14"/>
      <c r="Z219" s="14"/>
      <c r="AA219" s="4"/>
      <c r="AB219" s="4"/>
      <c r="AC219" s="4"/>
      <c r="AD219" s="4"/>
      <c r="AE219" s="4"/>
      <c r="AF219" s="4"/>
      <c r="AG219" s="4"/>
      <c r="AH219" s="4"/>
      <c r="AI219" s="4"/>
      <c r="AJ219" s="4"/>
      <c r="AK219" s="4"/>
      <c r="AL219" s="4"/>
      <c r="AM219" s="4"/>
      <c r="AN219" s="4"/>
      <c r="AO219" s="4"/>
      <c r="AP219" s="4"/>
      <c r="AQ219" s="4"/>
      <c r="AR219" s="4"/>
    </row>
    <row r="220" spans="1:44">
      <c r="A220" s="4"/>
      <c r="B220" s="47"/>
      <c r="C220" s="47"/>
      <c r="D220" s="48"/>
      <c r="E220" s="4"/>
      <c r="F220" s="11"/>
      <c r="G220" s="11"/>
      <c r="H220" s="11"/>
      <c r="I220" s="11"/>
      <c r="J220" s="11"/>
      <c r="K220" s="11"/>
      <c r="L220" s="11"/>
      <c r="M220" s="11"/>
      <c r="N220" s="11"/>
      <c r="O220" s="11"/>
      <c r="P220" s="14"/>
      <c r="Q220" s="14"/>
      <c r="R220" s="14"/>
      <c r="S220" s="14"/>
      <c r="T220" s="14"/>
      <c r="U220" s="14"/>
      <c r="V220" s="14"/>
      <c r="W220" s="14"/>
      <c r="X220" s="14"/>
      <c r="Y220" s="14"/>
      <c r="Z220" s="14"/>
      <c r="AA220" s="4"/>
      <c r="AB220" s="4"/>
      <c r="AC220" s="4"/>
      <c r="AD220" s="4"/>
      <c r="AE220" s="4"/>
      <c r="AF220" s="4"/>
      <c r="AG220" s="4"/>
      <c r="AH220" s="4"/>
      <c r="AI220" s="4"/>
      <c r="AJ220" s="4"/>
      <c r="AK220" s="4"/>
      <c r="AL220" s="4"/>
      <c r="AM220" s="4"/>
      <c r="AN220" s="4"/>
      <c r="AO220" s="4"/>
      <c r="AP220" s="4"/>
      <c r="AQ220" s="4"/>
      <c r="AR220" s="4"/>
    </row>
    <row r="221" spans="1:44">
      <c r="A221" s="4"/>
      <c r="B221" s="47"/>
      <c r="C221" s="47"/>
      <c r="D221" s="48"/>
      <c r="E221" s="4"/>
      <c r="F221" s="11"/>
      <c r="G221" s="11"/>
      <c r="H221" s="11"/>
      <c r="I221" s="11"/>
      <c r="J221" s="11"/>
      <c r="K221" s="11"/>
      <c r="L221" s="11"/>
      <c r="M221" s="11"/>
      <c r="N221" s="11"/>
      <c r="O221" s="11"/>
      <c r="P221" s="14"/>
      <c r="Q221" s="14"/>
      <c r="R221" s="14"/>
      <c r="S221" s="14"/>
      <c r="T221" s="14"/>
      <c r="U221" s="14"/>
      <c r="V221" s="14"/>
      <c r="W221" s="14"/>
      <c r="X221" s="14"/>
      <c r="Y221" s="14"/>
      <c r="Z221" s="14"/>
      <c r="AA221" s="4"/>
      <c r="AB221" s="4"/>
      <c r="AC221" s="4"/>
      <c r="AD221" s="4"/>
      <c r="AE221" s="4"/>
      <c r="AF221" s="4"/>
      <c r="AG221" s="4"/>
      <c r="AH221" s="4"/>
      <c r="AI221" s="4"/>
      <c r="AJ221" s="4"/>
      <c r="AK221" s="4"/>
      <c r="AL221" s="4"/>
      <c r="AM221" s="4"/>
      <c r="AN221" s="4"/>
      <c r="AO221" s="4"/>
      <c r="AP221" s="4"/>
      <c r="AQ221" s="4"/>
      <c r="AR221" s="4"/>
    </row>
    <row r="222" spans="1:44">
      <c r="A222" s="4"/>
      <c r="B222" s="47"/>
      <c r="C222" s="47"/>
      <c r="D222" s="48"/>
      <c r="E222" s="4"/>
      <c r="F222" s="11"/>
      <c r="G222" s="11"/>
      <c r="H222" s="11"/>
      <c r="I222" s="11"/>
      <c r="J222" s="11"/>
      <c r="K222" s="11"/>
      <c r="L222" s="11"/>
      <c r="M222" s="11"/>
      <c r="N222" s="11"/>
      <c r="O222" s="11"/>
      <c r="P222" s="14"/>
      <c r="Q222" s="14"/>
      <c r="R222" s="14"/>
      <c r="S222" s="14"/>
      <c r="T222" s="14"/>
      <c r="U222" s="14"/>
      <c r="V222" s="14"/>
      <c r="W222" s="14"/>
      <c r="X222" s="14"/>
      <c r="Y222" s="14"/>
      <c r="Z222" s="14"/>
      <c r="AA222" s="4"/>
      <c r="AB222" s="4"/>
      <c r="AC222" s="4"/>
      <c r="AD222" s="4"/>
      <c r="AE222" s="4"/>
      <c r="AF222" s="4"/>
      <c r="AG222" s="4"/>
      <c r="AH222" s="4"/>
      <c r="AI222" s="4"/>
      <c r="AJ222" s="4"/>
      <c r="AK222" s="4"/>
      <c r="AL222" s="4"/>
      <c r="AM222" s="4"/>
      <c r="AN222" s="4"/>
      <c r="AO222" s="4"/>
      <c r="AP222" s="4"/>
      <c r="AQ222" s="4"/>
      <c r="AR222" s="4"/>
    </row>
    <row r="223" spans="1:44">
      <c r="A223" s="4"/>
      <c r="B223" s="47"/>
      <c r="C223" s="47"/>
      <c r="D223" s="48"/>
      <c r="E223" s="4"/>
      <c r="F223" s="11"/>
      <c r="G223" s="11"/>
      <c r="H223" s="11"/>
      <c r="I223" s="11"/>
      <c r="J223" s="11"/>
      <c r="K223" s="11"/>
      <c r="L223" s="11"/>
      <c r="M223" s="11"/>
      <c r="N223" s="11"/>
      <c r="O223" s="11"/>
      <c r="P223" s="14"/>
      <c r="Q223" s="14"/>
      <c r="R223" s="14"/>
      <c r="S223" s="14"/>
      <c r="T223" s="14"/>
      <c r="U223" s="14"/>
      <c r="V223" s="14"/>
      <c r="W223" s="14"/>
      <c r="X223" s="14"/>
      <c r="Y223" s="14"/>
      <c r="Z223" s="14"/>
      <c r="AA223" s="4"/>
      <c r="AB223" s="4"/>
      <c r="AC223" s="4"/>
      <c r="AD223" s="4"/>
      <c r="AE223" s="4"/>
      <c r="AF223" s="4"/>
      <c r="AG223" s="4"/>
      <c r="AH223" s="4"/>
      <c r="AI223" s="4"/>
      <c r="AJ223" s="4"/>
      <c r="AK223" s="4"/>
      <c r="AL223" s="4"/>
      <c r="AM223" s="4"/>
      <c r="AN223" s="4"/>
      <c r="AO223" s="4"/>
      <c r="AP223" s="4"/>
      <c r="AQ223" s="4"/>
      <c r="AR223" s="4"/>
    </row>
    <row r="224" spans="1:44">
      <c r="A224" s="4"/>
      <c r="B224" s="47"/>
      <c r="C224" s="47"/>
      <c r="D224" s="48"/>
      <c r="E224" s="4"/>
      <c r="F224" s="11"/>
      <c r="G224" s="11"/>
      <c r="H224" s="11"/>
      <c r="I224" s="11"/>
      <c r="J224" s="11"/>
      <c r="K224" s="11"/>
      <c r="L224" s="11"/>
      <c r="M224" s="11"/>
      <c r="N224" s="11"/>
      <c r="O224" s="11"/>
      <c r="P224" s="14"/>
      <c r="Q224" s="14"/>
      <c r="R224" s="14"/>
      <c r="S224" s="14"/>
      <c r="T224" s="14"/>
      <c r="U224" s="14"/>
      <c r="V224" s="14"/>
      <c r="W224" s="14"/>
      <c r="X224" s="14"/>
      <c r="Y224" s="14"/>
      <c r="Z224" s="14"/>
      <c r="AA224" s="4"/>
      <c r="AB224" s="4"/>
      <c r="AC224" s="4"/>
      <c r="AD224" s="4"/>
      <c r="AE224" s="4"/>
      <c r="AF224" s="4"/>
      <c r="AG224" s="4"/>
      <c r="AH224" s="4"/>
      <c r="AI224" s="4"/>
      <c r="AJ224" s="4"/>
      <c r="AK224" s="4"/>
      <c r="AL224" s="4"/>
      <c r="AM224" s="4"/>
      <c r="AN224" s="4"/>
      <c r="AO224" s="4"/>
      <c r="AP224" s="4"/>
      <c r="AQ224" s="4"/>
      <c r="AR224" s="4"/>
    </row>
    <row r="225" spans="1:44">
      <c r="A225" s="4"/>
      <c r="B225" s="47"/>
      <c r="C225" s="47"/>
      <c r="D225" s="48"/>
      <c r="E225" s="4"/>
      <c r="F225" s="11"/>
      <c r="G225" s="11"/>
      <c r="H225" s="11"/>
      <c r="I225" s="11"/>
      <c r="J225" s="11"/>
      <c r="K225" s="11"/>
      <c r="L225" s="11"/>
      <c r="M225" s="11"/>
      <c r="N225" s="11"/>
      <c r="O225" s="11"/>
      <c r="P225" s="14"/>
      <c r="Q225" s="14"/>
      <c r="R225" s="14"/>
      <c r="S225" s="14"/>
      <c r="T225" s="14"/>
      <c r="U225" s="14"/>
      <c r="V225" s="14"/>
      <c r="W225" s="14"/>
      <c r="X225" s="14"/>
      <c r="Y225" s="14"/>
      <c r="Z225" s="14"/>
      <c r="AA225" s="4"/>
      <c r="AB225" s="4"/>
      <c r="AC225" s="4"/>
      <c r="AD225" s="4"/>
      <c r="AE225" s="4"/>
      <c r="AF225" s="4"/>
      <c r="AG225" s="4"/>
      <c r="AH225" s="4"/>
      <c r="AI225" s="4"/>
      <c r="AJ225" s="4"/>
      <c r="AK225" s="4"/>
      <c r="AL225" s="4"/>
      <c r="AM225" s="4"/>
      <c r="AN225" s="4"/>
      <c r="AO225" s="4"/>
      <c r="AP225" s="4"/>
      <c r="AQ225" s="4"/>
      <c r="AR225" s="4"/>
    </row>
    <row r="226" spans="1:44">
      <c r="A226" s="4"/>
      <c r="B226" s="47"/>
      <c r="C226" s="47"/>
      <c r="D226" s="48"/>
      <c r="E226" s="4"/>
      <c r="F226" s="11"/>
      <c r="G226" s="11"/>
      <c r="H226" s="11"/>
      <c r="I226" s="11"/>
      <c r="J226" s="11"/>
      <c r="K226" s="11"/>
      <c r="L226" s="11"/>
      <c r="M226" s="11"/>
      <c r="N226" s="11"/>
      <c r="O226" s="11"/>
      <c r="P226" s="14"/>
      <c r="Q226" s="14"/>
      <c r="R226" s="14"/>
      <c r="S226" s="14"/>
      <c r="T226" s="14"/>
      <c r="U226" s="14"/>
      <c r="V226" s="14"/>
      <c r="W226" s="14"/>
      <c r="X226" s="14"/>
      <c r="Y226" s="14"/>
      <c r="Z226" s="14"/>
      <c r="AA226" s="4"/>
      <c r="AB226" s="4"/>
      <c r="AC226" s="4"/>
      <c r="AD226" s="4"/>
      <c r="AE226" s="4"/>
      <c r="AF226" s="4"/>
      <c r="AG226" s="4"/>
      <c r="AH226" s="4"/>
      <c r="AI226" s="4"/>
      <c r="AJ226" s="4"/>
      <c r="AK226" s="4"/>
      <c r="AL226" s="4"/>
      <c r="AM226" s="4"/>
      <c r="AN226" s="4"/>
      <c r="AO226" s="4"/>
      <c r="AP226" s="4"/>
      <c r="AQ226" s="4"/>
      <c r="AR226" s="4"/>
    </row>
    <row r="227" spans="1:44">
      <c r="A227" s="4"/>
      <c r="B227" s="47"/>
      <c r="C227" s="47"/>
      <c r="D227" s="48"/>
      <c r="E227" s="4"/>
      <c r="F227" s="11"/>
      <c r="G227" s="11"/>
      <c r="H227" s="11"/>
      <c r="I227" s="11"/>
      <c r="J227" s="11"/>
      <c r="K227" s="11"/>
      <c r="L227" s="11"/>
      <c r="M227" s="11"/>
      <c r="N227" s="11"/>
      <c r="O227" s="11"/>
      <c r="P227" s="14"/>
      <c r="Q227" s="14"/>
      <c r="R227" s="14"/>
      <c r="S227" s="14"/>
      <c r="T227" s="14"/>
      <c r="U227" s="14"/>
      <c r="V227" s="14"/>
      <c r="W227" s="14"/>
      <c r="X227" s="14"/>
      <c r="Y227" s="14"/>
      <c r="Z227" s="14"/>
      <c r="AA227" s="4"/>
      <c r="AB227" s="4"/>
      <c r="AC227" s="4"/>
      <c r="AD227" s="4"/>
      <c r="AE227" s="4"/>
      <c r="AF227" s="4"/>
      <c r="AG227" s="4"/>
      <c r="AH227" s="4"/>
      <c r="AI227" s="4"/>
      <c r="AJ227" s="4"/>
      <c r="AK227" s="4"/>
      <c r="AL227" s="4"/>
      <c r="AM227" s="4"/>
      <c r="AN227" s="4"/>
      <c r="AO227" s="4"/>
      <c r="AP227" s="4"/>
      <c r="AQ227" s="4"/>
      <c r="AR227" s="4"/>
    </row>
    <row r="228" spans="1:44">
      <c r="A228" s="4"/>
      <c r="B228" s="47"/>
      <c r="C228" s="47"/>
      <c r="D228" s="48"/>
      <c r="E228" s="4"/>
      <c r="F228" s="11"/>
      <c r="G228" s="11"/>
      <c r="H228" s="11"/>
      <c r="I228" s="11"/>
      <c r="J228" s="11"/>
      <c r="K228" s="11"/>
      <c r="L228" s="11"/>
      <c r="M228" s="11"/>
      <c r="N228" s="11"/>
      <c r="O228" s="11"/>
      <c r="P228" s="14"/>
      <c r="Q228" s="14"/>
      <c r="R228" s="14"/>
      <c r="S228" s="14"/>
      <c r="T228" s="14"/>
      <c r="U228" s="14"/>
      <c r="V228" s="14"/>
      <c r="W228" s="14"/>
      <c r="X228" s="14"/>
      <c r="Y228" s="14"/>
      <c r="Z228" s="14"/>
      <c r="AA228" s="4"/>
      <c r="AB228" s="4"/>
      <c r="AC228" s="4"/>
      <c r="AD228" s="4"/>
      <c r="AE228" s="4"/>
      <c r="AF228" s="4"/>
      <c r="AG228" s="4"/>
      <c r="AH228" s="4"/>
      <c r="AI228" s="4"/>
      <c r="AJ228" s="4"/>
      <c r="AK228" s="4"/>
      <c r="AL228" s="4"/>
      <c r="AM228" s="4"/>
      <c r="AN228" s="4"/>
      <c r="AO228" s="4"/>
      <c r="AP228" s="4"/>
      <c r="AQ228" s="4"/>
      <c r="AR228" s="4"/>
    </row>
    <row r="229" spans="1:44">
      <c r="A229" s="4"/>
      <c r="B229" s="47"/>
      <c r="C229" s="47"/>
      <c r="D229" s="48"/>
      <c r="E229" s="4"/>
      <c r="F229" s="11"/>
      <c r="G229" s="11"/>
      <c r="H229" s="11"/>
      <c r="I229" s="11"/>
      <c r="J229" s="11"/>
      <c r="K229" s="11"/>
      <c r="L229" s="11"/>
      <c r="M229" s="11"/>
      <c r="N229" s="11"/>
      <c r="O229" s="11"/>
      <c r="P229" s="14"/>
      <c r="Q229" s="14"/>
      <c r="R229" s="14"/>
      <c r="S229" s="14"/>
      <c r="T229" s="14"/>
      <c r="U229" s="14"/>
      <c r="V229" s="14"/>
      <c r="W229" s="14"/>
      <c r="X229" s="14"/>
      <c r="Y229" s="14"/>
      <c r="Z229" s="14"/>
      <c r="AA229" s="4"/>
      <c r="AB229" s="4"/>
      <c r="AC229" s="4"/>
      <c r="AD229" s="4"/>
      <c r="AE229" s="4"/>
      <c r="AF229" s="4"/>
      <c r="AG229" s="4"/>
      <c r="AH229" s="4"/>
      <c r="AI229" s="4"/>
      <c r="AJ229" s="4"/>
      <c r="AK229" s="4"/>
      <c r="AL229" s="4"/>
      <c r="AM229" s="4"/>
      <c r="AN229" s="4"/>
      <c r="AO229" s="4"/>
      <c r="AP229" s="4"/>
      <c r="AQ229" s="4"/>
      <c r="AR229" s="4"/>
    </row>
    <row r="230" spans="1:44">
      <c r="A230" s="4"/>
      <c r="B230" s="47"/>
      <c r="C230" s="47"/>
      <c r="D230" s="48"/>
      <c r="E230" s="4"/>
      <c r="F230" s="11"/>
      <c r="G230" s="11"/>
      <c r="H230" s="11"/>
      <c r="I230" s="11"/>
      <c r="J230" s="11"/>
      <c r="K230" s="11"/>
      <c r="L230" s="11"/>
      <c r="M230" s="11"/>
      <c r="N230" s="11"/>
      <c r="O230" s="11"/>
      <c r="P230" s="14"/>
      <c r="Q230" s="14"/>
      <c r="R230" s="14"/>
      <c r="S230" s="14"/>
      <c r="T230" s="14"/>
      <c r="U230" s="14"/>
      <c r="V230" s="14"/>
      <c r="W230" s="14"/>
      <c r="X230" s="14"/>
      <c r="Y230" s="14"/>
      <c r="Z230" s="14"/>
      <c r="AA230" s="4"/>
      <c r="AB230" s="4"/>
      <c r="AC230" s="4"/>
      <c r="AD230" s="4"/>
      <c r="AE230" s="4"/>
      <c r="AF230" s="4"/>
      <c r="AG230" s="4"/>
      <c r="AH230" s="4"/>
      <c r="AI230" s="4"/>
      <c r="AJ230" s="4"/>
      <c r="AK230" s="4"/>
      <c r="AL230" s="4"/>
      <c r="AM230" s="4"/>
      <c r="AN230" s="4"/>
      <c r="AO230" s="4"/>
      <c r="AP230" s="4"/>
      <c r="AQ230" s="4"/>
      <c r="AR230" s="4"/>
    </row>
    <row r="231" spans="1:44">
      <c r="A231" s="4"/>
      <c r="B231" s="47"/>
      <c r="C231" s="47"/>
      <c r="D231" s="48"/>
      <c r="E231" s="4"/>
      <c r="F231" s="11"/>
      <c r="G231" s="11"/>
      <c r="H231" s="11"/>
      <c r="I231" s="11"/>
      <c r="J231" s="11"/>
      <c r="K231" s="11"/>
      <c r="L231" s="11"/>
      <c r="M231" s="11"/>
      <c r="N231" s="11"/>
      <c r="O231" s="11"/>
      <c r="P231" s="14"/>
      <c r="Q231" s="14"/>
      <c r="R231" s="14"/>
      <c r="S231" s="14"/>
      <c r="T231" s="14"/>
      <c r="U231" s="14"/>
      <c r="V231" s="14"/>
      <c r="W231" s="14"/>
      <c r="X231" s="14"/>
      <c r="Y231" s="14"/>
      <c r="Z231" s="14"/>
      <c r="AA231" s="4"/>
      <c r="AB231" s="4"/>
      <c r="AC231" s="4"/>
      <c r="AD231" s="4"/>
      <c r="AE231" s="4"/>
      <c r="AF231" s="4"/>
      <c r="AG231" s="4"/>
      <c r="AH231" s="4"/>
      <c r="AI231" s="4"/>
      <c r="AJ231" s="4"/>
      <c r="AK231" s="4"/>
      <c r="AL231" s="4"/>
      <c r="AM231" s="4"/>
      <c r="AN231" s="4"/>
      <c r="AO231" s="4"/>
      <c r="AP231" s="4"/>
      <c r="AQ231" s="4"/>
      <c r="AR231" s="4"/>
    </row>
    <row r="232" spans="1:44">
      <c r="A232" s="4"/>
      <c r="B232" s="47"/>
      <c r="C232" s="47"/>
      <c r="D232" s="48"/>
      <c r="E232" s="4"/>
      <c r="F232" s="11"/>
      <c r="G232" s="11"/>
      <c r="H232" s="11"/>
      <c r="I232" s="11"/>
      <c r="J232" s="11"/>
      <c r="K232" s="11"/>
      <c r="L232" s="11"/>
      <c r="M232" s="11"/>
      <c r="N232" s="11"/>
      <c r="O232" s="11"/>
      <c r="P232" s="14"/>
      <c r="Q232" s="14"/>
      <c r="R232" s="14"/>
      <c r="S232" s="14"/>
      <c r="T232" s="14"/>
      <c r="U232" s="14"/>
      <c r="V232" s="14"/>
      <c r="W232" s="14"/>
      <c r="X232" s="14"/>
      <c r="Y232" s="14"/>
      <c r="Z232" s="14"/>
      <c r="AA232" s="4"/>
      <c r="AB232" s="4"/>
      <c r="AC232" s="4"/>
      <c r="AD232" s="4"/>
      <c r="AE232" s="4"/>
      <c r="AF232" s="4"/>
      <c r="AG232" s="4"/>
      <c r="AH232" s="4"/>
      <c r="AI232" s="4"/>
      <c r="AJ232" s="4"/>
      <c r="AK232" s="4"/>
      <c r="AL232" s="4"/>
      <c r="AM232" s="4"/>
      <c r="AN232" s="4"/>
      <c r="AO232" s="4"/>
      <c r="AP232" s="4"/>
      <c r="AQ232" s="4"/>
      <c r="AR232" s="4"/>
    </row>
    <row r="233" spans="1:44">
      <c r="A233" s="4"/>
      <c r="B233" s="47"/>
      <c r="C233" s="47"/>
      <c r="D233" s="48"/>
      <c r="E233" s="4"/>
      <c r="F233" s="11"/>
      <c r="G233" s="11"/>
      <c r="H233" s="11"/>
      <c r="I233" s="11"/>
      <c r="J233" s="11"/>
      <c r="K233" s="11"/>
      <c r="L233" s="11"/>
      <c r="M233" s="11"/>
      <c r="N233" s="11"/>
      <c r="O233" s="11"/>
      <c r="P233" s="14"/>
      <c r="Q233" s="14"/>
      <c r="R233" s="14"/>
      <c r="S233" s="14"/>
      <c r="T233" s="14"/>
      <c r="U233" s="14"/>
      <c r="V233" s="14"/>
      <c r="W233" s="14"/>
      <c r="X233" s="14"/>
      <c r="Y233" s="14"/>
      <c r="Z233" s="14"/>
      <c r="AA233" s="4"/>
      <c r="AB233" s="4"/>
      <c r="AC233" s="4"/>
      <c r="AD233" s="4"/>
      <c r="AE233" s="4"/>
      <c r="AF233" s="4"/>
      <c r="AG233" s="4"/>
      <c r="AH233" s="4"/>
      <c r="AI233" s="4"/>
      <c r="AJ233" s="4"/>
      <c r="AK233" s="4"/>
      <c r="AL233" s="4"/>
      <c r="AM233" s="4"/>
      <c r="AN233" s="4"/>
      <c r="AO233" s="4"/>
      <c r="AP233" s="4"/>
      <c r="AQ233" s="4"/>
      <c r="AR233" s="4"/>
    </row>
    <row r="234" spans="1:44">
      <c r="A234" s="4"/>
      <c r="B234" s="47"/>
      <c r="C234" s="47"/>
      <c r="D234" s="48"/>
      <c r="E234" s="4"/>
      <c r="F234" s="11"/>
      <c r="G234" s="11"/>
      <c r="H234" s="11"/>
      <c r="I234" s="11"/>
      <c r="J234" s="11"/>
      <c r="K234" s="11"/>
      <c r="L234" s="11"/>
      <c r="M234" s="11"/>
      <c r="N234" s="11"/>
      <c r="O234" s="11"/>
      <c r="P234" s="14"/>
      <c r="Q234" s="14"/>
      <c r="R234" s="14"/>
      <c r="S234" s="14"/>
      <c r="T234" s="14"/>
      <c r="U234" s="14"/>
      <c r="V234" s="14"/>
      <c r="W234" s="14"/>
      <c r="X234" s="14"/>
      <c r="Y234" s="14"/>
      <c r="Z234" s="14"/>
      <c r="AA234" s="4"/>
      <c r="AB234" s="4"/>
      <c r="AC234" s="4"/>
      <c r="AD234" s="4"/>
      <c r="AE234" s="4"/>
      <c r="AF234" s="4"/>
      <c r="AG234" s="4"/>
      <c r="AH234" s="4"/>
      <c r="AI234" s="4"/>
      <c r="AJ234" s="4"/>
      <c r="AK234" s="4"/>
      <c r="AL234" s="4"/>
      <c r="AM234" s="4"/>
      <c r="AN234" s="4"/>
      <c r="AO234" s="4"/>
      <c r="AP234" s="4"/>
      <c r="AQ234" s="4"/>
      <c r="AR234" s="4"/>
    </row>
    <row r="235" spans="1:44">
      <c r="A235" s="4"/>
      <c r="B235" s="47"/>
      <c r="C235" s="47"/>
      <c r="D235" s="48"/>
      <c r="E235" s="4"/>
      <c r="F235" s="11"/>
      <c r="G235" s="11"/>
      <c r="H235" s="11"/>
      <c r="I235" s="11"/>
      <c r="J235" s="11"/>
      <c r="K235" s="11"/>
      <c r="L235" s="11"/>
      <c r="M235" s="11"/>
      <c r="N235" s="11"/>
      <c r="O235" s="11"/>
      <c r="P235" s="14"/>
      <c r="Q235" s="14"/>
      <c r="R235" s="14"/>
      <c r="S235" s="14"/>
      <c r="T235" s="14"/>
      <c r="U235" s="14"/>
      <c r="V235" s="14"/>
      <c r="W235" s="14"/>
      <c r="X235" s="14"/>
      <c r="Y235" s="14"/>
      <c r="Z235" s="14"/>
      <c r="AA235" s="4"/>
      <c r="AB235" s="4"/>
      <c r="AC235" s="4"/>
      <c r="AD235" s="4"/>
      <c r="AE235" s="4"/>
      <c r="AF235" s="4"/>
      <c r="AG235" s="4"/>
      <c r="AH235" s="4"/>
      <c r="AI235" s="4"/>
      <c r="AJ235" s="4"/>
      <c r="AK235" s="4"/>
      <c r="AL235" s="4"/>
      <c r="AM235" s="4"/>
      <c r="AN235" s="4"/>
      <c r="AO235" s="4"/>
      <c r="AP235" s="4"/>
      <c r="AQ235" s="4"/>
      <c r="AR235" s="4"/>
    </row>
    <row r="236" spans="1:44">
      <c r="A236" s="4"/>
      <c r="B236" s="47"/>
      <c r="C236" s="47"/>
      <c r="D236" s="48"/>
      <c r="E236" s="4"/>
      <c r="F236" s="11"/>
      <c r="G236" s="11"/>
      <c r="H236" s="11"/>
      <c r="I236" s="11"/>
      <c r="J236" s="11"/>
      <c r="K236" s="11"/>
      <c r="L236" s="11"/>
      <c r="M236" s="11"/>
      <c r="N236" s="11"/>
      <c r="O236" s="11"/>
      <c r="P236" s="14"/>
      <c r="Q236" s="14"/>
      <c r="R236" s="14"/>
      <c r="S236" s="14"/>
      <c r="T236" s="14"/>
      <c r="U236" s="14"/>
      <c r="V236" s="14"/>
      <c r="W236" s="14"/>
      <c r="X236" s="14"/>
      <c r="Y236" s="14"/>
      <c r="Z236" s="14"/>
      <c r="AA236" s="4"/>
      <c r="AB236" s="4"/>
      <c r="AC236" s="4"/>
      <c r="AD236" s="4"/>
      <c r="AE236" s="4"/>
      <c r="AF236" s="4"/>
      <c r="AG236" s="4"/>
      <c r="AH236" s="4"/>
      <c r="AI236" s="4"/>
      <c r="AJ236" s="4"/>
      <c r="AK236" s="4"/>
      <c r="AL236" s="4"/>
      <c r="AM236" s="4"/>
      <c r="AN236" s="4"/>
      <c r="AO236" s="4"/>
      <c r="AP236" s="4"/>
      <c r="AQ236" s="4"/>
      <c r="AR236" s="4"/>
    </row>
    <row r="237" spans="1:44">
      <c r="A237" s="4"/>
      <c r="B237" s="47"/>
      <c r="C237" s="47"/>
      <c r="D237" s="48"/>
      <c r="E237" s="4"/>
      <c r="F237" s="11"/>
      <c r="G237" s="11"/>
      <c r="H237" s="11"/>
      <c r="I237" s="11"/>
      <c r="J237" s="11"/>
      <c r="K237" s="11"/>
      <c r="L237" s="11"/>
      <c r="M237" s="11"/>
      <c r="N237" s="11"/>
      <c r="O237" s="11"/>
      <c r="P237" s="14"/>
      <c r="Q237" s="14"/>
      <c r="R237" s="14"/>
      <c r="S237" s="14"/>
      <c r="T237" s="14"/>
      <c r="U237" s="14"/>
      <c r="V237" s="14"/>
      <c r="W237" s="14"/>
      <c r="X237" s="14"/>
      <c r="Y237" s="14"/>
      <c r="Z237" s="14"/>
      <c r="AA237" s="4"/>
      <c r="AB237" s="4"/>
      <c r="AC237" s="4"/>
      <c r="AD237" s="4"/>
      <c r="AE237" s="4"/>
      <c r="AF237" s="4"/>
      <c r="AG237" s="4"/>
      <c r="AH237" s="4"/>
      <c r="AI237" s="4"/>
      <c r="AJ237" s="4"/>
      <c r="AK237" s="4"/>
      <c r="AL237" s="4"/>
      <c r="AM237" s="4"/>
      <c r="AN237" s="4"/>
      <c r="AO237" s="4"/>
      <c r="AP237" s="4"/>
      <c r="AQ237" s="4"/>
      <c r="AR237" s="4"/>
    </row>
    <row r="238" spans="1:44">
      <c r="A238" s="4"/>
      <c r="B238" s="47"/>
      <c r="C238" s="47"/>
      <c r="D238" s="48"/>
      <c r="E238" s="4"/>
      <c r="F238" s="11"/>
      <c r="G238" s="11"/>
      <c r="H238" s="11"/>
      <c r="I238" s="11"/>
      <c r="J238" s="11"/>
      <c r="K238" s="11"/>
      <c r="L238" s="11"/>
      <c r="M238" s="11"/>
      <c r="N238" s="11"/>
      <c r="O238" s="11"/>
      <c r="P238" s="14"/>
      <c r="Q238" s="14"/>
      <c r="R238" s="14"/>
      <c r="S238" s="14"/>
      <c r="T238" s="14"/>
      <c r="U238" s="14"/>
      <c r="V238" s="14"/>
      <c r="W238" s="14"/>
      <c r="X238" s="14"/>
      <c r="Y238" s="14"/>
      <c r="Z238" s="14"/>
      <c r="AA238" s="4"/>
      <c r="AB238" s="4"/>
      <c r="AC238" s="4"/>
      <c r="AD238" s="4"/>
      <c r="AE238" s="4"/>
      <c r="AF238" s="4"/>
      <c r="AG238" s="4"/>
      <c r="AH238" s="4"/>
      <c r="AI238" s="4"/>
      <c r="AJ238" s="4"/>
      <c r="AK238" s="4"/>
      <c r="AL238" s="4"/>
      <c r="AM238" s="4"/>
      <c r="AN238" s="4"/>
      <c r="AO238" s="4"/>
      <c r="AP238" s="4"/>
      <c r="AQ238" s="4"/>
      <c r="AR238" s="4"/>
    </row>
    <row r="239" spans="1:44">
      <c r="A239" s="4"/>
      <c r="B239" s="47"/>
      <c r="C239" s="47"/>
      <c r="D239" s="48"/>
      <c r="E239" s="4"/>
      <c r="F239" s="11"/>
      <c r="G239" s="11"/>
      <c r="H239" s="11"/>
      <c r="I239" s="11"/>
      <c r="J239" s="11"/>
      <c r="K239" s="11"/>
      <c r="L239" s="11"/>
      <c r="M239" s="11"/>
      <c r="N239" s="11"/>
      <c r="O239" s="11"/>
      <c r="P239" s="14"/>
      <c r="Q239" s="14"/>
      <c r="R239" s="14"/>
      <c r="S239" s="14"/>
      <c r="T239" s="14"/>
      <c r="U239" s="14"/>
      <c r="V239" s="14"/>
      <c r="W239" s="14"/>
      <c r="X239" s="14"/>
      <c r="Y239" s="14"/>
      <c r="Z239" s="14"/>
      <c r="AA239" s="4"/>
      <c r="AB239" s="4"/>
      <c r="AC239" s="4"/>
      <c r="AD239" s="4"/>
      <c r="AE239" s="4"/>
      <c r="AF239" s="4"/>
      <c r="AG239" s="4"/>
      <c r="AH239" s="4"/>
      <c r="AI239" s="4"/>
      <c r="AJ239" s="4"/>
      <c r="AK239" s="4"/>
      <c r="AL239" s="4"/>
      <c r="AM239" s="4"/>
      <c r="AN239" s="4"/>
      <c r="AO239" s="4"/>
      <c r="AP239" s="4"/>
      <c r="AQ239" s="4"/>
      <c r="AR239" s="4"/>
    </row>
    <row r="240" spans="1:44">
      <c r="A240" s="4"/>
      <c r="B240" s="47"/>
      <c r="C240" s="47"/>
      <c r="D240" s="48"/>
      <c r="E240" s="4"/>
      <c r="F240" s="11"/>
      <c r="G240" s="11"/>
      <c r="H240" s="11"/>
      <c r="I240" s="11"/>
      <c r="J240" s="11"/>
      <c r="K240" s="11"/>
      <c r="L240" s="11"/>
      <c r="M240" s="11"/>
      <c r="N240" s="11"/>
      <c r="O240" s="11"/>
      <c r="P240" s="14"/>
      <c r="Q240" s="14"/>
      <c r="R240" s="14"/>
      <c r="S240" s="14"/>
      <c r="T240" s="14"/>
      <c r="U240" s="14"/>
      <c r="V240" s="14"/>
      <c r="W240" s="14"/>
      <c r="X240" s="14"/>
      <c r="Y240" s="14"/>
      <c r="Z240" s="14"/>
      <c r="AA240" s="4"/>
      <c r="AB240" s="4"/>
      <c r="AC240" s="4"/>
      <c r="AD240" s="4"/>
      <c r="AE240" s="4"/>
      <c r="AF240" s="4"/>
      <c r="AG240" s="4"/>
      <c r="AH240" s="4"/>
      <c r="AI240" s="4"/>
      <c r="AJ240" s="4"/>
      <c r="AK240" s="4"/>
      <c r="AL240" s="4"/>
      <c r="AM240" s="4"/>
      <c r="AN240" s="4"/>
      <c r="AO240" s="4"/>
      <c r="AP240" s="4"/>
      <c r="AQ240" s="4"/>
      <c r="AR240" s="4"/>
    </row>
    <row r="241" spans="1:44">
      <c r="A241" s="4"/>
      <c r="B241" s="47"/>
      <c r="C241" s="47"/>
      <c r="D241" s="48"/>
      <c r="E241" s="4"/>
      <c r="F241" s="11"/>
      <c r="G241" s="11"/>
      <c r="H241" s="11"/>
      <c r="I241" s="11"/>
      <c r="J241" s="11"/>
      <c r="K241" s="11"/>
      <c r="L241" s="11"/>
      <c r="M241" s="11"/>
      <c r="N241" s="11"/>
      <c r="O241" s="11"/>
      <c r="P241" s="14"/>
      <c r="Q241" s="14"/>
      <c r="R241" s="14"/>
      <c r="S241" s="14"/>
      <c r="T241" s="14"/>
      <c r="U241" s="14"/>
      <c r="V241" s="14"/>
      <c r="W241" s="14"/>
      <c r="X241" s="14"/>
      <c r="Y241" s="14"/>
      <c r="Z241" s="14"/>
      <c r="AA241" s="4"/>
      <c r="AB241" s="4"/>
      <c r="AC241" s="4"/>
      <c r="AD241" s="4"/>
      <c r="AE241" s="4"/>
      <c r="AF241" s="4"/>
      <c r="AG241" s="4"/>
      <c r="AH241" s="4"/>
      <c r="AI241" s="4"/>
      <c r="AJ241" s="4"/>
      <c r="AK241" s="4"/>
      <c r="AL241" s="4"/>
      <c r="AM241" s="4"/>
      <c r="AN241" s="4"/>
      <c r="AO241" s="4"/>
      <c r="AP241" s="4"/>
      <c r="AQ241" s="4"/>
      <c r="AR241" s="4"/>
    </row>
    <row r="242" spans="1:44">
      <c r="A242" s="4"/>
      <c r="B242" s="47"/>
      <c r="C242" s="47"/>
      <c r="D242" s="48"/>
      <c r="E242" s="4"/>
      <c r="F242" s="11"/>
      <c r="G242" s="11"/>
      <c r="H242" s="11"/>
      <c r="I242" s="11"/>
      <c r="J242" s="11"/>
      <c r="K242" s="11"/>
      <c r="L242" s="11"/>
      <c r="M242" s="11"/>
      <c r="N242" s="11"/>
      <c r="O242" s="11"/>
      <c r="P242" s="14"/>
      <c r="Q242" s="14"/>
      <c r="R242" s="14"/>
      <c r="S242" s="14"/>
      <c r="T242" s="14"/>
      <c r="U242" s="14"/>
      <c r="V242" s="14"/>
      <c r="W242" s="14"/>
      <c r="X242" s="14"/>
      <c r="Y242" s="14"/>
      <c r="Z242" s="14"/>
      <c r="AA242" s="4"/>
      <c r="AB242" s="4"/>
      <c r="AC242" s="4"/>
      <c r="AD242" s="4"/>
      <c r="AE242" s="4"/>
      <c r="AF242" s="4"/>
      <c r="AG242" s="4"/>
      <c r="AH242" s="4"/>
      <c r="AI242" s="4"/>
      <c r="AJ242" s="4"/>
      <c r="AK242" s="4"/>
      <c r="AL242" s="4"/>
      <c r="AM242" s="4"/>
      <c r="AN242" s="4"/>
      <c r="AO242" s="4"/>
      <c r="AP242" s="4"/>
      <c r="AQ242" s="4"/>
      <c r="AR242" s="4"/>
    </row>
    <row r="243" spans="1:44">
      <c r="A243" s="4"/>
      <c r="B243" s="47"/>
      <c r="C243" s="47"/>
      <c r="D243" s="48"/>
      <c r="E243" s="4"/>
      <c r="F243" s="11"/>
      <c r="G243" s="11"/>
      <c r="H243" s="11"/>
      <c r="I243" s="11"/>
      <c r="J243" s="11"/>
      <c r="K243" s="11"/>
      <c r="L243" s="11"/>
      <c r="M243" s="11"/>
      <c r="N243" s="11"/>
      <c r="O243" s="11"/>
      <c r="P243" s="14"/>
      <c r="Q243" s="14"/>
      <c r="R243" s="14"/>
      <c r="S243" s="14"/>
      <c r="T243" s="14"/>
      <c r="U243" s="14"/>
      <c r="V243" s="14"/>
      <c r="W243" s="14"/>
      <c r="X243" s="14"/>
      <c r="Y243" s="14"/>
      <c r="Z243" s="14"/>
      <c r="AA243" s="4"/>
      <c r="AB243" s="4"/>
      <c r="AC243" s="4"/>
      <c r="AD243" s="4"/>
      <c r="AE243" s="4"/>
      <c r="AF243" s="4"/>
      <c r="AG243" s="4"/>
      <c r="AH243" s="4"/>
      <c r="AI243" s="4"/>
      <c r="AJ243" s="4"/>
      <c r="AK243" s="4"/>
      <c r="AL243" s="4"/>
      <c r="AM243" s="4"/>
      <c r="AN243" s="4"/>
      <c r="AO243" s="4"/>
      <c r="AP243" s="4"/>
      <c r="AQ243" s="4"/>
      <c r="AR243" s="4"/>
    </row>
    <row r="244" spans="1:44">
      <c r="A244" s="4"/>
      <c r="B244" s="47"/>
      <c r="C244" s="47"/>
      <c r="D244" s="48"/>
      <c r="E244" s="4"/>
      <c r="F244" s="11"/>
      <c r="G244" s="11"/>
      <c r="H244" s="11"/>
      <c r="I244" s="11"/>
      <c r="J244" s="11"/>
      <c r="K244" s="11"/>
      <c r="L244" s="11"/>
      <c r="M244" s="11"/>
      <c r="N244" s="11"/>
      <c r="O244" s="11"/>
      <c r="P244" s="14"/>
      <c r="Q244" s="14"/>
      <c r="R244" s="14"/>
      <c r="S244" s="14"/>
      <c r="T244" s="14"/>
      <c r="U244" s="14"/>
      <c r="V244" s="14"/>
      <c r="W244" s="14"/>
      <c r="X244" s="14"/>
      <c r="Y244" s="14"/>
      <c r="Z244" s="14"/>
      <c r="AA244" s="4"/>
      <c r="AB244" s="4"/>
      <c r="AC244" s="4"/>
      <c r="AD244" s="4"/>
      <c r="AE244" s="4"/>
      <c r="AF244" s="4"/>
      <c r="AG244" s="4"/>
      <c r="AH244" s="4"/>
      <c r="AI244" s="4"/>
      <c r="AJ244" s="4"/>
      <c r="AK244" s="4"/>
      <c r="AL244" s="4"/>
      <c r="AM244" s="4"/>
      <c r="AN244" s="4"/>
      <c r="AO244" s="4"/>
      <c r="AP244" s="4"/>
      <c r="AQ244" s="4"/>
      <c r="AR244" s="4"/>
    </row>
    <row r="245" spans="1:44">
      <c r="A245" s="4"/>
      <c r="B245" s="47"/>
      <c r="C245" s="47"/>
      <c r="D245" s="48"/>
      <c r="E245" s="4"/>
      <c r="F245" s="11"/>
      <c r="G245" s="11"/>
      <c r="H245" s="11"/>
      <c r="I245" s="11"/>
      <c r="J245" s="11"/>
      <c r="K245" s="11"/>
      <c r="L245" s="11"/>
      <c r="M245" s="11"/>
      <c r="N245" s="11"/>
      <c r="O245" s="11"/>
      <c r="P245" s="14"/>
      <c r="Q245" s="14"/>
      <c r="R245" s="14"/>
      <c r="S245" s="14"/>
      <c r="T245" s="14"/>
      <c r="U245" s="14"/>
      <c r="V245" s="14"/>
      <c r="W245" s="14"/>
      <c r="X245" s="14"/>
      <c r="Y245" s="14"/>
      <c r="Z245" s="14"/>
      <c r="AA245" s="4"/>
      <c r="AB245" s="4"/>
      <c r="AC245" s="4"/>
      <c r="AD245" s="4"/>
      <c r="AE245" s="4"/>
      <c r="AF245" s="4"/>
      <c r="AG245" s="4"/>
      <c r="AH245" s="4"/>
      <c r="AI245" s="4"/>
      <c r="AJ245" s="4"/>
      <c r="AK245" s="4"/>
      <c r="AL245" s="4"/>
      <c r="AM245" s="4"/>
      <c r="AN245" s="4"/>
      <c r="AO245" s="4"/>
      <c r="AP245" s="4"/>
      <c r="AQ245" s="4"/>
      <c r="AR245" s="4"/>
    </row>
    <row r="246" spans="1:44">
      <c r="A246" s="4"/>
      <c r="B246" s="47"/>
      <c r="C246" s="47"/>
      <c r="D246" s="48"/>
      <c r="E246" s="4"/>
      <c r="F246" s="11"/>
      <c r="G246" s="11"/>
      <c r="H246" s="11"/>
      <c r="I246" s="11"/>
      <c r="J246" s="11"/>
      <c r="K246" s="11"/>
      <c r="L246" s="11"/>
      <c r="M246" s="11"/>
      <c r="N246" s="11"/>
      <c r="O246" s="11"/>
      <c r="P246" s="14"/>
      <c r="Q246" s="14"/>
      <c r="R246" s="14"/>
      <c r="S246" s="14"/>
      <c r="T246" s="14"/>
      <c r="U246" s="14"/>
      <c r="V246" s="14"/>
      <c r="W246" s="14"/>
      <c r="X246" s="14"/>
      <c r="Y246" s="14"/>
      <c r="Z246" s="14"/>
      <c r="AA246" s="4"/>
      <c r="AB246" s="4"/>
      <c r="AC246" s="4"/>
      <c r="AD246" s="4"/>
      <c r="AE246" s="4"/>
      <c r="AF246" s="4"/>
      <c r="AG246" s="4"/>
      <c r="AH246" s="4"/>
      <c r="AI246" s="4"/>
      <c r="AJ246" s="4"/>
      <c r="AK246" s="4"/>
      <c r="AL246" s="4"/>
      <c r="AM246" s="4"/>
      <c r="AN246" s="4"/>
      <c r="AO246" s="4"/>
      <c r="AP246" s="4"/>
      <c r="AQ246" s="4"/>
      <c r="AR246" s="4"/>
    </row>
    <row r="247" spans="1:44">
      <c r="A247" s="4"/>
      <c r="B247" s="47"/>
      <c r="C247" s="47"/>
      <c r="D247" s="48"/>
      <c r="E247" s="4"/>
      <c r="F247" s="11"/>
      <c r="G247" s="11"/>
      <c r="H247" s="11"/>
      <c r="I247" s="11"/>
      <c r="J247" s="11"/>
      <c r="K247" s="11"/>
      <c r="L247" s="11"/>
      <c r="M247" s="11"/>
      <c r="N247" s="11"/>
      <c r="O247" s="11"/>
      <c r="P247" s="14"/>
      <c r="Q247" s="14"/>
      <c r="R247" s="14"/>
      <c r="S247" s="14"/>
      <c r="T247" s="14"/>
      <c r="U247" s="14"/>
      <c r="V247" s="14"/>
      <c r="W247" s="14"/>
      <c r="X247" s="14"/>
      <c r="Y247" s="14"/>
      <c r="Z247" s="14"/>
      <c r="AA247" s="4"/>
      <c r="AB247" s="4"/>
      <c r="AC247" s="4"/>
      <c r="AD247" s="4"/>
      <c r="AE247" s="4"/>
      <c r="AF247" s="4"/>
      <c r="AG247" s="4"/>
      <c r="AH247" s="4"/>
      <c r="AI247" s="4"/>
      <c r="AJ247" s="4"/>
      <c r="AK247" s="4"/>
      <c r="AL247" s="4"/>
      <c r="AM247" s="4"/>
      <c r="AN247" s="4"/>
      <c r="AO247" s="4"/>
      <c r="AP247" s="4"/>
      <c r="AQ247" s="4"/>
      <c r="AR247" s="4"/>
    </row>
    <row r="248" spans="1:44">
      <c r="A248" s="4"/>
      <c r="B248" s="47"/>
      <c r="C248" s="47"/>
      <c r="D248" s="48"/>
      <c r="E248" s="4"/>
      <c r="F248" s="11"/>
      <c r="G248" s="11"/>
      <c r="H248" s="11"/>
      <c r="I248" s="11"/>
      <c r="J248" s="11"/>
      <c r="K248" s="11"/>
      <c r="L248" s="11"/>
      <c r="M248" s="11"/>
      <c r="N248" s="11"/>
      <c r="O248" s="11"/>
      <c r="P248" s="14"/>
      <c r="Q248" s="14"/>
      <c r="R248" s="14"/>
      <c r="S248" s="14"/>
      <c r="T248" s="14"/>
      <c r="U248" s="14"/>
      <c r="V248" s="14"/>
      <c r="W248" s="14"/>
      <c r="X248" s="14"/>
      <c r="Y248" s="14"/>
      <c r="Z248" s="14"/>
      <c r="AA248" s="4"/>
      <c r="AB248" s="4"/>
      <c r="AC248" s="4"/>
      <c r="AD248" s="4"/>
      <c r="AE248" s="4"/>
      <c r="AF248" s="4"/>
      <c r="AG248" s="4"/>
      <c r="AH248" s="4"/>
      <c r="AI248" s="4"/>
      <c r="AJ248" s="4"/>
      <c r="AK248" s="4"/>
      <c r="AL248" s="4"/>
      <c r="AM248" s="4"/>
      <c r="AN248" s="4"/>
      <c r="AO248" s="4"/>
      <c r="AP248" s="4"/>
      <c r="AQ248" s="4"/>
      <c r="AR248" s="4"/>
    </row>
    <row r="249" spans="1:44">
      <c r="A249" s="4"/>
      <c r="B249" s="47"/>
      <c r="C249" s="47"/>
      <c r="D249" s="48"/>
      <c r="E249" s="4"/>
      <c r="F249" s="11"/>
      <c r="G249" s="11"/>
      <c r="H249" s="11"/>
      <c r="I249" s="11"/>
      <c r="J249" s="11"/>
      <c r="K249" s="11"/>
      <c r="L249" s="11"/>
      <c r="M249" s="11"/>
      <c r="N249" s="11"/>
      <c r="O249" s="11"/>
      <c r="P249" s="14"/>
      <c r="Q249" s="14"/>
      <c r="R249" s="14"/>
      <c r="S249" s="14"/>
      <c r="T249" s="14"/>
      <c r="U249" s="14"/>
      <c r="V249" s="14"/>
      <c r="W249" s="14"/>
      <c r="X249" s="14"/>
      <c r="Y249" s="14"/>
      <c r="Z249" s="14"/>
      <c r="AA249" s="4"/>
      <c r="AB249" s="4"/>
      <c r="AC249" s="4"/>
      <c r="AD249" s="4"/>
      <c r="AE249" s="4"/>
      <c r="AF249" s="4"/>
      <c r="AG249" s="4"/>
      <c r="AH249" s="4"/>
      <c r="AI249" s="4"/>
      <c r="AJ249" s="4"/>
      <c r="AK249" s="4"/>
      <c r="AL249" s="4"/>
      <c r="AM249" s="4"/>
      <c r="AN249" s="4"/>
      <c r="AO249" s="4"/>
      <c r="AP249" s="4"/>
      <c r="AQ249" s="4"/>
      <c r="AR249" s="4"/>
    </row>
    <row r="250" spans="1:44">
      <c r="A250" s="4"/>
      <c r="B250" s="47"/>
      <c r="C250" s="47"/>
      <c r="D250" s="48"/>
      <c r="E250" s="4"/>
      <c r="F250" s="11"/>
      <c r="G250" s="11"/>
      <c r="H250" s="11"/>
      <c r="I250" s="11"/>
      <c r="J250" s="11"/>
      <c r="K250" s="11"/>
      <c r="L250" s="11"/>
      <c r="M250" s="11"/>
      <c r="N250" s="11"/>
      <c r="O250" s="11"/>
      <c r="P250" s="14"/>
      <c r="Q250" s="14"/>
      <c r="R250" s="14"/>
      <c r="S250" s="14"/>
      <c r="T250" s="14"/>
      <c r="U250" s="14"/>
      <c r="V250" s="14"/>
      <c r="W250" s="14"/>
      <c r="X250" s="14"/>
      <c r="Y250" s="14"/>
      <c r="Z250" s="14"/>
      <c r="AA250" s="4"/>
      <c r="AB250" s="4"/>
      <c r="AC250" s="4"/>
      <c r="AD250" s="4"/>
      <c r="AE250" s="4"/>
      <c r="AF250" s="4"/>
      <c r="AG250" s="4"/>
      <c r="AH250" s="4"/>
      <c r="AI250" s="4"/>
      <c r="AJ250" s="4"/>
      <c r="AK250" s="4"/>
      <c r="AL250" s="4"/>
      <c r="AM250" s="4"/>
      <c r="AN250" s="4"/>
      <c r="AO250" s="4"/>
      <c r="AP250" s="4"/>
      <c r="AQ250" s="4"/>
      <c r="AR250" s="4"/>
    </row>
    <row r="251" spans="1:44">
      <c r="A251" s="4"/>
      <c r="B251" s="47"/>
      <c r="C251" s="47"/>
      <c r="D251" s="48"/>
      <c r="E251" s="4"/>
      <c r="F251" s="11"/>
      <c r="G251" s="11"/>
      <c r="H251" s="11"/>
      <c r="I251" s="11"/>
      <c r="J251" s="11"/>
      <c r="K251" s="11"/>
      <c r="L251" s="11"/>
      <c r="M251" s="11"/>
      <c r="N251" s="11"/>
      <c r="O251" s="11"/>
      <c r="P251" s="14"/>
      <c r="Q251" s="14"/>
      <c r="R251" s="14"/>
      <c r="S251" s="14"/>
      <c r="T251" s="14"/>
      <c r="U251" s="14"/>
      <c r="V251" s="14"/>
      <c r="W251" s="14"/>
      <c r="X251" s="14"/>
      <c r="Y251" s="14"/>
      <c r="Z251" s="14"/>
      <c r="AA251" s="4"/>
      <c r="AB251" s="4"/>
      <c r="AC251" s="4"/>
      <c r="AD251" s="4"/>
      <c r="AE251" s="4"/>
      <c r="AF251" s="4"/>
      <c r="AG251" s="4"/>
      <c r="AH251" s="4"/>
      <c r="AI251" s="4"/>
      <c r="AJ251" s="4"/>
      <c r="AK251" s="4"/>
      <c r="AL251" s="4"/>
      <c r="AM251" s="4"/>
      <c r="AN251" s="4"/>
      <c r="AO251" s="4"/>
      <c r="AP251" s="4"/>
      <c r="AQ251" s="4"/>
      <c r="AR251" s="4"/>
    </row>
    <row r="252" spans="1:44">
      <c r="A252" s="4"/>
      <c r="B252" s="47"/>
      <c r="C252" s="47"/>
      <c r="D252" s="48"/>
      <c r="E252" s="4"/>
      <c r="F252" s="11"/>
      <c r="G252" s="11"/>
      <c r="H252" s="11"/>
      <c r="I252" s="11"/>
      <c r="J252" s="11"/>
      <c r="K252" s="11"/>
      <c r="L252" s="11"/>
      <c r="M252" s="11"/>
      <c r="N252" s="11"/>
      <c r="O252" s="11"/>
      <c r="P252" s="14"/>
      <c r="Q252" s="14"/>
      <c r="R252" s="14"/>
      <c r="S252" s="14"/>
      <c r="T252" s="14"/>
      <c r="U252" s="14"/>
      <c r="V252" s="14"/>
      <c r="W252" s="14"/>
      <c r="X252" s="14"/>
      <c r="Y252" s="14"/>
      <c r="Z252" s="14"/>
      <c r="AA252" s="4"/>
      <c r="AB252" s="4"/>
      <c r="AC252" s="4"/>
      <c r="AD252" s="4"/>
      <c r="AE252" s="4"/>
      <c r="AF252" s="4"/>
      <c r="AG252" s="4"/>
      <c r="AH252" s="4"/>
      <c r="AI252" s="4"/>
      <c r="AJ252" s="4"/>
      <c r="AK252" s="4"/>
      <c r="AL252" s="4"/>
      <c r="AM252" s="4"/>
      <c r="AN252" s="4"/>
      <c r="AO252" s="4"/>
      <c r="AP252" s="4"/>
      <c r="AQ252" s="4"/>
      <c r="AR252" s="4"/>
    </row>
    <row r="253" spans="1:44">
      <c r="A253" s="4"/>
      <c r="B253" s="47"/>
      <c r="C253" s="47"/>
      <c r="D253" s="48"/>
      <c r="E253" s="4"/>
      <c r="F253" s="11"/>
      <c r="G253" s="11"/>
      <c r="H253" s="11"/>
      <c r="I253" s="11"/>
      <c r="J253" s="11"/>
      <c r="K253" s="11"/>
      <c r="L253" s="11"/>
      <c r="M253" s="11"/>
      <c r="N253" s="11"/>
      <c r="O253" s="11"/>
      <c r="P253" s="14"/>
      <c r="Q253" s="14"/>
      <c r="R253" s="14"/>
      <c r="S253" s="14"/>
      <c r="T253" s="14"/>
      <c r="U253" s="14"/>
      <c r="V253" s="14"/>
      <c r="W253" s="14"/>
      <c r="X253" s="14"/>
      <c r="Y253" s="14"/>
      <c r="Z253" s="14"/>
      <c r="AA253" s="4"/>
      <c r="AB253" s="4"/>
      <c r="AC253" s="4"/>
      <c r="AD253" s="4"/>
      <c r="AE253" s="4"/>
      <c r="AF253" s="4"/>
      <c r="AG253" s="4"/>
      <c r="AH253" s="4"/>
      <c r="AI253" s="4"/>
      <c r="AJ253" s="4"/>
      <c r="AK253" s="4"/>
      <c r="AL253" s="4"/>
      <c r="AM253" s="4"/>
      <c r="AN253" s="4"/>
      <c r="AO253" s="4"/>
      <c r="AP253" s="4"/>
      <c r="AQ253" s="4"/>
      <c r="AR253" s="4"/>
    </row>
    <row r="254" spans="1:44">
      <c r="A254" s="4"/>
      <c r="B254" s="47"/>
      <c r="C254" s="47"/>
      <c r="D254" s="48"/>
      <c r="E254" s="4"/>
      <c r="F254" s="11"/>
      <c r="G254" s="11"/>
      <c r="H254" s="11"/>
      <c r="I254" s="11"/>
      <c r="J254" s="11"/>
      <c r="K254" s="11"/>
      <c r="L254" s="11"/>
      <c r="M254" s="11"/>
      <c r="N254" s="11"/>
      <c r="O254" s="11"/>
      <c r="P254" s="14"/>
      <c r="Q254" s="14"/>
      <c r="R254" s="14"/>
      <c r="S254" s="14"/>
      <c r="T254" s="14"/>
      <c r="U254" s="14"/>
      <c r="V254" s="14"/>
      <c r="W254" s="14"/>
      <c r="X254" s="14"/>
      <c r="Y254" s="14"/>
      <c r="Z254" s="14"/>
      <c r="AA254" s="4"/>
      <c r="AB254" s="4"/>
      <c r="AC254" s="4"/>
      <c r="AD254" s="4"/>
      <c r="AE254" s="4"/>
      <c r="AF254" s="4"/>
      <c r="AG254" s="4"/>
      <c r="AH254" s="4"/>
      <c r="AI254" s="4"/>
      <c r="AJ254" s="4"/>
      <c r="AK254" s="4"/>
      <c r="AL254" s="4"/>
      <c r="AM254" s="4"/>
      <c r="AN254" s="4"/>
      <c r="AO254" s="4"/>
      <c r="AP254" s="4"/>
      <c r="AQ254" s="4"/>
      <c r="AR254" s="4"/>
    </row>
    <row r="255" spans="1:44">
      <c r="A255" s="4"/>
      <c r="B255" s="47"/>
      <c r="C255" s="47"/>
      <c r="D255" s="48"/>
      <c r="E255" s="4"/>
      <c r="F255" s="11"/>
      <c r="G255" s="11"/>
      <c r="H255" s="11"/>
      <c r="I255" s="11"/>
      <c r="J255" s="11"/>
      <c r="K255" s="11"/>
      <c r="L255" s="11"/>
      <c r="M255" s="11"/>
      <c r="N255" s="11"/>
      <c r="O255" s="11"/>
      <c r="P255" s="14"/>
      <c r="Q255" s="14"/>
      <c r="R255" s="14"/>
      <c r="S255" s="14"/>
      <c r="T255" s="14"/>
      <c r="U255" s="14"/>
      <c r="V255" s="14"/>
      <c r="W255" s="14"/>
      <c r="X255" s="14"/>
      <c r="Y255" s="14"/>
      <c r="Z255" s="14"/>
      <c r="AA255" s="4"/>
      <c r="AB255" s="4"/>
      <c r="AC255" s="4"/>
      <c r="AD255" s="4"/>
      <c r="AE255" s="4"/>
      <c r="AF255" s="4"/>
      <c r="AG255" s="4"/>
      <c r="AH255" s="4"/>
      <c r="AI255" s="4"/>
      <c r="AJ255" s="4"/>
      <c r="AK255" s="4"/>
      <c r="AL255" s="4"/>
      <c r="AM255" s="4"/>
      <c r="AN255" s="4"/>
      <c r="AO255" s="4"/>
      <c r="AP255" s="4"/>
      <c r="AQ255" s="4"/>
      <c r="AR255" s="4"/>
    </row>
    <row r="256" spans="1:44">
      <c r="A256" s="4"/>
      <c r="B256" s="47"/>
      <c r="C256" s="47"/>
      <c r="D256" s="48"/>
      <c r="E256" s="4"/>
      <c r="F256" s="11"/>
      <c r="G256" s="11"/>
      <c r="H256" s="11"/>
      <c r="I256" s="11"/>
      <c r="J256" s="11"/>
      <c r="K256" s="11"/>
      <c r="L256" s="11"/>
      <c r="M256" s="11"/>
      <c r="N256" s="11"/>
      <c r="O256" s="11"/>
      <c r="P256" s="14"/>
      <c r="Q256" s="14"/>
      <c r="R256" s="14"/>
      <c r="S256" s="14"/>
      <c r="T256" s="14"/>
      <c r="U256" s="14"/>
      <c r="V256" s="14"/>
      <c r="W256" s="14"/>
      <c r="X256" s="14"/>
      <c r="Y256" s="14"/>
      <c r="Z256" s="14"/>
      <c r="AA256" s="4"/>
      <c r="AB256" s="4"/>
      <c r="AC256" s="4"/>
      <c r="AD256" s="4"/>
      <c r="AE256" s="4"/>
      <c r="AF256" s="4"/>
      <c r="AG256" s="4"/>
      <c r="AH256" s="4"/>
      <c r="AI256" s="4"/>
      <c r="AJ256" s="4"/>
      <c r="AK256" s="4"/>
      <c r="AL256" s="4"/>
      <c r="AM256" s="4"/>
      <c r="AN256" s="4"/>
      <c r="AO256" s="4"/>
      <c r="AP256" s="4"/>
      <c r="AQ256" s="4"/>
      <c r="AR256" s="4"/>
    </row>
    <row r="257" spans="1:44">
      <c r="A257" s="4"/>
      <c r="B257" s="47"/>
      <c r="C257" s="47"/>
      <c r="D257" s="48"/>
      <c r="E257" s="4"/>
      <c r="F257" s="11"/>
      <c r="G257" s="11"/>
      <c r="H257" s="11"/>
      <c r="I257" s="11"/>
      <c r="J257" s="11"/>
      <c r="K257" s="11"/>
      <c r="L257" s="11"/>
      <c r="M257" s="11"/>
      <c r="N257" s="11"/>
      <c r="O257" s="11"/>
      <c r="P257" s="14"/>
      <c r="Q257" s="14"/>
      <c r="R257" s="14"/>
      <c r="S257" s="14"/>
      <c r="T257" s="14"/>
      <c r="U257" s="14"/>
      <c r="V257" s="14"/>
      <c r="W257" s="14"/>
      <c r="X257" s="14"/>
      <c r="Y257" s="14"/>
      <c r="Z257" s="14"/>
      <c r="AA257" s="4"/>
      <c r="AB257" s="4"/>
      <c r="AC257" s="4"/>
      <c r="AD257" s="4"/>
      <c r="AE257" s="4"/>
      <c r="AF257" s="4"/>
      <c r="AG257" s="4"/>
      <c r="AH257" s="4"/>
      <c r="AI257" s="4"/>
      <c r="AJ257" s="4"/>
      <c r="AK257" s="4"/>
      <c r="AL257" s="4"/>
      <c r="AM257" s="4"/>
      <c r="AN257" s="4"/>
      <c r="AO257" s="4"/>
      <c r="AP257" s="4"/>
      <c r="AQ257" s="4"/>
      <c r="AR257" s="4"/>
    </row>
    <row r="258" spans="1:44">
      <c r="A258" s="4"/>
      <c r="B258" s="47"/>
      <c r="C258" s="47"/>
      <c r="D258" s="48"/>
      <c r="E258" s="4"/>
      <c r="F258" s="11"/>
      <c r="G258" s="11"/>
      <c r="H258" s="11"/>
      <c r="I258" s="11"/>
      <c r="J258" s="11"/>
      <c r="K258" s="11"/>
      <c r="L258" s="11"/>
      <c r="M258" s="11"/>
      <c r="N258" s="11"/>
      <c r="O258" s="11"/>
      <c r="P258" s="14"/>
      <c r="Q258" s="14"/>
      <c r="R258" s="14"/>
      <c r="S258" s="14"/>
      <c r="T258" s="14"/>
      <c r="U258" s="14"/>
      <c r="V258" s="14"/>
      <c r="W258" s="14"/>
      <c r="X258" s="14"/>
      <c r="Y258" s="14"/>
      <c r="Z258" s="14"/>
      <c r="AA258" s="4"/>
      <c r="AB258" s="4"/>
      <c r="AC258" s="4"/>
      <c r="AD258" s="4"/>
      <c r="AE258" s="4"/>
      <c r="AF258" s="4"/>
      <c r="AG258" s="4"/>
      <c r="AH258" s="4"/>
      <c r="AI258" s="4"/>
      <c r="AJ258" s="4"/>
      <c r="AK258" s="4"/>
      <c r="AL258" s="4"/>
      <c r="AM258" s="4"/>
      <c r="AN258" s="4"/>
      <c r="AO258" s="4"/>
      <c r="AP258" s="4"/>
      <c r="AQ258" s="4"/>
      <c r="AR258" s="4"/>
    </row>
    <row r="259" spans="1:44">
      <c r="A259" s="4"/>
      <c r="B259" s="47"/>
      <c r="C259" s="47"/>
      <c r="D259" s="48"/>
      <c r="E259" s="4"/>
      <c r="F259" s="11"/>
      <c r="G259" s="11"/>
      <c r="H259" s="11"/>
      <c r="I259" s="11"/>
      <c r="J259" s="11"/>
      <c r="K259" s="11"/>
      <c r="L259" s="11"/>
      <c r="M259" s="11"/>
      <c r="N259" s="11"/>
      <c r="O259" s="11"/>
      <c r="P259" s="14"/>
      <c r="Q259" s="14"/>
      <c r="R259" s="14"/>
      <c r="S259" s="14"/>
      <c r="T259" s="14"/>
      <c r="U259" s="14"/>
      <c r="V259" s="14"/>
      <c r="W259" s="14"/>
      <c r="X259" s="14"/>
      <c r="Y259" s="14"/>
      <c r="Z259" s="14"/>
      <c r="AA259" s="4"/>
      <c r="AB259" s="4"/>
      <c r="AC259" s="4"/>
      <c r="AD259" s="4"/>
      <c r="AE259" s="4"/>
      <c r="AF259" s="4"/>
      <c r="AG259" s="4"/>
      <c r="AH259" s="4"/>
      <c r="AI259" s="4"/>
      <c r="AJ259" s="4"/>
      <c r="AK259" s="4"/>
      <c r="AL259" s="4"/>
      <c r="AM259" s="4"/>
      <c r="AN259" s="4"/>
      <c r="AO259" s="4"/>
      <c r="AP259" s="4"/>
      <c r="AQ259" s="4"/>
      <c r="AR259" s="4"/>
    </row>
    <row r="260" spans="1:44">
      <c r="A260" s="4"/>
      <c r="B260" s="47"/>
      <c r="C260" s="47"/>
      <c r="D260" s="48"/>
      <c r="E260" s="4"/>
      <c r="F260" s="11"/>
      <c r="G260" s="11"/>
      <c r="H260" s="11"/>
      <c r="I260" s="11"/>
      <c r="J260" s="11"/>
      <c r="K260" s="11"/>
      <c r="L260" s="11"/>
      <c r="M260" s="11"/>
      <c r="N260" s="11"/>
      <c r="O260" s="11"/>
      <c r="P260" s="14"/>
      <c r="Q260" s="14"/>
      <c r="R260" s="14"/>
      <c r="S260" s="14"/>
      <c r="T260" s="14"/>
      <c r="U260" s="14"/>
      <c r="V260" s="14"/>
      <c r="W260" s="14"/>
      <c r="X260" s="14"/>
      <c r="Y260" s="14"/>
      <c r="Z260" s="14"/>
      <c r="AA260" s="4"/>
      <c r="AB260" s="4"/>
      <c r="AC260" s="4"/>
      <c r="AD260" s="4"/>
      <c r="AE260" s="4"/>
      <c r="AF260" s="4"/>
      <c r="AG260" s="4"/>
      <c r="AH260" s="4"/>
      <c r="AI260" s="4"/>
      <c r="AJ260" s="4"/>
      <c r="AK260" s="4"/>
      <c r="AL260" s="4"/>
      <c r="AM260" s="4"/>
      <c r="AN260" s="4"/>
      <c r="AO260" s="4"/>
      <c r="AP260" s="4"/>
      <c r="AQ260" s="4"/>
      <c r="AR260" s="4"/>
    </row>
    <row r="261" spans="1:44">
      <c r="A261" s="4"/>
      <c r="B261" s="47"/>
      <c r="C261" s="47"/>
      <c r="D261" s="48"/>
      <c r="E261" s="4"/>
      <c r="F261" s="11"/>
      <c r="G261" s="11"/>
      <c r="H261" s="11"/>
      <c r="I261" s="11"/>
      <c r="J261" s="11"/>
      <c r="K261" s="11"/>
      <c r="L261" s="11"/>
      <c r="M261" s="11"/>
      <c r="N261" s="11"/>
      <c r="O261" s="11"/>
      <c r="P261" s="14"/>
      <c r="Q261" s="14"/>
      <c r="R261" s="14"/>
      <c r="S261" s="14"/>
      <c r="T261" s="14"/>
      <c r="U261" s="14"/>
      <c r="V261" s="14"/>
      <c r="W261" s="14"/>
      <c r="X261" s="14"/>
      <c r="Y261" s="14"/>
      <c r="Z261" s="14"/>
      <c r="AA261" s="4"/>
      <c r="AB261" s="4"/>
      <c r="AC261" s="4"/>
      <c r="AD261" s="4"/>
      <c r="AE261" s="4"/>
      <c r="AF261" s="4"/>
      <c r="AG261" s="4"/>
      <c r="AH261" s="4"/>
      <c r="AI261" s="4"/>
      <c r="AJ261" s="4"/>
      <c r="AK261" s="4"/>
      <c r="AL261" s="4"/>
      <c r="AM261" s="4"/>
      <c r="AN261" s="4"/>
      <c r="AO261" s="4"/>
      <c r="AP261" s="4"/>
      <c r="AQ261" s="4"/>
      <c r="AR261" s="4"/>
    </row>
    <row r="262" spans="1:44">
      <c r="A262" s="4"/>
      <c r="B262" s="47"/>
      <c r="C262" s="47"/>
      <c r="D262" s="48"/>
      <c r="E262" s="4"/>
      <c r="F262" s="11"/>
      <c r="G262" s="11"/>
      <c r="H262" s="11"/>
      <c r="I262" s="11"/>
      <c r="J262" s="11"/>
      <c r="K262" s="11"/>
      <c r="L262" s="11"/>
      <c r="M262" s="11"/>
      <c r="N262" s="11"/>
      <c r="O262" s="11"/>
      <c r="P262" s="14"/>
      <c r="Q262" s="14"/>
      <c r="R262" s="14"/>
      <c r="S262" s="14"/>
      <c r="T262" s="14"/>
      <c r="U262" s="14"/>
      <c r="V262" s="14"/>
      <c r="W262" s="14"/>
      <c r="X262" s="14"/>
      <c r="Y262" s="14"/>
      <c r="Z262" s="14"/>
      <c r="AA262" s="4"/>
      <c r="AB262" s="4"/>
      <c r="AC262" s="4"/>
      <c r="AD262" s="4"/>
      <c r="AE262" s="4"/>
      <c r="AF262" s="4"/>
      <c r="AG262" s="4"/>
      <c r="AH262" s="4"/>
      <c r="AI262" s="4"/>
      <c r="AJ262" s="4"/>
      <c r="AK262" s="4"/>
      <c r="AL262" s="4"/>
      <c r="AM262" s="4"/>
      <c r="AN262" s="4"/>
      <c r="AO262" s="4"/>
      <c r="AP262" s="4"/>
      <c r="AQ262" s="4"/>
      <c r="AR262" s="4"/>
    </row>
    <row r="263" spans="1:44">
      <c r="A263" s="4"/>
      <c r="B263" s="47"/>
      <c r="C263" s="47"/>
      <c r="D263" s="48"/>
      <c r="E263" s="4"/>
      <c r="F263" s="11"/>
      <c r="G263" s="11"/>
      <c r="H263" s="11"/>
      <c r="I263" s="11"/>
      <c r="J263" s="11"/>
      <c r="K263" s="11"/>
      <c r="L263" s="11"/>
      <c r="M263" s="11"/>
      <c r="N263" s="11"/>
      <c r="O263" s="11"/>
      <c r="P263" s="14"/>
      <c r="Q263" s="14"/>
      <c r="R263" s="14"/>
      <c r="S263" s="14"/>
      <c r="T263" s="14"/>
      <c r="U263" s="14"/>
      <c r="V263" s="14"/>
      <c r="W263" s="14"/>
      <c r="X263" s="14"/>
      <c r="Y263" s="14"/>
      <c r="Z263" s="14"/>
      <c r="AA263" s="4"/>
      <c r="AB263" s="4"/>
      <c r="AC263" s="4"/>
      <c r="AD263" s="4"/>
      <c r="AE263" s="4"/>
      <c r="AF263" s="4"/>
      <c r="AG263" s="4"/>
      <c r="AH263" s="4"/>
      <c r="AI263" s="4"/>
      <c r="AJ263" s="4"/>
      <c r="AK263" s="4"/>
      <c r="AL263" s="4"/>
      <c r="AM263" s="4"/>
      <c r="AN263" s="4"/>
      <c r="AO263" s="4"/>
      <c r="AP263" s="4"/>
      <c r="AQ263" s="4"/>
      <c r="AR263" s="4"/>
    </row>
    <row r="264" spans="1:44">
      <c r="A264" s="4"/>
      <c r="B264" s="47"/>
      <c r="C264" s="47"/>
      <c r="D264" s="48"/>
      <c r="E264" s="4"/>
      <c r="F264" s="11"/>
      <c r="G264" s="11"/>
      <c r="H264" s="11"/>
      <c r="I264" s="11"/>
      <c r="J264" s="11"/>
      <c r="K264" s="11"/>
      <c r="L264" s="11"/>
      <c r="M264" s="11"/>
      <c r="N264" s="11"/>
      <c r="O264" s="11"/>
      <c r="P264" s="14"/>
      <c r="Q264" s="14"/>
      <c r="R264" s="14"/>
      <c r="S264" s="14"/>
      <c r="T264" s="14"/>
      <c r="U264" s="14"/>
      <c r="V264" s="14"/>
      <c r="W264" s="14"/>
      <c r="X264" s="14"/>
      <c r="Y264" s="14"/>
      <c r="Z264" s="14"/>
      <c r="AA264" s="4"/>
      <c r="AB264" s="4"/>
      <c r="AC264" s="4"/>
      <c r="AD264" s="4"/>
      <c r="AE264" s="4"/>
      <c r="AF264" s="4"/>
      <c r="AG264" s="4"/>
      <c r="AH264" s="4"/>
      <c r="AI264" s="4"/>
      <c r="AJ264" s="4"/>
      <c r="AK264" s="4"/>
      <c r="AL264" s="4"/>
      <c r="AM264" s="4"/>
      <c r="AN264" s="4"/>
      <c r="AO264" s="4"/>
      <c r="AP264" s="4"/>
      <c r="AQ264" s="4"/>
      <c r="AR264" s="4"/>
    </row>
    <row r="265" spans="1:44">
      <c r="A265" s="4"/>
      <c r="B265" s="47"/>
      <c r="C265" s="47"/>
      <c r="D265" s="48"/>
      <c r="E265" s="4"/>
      <c r="F265" s="11"/>
      <c r="G265" s="11"/>
      <c r="H265" s="11"/>
      <c r="I265" s="11"/>
      <c r="J265" s="11"/>
      <c r="K265" s="11"/>
      <c r="L265" s="11"/>
      <c r="M265" s="11"/>
      <c r="N265" s="11"/>
      <c r="O265" s="11"/>
      <c r="P265" s="14"/>
      <c r="Q265" s="14"/>
      <c r="R265" s="14"/>
      <c r="S265" s="14"/>
      <c r="T265" s="14"/>
      <c r="U265" s="14"/>
      <c r="V265" s="14"/>
      <c r="W265" s="14"/>
      <c r="X265" s="14"/>
      <c r="Y265" s="14"/>
      <c r="Z265" s="14"/>
      <c r="AA265" s="4"/>
      <c r="AB265" s="4"/>
      <c r="AC265" s="4"/>
      <c r="AD265" s="4"/>
      <c r="AE265" s="4"/>
      <c r="AF265" s="4"/>
      <c r="AG265" s="4"/>
      <c r="AH265" s="4"/>
      <c r="AI265" s="4"/>
      <c r="AJ265" s="4"/>
      <c r="AK265" s="4"/>
      <c r="AL265" s="4"/>
      <c r="AM265" s="4"/>
      <c r="AN265" s="4"/>
      <c r="AO265" s="4"/>
      <c r="AP265" s="4"/>
      <c r="AQ265" s="4"/>
      <c r="AR265" s="4"/>
    </row>
    <row r="266" spans="1:44">
      <c r="A266" s="4"/>
      <c r="B266" s="47"/>
      <c r="C266" s="47"/>
      <c r="D266" s="48"/>
      <c r="E266" s="4"/>
      <c r="F266" s="11"/>
      <c r="G266" s="11"/>
      <c r="H266" s="11"/>
      <c r="I266" s="11"/>
      <c r="J266" s="11"/>
      <c r="K266" s="11"/>
      <c r="L266" s="11"/>
      <c r="M266" s="11"/>
      <c r="N266" s="11"/>
      <c r="O266" s="11"/>
      <c r="P266" s="14"/>
      <c r="Q266" s="14"/>
      <c r="R266" s="14"/>
      <c r="S266" s="14"/>
      <c r="T266" s="14"/>
      <c r="U266" s="14"/>
      <c r="V266" s="14"/>
      <c r="W266" s="14"/>
      <c r="X266" s="14"/>
      <c r="Y266" s="14"/>
      <c r="Z266" s="14"/>
      <c r="AA266" s="4"/>
      <c r="AB266" s="4"/>
      <c r="AC266" s="4"/>
      <c r="AD266" s="4"/>
      <c r="AE266" s="4"/>
      <c r="AF266" s="4"/>
      <c r="AG266" s="4"/>
      <c r="AH266" s="4"/>
      <c r="AI266" s="4"/>
      <c r="AJ266" s="4"/>
      <c r="AK266" s="4"/>
      <c r="AL266" s="4"/>
      <c r="AM266" s="4"/>
      <c r="AN266" s="4"/>
      <c r="AO266" s="4"/>
      <c r="AP266" s="4"/>
      <c r="AQ266" s="4"/>
      <c r="AR266" s="4"/>
    </row>
    <row r="267" spans="1:44">
      <c r="A267" s="4"/>
      <c r="B267" s="47"/>
      <c r="C267" s="47"/>
      <c r="D267" s="48"/>
      <c r="E267" s="4"/>
      <c r="F267" s="11"/>
      <c r="G267" s="11"/>
      <c r="H267" s="11"/>
      <c r="I267" s="11"/>
      <c r="J267" s="11"/>
      <c r="K267" s="11"/>
      <c r="L267" s="11"/>
      <c r="M267" s="11"/>
      <c r="N267" s="11"/>
      <c r="O267" s="11"/>
      <c r="P267" s="14"/>
      <c r="Q267" s="14"/>
      <c r="R267" s="14"/>
      <c r="S267" s="14"/>
      <c r="T267" s="14"/>
      <c r="U267" s="14"/>
      <c r="V267" s="14"/>
      <c r="W267" s="14"/>
      <c r="X267" s="14"/>
      <c r="Y267" s="14"/>
      <c r="Z267" s="14"/>
      <c r="AA267" s="4"/>
      <c r="AB267" s="4"/>
      <c r="AC267" s="4"/>
      <c r="AD267" s="4"/>
      <c r="AE267" s="4"/>
      <c r="AF267" s="4"/>
      <c r="AG267" s="4"/>
      <c r="AH267" s="4"/>
      <c r="AI267" s="4"/>
      <c r="AJ267" s="4"/>
      <c r="AK267" s="4"/>
      <c r="AL267" s="4"/>
      <c r="AM267" s="4"/>
      <c r="AN267" s="4"/>
      <c r="AO267" s="4"/>
      <c r="AP267" s="4"/>
      <c r="AQ267" s="4"/>
      <c r="AR267" s="4"/>
    </row>
    <row r="268" spans="1:44">
      <c r="A268" s="4"/>
      <c r="B268" s="47"/>
      <c r="C268" s="47"/>
      <c r="D268" s="48"/>
      <c r="E268" s="4"/>
      <c r="F268" s="11"/>
      <c r="G268" s="11"/>
      <c r="H268" s="11"/>
      <c r="I268" s="11"/>
      <c r="J268" s="11"/>
      <c r="K268" s="11"/>
      <c r="L268" s="11"/>
      <c r="M268" s="11"/>
      <c r="N268" s="11"/>
      <c r="O268" s="11"/>
      <c r="P268" s="14"/>
      <c r="Q268" s="14"/>
      <c r="R268" s="14"/>
      <c r="S268" s="14"/>
      <c r="T268" s="14"/>
      <c r="U268" s="14"/>
      <c r="V268" s="14"/>
      <c r="W268" s="14"/>
      <c r="X268" s="14"/>
      <c r="Y268" s="14"/>
      <c r="Z268" s="14"/>
      <c r="AA268" s="4"/>
      <c r="AB268" s="4"/>
      <c r="AC268" s="4"/>
      <c r="AD268" s="4"/>
      <c r="AE268" s="4"/>
      <c r="AF268" s="4"/>
      <c r="AG268" s="4"/>
      <c r="AH268" s="4"/>
      <c r="AI268" s="4"/>
      <c r="AJ268" s="4"/>
      <c r="AK268" s="4"/>
      <c r="AL268" s="4"/>
      <c r="AM268" s="4"/>
      <c r="AN268" s="4"/>
      <c r="AO268" s="4"/>
      <c r="AP268" s="4"/>
      <c r="AQ268" s="4"/>
      <c r="AR268" s="4"/>
    </row>
    <row r="269" spans="1:44">
      <c r="A269" s="4"/>
      <c r="B269" s="47"/>
      <c r="C269" s="47"/>
      <c r="D269" s="48"/>
      <c r="E269" s="4"/>
      <c r="F269" s="11"/>
      <c r="G269" s="11"/>
      <c r="H269" s="11"/>
      <c r="I269" s="11"/>
      <c r="J269" s="11"/>
      <c r="K269" s="11"/>
      <c r="L269" s="11"/>
      <c r="M269" s="11"/>
      <c r="N269" s="11"/>
      <c r="O269" s="11"/>
      <c r="P269" s="14"/>
      <c r="Q269" s="14"/>
      <c r="R269" s="14"/>
      <c r="S269" s="14"/>
      <c r="T269" s="14"/>
      <c r="U269" s="14"/>
      <c r="V269" s="14"/>
      <c r="W269" s="14"/>
      <c r="X269" s="14"/>
      <c r="Y269" s="14"/>
      <c r="Z269" s="14"/>
      <c r="AA269" s="4"/>
      <c r="AB269" s="4"/>
      <c r="AC269" s="4"/>
      <c r="AD269" s="4"/>
      <c r="AE269" s="4"/>
      <c r="AF269" s="4"/>
      <c r="AG269" s="4"/>
      <c r="AH269" s="4"/>
      <c r="AI269" s="4"/>
      <c r="AJ269" s="4"/>
      <c r="AK269" s="4"/>
      <c r="AL269" s="4"/>
      <c r="AM269" s="4"/>
      <c r="AN269" s="4"/>
      <c r="AO269" s="4"/>
      <c r="AP269" s="4"/>
      <c r="AQ269" s="4"/>
      <c r="AR269" s="4"/>
    </row>
    <row r="270" spans="1:44">
      <c r="A270" s="4"/>
      <c r="B270" s="47"/>
      <c r="C270" s="47"/>
      <c r="D270" s="48"/>
      <c r="E270" s="4"/>
      <c r="F270" s="11"/>
      <c r="G270" s="11"/>
      <c r="H270" s="11"/>
      <c r="I270" s="11"/>
      <c r="J270" s="11"/>
      <c r="K270" s="11"/>
      <c r="L270" s="11"/>
      <c r="M270" s="11"/>
      <c r="N270" s="11"/>
      <c r="O270" s="11"/>
      <c r="P270" s="14"/>
      <c r="Q270" s="14"/>
      <c r="R270" s="14"/>
      <c r="S270" s="14"/>
      <c r="T270" s="14"/>
      <c r="U270" s="14"/>
      <c r="V270" s="14"/>
      <c r="W270" s="14"/>
      <c r="X270" s="14"/>
      <c r="Y270" s="14"/>
      <c r="Z270" s="14"/>
      <c r="AA270" s="4"/>
      <c r="AB270" s="4"/>
      <c r="AC270" s="4"/>
      <c r="AD270" s="4"/>
      <c r="AE270" s="4"/>
      <c r="AF270" s="4"/>
      <c r="AG270" s="4"/>
      <c r="AH270" s="4"/>
      <c r="AI270" s="4"/>
      <c r="AJ270" s="4"/>
      <c r="AK270" s="4"/>
      <c r="AL270" s="4"/>
      <c r="AM270" s="4"/>
      <c r="AN270" s="4"/>
      <c r="AO270" s="4"/>
      <c r="AP270" s="4"/>
      <c r="AQ270" s="4"/>
      <c r="AR270" s="4"/>
    </row>
    <row r="271" spans="1:44">
      <c r="A271" s="4"/>
      <c r="B271" s="47"/>
      <c r="C271" s="47"/>
      <c r="D271" s="48"/>
      <c r="E271" s="4"/>
      <c r="F271" s="11"/>
      <c r="G271" s="11"/>
      <c r="H271" s="11"/>
      <c r="I271" s="11"/>
      <c r="J271" s="11"/>
      <c r="K271" s="11"/>
      <c r="L271" s="11"/>
      <c r="M271" s="11"/>
      <c r="N271" s="11"/>
      <c r="O271" s="11"/>
      <c r="P271" s="14"/>
      <c r="Q271" s="14"/>
      <c r="R271" s="14"/>
      <c r="S271" s="14"/>
      <c r="T271" s="14"/>
      <c r="U271" s="14"/>
      <c r="V271" s="14"/>
      <c r="W271" s="14"/>
      <c r="X271" s="14"/>
      <c r="Y271" s="14"/>
      <c r="Z271" s="14"/>
      <c r="AA271" s="4"/>
      <c r="AB271" s="4"/>
      <c r="AC271" s="4"/>
      <c r="AD271" s="4"/>
      <c r="AE271" s="4"/>
      <c r="AF271" s="4"/>
      <c r="AG271" s="4"/>
      <c r="AH271" s="4"/>
      <c r="AI271" s="4"/>
      <c r="AJ271" s="4"/>
      <c r="AK271" s="4"/>
      <c r="AL271" s="4"/>
      <c r="AM271" s="4"/>
      <c r="AN271" s="4"/>
      <c r="AO271" s="4"/>
      <c r="AP271" s="4"/>
      <c r="AQ271" s="4"/>
      <c r="AR271" s="4"/>
    </row>
    <row r="272" spans="1:44">
      <c r="A272" s="4"/>
      <c r="B272" s="47"/>
      <c r="C272" s="47"/>
      <c r="D272" s="48"/>
      <c r="E272" s="4"/>
      <c r="F272" s="11"/>
      <c r="G272" s="11"/>
      <c r="H272" s="11"/>
      <c r="I272" s="11"/>
      <c r="J272" s="11"/>
      <c r="K272" s="11"/>
      <c r="L272" s="11"/>
      <c r="M272" s="11"/>
      <c r="N272" s="11"/>
      <c r="O272" s="11"/>
      <c r="P272" s="14"/>
      <c r="Q272" s="14"/>
      <c r="R272" s="14"/>
      <c r="S272" s="14"/>
      <c r="T272" s="14"/>
      <c r="U272" s="14"/>
      <c r="V272" s="14"/>
      <c r="W272" s="14"/>
      <c r="X272" s="14"/>
      <c r="Y272" s="14"/>
      <c r="Z272" s="14"/>
      <c r="AA272" s="4"/>
      <c r="AB272" s="4"/>
      <c r="AC272" s="4"/>
      <c r="AD272" s="4"/>
      <c r="AE272" s="4"/>
      <c r="AF272" s="4"/>
      <c r="AG272" s="4"/>
      <c r="AH272" s="4"/>
      <c r="AI272" s="4"/>
      <c r="AJ272" s="4"/>
      <c r="AK272" s="4"/>
      <c r="AL272" s="4"/>
      <c r="AM272" s="4"/>
      <c r="AN272" s="4"/>
      <c r="AO272" s="4"/>
      <c r="AP272" s="4"/>
      <c r="AQ272" s="4"/>
      <c r="AR272" s="4"/>
    </row>
    <row r="273" spans="1:44">
      <c r="A273" s="4"/>
      <c r="B273" s="47"/>
      <c r="C273" s="47"/>
      <c r="D273" s="48"/>
      <c r="E273" s="4"/>
      <c r="F273" s="11"/>
      <c r="G273" s="11"/>
      <c r="H273" s="11"/>
      <c r="I273" s="11"/>
      <c r="J273" s="11"/>
      <c r="K273" s="11"/>
      <c r="L273" s="11"/>
      <c r="M273" s="11"/>
      <c r="N273" s="11"/>
      <c r="O273" s="11"/>
      <c r="P273" s="14"/>
      <c r="Q273" s="14"/>
      <c r="R273" s="14"/>
      <c r="S273" s="14"/>
      <c r="T273" s="14"/>
      <c r="U273" s="14"/>
      <c r="V273" s="14"/>
      <c r="W273" s="14"/>
      <c r="X273" s="14"/>
      <c r="Y273" s="14"/>
      <c r="Z273" s="14"/>
      <c r="AA273" s="4"/>
      <c r="AB273" s="4"/>
      <c r="AC273" s="4"/>
      <c r="AD273" s="4"/>
      <c r="AE273" s="4"/>
      <c r="AF273" s="4"/>
      <c r="AG273" s="4"/>
      <c r="AH273" s="4"/>
      <c r="AI273" s="4"/>
      <c r="AJ273" s="4"/>
      <c r="AK273" s="4"/>
      <c r="AL273" s="4"/>
      <c r="AM273" s="4"/>
      <c r="AN273" s="4"/>
      <c r="AO273" s="4"/>
      <c r="AP273" s="4"/>
      <c r="AQ273" s="4"/>
      <c r="AR273" s="4"/>
    </row>
    <row r="274" spans="1:44">
      <c r="A274" s="4"/>
      <c r="B274" s="47"/>
      <c r="C274" s="47"/>
      <c r="D274" s="48"/>
      <c r="E274" s="4"/>
      <c r="F274" s="11"/>
      <c r="G274" s="11"/>
      <c r="H274" s="11"/>
      <c r="I274" s="11"/>
      <c r="J274" s="11"/>
      <c r="K274" s="11"/>
      <c r="L274" s="11"/>
      <c r="M274" s="11"/>
      <c r="N274" s="11"/>
      <c r="O274" s="11"/>
      <c r="P274" s="14"/>
      <c r="Q274" s="14"/>
      <c r="R274" s="14"/>
      <c r="S274" s="14"/>
      <c r="T274" s="14"/>
      <c r="U274" s="14"/>
      <c r="V274" s="14"/>
      <c r="W274" s="14"/>
      <c r="X274" s="14"/>
      <c r="Y274" s="14"/>
      <c r="Z274" s="14"/>
      <c r="AA274" s="4"/>
      <c r="AB274" s="4"/>
      <c r="AC274" s="4"/>
      <c r="AD274" s="4"/>
      <c r="AE274" s="4"/>
      <c r="AF274" s="4"/>
      <c r="AG274" s="4"/>
      <c r="AH274" s="4"/>
      <c r="AI274" s="4"/>
      <c r="AJ274" s="4"/>
      <c r="AK274" s="4"/>
      <c r="AL274" s="4"/>
      <c r="AM274" s="4"/>
      <c r="AN274" s="4"/>
      <c r="AO274" s="4"/>
      <c r="AP274" s="4"/>
      <c r="AQ274" s="4"/>
      <c r="AR274" s="4"/>
    </row>
    <row r="275" spans="1:44">
      <c r="A275" s="4"/>
      <c r="B275" s="47"/>
      <c r="C275" s="47"/>
      <c r="D275" s="48"/>
      <c r="E275" s="4"/>
      <c r="F275" s="11"/>
      <c r="G275" s="11"/>
      <c r="H275" s="11"/>
      <c r="I275" s="11"/>
      <c r="J275" s="11"/>
      <c r="K275" s="11"/>
      <c r="L275" s="11"/>
      <c r="M275" s="11"/>
      <c r="N275" s="11"/>
      <c r="O275" s="11"/>
      <c r="P275" s="14"/>
      <c r="Q275" s="14"/>
      <c r="R275" s="14"/>
      <c r="S275" s="14"/>
      <c r="T275" s="14"/>
      <c r="U275" s="14"/>
      <c r="V275" s="14"/>
      <c r="W275" s="14"/>
      <c r="X275" s="14"/>
      <c r="Y275" s="14"/>
      <c r="Z275" s="14"/>
      <c r="AA275" s="4"/>
      <c r="AB275" s="4"/>
      <c r="AC275" s="4"/>
      <c r="AD275" s="4"/>
      <c r="AE275" s="4"/>
      <c r="AF275" s="4"/>
      <c r="AG275" s="4"/>
      <c r="AH275" s="4"/>
      <c r="AI275" s="4"/>
      <c r="AJ275" s="4"/>
      <c r="AK275" s="4"/>
      <c r="AL275" s="4"/>
      <c r="AM275" s="4"/>
      <c r="AN275" s="4"/>
      <c r="AO275" s="4"/>
      <c r="AP275" s="4"/>
      <c r="AQ275" s="4"/>
      <c r="AR275" s="4"/>
    </row>
    <row r="276" spans="1:44">
      <c r="A276" s="4"/>
      <c r="B276" s="47"/>
      <c r="C276" s="47"/>
      <c r="D276" s="48"/>
      <c r="E276" s="4"/>
      <c r="F276" s="11"/>
      <c r="G276" s="11"/>
      <c r="H276" s="11"/>
      <c r="I276" s="11"/>
      <c r="J276" s="11"/>
      <c r="K276" s="11"/>
      <c r="L276" s="11"/>
      <c r="M276" s="11"/>
      <c r="N276" s="11"/>
      <c r="O276" s="11"/>
      <c r="P276" s="14"/>
      <c r="Q276" s="14"/>
      <c r="R276" s="14"/>
      <c r="S276" s="14"/>
      <c r="T276" s="14"/>
      <c r="U276" s="14"/>
      <c r="V276" s="14"/>
      <c r="W276" s="14"/>
      <c r="X276" s="14"/>
      <c r="Y276" s="14"/>
      <c r="Z276" s="14"/>
      <c r="AA276" s="4"/>
      <c r="AB276" s="4"/>
      <c r="AC276" s="4"/>
      <c r="AD276" s="4"/>
      <c r="AE276" s="4"/>
      <c r="AF276" s="4"/>
      <c r="AG276" s="4"/>
      <c r="AH276" s="4"/>
      <c r="AI276" s="4"/>
      <c r="AJ276" s="4"/>
      <c r="AK276" s="4"/>
      <c r="AL276" s="4"/>
      <c r="AM276" s="4"/>
      <c r="AN276" s="4"/>
      <c r="AO276" s="4"/>
      <c r="AP276" s="4"/>
      <c r="AQ276" s="4"/>
      <c r="AR276" s="4"/>
    </row>
    <row r="277" spans="1:44">
      <c r="A277" s="4"/>
      <c r="B277" s="47"/>
      <c r="C277" s="47"/>
      <c r="D277" s="48"/>
      <c r="E277" s="4"/>
      <c r="F277" s="11"/>
      <c r="G277" s="11"/>
      <c r="H277" s="11"/>
      <c r="I277" s="11"/>
      <c r="J277" s="11"/>
      <c r="K277" s="11"/>
      <c r="L277" s="11"/>
      <c r="M277" s="11"/>
      <c r="N277" s="11"/>
      <c r="O277" s="11"/>
      <c r="P277" s="14"/>
      <c r="Q277" s="14"/>
      <c r="R277" s="14"/>
      <c r="S277" s="14"/>
      <c r="T277" s="14"/>
      <c r="U277" s="14"/>
      <c r="V277" s="14"/>
      <c r="W277" s="14"/>
      <c r="X277" s="14"/>
      <c r="Y277" s="14"/>
      <c r="Z277" s="14"/>
      <c r="AA277" s="4"/>
      <c r="AB277" s="4"/>
      <c r="AC277" s="4"/>
      <c r="AD277" s="4"/>
      <c r="AE277" s="4"/>
      <c r="AF277" s="4"/>
      <c r="AG277" s="4"/>
      <c r="AH277" s="4"/>
      <c r="AI277" s="4"/>
      <c r="AJ277" s="4"/>
      <c r="AK277" s="4"/>
      <c r="AL277" s="4"/>
      <c r="AM277" s="4"/>
      <c r="AN277" s="4"/>
      <c r="AO277" s="4"/>
      <c r="AP277" s="4"/>
      <c r="AQ277" s="4"/>
      <c r="AR277" s="4"/>
    </row>
    <row r="278" spans="1:44">
      <c r="A278" s="4"/>
      <c r="B278" s="47"/>
      <c r="C278" s="47"/>
      <c r="D278" s="48"/>
      <c r="E278" s="4"/>
      <c r="F278" s="11"/>
      <c r="G278" s="11"/>
      <c r="H278" s="11"/>
      <c r="I278" s="11"/>
      <c r="J278" s="11"/>
      <c r="K278" s="11"/>
      <c r="L278" s="11"/>
      <c r="M278" s="11"/>
      <c r="N278" s="11"/>
      <c r="O278" s="11"/>
      <c r="P278" s="14"/>
      <c r="Q278" s="14"/>
      <c r="R278" s="14"/>
      <c r="S278" s="14"/>
      <c r="T278" s="14"/>
      <c r="U278" s="14"/>
      <c r="V278" s="14"/>
      <c r="W278" s="14"/>
      <c r="X278" s="14"/>
      <c r="Y278" s="14"/>
      <c r="Z278" s="14"/>
      <c r="AA278" s="4"/>
      <c r="AB278" s="4"/>
      <c r="AC278" s="4"/>
      <c r="AD278" s="4"/>
      <c r="AE278" s="4"/>
      <c r="AF278" s="4"/>
      <c r="AG278" s="4"/>
      <c r="AH278" s="4"/>
      <c r="AI278" s="4"/>
      <c r="AJ278" s="4"/>
      <c r="AK278" s="4"/>
      <c r="AL278" s="4"/>
      <c r="AM278" s="4"/>
      <c r="AN278" s="4"/>
      <c r="AO278" s="4"/>
      <c r="AP278" s="4"/>
      <c r="AQ278" s="4"/>
      <c r="AR278" s="4"/>
    </row>
    <row r="279" spans="1:44">
      <c r="A279" s="4"/>
      <c r="B279" s="47"/>
      <c r="C279" s="47"/>
      <c r="D279" s="48"/>
      <c r="E279" s="4"/>
      <c r="F279" s="11"/>
      <c r="G279" s="11"/>
      <c r="H279" s="11"/>
      <c r="I279" s="11"/>
      <c r="J279" s="11"/>
      <c r="K279" s="11"/>
      <c r="L279" s="11"/>
      <c r="M279" s="11"/>
      <c r="N279" s="11"/>
      <c r="O279" s="11"/>
      <c r="P279" s="14"/>
      <c r="Q279" s="14"/>
      <c r="R279" s="14"/>
      <c r="S279" s="14"/>
      <c r="T279" s="14"/>
      <c r="U279" s="14"/>
      <c r="V279" s="14"/>
      <c r="W279" s="14"/>
      <c r="X279" s="14"/>
      <c r="Y279" s="14"/>
      <c r="Z279" s="14"/>
      <c r="AA279" s="4"/>
      <c r="AB279" s="4"/>
      <c r="AC279" s="4"/>
      <c r="AD279" s="4"/>
      <c r="AE279" s="4"/>
      <c r="AF279" s="4"/>
      <c r="AG279" s="4"/>
      <c r="AH279" s="4"/>
      <c r="AI279" s="4"/>
      <c r="AJ279" s="4"/>
      <c r="AK279" s="4"/>
      <c r="AL279" s="4"/>
      <c r="AM279" s="4"/>
      <c r="AN279" s="4"/>
      <c r="AO279" s="4"/>
      <c r="AP279" s="4"/>
      <c r="AQ279" s="4"/>
      <c r="AR279" s="4"/>
    </row>
    <row r="280" spans="1:44">
      <c r="A280" s="4"/>
      <c r="B280" s="47"/>
      <c r="C280" s="47"/>
      <c r="D280" s="48"/>
      <c r="E280" s="4"/>
      <c r="F280" s="11"/>
      <c r="G280" s="11"/>
      <c r="H280" s="11"/>
      <c r="I280" s="11"/>
      <c r="J280" s="11"/>
      <c r="K280" s="11"/>
      <c r="L280" s="11"/>
      <c r="M280" s="11"/>
      <c r="N280" s="11"/>
      <c r="O280" s="11"/>
      <c r="P280" s="14"/>
      <c r="Q280" s="14"/>
      <c r="R280" s="14"/>
      <c r="S280" s="14"/>
      <c r="T280" s="14"/>
      <c r="U280" s="14"/>
      <c r="V280" s="14"/>
      <c r="W280" s="14"/>
      <c r="X280" s="14"/>
      <c r="Y280" s="14"/>
      <c r="Z280" s="14"/>
      <c r="AA280" s="4"/>
      <c r="AB280" s="4"/>
      <c r="AC280" s="4"/>
      <c r="AD280" s="4"/>
      <c r="AE280" s="4"/>
      <c r="AF280" s="4"/>
      <c r="AG280" s="4"/>
      <c r="AH280" s="4"/>
      <c r="AI280" s="4"/>
      <c r="AJ280" s="4"/>
      <c r="AK280" s="4"/>
      <c r="AL280" s="4"/>
      <c r="AM280" s="4"/>
      <c r="AN280" s="4"/>
      <c r="AO280" s="4"/>
      <c r="AP280" s="4"/>
      <c r="AQ280" s="4"/>
      <c r="AR280" s="4"/>
    </row>
    <row r="281" spans="1:44">
      <c r="A281" s="4"/>
      <c r="B281" s="47"/>
      <c r="C281" s="47"/>
      <c r="D281" s="48"/>
      <c r="E281" s="4"/>
      <c r="F281" s="11"/>
      <c r="G281" s="11"/>
      <c r="H281" s="11"/>
      <c r="I281" s="11"/>
      <c r="J281" s="11"/>
      <c r="K281" s="11"/>
      <c r="L281" s="11"/>
      <c r="M281" s="11"/>
      <c r="N281" s="11"/>
      <c r="O281" s="11"/>
      <c r="P281" s="14"/>
      <c r="Q281" s="14"/>
      <c r="R281" s="14"/>
      <c r="S281" s="14"/>
      <c r="T281" s="14"/>
      <c r="U281" s="14"/>
      <c r="V281" s="14"/>
      <c r="W281" s="14"/>
      <c r="X281" s="14"/>
      <c r="Y281" s="14"/>
      <c r="Z281" s="14"/>
      <c r="AA281" s="4"/>
      <c r="AB281" s="4"/>
      <c r="AC281" s="4"/>
      <c r="AD281" s="4"/>
      <c r="AE281" s="4"/>
      <c r="AF281" s="4"/>
      <c r="AG281" s="4"/>
      <c r="AH281" s="4"/>
      <c r="AI281" s="4"/>
      <c r="AJ281" s="4"/>
      <c r="AK281" s="4"/>
      <c r="AL281" s="4"/>
      <c r="AM281" s="4"/>
      <c r="AN281" s="4"/>
      <c r="AO281" s="4"/>
      <c r="AP281" s="4"/>
      <c r="AQ281" s="4"/>
      <c r="AR281" s="4"/>
    </row>
    <row r="282" spans="1:44">
      <c r="A282" s="4"/>
      <c r="B282" s="47"/>
      <c r="C282" s="47"/>
      <c r="D282" s="48"/>
      <c r="E282" s="4"/>
      <c r="F282" s="11"/>
      <c r="G282" s="11"/>
      <c r="H282" s="11"/>
      <c r="I282" s="11"/>
      <c r="J282" s="11"/>
      <c r="K282" s="11"/>
      <c r="L282" s="11"/>
      <c r="M282" s="11"/>
      <c r="N282" s="11"/>
      <c r="O282" s="11"/>
      <c r="P282" s="14"/>
      <c r="Q282" s="14"/>
      <c r="R282" s="14"/>
      <c r="S282" s="14"/>
      <c r="T282" s="14"/>
      <c r="U282" s="14"/>
      <c r="V282" s="14"/>
      <c r="W282" s="14"/>
      <c r="X282" s="14"/>
      <c r="Y282" s="14"/>
      <c r="Z282" s="14"/>
      <c r="AA282" s="4"/>
      <c r="AB282" s="4"/>
      <c r="AC282" s="4"/>
      <c r="AD282" s="4"/>
      <c r="AE282" s="4"/>
      <c r="AF282" s="4"/>
      <c r="AG282" s="4"/>
      <c r="AH282" s="4"/>
      <c r="AI282" s="4"/>
      <c r="AJ282" s="4"/>
      <c r="AK282" s="4"/>
      <c r="AL282" s="4"/>
      <c r="AM282" s="4"/>
      <c r="AN282" s="4"/>
      <c r="AO282" s="4"/>
      <c r="AP282" s="4"/>
      <c r="AQ282" s="4"/>
      <c r="AR282" s="4"/>
    </row>
    <row r="283" spans="1:44">
      <c r="A283" s="4"/>
      <c r="B283" s="47"/>
      <c r="C283" s="47"/>
      <c r="D283" s="48"/>
      <c r="E283" s="4"/>
      <c r="F283" s="11"/>
      <c r="G283" s="11"/>
      <c r="H283" s="11"/>
      <c r="I283" s="11"/>
      <c r="J283" s="11"/>
      <c r="K283" s="11"/>
      <c r="L283" s="11"/>
      <c r="M283" s="11"/>
      <c r="N283" s="11"/>
      <c r="O283" s="11"/>
      <c r="P283" s="14"/>
      <c r="Q283" s="14"/>
      <c r="R283" s="14"/>
      <c r="S283" s="14"/>
      <c r="T283" s="14"/>
      <c r="U283" s="14"/>
      <c r="V283" s="14"/>
      <c r="W283" s="14"/>
      <c r="X283" s="14"/>
      <c r="Y283" s="14"/>
      <c r="Z283" s="14"/>
      <c r="AA283" s="4"/>
      <c r="AB283" s="4"/>
      <c r="AC283" s="4"/>
      <c r="AD283" s="4"/>
      <c r="AE283" s="4"/>
      <c r="AF283" s="4"/>
      <c r="AG283" s="4"/>
      <c r="AH283" s="4"/>
      <c r="AI283" s="4"/>
      <c r="AJ283" s="4"/>
      <c r="AK283" s="4"/>
      <c r="AL283" s="4"/>
      <c r="AM283" s="4"/>
      <c r="AN283" s="4"/>
      <c r="AO283" s="4"/>
      <c r="AP283" s="4"/>
      <c r="AQ283" s="4"/>
      <c r="AR283" s="4"/>
    </row>
    <row r="284" spans="1:44">
      <c r="A284" s="4"/>
      <c r="B284" s="47"/>
      <c r="C284" s="47"/>
      <c r="D284" s="48"/>
      <c r="E284" s="4"/>
      <c r="F284" s="11"/>
      <c r="G284" s="11"/>
      <c r="H284" s="11"/>
      <c r="I284" s="11"/>
      <c r="J284" s="11"/>
      <c r="K284" s="11"/>
      <c r="L284" s="11"/>
      <c r="M284" s="11"/>
      <c r="N284" s="11"/>
      <c r="O284" s="11"/>
      <c r="P284" s="14"/>
      <c r="Q284" s="14"/>
      <c r="R284" s="14"/>
      <c r="S284" s="14"/>
      <c r="T284" s="14"/>
      <c r="U284" s="14"/>
      <c r="V284" s="14"/>
      <c r="W284" s="14"/>
      <c r="X284" s="14"/>
      <c r="Y284" s="14"/>
      <c r="Z284" s="14"/>
      <c r="AA284" s="4"/>
      <c r="AB284" s="4"/>
      <c r="AC284" s="4"/>
      <c r="AD284" s="4"/>
      <c r="AE284" s="4"/>
      <c r="AF284" s="4"/>
      <c r="AG284" s="4"/>
      <c r="AH284" s="4"/>
      <c r="AI284" s="4"/>
      <c r="AJ284" s="4"/>
      <c r="AK284" s="4"/>
      <c r="AL284" s="4"/>
      <c r="AM284" s="4"/>
      <c r="AN284" s="4"/>
      <c r="AO284" s="4"/>
      <c r="AP284" s="4"/>
      <c r="AQ284" s="4"/>
      <c r="AR284" s="4"/>
    </row>
    <row r="285" spans="1:44">
      <c r="A285" s="4"/>
      <c r="B285" s="47"/>
      <c r="C285" s="47"/>
      <c r="D285" s="48"/>
      <c r="E285" s="4"/>
      <c r="F285" s="11"/>
      <c r="G285" s="11"/>
      <c r="H285" s="11"/>
      <c r="I285" s="11"/>
      <c r="J285" s="11"/>
      <c r="K285" s="11"/>
      <c r="L285" s="11"/>
      <c r="M285" s="11"/>
      <c r="N285" s="11"/>
      <c r="O285" s="11"/>
      <c r="P285" s="14"/>
      <c r="Q285" s="14"/>
      <c r="R285" s="14"/>
      <c r="S285" s="14"/>
      <c r="T285" s="14"/>
      <c r="U285" s="14"/>
      <c r="V285" s="14"/>
      <c r="W285" s="14"/>
      <c r="X285" s="14"/>
      <c r="Y285" s="14"/>
      <c r="Z285" s="14"/>
      <c r="AA285" s="4"/>
      <c r="AB285" s="4"/>
      <c r="AC285" s="4"/>
      <c r="AD285" s="4"/>
      <c r="AE285" s="4"/>
      <c r="AF285" s="4"/>
      <c r="AG285" s="4"/>
      <c r="AH285" s="4"/>
      <c r="AI285" s="4"/>
      <c r="AJ285" s="4"/>
      <c r="AK285" s="4"/>
      <c r="AL285" s="4"/>
      <c r="AM285" s="4"/>
      <c r="AN285" s="4"/>
      <c r="AO285" s="4"/>
      <c r="AP285" s="4"/>
      <c r="AQ285" s="4"/>
      <c r="AR285" s="4"/>
    </row>
    <row r="286" spans="1:44">
      <c r="A286" s="4"/>
      <c r="B286" s="47"/>
      <c r="C286" s="47"/>
      <c r="D286" s="48"/>
      <c r="E286" s="4"/>
      <c r="F286" s="11"/>
      <c r="G286" s="11"/>
      <c r="H286" s="11"/>
      <c r="I286" s="11"/>
      <c r="J286" s="11"/>
      <c r="K286" s="11"/>
      <c r="L286" s="11"/>
      <c r="M286" s="11"/>
      <c r="N286" s="11"/>
      <c r="O286" s="11"/>
      <c r="P286" s="14"/>
      <c r="Q286" s="14"/>
      <c r="R286" s="14"/>
      <c r="S286" s="14"/>
      <c r="T286" s="14"/>
      <c r="U286" s="14"/>
      <c r="V286" s="14"/>
      <c r="W286" s="14"/>
      <c r="X286" s="14"/>
      <c r="Y286" s="14"/>
      <c r="Z286" s="14"/>
      <c r="AA286" s="4"/>
      <c r="AB286" s="4"/>
      <c r="AC286" s="4"/>
      <c r="AD286" s="4"/>
      <c r="AE286" s="4"/>
      <c r="AF286" s="4"/>
      <c r="AG286" s="4"/>
      <c r="AH286" s="4"/>
      <c r="AI286" s="4"/>
      <c r="AJ286" s="4"/>
      <c r="AK286" s="4"/>
      <c r="AL286" s="4"/>
      <c r="AM286" s="4"/>
      <c r="AN286" s="4"/>
      <c r="AO286" s="4"/>
      <c r="AP286" s="4"/>
      <c r="AQ286" s="4"/>
      <c r="AR286" s="4"/>
    </row>
    <row r="287" spans="1:44">
      <c r="A287" s="4"/>
      <c r="B287" s="47"/>
      <c r="C287" s="47"/>
      <c r="D287" s="48"/>
      <c r="E287" s="4"/>
      <c r="F287" s="11"/>
      <c r="G287" s="11"/>
      <c r="H287" s="11"/>
      <c r="I287" s="11"/>
      <c r="J287" s="11"/>
      <c r="K287" s="11"/>
      <c r="L287" s="11"/>
      <c r="M287" s="11"/>
      <c r="N287" s="11"/>
      <c r="O287" s="11"/>
      <c r="P287" s="14"/>
      <c r="Q287" s="14"/>
      <c r="R287" s="14"/>
      <c r="S287" s="14"/>
      <c r="T287" s="14"/>
      <c r="U287" s="14"/>
      <c r="V287" s="14"/>
      <c r="W287" s="14"/>
      <c r="X287" s="14"/>
      <c r="Y287" s="14"/>
      <c r="Z287" s="14"/>
      <c r="AA287" s="4"/>
      <c r="AB287" s="4"/>
      <c r="AC287" s="4"/>
      <c r="AD287" s="4"/>
      <c r="AE287" s="4"/>
      <c r="AF287" s="4"/>
      <c r="AG287" s="4"/>
      <c r="AH287" s="4"/>
      <c r="AI287" s="4"/>
      <c r="AJ287" s="4"/>
      <c r="AK287" s="4"/>
      <c r="AL287" s="4"/>
      <c r="AM287" s="4"/>
      <c r="AN287" s="4"/>
      <c r="AO287" s="4"/>
      <c r="AP287" s="4"/>
      <c r="AQ287" s="4"/>
      <c r="AR287" s="4"/>
    </row>
    <row r="288" spans="1:44">
      <c r="A288" s="4"/>
      <c r="B288" s="47"/>
      <c r="C288" s="47"/>
      <c r="D288" s="48"/>
      <c r="E288" s="4"/>
      <c r="F288" s="11"/>
      <c r="G288" s="11"/>
      <c r="H288" s="11"/>
      <c r="I288" s="11"/>
      <c r="J288" s="11"/>
      <c r="K288" s="11"/>
      <c r="L288" s="11"/>
      <c r="M288" s="11"/>
      <c r="N288" s="11"/>
      <c r="O288" s="11"/>
      <c r="P288" s="14"/>
      <c r="Q288" s="14"/>
      <c r="R288" s="14"/>
      <c r="S288" s="14"/>
      <c r="T288" s="14"/>
      <c r="U288" s="14"/>
      <c r="V288" s="14"/>
      <c r="W288" s="14"/>
      <c r="X288" s="14"/>
      <c r="Y288" s="14"/>
      <c r="Z288" s="14"/>
      <c r="AA288" s="4"/>
      <c r="AB288" s="4"/>
      <c r="AC288" s="4"/>
      <c r="AD288" s="4"/>
      <c r="AE288" s="4"/>
      <c r="AF288" s="4"/>
      <c r="AG288" s="4"/>
      <c r="AH288" s="4"/>
      <c r="AI288" s="4"/>
      <c r="AJ288" s="4"/>
      <c r="AK288" s="4"/>
      <c r="AL288" s="4"/>
      <c r="AM288" s="4"/>
      <c r="AN288" s="4"/>
      <c r="AO288" s="4"/>
      <c r="AP288" s="4"/>
      <c r="AQ288" s="4"/>
      <c r="AR288" s="4"/>
    </row>
    <row r="289" spans="1:44">
      <c r="A289" s="4"/>
      <c r="B289" s="47"/>
      <c r="C289" s="47"/>
      <c r="D289" s="48"/>
      <c r="E289" s="4"/>
      <c r="F289" s="11"/>
      <c r="G289" s="11"/>
      <c r="H289" s="11"/>
      <c r="I289" s="11"/>
      <c r="J289" s="11"/>
      <c r="K289" s="11"/>
      <c r="L289" s="11"/>
      <c r="M289" s="11"/>
      <c r="N289" s="11"/>
      <c r="O289" s="11"/>
      <c r="P289" s="14"/>
      <c r="Q289" s="14"/>
      <c r="R289" s="14"/>
      <c r="S289" s="14"/>
      <c r="T289" s="14"/>
      <c r="U289" s="14"/>
      <c r="V289" s="14"/>
      <c r="W289" s="14"/>
      <c r="X289" s="14"/>
      <c r="Y289" s="14"/>
      <c r="Z289" s="14"/>
      <c r="AA289" s="4"/>
      <c r="AB289" s="4"/>
      <c r="AC289" s="4"/>
      <c r="AD289" s="4"/>
      <c r="AE289" s="4"/>
      <c r="AF289" s="4"/>
      <c r="AG289" s="4"/>
      <c r="AH289" s="4"/>
      <c r="AI289" s="4"/>
      <c r="AJ289" s="4"/>
      <c r="AK289" s="4"/>
      <c r="AL289" s="4"/>
      <c r="AM289" s="4"/>
      <c r="AN289" s="4"/>
      <c r="AO289" s="4"/>
      <c r="AP289" s="4"/>
      <c r="AQ289" s="4"/>
      <c r="AR289" s="4"/>
    </row>
    <row r="290" spans="1:44">
      <c r="A290" s="4"/>
      <c r="B290" s="47"/>
      <c r="C290" s="47"/>
      <c r="D290" s="48"/>
      <c r="E290" s="4"/>
      <c r="F290" s="11"/>
      <c r="G290" s="11"/>
      <c r="H290" s="11"/>
      <c r="I290" s="11"/>
      <c r="J290" s="11"/>
      <c r="K290" s="11"/>
      <c r="L290" s="11"/>
      <c r="M290" s="11"/>
      <c r="N290" s="11"/>
      <c r="O290" s="11"/>
      <c r="P290" s="14"/>
      <c r="Q290" s="14"/>
      <c r="R290" s="14"/>
      <c r="S290" s="14"/>
      <c r="T290" s="14"/>
      <c r="U290" s="14"/>
      <c r="V290" s="14"/>
      <c r="W290" s="14"/>
      <c r="X290" s="14"/>
      <c r="Y290" s="14"/>
      <c r="Z290" s="14"/>
      <c r="AA290" s="4"/>
      <c r="AB290" s="4"/>
      <c r="AC290" s="4"/>
      <c r="AD290" s="4"/>
      <c r="AE290" s="4"/>
      <c r="AF290" s="4"/>
      <c r="AG290" s="4"/>
      <c r="AH290" s="4"/>
      <c r="AI290" s="4"/>
      <c r="AJ290" s="4"/>
      <c r="AK290" s="4"/>
      <c r="AL290" s="4"/>
      <c r="AM290" s="4"/>
      <c r="AN290" s="4"/>
      <c r="AO290" s="4"/>
      <c r="AP290" s="4"/>
      <c r="AQ290" s="4"/>
      <c r="AR290" s="4"/>
    </row>
    <row r="291" spans="1:44">
      <c r="A291" s="4"/>
      <c r="B291" s="47"/>
      <c r="C291" s="47"/>
      <c r="D291" s="48"/>
      <c r="E291" s="4"/>
      <c r="F291" s="11"/>
      <c r="G291" s="11"/>
      <c r="H291" s="11"/>
      <c r="I291" s="11"/>
      <c r="J291" s="11"/>
      <c r="K291" s="11"/>
      <c r="L291" s="11"/>
      <c r="M291" s="11"/>
      <c r="N291" s="11"/>
      <c r="O291" s="11"/>
      <c r="P291" s="14"/>
      <c r="Q291" s="14"/>
      <c r="R291" s="14"/>
      <c r="S291" s="14"/>
      <c r="T291" s="14"/>
      <c r="U291" s="14"/>
      <c r="V291" s="14"/>
      <c r="W291" s="14"/>
      <c r="X291" s="14"/>
      <c r="Y291" s="14"/>
      <c r="Z291" s="14"/>
      <c r="AA291" s="4"/>
      <c r="AB291" s="4"/>
      <c r="AC291" s="4"/>
      <c r="AD291" s="4"/>
      <c r="AE291" s="4"/>
      <c r="AF291" s="4"/>
      <c r="AG291" s="4"/>
      <c r="AH291" s="4"/>
      <c r="AI291" s="4"/>
      <c r="AJ291" s="4"/>
      <c r="AK291" s="4"/>
      <c r="AL291" s="4"/>
      <c r="AM291" s="4"/>
      <c r="AN291" s="4"/>
      <c r="AO291" s="4"/>
      <c r="AP291" s="4"/>
      <c r="AQ291" s="4"/>
      <c r="AR291" s="4"/>
    </row>
    <row r="292" spans="1:44">
      <c r="A292" s="4"/>
      <c r="B292" s="47"/>
      <c r="C292" s="47"/>
      <c r="D292" s="48"/>
      <c r="E292" s="4"/>
      <c r="F292" s="11"/>
      <c r="G292" s="11"/>
      <c r="H292" s="11"/>
      <c r="I292" s="11"/>
      <c r="J292" s="11"/>
      <c r="K292" s="11"/>
      <c r="L292" s="11"/>
      <c r="M292" s="11"/>
      <c r="N292" s="11"/>
      <c r="O292" s="11"/>
      <c r="P292" s="14"/>
      <c r="Q292" s="14"/>
      <c r="R292" s="14"/>
      <c r="S292" s="14"/>
      <c r="T292" s="14"/>
      <c r="U292" s="14"/>
      <c r="V292" s="14"/>
      <c r="W292" s="14"/>
      <c r="X292" s="14"/>
      <c r="Y292" s="14"/>
      <c r="Z292" s="14"/>
      <c r="AA292" s="4"/>
      <c r="AB292" s="4"/>
      <c r="AC292" s="4"/>
      <c r="AD292" s="4"/>
      <c r="AE292" s="4"/>
      <c r="AF292" s="4"/>
      <c r="AG292" s="4"/>
      <c r="AH292" s="4"/>
      <c r="AI292" s="4"/>
      <c r="AJ292" s="4"/>
      <c r="AK292" s="4"/>
      <c r="AL292" s="4"/>
      <c r="AM292" s="4"/>
      <c r="AN292" s="4"/>
      <c r="AO292" s="4"/>
      <c r="AP292" s="4"/>
      <c r="AQ292" s="4"/>
      <c r="AR292" s="4"/>
    </row>
    <row r="293" spans="1:44">
      <c r="A293" s="4"/>
      <c r="B293" s="47"/>
      <c r="C293" s="47"/>
      <c r="D293" s="48"/>
      <c r="E293" s="4"/>
      <c r="F293" s="11"/>
      <c r="G293" s="11"/>
      <c r="H293" s="11"/>
      <c r="I293" s="11"/>
      <c r="J293" s="11"/>
      <c r="K293" s="11"/>
      <c r="L293" s="11"/>
      <c r="M293" s="11"/>
      <c r="N293" s="11"/>
      <c r="O293" s="11"/>
      <c r="P293" s="14"/>
      <c r="Q293" s="14"/>
      <c r="R293" s="14"/>
      <c r="S293" s="14"/>
      <c r="T293" s="14"/>
      <c r="U293" s="14"/>
      <c r="V293" s="14"/>
      <c r="W293" s="14"/>
      <c r="X293" s="14"/>
      <c r="Y293" s="14"/>
      <c r="Z293" s="14"/>
      <c r="AA293" s="4"/>
      <c r="AB293" s="4"/>
      <c r="AC293" s="4"/>
      <c r="AD293" s="4"/>
      <c r="AE293" s="4"/>
      <c r="AF293" s="4"/>
      <c r="AG293" s="4"/>
      <c r="AH293" s="4"/>
      <c r="AI293" s="4"/>
      <c r="AJ293" s="4"/>
      <c r="AK293" s="4"/>
      <c r="AL293" s="4"/>
      <c r="AM293" s="4"/>
      <c r="AN293" s="4"/>
      <c r="AO293" s="4"/>
      <c r="AP293" s="4"/>
      <c r="AQ293" s="4"/>
      <c r="AR293" s="4"/>
    </row>
    <row r="294" spans="1:44">
      <c r="A294" s="4"/>
      <c r="B294" s="47"/>
      <c r="C294" s="47"/>
      <c r="D294" s="48"/>
      <c r="E294" s="4"/>
      <c r="F294" s="11"/>
      <c r="G294" s="11"/>
      <c r="H294" s="11"/>
      <c r="I294" s="11"/>
      <c r="J294" s="11"/>
      <c r="K294" s="11"/>
      <c r="L294" s="11"/>
      <c r="M294" s="11"/>
      <c r="N294" s="11"/>
      <c r="O294" s="11"/>
      <c r="P294" s="14"/>
      <c r="Q294" s="14"/>
      <c r="R294" s="14"/>
      <c r="S294" s="14"/>
      <c r="T294" s="14"/>
      <c r="U294" s="14"/>
      <c r="V294" s="14"/>
      <c r="W294" s="14"/>
      <c r="X294" s="14"/>
      <c r="Y294" s="14"/>
      <c r="Z294" s="14"/>
      <c r="AA294" s="4"/>
      <c r="AB294" s="4"/>
      <c r="AC294" s="4"/>
      <c r="AD294" s="4"/>
      <c r="AE294" s="4"/>
      <c r="AF294" s="4"/>
      <c r="AG294" s="4"/>
      <c r="AH294" s="4"/>
      <c r="AI294" s="4"/>
      <c r="AJ294" s="4"/>
      <c r="AK294" s="4"/>
      <c r="AL294" s="4"/>
      <c r="AM294" s="4"/>
      <c r="AN294" s="4"/>
      <c r="AO294" s="4"/>
      <c r="AP294" s="4"/>
      <c r="AQ294" s="4"/>
      <c r="AR294" s="4"/>
    </row>
    <row r="295" spans="1:44">
      <c r="A295" s="4"/>
      <c r="B295" s="47"/>
      <c r="C295" s="47"/>
      <c r="D295" s="48"/>
      <c r="E295" s="4"/>
      <c r="F295" s="11"/>
      <c r="G295" s="11"/>
      <c r="H295" s="11"/>
      <c r="I295" s="11"/>
      <c r="J295" s="11"/>
      <c r="K295" s="11"/>
      <c r="L295" s="11"/>
      <c r="M295" s="11"/>
      <c r="N295" s="11"/>
      <c r="O295" s="11"/>
      <c r="P295" s="14"/>
      <c r="Q295" s="14"/>
      <c r="R295" s="14"/>
      <c r="S295" s="14"/>
      <c r="T295" s="14"/>
      <c r="U295" s="14"/>
      <c r="V295" s="14"/>
      <c r="W295" s="14"/>
      <c r="X295" s="14"/>
      <c r="Y295" s="14"/>
      <c r="Z295" s="14"/>
      <c r="AA295" s="4"/>
      <c r="AB295" s="4"/>
      <c r="AC295" s="4"/>
      <c r="AD295" s="4"/>
      <c r="AE295" s="4"/>
      <c r="AF295" s="4"/>
      <c r="AG295" s="4"/>
      <c r="AH295" s="4"/>
      <c r="AI295" s="4"/>
      <c r="AJ295" s="4"/>
      <c r="AK295" s="4"/>
      <c r="AL295" s="4"/>
      <c r="AM295" s="4"/>
      <c r="AN295" s="4"/>
      <c r="AO295" s="4"/>
      <c r="AP295" s="4"/>
      <c r="AQ295" s="4"/>
      <c r="AR295" s="4"/>
    </row>
    <row r="296" spans="1:44">
      <c r="A296" s="4"/>
      <c r="B296" s="47"/>
      <c r="C296" s="47"/>
      <c r="D296" s="48"/>
      <c r="E296" s="4"/>
      <c r="F296" s="11"/>
      <c r="G296" s="11"/>
      <c r="H296" s="11"/>
      <c r="I296" s="11"/>
      <c r="J296" s="11"/>
      <c r="K296" s="11"/>
      <c r="L296" s="11"/>
      <c r="M296" s="11"/>
      <c r="N296" s="11"/>
      <c r="O296" s="11"/>
      <c r="P296" s="14"/>
      <c r="Q296" s="14"/>
      <c r="R296" s="14"/>
      <c r="S296" s="14"/>
      <c r="T296" s="14"/>
      <c r="U296" s="14"/>
      <c r="V296" s="14"/>
      <c r="W296" s="14"/>
      <c r="X296" s="14"/>
      <c r="Y296" s="14"/>
      <c r="Z296" s="14"/>
      <c r="AA296" s="4"/>
      <c r="AB296" s="4"/>
      <c r="AC296" s="4"/>
      <c r="AD296" s="4"/>
      <c r="AE296" s="4"/>
      <c r="AF296" s="4"/>
      <c r="AG296" s="4"/>
      <c r="AH296" s="4"/>
      <c r="AI296" s="4"/>
      <c r="AJ296" s="4"/>
      <c r="AK296" s="4"/>
      <c r="AL296" s="4"/>
      <c r="AM296" s="4"/>
      <c r="AN296" s="4"/>
      <c r="AO296" s="4"/>
      <c r="AP296" s="4"/>
      <c r="AQ296" s="4"/>
      <c r="AR296" s="4"/>
    </row>
    <row r="297" spans="1:44">
      <c r="A297" s="4"/>
      <c r="B297" s="47"/>
      <c r="C297" s="47"/>
      <c r="D297" s="48"/>
      <c r="E297" s="4"/>
      <c r="F297" s="11"/>
      <c r="G297" s="11"/>
      <c r="H297" s="11"/>
      <c r="I297" s="11"/>
      <c r="J297" s="11"/>
      <c r="K297" s="11"/>
      <c r="L297" s="11"/>
      <c r="M297" s="11"/>
      <c r="N297" s="11"/>
      <c r="O297" s="11"/>
      <c r="P297" s="14"/>
      <c r="Q297" s="14"/>
      <c r="R297" s="14"/>
      <c r="S297" s="14"/>
      <c r="T297" s="14"/>
      <c r="U297" s="14"/>
      <c r="V297" s="14"/>
      <c r="W297" s="14"/>
      <c r="X297" s="14"/>
      <c r="Y297" s="14"/>
      <c r="Z297" s="14"/>
      <c r="AA297" s="4"/>
      <c r="AB297" s="4"/>
      <c r="AC297" s="4"/>
      <c r="AD297" s="4"/>
      <c r="AE297" s="4"/>
      <c r="AF297" s="4"/>
      <c r="AG297" s="4"/>
      <c r="AH297" s="4"/>
      <c r="AI297" s="4"/>
      <c r="AJ297" s="4"/>
      <c r="AK297" s="4"/>
      <c r="AL297" s="4"/>
      <c r="AM297" s="4"/>
      <c r="AN297" s="4"/>
      <c r="AO297" s="4"/>
      <c r="AP297" s="4"/>
      <c r="AQ297" s="4"/>
      <c r="AR297" s="4"/>
    </row>
    <row r="298" spans="1:44">
      <c r="A298" s="4"/>
      <c r="B298" s="47"/>
      <c r="C298" s="47"/>
      <c r="D298" s="48"/>
      <c r="E298" s="4"/>
      <c r="F298" s="11"/>
      <c r="G298" s="11"/>
      <c r="H298" s="11"/>
      <c r="I298" s="11"/>
      <c r="J298" s="11"/>
      <c r="K298" s="11"/>
      <c r="L298" s="11"/>
      <c r="M298" s="11"/>
      <c r="N298" s="11"/>
      <c r="O298" s="11"/>
      <c r="P298" s="14"/>
      <c r="Q298" s="14"/>
      <c r="R298" s="14"/>
      <c r="S298" s="14"/>
      <c r="T298" s="14"/>
      <c r="U298" s="14"/>
      <c r="V298" s="14"/>
      <c r="W298" s="14"/>
      <c r="X298" s="14"/>
      <c r="Y298" s="14"/>
      <c r="Z298" s="14"/>
      <c r="AA298" s="4"/>
      <c r="AB298" s="4"/>
      <c r="AC298" s="4"/>
      <c r="AD298" s="4"/>
      <c r="AE298" s="4"/>
      <c r="AF298" s="4"/>
      <c r="AG298" s="4"/>
      <c r="AH298" s="4"/>
      <c r="AI298" s="4"/>
      <c r="AJ298" s="4"/>
      <c r="AK298" s="4"/>
      <c r="AL298" s="4"/>
      <c r="AM298" s="4"/>
      <c r="AN298" s="4"/>
      <c r="AO298" s="4"/>
      <c r="AP298" s="4"/>
      <c r="AQ298" s="4"/>
      <c r="AR298" s="4"/>
    </row>
    <row r="299" spans="1:44">
      <c r="A299" s="4"/>
      <c r="B299" s="47"/>
      <c r="C299" s="47"/>
      <c r="D299" s="48"/>
      <c r="E299" s="4"/>
      <c r="F299" s="11"/>
      <c r="G299" s="11"/>
      <c r="H299" s="11"/>
      <c r="I299" s="11"/>
      <c r="J299" s="11"/>
      <c r="K299" s="11"/>
      <c r="L299" s="11"/>
      <c r="M299" s="11"/>
      <c r="N299" s="11"/>
      <c r="O299" s="11"/>
      <c r="P299" s="14"/>
      <c r="Q299" s="14"/>
      <c r="R299" s="14"/>
      <c r="S299" s="14"/>
      <c r="T299" s="14"/>
      <c r="U299" s="14"/>
      <c r="V299" s="14"/>
      <c r="W299" s="14"/>
      <c r="X299" s="14"/>
      <c r="Y299" s="14"/>
      <c r="Z299" s="14"/>
      <c r="AA299" s="4"/>
      <c r="AB299" s="4"/>
      <c r="AC299" s="4"/>
      <c r="AD299" s="4"/>
      <c r="AE299" s="4"/>
      <c r="AF299" s="4"/>
      <c r="AG299" s="4"/>
      <c r="AH299" s="4"/>
      <c r="AI299" s="4"/>
      <c r="AJ299" s="4"/>
      <c r="AK299" s="4"/>
      <c r="AL299" s="4"/>
      <c r="AM299" s="4"/>
      <c r="AN299" s="4"/>
      <c r="AO299" s="4"/>
      <c r="AP299" s="4"/>
      <c r="AQ299" s="4"/>
      <c r="AR299" s="4"/>
    </row>
    <row r="300" spans="1:44">
      <c r="A300" s="4"/>
      <c r="B300" s="47"/>
      <c r="C300" s="47"/>
      <c r="D300" s="48"/>
      <c r="E300" s="4"/>
      <c r="F300" s="11"/>
      <c r="G300" s="11"/>
      <c r="H300" s="11"/>
      <c r="I300" s="11"/>
      <c r="J300" s="11"/>
      <c r="K300" s="11"/>
      <c r="L300" s="11"/>
      <c r="M300" s="11"/>
      <c r="N300" s="11"/>
      <c r="O300" s="11"/>
      <c r="P300" s="14"/>
      <c r="Q300" s="14"/>
      <c r="R300" s="14"/>
      <c r="S300" s="14"/>
      <c r="T300" s="14"/>
      <c r="U300" s="14"/>
      <c r="V300" s="14"/>
      <c r="W300" s="14"/>
      <c r="X300" s="14"/>
      <c r="Y300" s="14"/>
      <c r="Z300" s="14"/>
      <c r="AA300" s="4"/>
      <c r="AB300" s="4"/>
      <c r="AC300" s="4"/>
      <c r="AD300" s="4"/>
      <c r="AE300" s="4"/>
      <c r="AF300" s="4"/>
      <c r="AG300" s="4"/>
      <c r="AH300" s="4"/>
      <c r="AI300" s="4"/>
      <c r="AJ300" s="4"/>
      <c r="AK300" s="4"/>
      <c r="AL300" s="4"/>
      <c r="AM300" s="4"/>
      <c r="AN300" s="4"/>
      <c r="AO300" s="4"/>
      <c r="AP300" s="4"/>
      <c r="AQ300" s="4"/>
      <c r="AR300" s="4"/>
    </row>
    <row r="301" spans="1:44">
      <c r="A301" s="4"/>
      <c r="B301" s="47"/>
      <c r="C301" s="47"/>
      <c r="D301" s="48"/>
      <c r="E301" s="4"/>
      <c r="F301" s="11"/>
      <c r="G301" s="11"/>
      <c r="H301" s="11"/>
      <c r="I301" s="11"/>
      <c r="J301" s="11"/>
      <c r="K301" s="11"/>
      <c r="L301" s="11"/>
      <c r="M301" s="11"/>
      <c r="N301" s="11"/>
      <c r="O301" s="11"/>
      <c r="P301" s="14"/>
      <c r="Q301" s="14"/>
      <c r="R301" s="14"/>
      <c r="S301" s="14"/>
      <c r="T301" s="14"/>
      <c r="U301" s="14"/>
      <c r="V301" s="14"/>
      <c r="W301" s="14"/>
      <c r="X301" s="14"/>
      <c r="Y301" s="14"/>
      <c r="Z301" s="14"/>
      <c r="AA301" s="4"/>
      <c r="AB301" s="4"/>
      <c r="AC301" s="4"/>
      <c r="AD301" s="4"/>
      <c r="AE301" s="4"/>
      <c r="AF301" s="4"/>
      <c r="AG301" s="4"/>
      <c r="AH301" s="4"/>
      <c r="AI301" s="4"/>
      <c r="AJ301" s="4"/>
      <c r="AK301" s="4"/>
      <c r="AL301" s="4"/>
      <c r="AM301" s="4"/>
      <c r="AN301" s="4"/>
      <c r="AO301" s="4"/>
      <c r="AP301" s="4"/>
      <c r="AQ301" s="4"/>
      <c r="AR301" s="4"/>
    </row>
    <row r="302" spans="1:44">
      <c r="A302" s="4"/>
      <c r="B302" s="47"/>
      <c r="C302" s="47"/>
      <c r="D302" s="48"/>
      <c r="E302" s="4"/>
      <c r="F302" s="11"/>
      <c r="G302" s="11"/>
      <c r="H302" s="11"/>
      <c r="I302" s="11"/>
      <c r="J302" s="11"/>
      <c r="K302" s="11"/>
      <c r="L302" s="11"/>
      <c r="M302" s="11"/>
      <c r="N302" s="11"/>
      <c r="O302" s="11"/>
      <c r="P302" s="14"/>
      <c r="Q302" s="14"/>
      <c r="R302" s="14"/>
      <c r="S302" s="14"/>
      <c r="T302" s="14"/>
      <c r="U302" s="14"/>
      <c r="V302" s="14"/>
      <c r="W302" s="14"/>
      <c r="X302" s="14"/>
      <c r="Y302" s="14"/>
      <c r="Z302" s="14"/>
      <c r="AA302" s="4"/>
      <c r="AB302" s="4"/>
      <c r="AC302" s="4"/>
      <c r="AD302" s="4"/>
      <c r="AE302" s="4"/>
      <c r="AF302" s="4"/>
      <c r="AG302" s="4"/>
      <c r="AH302" s="4"/>
      <c r="AI302" s="4"/>
      <c r="AJ302" s="4"/>
      <c r="AK302" s="4"/>
      <c r="AL302" s="4"/>
      <c r="AM302" s="4"/>
      <c r="AN302" s="4"/>
      <c r="AO302" s="4"/>
      <c r="AP302" s="4"/>
      <c r="AQ302" s="4"/>
      <c r="AR302" s="4"/>
    </row>
    <row r="303" spans="1:44">
      <c r="A303" s="4"/>
      <c r="B303" s="47"/>
      <c r="C303" s="47"/>
      <c r="D303" s="48"/>
      <c r="E303" s="4"/>
      <c r="F303" s="11"/>
      <c r="G303" s="11"/>
      <c r="H303" s="11"/>
      <c r="I303" s="11"/>
      <c r="J303" s="11"/>
      <c r="K303" s="11"/>
      <c r="L303" s="11"/>
      <c r="M303" s="11"/>
      <c r="N303" s="11"/>
      <c r="O303" s="11"/>
      <c r="P303" s="14"/>
      <c r="Q303" s="14"/>
      <c r="R303" s="14"/>
      <c r="S303" s="14"/>
      <c r="T303" s="14"/>
      <c r="U303" s="14"/>
      <c r="V303" s="14"/>
      <c r="W303" s="14"/>
      <c r="X303" s="14"/>
      <c r="Y303" s="14"/>
      <c r="Z303" s="14"/>
      <c r="AA303" s="4"/>
      <c r="AB303" s="4"/>
      <c r="AC303" s="4"/>
      <c r="AD303" s="4"/>
      <c r="AE303" s="4"/>
      <c r="AF303" s="4"/>
      <c r="AG303" s="4"/>
      <c r="AH303" s="4"/>
      <c r="AI303" s="4"/>
      <c r="AJ303" s="4"/>
      <c r="AK303" s="4"/>
      <c r="AL303" s="4"/>
      <c r="AM303" s="4"/>
      <c r="AN303" s="4"/>
      <c r="AO303" s="4"/>
      <c r="AP303" s="4"/>
      <c r="AQ303" s="4"/>
      <c r="AR303" s="4"/>
    </row>
    <row r="304" spans="1:44">
      <c r="A304" s="4"/>
      <c r="B304" s="47"/>
      <c r="C304" s="47"/>
      <c r="D304" s="48"/>
      <c r="E304" s="4"/>
      <c r="F304" s="11"/>
      <c r="G304" s="11"/>
      <c r="H304" s="11"/>
      <c r="I304" s="11"/>
      <c r="J304" s="11"/>
      <c r="K304" s="11"/>
      <c r="L304" s="11"/>
      <c r="M304" s="11"/>
      <c r="N304" s="11"/>
      <c r="O304" s="11"/>
      <c r="P304" s="14"/>
      <c r="Q304" s="14"/>
      <c r="R304" s="14"/>
      <c r="S304" s="14"/>
      <c r="T304" s="14"/>
      <c r="U304" s="14"/>
      <c r="V304" s="14"/>
      <c r="W304" s="14"/>
      <c r="X304" s="14"/>
      <c r="Y304" s="14"/>
      <c r="Z304" s="14"/>
      <c r="AA304" s="4"/>
      <c r="AB304" s="4"/>
      <c r="AC304" s="4"/>
      <c r="AD304" s="4"/>
      <c r="AE304" s="4"/>
      <c r="AF304" s="4"/>
      <c r="AG304" s="4"/>
      <c r="AH304" s="4"/>
      <c r="AI304" s="4"/>
      <c r="AJ304" s="4"/>
      <c r="AK304" s="4"/>
      <c r="AL304" s="4"/>
      <c r="AM304" s="4"/>
      <c r="AN304" s="4"/>
      <c r="AO304" s="4"/>
      <c r="AP304" s="4"/>
      <c r="AQ304" s="4"/>
      <c r="AR304" s="4"/>
    </row>
    <row r="305" spans="1:44">
      <c r="A305" s="4"/>
      <c r="B305" s="47"/>
      <c r="C305" s="47"/>
      <c r="D305" s="48"/>
      <c r="E305" s="4"/>
      <c r="F305" s="11"/>
      <c r="G305" s="11"/>
      <c r="H305" s="11"/>
      <c r="I305" s="11"/>
      <c r="J305" s="11"/>
      <c r="K305" s="11"/>
      <c r="L305" s="11"/>
      <c r="M305" s="11"/>
      <c r="N305" s="11"/>
      <c r="O305" s="11"/>
      <c r="P305" s="14"/>
      <c r="Q305" s="14"/>
      <c r="R305" s="14"/>
      <c r="S305" s="14"/>
      <c r="T305" s="14"/>
      <c r="U305" s="14"/>
      <c r="V305" s="14"/>
      <c r="W305" s="14"/>
      <c r="X305" s="14"/>
      <c r="Y305" s="14"/>
      <c r="Z305" s="14"/>
      <c r="AA305" s="4"/>
      <c r="AB305" s="4"/>
      <c r="AC305" s="4"/>
      <c r="AD305" s="4"/>
      <c r="AE305" s="4"/>
      <c r="AF305" s="4"/>
      <c r="AG305" s="4"/>
      <c r="AH305" s="4"/>
      <c r="AI305" s="4"/>
      <c r="AJ305" s="4"/>
      <c r="AK305" s="4"/>
      <c r="AL305" s="4"/>
      <c r="AM305" s="4"/>
      <c r="AN305" s="4"/>
      <c r="AO305" s="4"/>
      <c r="AP305" s="4"/>
      <c r="AQ305" s="4"/>
      <c r="AR305" s="4"/>
    </row>
    <row r="306" spans="1:44">
      <c r="A306" s="4"/>
      <c r="B306" s="47"/>
      <c r="C306" s="47"/>
      <c r="D306" s="48"/>
      <c r="E306" s="4"/>
      <c r="F306" s="11"/>
      <c r="G306" s="11"/>
      <c r="H306" s="11"/>
      <c r="I306" s="11"/>
      <c r="J306" s="11"/>
      <c r="K306" s="11"/>
      <c r="L306" s="11"/>
      <c r="M306" s="11"/>
      <c r="N306" s="11"/>
      <c r="O306" s="11"/>
      <c r="P306" s="14"/>
      <c r="Q306" s="14"/>
      <c r="R306" s="14"/>
      <c r="S306" s="14"/>
      <c r="T306" s="14"/>
      <c r="U306" s="14"/>
      <c r="V306" s="14"/>
      <c r="W306" s="14"/>
      <c r="X306" s="14"/>
      <c r="Y306" s="14"/>
      <c r="Z306" s="14"/>
      <c r="AA306" s="4"/>
      <c r="AB306" s="4"/>
      <c r="AC306" s="4"/>
      <c r="AD306" s="4"/>
      <c r="AE306" s="4"/>
      <c r="AF306" s="4"/>
      <c r="AG306" s="4"/>
      <c r="AH306" s="4"/>
      <c r="AI306" s="4"/>
      <c r="AJ306" s="4"/>
      <c r="AK306" s="4"/>
      <c r="AL306" s="4"/>
      <c r="AM306" s="4"/>
      <c r="AN306" s="4"/>
      <c r="AO306" s="4"/>
      <c r="AP306" s="4"/>
      <c r="AQ306" s="4"/>
      <c r="AR306" s="4"/>
    </row>
    <row r="307" spans="1:44">
      <c r="A307" s="4"/>
      <c r="B307" s="47"/>
      <c r="C307" s="47"/>
      <c r="D307" s="48"/>
      <c r="E307" s="4"/>
      <c r="F307" s="11"/>
      <c r="G307" s="11"/>
      <c r="H307" s="11"/>
      <c r="I307" s="11"/>
      <c r="J307" s="11"/>
      <c r="K307" s="11"/>
      <c r="L307" s="11"/>
      <c r="M307" s="11"/>
      <c r="N307" s="11"/>
      <c r="O307" s="11"/>
      <c r="P307" s="14"/>
      <c r="Q307" s="14"/>
      <c r="R307" s="14"/>
      <c r="S307" s="14"/>
      <c r="T307" s="14"/>
      <c r="U307" s="14"/>
      <c r="V307" s="14"/>
      <c r="W307" s="14"/>
      <c r="X307" s="14"/>
      <c r="Y307" s="14"/>
      <c r="Z307" s="14"/>
      <c r="AA307" s="4"/>
      <c r="AB307" s="4"/>
      <c r="AC307" s="4"/>
      <c r="AD307" s="4"/>
      <c r="AE307" s="4"/>
      <c r="AF307" s="4"/>
      <c r="AG307" s="4"/>
      <c r="AH307" s="4"/>
      <c r="AI307" s="4"/>
      <c r="AJ307" s="4"/>
      <c r="AK307" s="4"/>
      <c r="AL307" s="4"/>
      <c r="AM307" s="4"/>
      <c r="AN307" s="4"/>
      <c r="AO307" s="4"/>
      <c r="AP307" s="4"/>
      <c r="AQ307" s="4"/>
      <c r="AR307" s="4"/>
    </row>
    <row r="308" spans="1:44">
      <c r="A308" s="4"/>
      <c r="B308" s="47"/>
      <c r="C308" s="47"/>
      <c r="D308" s="48"/>
      <c r="E308" s="4"/>
      <c r="F308" s="11"/>
      <c r="G308" s="11"/>
      <c r="H308" s="11"/>
      <c r="I308" s="11"/>
      <c r="J308" s="11"/>
      <c r="K308" s="11"/>
      <c r="L308" s="11"/>
      <c r="M308" s="11"/>
      <c r="N308" s="11"/>
      <c r="O308" s="11"/>
      <c r="P308" s="14"/>
      <c r="Q308" s="14"/>
      <c r="R308" s="14"/>
      <c r="S308" s="14"/>
      <c r="T308" s="14"/>
      <c r="U308" s="14"/>
      <c r="V308" s="14"/>
      <c r="W308" s="14"/>
      <c r="X308" s="14"/>
      <c r="Y308" s="14"/>
      <c r="Z308" s="14"/>
      <c r="AA308" s="4"/>
      <c r="AB308" s="4"/>
      <c r="AC308" s="4"/>
      <c r="AD308" s="4"/>
      <c r="AE308" s="4"/>
      <c r="AF308" s="4"/>
      <c r="AG308" s="4"/>
      <c r="AH308" s="4"/>
      <c r="AI308" s="4"/>
      <c r="AJ308" s="4"/>
      <c r="AK308" s="4"/>
      <c r="AL308" s="4"/>
      <c r="AM308" s="4"/>
      <c r="AN308" s="4"/>
      <c r="AO308" s="4"/>
      <c r="AP308" s="4"/>
      <c r="AQ308" s="4"/>
      <c r="AR308" s="4"/>
    </row>
    <row r="309" spans="1:44">
      <c r="A309" s="4"/>
      <c r="B309" s="47"/>
      <c r="C309" s="47"/>
      <c r="D309" s="48"/>
      <c r="E309" s="4"/>
      <c r="F309" s="11"/>
      <c r="G309" s="11"/>
      <c r="H309" s="11"/>
      <c r="I309" s="11"/>
      <c r="J309" s="11"/>
      <c r="K309" s="11"/>
      <c r="L309" s="11"/>
      <c r="M309" s="11"/>
      <c r="N309" s="11"/>
      <c r="O309" s="11"/>
      <c r="P309" s="14"/>
      <c r="Q309" s="14"/>
      <c r="R309" s="14"/>
      <c r="S309" s="14"/>
      <c r="T309" s="14"/>
      <c r="U309" s="14"/>
      <c r="V309" s="14"/>
      <c r="W309" s="14"/>
      <c r="X309" s="14"/>
      <c r="Y309" s="14"/>
      <c r="Z309" s="14"/>
      <c r="AA309" s="4"/>
      <c r="AB309" s="4"/>
      <c r="AC309" s="4"/>
      <c r="AD309" s="4"/>
      <c r="AE309" s="4"/>
      <c r="AF309" s="4"/>
      <c r="AG309" s="4"/>
      <c r="AH309" s="4"/>
      <c r="AI309" s="4"/>
      <c r="AJ309" s="4"/>
      <c r="AK309" s="4"/>
      <c r="AL309" s="4"/>
      <c r="AM309" s="4"/>
      <c r="AN309" s="4"/>
      <c r="AO309" s="4"/>
      <c r="AP309" s="4"/>
      <c r="AQ309" s="4"/>
      <c r="AR309" s="4"/>
    </row>
    <row r="310" spans="1:44">
      <c r="A310" s="4"/>
      <c r="B310" s="47"/>
      <c r="C310" s="47"/>
      <c r="D310" s="48"/>
      <c r="E310" s="4"/>
      <c r="F310" s="11"/>
      <c r="G310" s="11"/>
      <c r="H310" s="11"/>
      <c r="I310" s="11"/>
      <c r="J310" s="11"/>
      <c r="K310" s="11"/>
      <c r="L310" s="11"/>
      <c r="M310" s="11"/>
      <c r="N310" s="11"/>
      <c r="O310" s="11"/>
      <c r="P310" s="14"/>
      <c r="Q310" s="14"/>
      <c r="R310" s="14"/>
      <c r="S310" s="14"/>
      <c r="T310" s="14"/>
      <c r="U310" s="14"/>
      <c r="V310" s="14"/>
      <c r="W310" s="14"/>
      <c r="X310" s="14"/>
      <c r="Y310" s="14"/>
      <c r="Z310" s="14"/>
      <c r="AA310" s="4"/>
      <c r="AB310" s="4"/>
      <c r="AC310" s="4"/>
      <c r="AD310" s="4"/>
      <c r="AE310" s="4"/>
      <c r="AF310" s="4"/>
      <c r="AG310" s="4"/>
      <c r="AH310" s="4"/>
      <c r="AI310" s="4"/>
      <c r="AJ310" s="4"/>
      <c r="AK310" s="4"/>
      <c r="AL310" s="4"/>
      <c r="AM310" s="4"/>
      <c r="AN310" s="4"/>
      <c r="AO310" s="4"/>
      <c r="AP310" s="4"/>
      <c r="AQ310" s="4"/>
      <c r="AR310" s="4"/>
    </row>
    <row r="311" spans="1:44">
      <c r="A311" s="4"/>
      <c r="B311" s="47"/>
      <c r="C311" s="47"/>
      <c r="D311" s="48"/>
      <c r="E311" s="4"/>
      <c r="F311" s="11"/>
      <c r="G311" s="11"/>
      <c r="H311" s="11"/>
      <c r="I311" s="11"/>
      <c r="J311" s="11"/>
      <c r="K311" s="11"/>
      <c r="L311" s="11"/>
      <c r="M311" s="11"/>
      <c r="N311" s="11"/>
      <c r="O311" s="11"/>
      <c r="P311" s="14"/>
      <c r="Q311" s="14"/>
      <c r="R311" s="14"/>
      <c r="S311" s="14"/>
      <c r="T311" s="14"/>
      <c r="U311" s="14"/>
      <c r="V311" s="14"/>
      <c r="W311" s="14"/>
      <c r="X311" s="14"/>
      <c r="Y311" s="14"/>
      <c r="Z311" s="14"/>
      <c r="AA311" s="4"/>
      <c r="AB311" s="4"/>
      <c r="AC311" s="4"/>
      <c r="AD311" s="4"/>
      <c r="AE311" s="4"/>
      <c r="AF311" s="4"/>
      <c r="AG311" s="4"/>
      <c r="AH311" s="4"/>
      <c r="AI311" s="4"/>
      <c r="AJ311" s="4"/>
      <c r="AK311" s="4"/>
      <c r="AL311" s="4"/>
      <c r="AM311" s="4"/>
      <c r="AN311" s="4"/>
      <c r="AO311" s="4"/>
      <c r="AP311" s="4"/>
      <c r="AQ311" s="4"/>
      <c r="AR311" s="4"/>
    </row>
    <row r="312" spans="1:44">
      <c r="A312" s="4"/>
      <c r="B312" s="47"/>
      <c r="C312" s="47"/>
      <c r="D312" s="48"/>
      <c r="E312" s="4"/>
      <c r="F312" s="11"/>
      <c r="G312" s="11"/>
      <c r="H312" s="11"/>
      <c r="I312" s="11"/>
      <c r="J312" s="11"/>
      <c r="K312" s="11"/>
      <c r="L312" s="11"/>
      <c r="M312" s="11"/>
      <c r="N312" s="11"/>
      <c r="O312" s="11"/>
      <c r="P312" s="14"/>
      <c r="Q312" s="14"/>
      <c r="R312" s="14"/>
      <c r="S312" s="14"/>
      <c r="T312" s="14"/>
      <c r="U312" s="14"/>
      <c r="V312" s="14"/>
      <c r="W312" s="14"/>
      <c r="X312" s="14"/>
      <c r="Y312" s="14"/>
      <c r="Z312" s="14"/>
      <c r="AA312" s="4"/>
      <c r="AB312" s="4"/>
      <c r="AC312" s="4"/>
      <c r="AD312" s="4"/>
      <c r="AE312" s="4"/>
      <c r="AF312" s="4"/>
      <c r="AG312" s="4"/>
      <c r="AH312" s="4"/>
      <c r="AI312" s="4"/>
      <c r="AJ312" s="4"/>
      <c r="AK312" s="4"/>
      <c r="AL312" s="4"/>
      <c r="AM312" s="4"/>
      <c r="AN312" s="4"/>
      <c r="AO312" s="4"/>
      <c r="AP312" s="4"/>
      <c r="AQ312" s="4"/>
      <c r="AR312" s="4"/>
    </row>
    <row r="313" spans="1:44">
      <c r="A313" s="4"/>
      <c r="B313" s="47"/>
      <c r="C313" s="47"/>
      <c r="D313" s="48"/>
      <c r="E313" s="4"/>
      <c r="F313" s="11"/>
      <c r="G313" s="11"/>
      <c r="H313" s="11"/>
      <c r="I313" s="11"/>
      <c r="J313" s="11"/>
      <c r="K313" s="11"/>
      <c r="L313" s="11"/>
      <c r="M313" s="11"/>
      <c r="N313" s="11"/>
      <c r="O313" s="11"/>
      <c r="P313" s="14"/>
      <c r="Q313" s="14"/>
      <c r="R313" s="14"/>
      <c r="S313" s="14"/>
      <c r="T313" s="14"/>
      <c r="U313" s="14"/>
      <c r="V313" s="14"/>
      <c r="W313" s="14"/>
      <c r="X313" s="14"/>
      <c r="Y313" s="14"/>
      <c r="Z313" s="14"/>
      <c r="AA313" s="4"/>
      <c r="AB313" s="4"/>
      <c r="AC313" s="4"/>
      <c r="AD313" s="4"/>
      <c r="AE313" s="4"/>
      <c r="AF313" s="4"/>
      <c r="AG313" s="4"/>
      <c r="AH313" s="4"/>
      <c r="AI313" s="4"/>
      <c r="AJ313" s="4"/>
      <c r="AK313" s="4"/>
      <c r="AL313" s="4"/>
      <c r="AM313" s="4"/>
      <c r="AN313" s="4"/>
      <c r="AO313" s="4"/>
      <c r="AP313" s="4"/>
      <c r="AQ313" s="4"/>
      <c r="AR313" s="4"/>
    </row>
    <row r="314" spans="1:44">
      <c r="A314" s="4"/>
      <c r="B314" s="47"/>
      <c r="C314" s="47"/>
      <c r="D314" s="48"/>
      <c r="E314" s="4"/>
      <c r="F314" s="11"/>
      <c r="G314" s="11"/>
      <c r="H314" s="11"/>
      <c r="I314" s="11"/>
      <c r="J314" s="11"/>
      <c r="K314" s="11"/>
      <c r="L314" s="11"/>
      <c r="M314" s="11"/>
      <c r="N314" s="11"/>
      <c r="O314" s="11"/>
      <c r="P314" s="14"/>
      <c r="Q314" s="14"/>
      <c r="R314" s="14"/>
      <c r="S314" s="14"/>
      <c r="T314" s="14"/>
      <c r="U314" s="14"/>
      <c r="V314" s="14"/>
      <c r="W314" s="14"/>
      <c r="X314" s="14"/>
      <c r="Y314" s="14"/>
      <c r="Z314" s="14"/>
      <c r="AA314" s="4"/>
      <c r="AB314" s="4"/>
      <c r="AC314" s="4"/>
      <c r="AD314" s="4"/>
      <c r="AE314" s="4"/>
      <c r="AF314" s="4"/>
      <c r="AG314" s="4"/>
      <c r="AH314" s="4"/>
      <c r="AI314" s="4"/>
      <c r="AJ314" s="4"/>
      <c r="AK314" s="4"/>
      <c r="AL314" s="4"/>
      <c r="AM314" s="4"/>
      <c r="AN314" s="4"/>
      <c r="AO314" s="4"/>
      <c r="AP314" s="4"/>
      <c r="AQ314" s="4"/>
      <c r="AR314" s="4"/>
    </row>
    <row r="315" spans="1:44">
      <c r="A315" s="4"/>
      <c r="B315" s="47"/>
      <c r="C315" s="47"/>
      <c r="D315" s="48"/>
      <c r="E315" s="4"/>
      <c r="F315" s="11"/>
      <c r="G315" s="11"/>
      <c r="H315" s="11"/>
      <c r="I315" s="11"/>
      <c r="J315" s="11"/>
      <c r="K315" s="11"/>
      <c r="L315" s="11"/>
      <c r="M315" s="11"/>
      <c r="N315" s="11"/>
      <c r="O315" s="11"/>
      <c r="P315" s="14"/>
      <c r="Q315" s="14"/>
      <c r="R315" s="14"/>
      <c r="S315" s="14"/>
      <c r="T315" s="14"/>
      <c r="U315" s="14"/>
      <c r="V315" s="14"/>
      <c r="W315" s="14"/>
      <c r="X315" s="14"/>
      <c r="Y315" s="14"/>
      <c r="Z315" s="14"/>
      <c r="AA315" s="4"/>
      <c r="AB315" s="4"/>
      <c r="AC315" s="4"/>
      <c r="AD315" s="4"/>
      <c r="AE315" s="4"/>
      <c r="AF315" s="4"/>
      <c r="AG315" s="4"/>
      <c r="AH315" s="4"/>
      <c r="AI315" s="4"/>
      <c r="AJ315" s="4"/>
      <c r="AK315" s="4"/>
      <c r="AL315" s="4"/>
      <c r="AM315" s="4"/>
      <c r="AN315" s="4"/>
      <c r="AO315" s="4"/>
      <c r="AP315" s="4"/>
      <c r="AQ315" s="4"/>
      <c r="AR315" s="4"/>
    </row>
    <row r="316" spans="1:44">
      <c r="A316" s="4"/>
      <c r="B316" s="47"/>
      <c r="C316" s="47"/>
      <c r="D316" s="48"/>
      <c r="E316" s="4"/>
      <c r="F316" s="11"/>
      <c r="G316" s="11"/>
      <c r="H316" s="11"/>
      <c r="I316" s="11"/>
      <c r="J316" s="11"/>
      <c r="K316" s="11"/>
      <c r="L316" s="11"/>
      <c r="M316" s="11"/>
      <c r="N316" s="11"/>
      <c r="O316" s="11"/>
      <c r="P316" s="14"/>
      <c r="Q316" s="14"/>
      <c r="R316" s="14"/>
      <c r="S316" s="14"/>
      <c r="T316" s="14"/>
      <c r="U316" s="14"/>
      <c r="V316" s="14"/>
      <c r="W316" s="14"/>
      <c r="X316" s="14"/>
      <c r="Y316" s="14"/>
      <c r="Z316" s="14"/>
      <c r="AA316" s="4"/>
      <c r="AB316" s="4"/>
      <c r="AC316" s="4"/>
      <c r="AD316" s="4"/>
      <c r="AE316" s="4"/>
      <c r="AF316" s="4"/>
      <c r="AG316" s="4"/>
      <c r="AH316" s="4"/>
      <c r="AI316" s="4"/>
      <c r="AJ316" s="4"/>
      <c r="AK316" s="4"/>
      <c r="AL316" s="4"/>
      <c r="AM316" s="4"/>
      <c r="AN316" s="4"/>
      <c r="AO316" s="4"/>
      <c r="AP316" s="4"/>
      <c r="AQ316" s="4"/>
      <c r="AR316" s="4"/>
    </row>
    <row r="317" spans="1:44">
      <c r="A317" s="4"/>
      <c r="B317" s="47"/>
      <c r="C317" s="47"/>
      <c r="D317" s="48"/>
      <c r="E317" s="4"/>
      <c r="F317" s="11"/>
      <c r="G317" s="11"/>
      <c r="H317" s="11"/>
      <c r="I317" s="11"/>
      <c r="J317" s="11"/>
      <c r="K317" s="11"/>
      <c r="L317" s="11"/>
      <c r="M317" s="11"/>
      <c r="N317" s="11"/>
      <c r="O317" s="11"/>
      <c r="P317" s="14"/>
      <c r="Q317" s="14"/>
      <c r="R317" s="14"/>
      <c r="S317" s="14"/>
      <c r="T317" s="14"/>
      <c r="U317" s="14"/>
      <c r="V317" s="14"/>
      <c r="W317" s="14"/>
      <c r="X317" s="14"/>
      <c r="Y317" s="14"/>
      <c r="Z317" s="14"/>
      <c r="AA317" s="4"/>
      <c r="AB317" s="4"/>
      <c r="AC317" s="4"/>
      <c r="AD317" s="4"/>
      <c r="AE317" s="4"/>
      <c r="AF317" s="4"/>
      <c r="AG317" s="4"/>
      <c r="AH317" s="4"/>
      <c r="AI317" s="4"/>
      <c r="AJ317" s="4"/>
      <c r="AK317" s="4"/>
      <c r="AL317" s="4"/>
      <c r="AM317" s="4"/>
      <c r="AN317" s="4"/>
      <c r="AO317" s="4"/>
      <c r="AP317" s="4"/>
      <c r="AQ317" s="4"/>
      <c r="AR317" s="4"/>
    </row>
    <row r="318" spans="1:44">
      <c r="A318" s="4"/>
      <c r="B318" s="47"/>
      <c r="C318" s="47"/>
      <c r="D318" s="48"/>
      <c r="E318" s="4"/>
      <c r="F318" s="11"/>
      <c r="G318" s="11"/>
      <c r="H318" s="11"/>
      <c r="I318" s="11"/>
      <c r="J318" s="11"/>
      <c r="K318" s="11"/>
      <c r="L318" s="11"/>
      <c r="M318" s="11"/>
      <c r="N318" s="11"/>
      <c r="O318" s="11"/>
      <c r="P318" s="14"/>
      <c r="Q318" s="14"/>
      <c r="R318" s="14"/>
      <c r="S318" s="14"/>
      <c r="T318" s="14"/>
      <c r="U318" s="14"/>
      <c r="V318" s="14"/>
      <c r="W318" s="14"/>
      <c r="X318" s="14"/>
      <c r="Y318" s="14"/>
      <c r="Z318" s="14"/>
      <c r="AA318" s="4"/>
      <c r="AB318" s="4"/>
      <c r="AC318" s="4"/>
      <c r="AD318" s="4"/>
      <c r="AE318" s="4"/>
      <c r="AF318" s="4"/>
      <c r="AG318" s="4"/>
      <c r="AH318" s="4"/>
      <c r="AI318" s="4"/>
      <c r="AJ318" s="4"/>
      <c r="AK318" s="4"/>
      <c r="AL318" s="4"/>
      <c r="AM318" s="4"/>
      <c r="AN318" s="4"/>
      <c r="AO318" s="4"/>
      <c r="AP318" s="4"/>
      <c r="AQ318" s="4"/>
      <c r="AR318" s="4"/>
    </row>
    <row r="319" spans="1:44">
      <c r="A319" s="4"/>
      <c r="B319" s="47"/>
      <c r="C319" s="47"/>
      <c r="D319" s="48"/>
      <c r="E319" s="4"/>
      <c r="F319" s="11"/>
      <c r="G319" s="11"/>
      <c r="H319" s="11"/>
      <c r="I319" s="11"/>
      <c r="J319" s="11"/>
      <c r="K319" s="11"/>
      <c r="L319" s="11"/>
      <c r="M319" s="11"/>
      <c r="N319" s="11"/>
      <c r="O319" s="11"/>
      <c r="P319" s="14"/>
      <c r="Q319" s="14"/>
      <c r="R319" s="14"/>
      <c r="S319" s="14"/>
      <c r="T319" s="14"/>
      <c r="U319" s="14"/>
      <c r="V319" s="14"/>
      <c r="W319" s="14"/>
      <c r="X319" s="14"/>
      <c r="Y319" s="14"/>
      <c r="Z319" s="14"/>
      <c r="AA319" s="4"/>
      <c r="AB319" s="4"/>
      <c r="AC319" s="4"/>
      <c r="AD319" s="4"/>
      <c r="AE319" s="4"/>
      <c r="AF319" s="4"/>
      <c r="AG319" s="4"/>
      <c r="AH319" s="4"/>
      <c r="AI319" s="4"/>
      <c r="AJ319" s="4"/>
      <c r="AK319" s="4"/>
      <c r="AL319" s="4"/>
      <c r="AM319" s="4"/>
      <c r="AN319" s="4"/>
      <c r="AO319" s="4"/>
      <c r="AP319" s="4"/>
      <c r="AQ319" s="4"/>
      <c r="AR319" s="4"/>
    </row>
    <row r="320" spans="1:44">
      <c r="A320" s="4"/>
      <c r="B320" s="47"/>
      <c r="C320" s="47"/>
      <c r="D320" s="48"/>
      <c r="E320" s="4"/>
      <c r="F320" s="11"/>
      <c r="G320" s="11"/>
      <c r="H320" s="11"/>
      <c r="I320" s="11"/>
      <c r="J320" s="11"/>
      <c r="K320" s="11"/>
      <c r="L320" s="11"/>
      <c r="M320" s="11"/>
      <c r="N320" s="11"/>
      <c r="O320" s="11"/>
      <c r="P320" s="14"/>
      <c r="Q320" s="14"/>
      <c r="R320" s="14"/>
      <c r="S320" s="14"/>
      <c r="T320" s="14"/>
      <c r="U320" s="14"/>
      <c r="V320" s="14"/>
      <c r="W320" s="14"/>
      <c r="X320" s="14"/>
      <c r="Y320" s="14"/>
      <c r="Z320" s="14"/>
      <c r="AA320" s="4"/>
      <c r="AB320" s="4"/>
      <c r="AC320" s="4"/>
      <c r="AD320" s="4"/>
      <c r="AE320" s="4"/>
      <c r="AF320" s="4"/>
      <c r="AG320" s="4"/>
      <c r="AH320" s="4"/>
      <c r="AI320" s="4"/>
      <c r="AJ320" s="4"/>
      <c r="AK320" s="4"/>
      <c r="AL320" s="4"/>
      <c r="AM320" s="4"/>
      <c r="AN320" s="4"/>
      <c r="AO320" s="4"/>
      <c r="AP320" s="4"/>
      <c r="AQ320" s="4"/>
      <c r="AR320" s="4"/>
    </row>
    <row r="321" spans="1:44">
      <c r="A321" s="4"/>
      <c r="B321" s="47"/>
      <c r="C321" s="47"/>
      <c r="D321" s="48"/>
      <c r="E321" s="4"/>
      <c r="F321" s="11"/>
      <c r="G321" s="11"/>
      <c r="H321" s="11"/>
      <c r="I321" s="11"/>
      <c r="J321" s="11"/>
      <c r="K321" s="11"/>
      <c r="L321" s="11"/>
      <c r="M321" s="11"/>
      <c r="N321" s="11"/>
      <c r="O321" s="11"/>
      <c r="P321" s="14"/>
      <c r="Q321" s="14"/>
      <c r="R321" s="14"/>
      <c r="S321" s="14"/>
      <c r="T321" s="14"/>
      <c r="U321" s="14"/>
      <c r="V321" s="14"/>
      <c r="W321" s="14"/>
      <c r="X321" s="14"/>
      <c r="Y321" s="14"/>
      <c r="Z321" s="14"/>
      <c r="AA321" s="4"/>
      <c r="AB321" s="4"/>
      <c r="AC321" s="4"/>
      <c r="AD321" s="4"/>
      <c r="AE321" s="4"/>
      <c r="AF321" s="4"/>
      <c r="AG321" s="4"/>
      <c r="AH321" s="4"/>
      <c r="AI321" s="4"/>
      <c r="AJ321" s="4"/>
      <c r="AK321" s="4"/>
      <c r="AL321" s="4"/>
      <c r="AM321" s="4"/>
      <c r="AN321" s="4"/>
      <c r="AO321" s="4"/>
      <c r="AP321" s="4"/>
      <c r="AQ321" s="4"/>
      <c r="AR321" s="4"/>
    </row>
    <row r="322" spans="1:44">
      <c r="A322" s="4"/>
      <c r="B322" s="47"/>
      <c r="C322" s="47"/>
      <c r="D322" s="48"/>
      <c r="E322" s="4"/>
      <c r="F322" s="11"/>
      <c r="G322" s="11"/>
      <c r="H322" s="11"/>
      <c r="I322" s="11"/>
      <c r="J322" s="11"/>
      <c r="K322" s="11"/>
      <c r="L322" s="11"/>
      <c r="M322" s="11"/>
      <c r="N322" s="11"/>
      <c r="O322" s="11"/>
      <c r="P322" s="14"/>
      <c r="Q322" s="14"/>
      <c r="R322" s="14"/>
      <c r="S322" s="14"/>
      <c r="T322" s="14"/>
      <c r="U322" s="14"/>
      <c r="V322" s="14"/>
      <c r="W322" s="14"/>
      <c r="X322" s="14"/>
      <c r="Y322" s="14"/>
      <c r="Z322" s="14"/>
      <c r="AA322" s="4"/>
      <c r="AB322" s="4"/>
      <c r="AC322" s="4"/>
      <c r="AD322" s="4"/>
      <c r="AE322" s="4"/>
      <c r="AF322" s="4"/>
      <c r="AG322" s="4"/>
      <c r="AH322" s="4"/>
      <c r="AI322" s="4"/>
      <c r="AJ322" s="4"/>
      <c r="AK322" s="4"/>
      <c r="AL322" s="4"/>
      <c r="AM322" s="4"/>
      <c r="AN322" s="4"/>
      <c r="AO322" s="4"/>
      <c r="AP322" s="4"/>
      <c r="AQ322" s="4"/>
      <c r="AR322" s="4"/>
    </row>
    <row r="323" spans="1:44">
      <c r="A323" s="4"/>
      <c r="B323" s="47"/>
      <c r="C323" s="47"/>
      <c r="D323" s="48"/>
      <c r="E323" s="4"/>
      <c r="F323" s="11"/>
      <c r="G323" s="11"/>
      <c r="H323" s="11"/>
      <c r="I323" s="11"/>
      <c r="J323" s="11"/>
      <c r="K323" s="11"/>
      <c r="L323" s="11"/>
      <c r="M323" s="11"/>
      <c r="N323" s="11"/>
      <c r="O323" s="11"/>
      <c r="P323" s="14"/>
      <c r="Q323" s="14"/>
      <c r="R323" s="14"/>
      <c r="S323" s="14"/>
      <c r="T323" s="14"/>
      <c r="U323" s="14"/>
      <c r="V323" s="14"/>
      <c r="W323" s="14"/>
      <c r="X323" s="14"/>
      <c r="Y323" s="14"/>
      <c r="Z323" s="14"/>
      <c r="AA323" s="4"/>
      <c r="AB323" s="4"/>
      <c r="AC323" s="4"/>
      <c r="AD323" s="4"/>
      <c r="AE323" s="4"/>
      <c r="AF323" s="4"/>
      <c r="AG323" s="4"/>
      <c r="AH323" s="4"/>
      <c r="AI323" s="4"/>
      <c r="AJ323" s="4"/>
      <c r="AK323" s="4"/>
      <c r="AL323" s="4"/>
      <c r="AM323" s="4"/>
      <c r="AN323" s="4"/>
      <c r="AO323" s="4"/>
      <c r="AP323" s="4"/>
      <c r="AQ323" s="4"/>
      <c r="AR323" s="4"/>
    </row>
    <row r="324" spans="1:44">
      <c r="A324" s="4"/>
      <c r="B324" s="47"/>
      <c r="C324" s="47"/>
      <c r="D324" s="48"/>
      <c r="E324" s="4"/>
      <c r="F324" s="11"/>
      <c r="G324" s="11"/>
      <c r="H324" s="11"/>
      <c r="I324" s="11"/>
      <c r="J324" s="11"/>
      <c r="K324" s="11"/>
      <c r="L324" s="11"/>
      <c r="M324" s="11"/>
      <c r="N324" s="11"/>
      <c r="O324" s="11"/>
      <c r="P324" s="14"/>
      <c r="Q324" s="14"/>
      <c r="R324" s="14"/>
      <c r="S324" s="14"/>
      <c r="T324" s="14"/>
      <c r="U324" s="14"/>
      <c r="V324" s="14"/>
      <c r="W324" s="14"/>
      <c r="X324" s="14"/>
      <c r="Y324" s="14"/>
      <c r="Z324" s="14"/>
      <c r="AA324" s="4"/>
      <c r="AB324" s="4"/>
      <c r="AC324" s="4"/>
      <c r="AD324" s="4"/>
      <c r="AE324" s="4"/>
      <c r="AF324" s="4"/>
      <c r="AG324" s="4"/>
      <c r="AH324" s="4"/>
      <c r="AI324" s="4"/>
      <c r="AJ324" s="4"/>
      <c r="AK324" s="4"/>
      <c r="AL324" s="4"/>
      <c r="AM324" s="4"/>
      <c r="AN324" s="4"/>
      <c r="AO324" s="4"/>
      <c r="AP324" s="4"/>
      <c r="AQ324" s="4"/>
      <c r="AR324" s="4"/>
    </row>
    <row r="325" spans="1:44">
      <c r="A325" s="4"/>
      <c r="B325" s="47"/>
      <c r="C325" s="47"/>
      <c r="D325" s="48"/>
      <c r="E325" s="4"/>
      <c r="F325" s="11"/>
      <c r="G325" s="11"/>
      <c r="H325" s="11"/>
      <c r="I325" s="11"/>
      <c r="J325" s="11"/>
      <c r="K325" s="11"/>
      <c r="L325" s="11"/>
      <c r="M325" s="11"/>
      <c r="N325" s="11"/>
      <c r="O325" s="11"/>
      <c r="P325" s="14"/>
      <c r="Q325" s="14"/>
      <c r="R325" s="14"/>
      <c r="S325" s="14"/>
      <c r="T325" s="14"/>
      <c r="U325" s="14"/>
      <c r="V325" s="14"/>
      <c r="W325" s="14"/>
      <c r="X325" s="14"/>
      <c r="Y325" s="14"/>
      <c r="Z325" s="14"/>
      <c r="AA325" s="4"/>
      <c r="AB325" s="4"/>
      <c r="AC325" s="4"/>
      <c r="AD325" s="4"/>
      <c r="AE325" s="4"/>
      <c r="AF325" s="4"/>
      <c r="AG325" s="4"/>
      <c r="AH325" s="4"/>
      <c r="AI325" s="4"/>
      <c r="AJ325" s="4"/>
      <c r="AK325" s="4"/>
      <c r="AL325" s="4"/>
      <c r="AM325" s="4"/>
      <c r="AN325" s="4"/>
      <c r="AO325" s="4"/>
      <c r="AP325" s="4"/>
      <c r="AQ325" s="4"/>
      <c r="AR325" s="4"/>
    </row>
    <row r="326" spans="1:44">
      <c r="A326" s="4"/>
      <c r="B326" s="47"/>
      <c r="C326" s="47"/>
      <c r="D326" s="48"/>
      <c r="E326" s="4"/>
      <c r="F326" s="11"/>
      <c r="G326" s="11"/>
      <c r="H326" s="11"/>
      <c r="I326" s="11"/>
      <c r="J326" s="11"/>
      <c r="K326" s="11"/>
      <c r="L326" s="11"/>
      <c r="M326" s="11"/>
      <c r="N326" s="11"/>
      <c r="O326" s="11"/>
      <c r="P326" s="14"/>
      <c r="Q326" s="14"/>
      <c r="R326" s="14"/>
      <c r="S326" s="14"/>
      <c r="T326" s="14"/>
      <c r="U326" s="14"/>
      <c r="V326" s="14"/>
      <c r="W326" s="14"/>
      <c r="X326" s="14"/>
      <c r="Y326" s="14"/>
      <c r="Z326" s="14"/>
      <c r="AA326" s="4"/>
      <c r="AB326" s="4"/>
      <c r="AC326" s="4"/>
      <c r="AD326" s="4"/>
      <c r="AE326" s="4"/>
      <c r="AF326" s="4"/>
      <c r="AG326" s="4"/>
      <c r="AH326" s="4"/>
      <c r="AI326" s="4"/>
      <c r="AJ326" s="4"/>
      <c r="AK326" s="4"/>
      <c r="AL326" s="4"/>
      <c r="AM326" s="4"/>
      <c r="AN326" s="4"/>
      <c r="AO326" s="4"/>
      <c r="AP326" s="4"/>
      <c r="AQ326" s="4"/>
      <c r="AR326" s="4"/>
    </row>
    <row r="327" spans="1:44">
      <c r="A327" s="4"/>
      <c r="B327" s="47"/>
      <c r="C327" s="47"/>
      <c r="D327" s="48"/>
      <c r="E327" s="4"/>
      <c r="F327" s="11"/>
      <c r="G327" s="11"/>
      <c r="H327" s="11"/>
      <c r="I327" s="11"/>
      <c r="J327" s="11"/>
      <c r="K327" s="11"/>
      <c r="L327" s="11"/>
      <c r="M327" s="11"/>
      <c r="N327" s="11"/>
      <c r="O327" s="11"/>
      <c r="P327" s="14"/>
      <c r="Q327" s="14"/>
      <c r="R327" s="14"/>
      <c r="S327" s="14"/>
      <c r="T327" s="14"/>
      <c r="U327" s="14"/>
      <c r="V327" s="14"/>
      <c r="W327" s="14"/>
      <c r="X327" s="14"/>
      <c r="Y327" s="14"/>
      <c r="Z327" s="14"/>
      <c r="AA327" s="4"/>
      <c r="AB327" s="4"/>
      <c r="AC327" s="4"/>
      <c r="AD327" s="4"/>
      <c r="AE327" s="4"/>
      <c r="AF327" s="4"/>
      <c r="AG327" s="4"/>
      <c r="AH327" s="4"/>
      <c r="AI327" s="4"/>
      <c r="AJ327" s="4"/>
      <c r="AK327" s="4"/>
      <c r="AL327" s="4"/>
      <c r="AM327" s="4"/>
      <c r="AN327" s="4"/>
      <c r="AO327" s="4"/>
      <c r="AP327" s="4"/>
      <c r="AQ327" s="4"/>
      <c r="AR327" s="4"/>
    </row>
    <row r="328" spans="1:44">
      <c r="A328" s="4"/>
      <c r="B328" s="47"/>
      <c r="C328" s="47"/>
      <c r="D328" s="48"/>
      <c r="E328" s="4"/>
      <c r="F328" s="11"/>
      <c r="G328" s="11"/>
      <c r="H328" s="11"/>
      <c r="I328" s="11"/>
      <c r="J328" s="11"/>
      <c r="K328" s="11"/>
      <c r="L328" s="11"/>
      <c r="M328" s="11"/>
      <c r="N328" s="11"/>
      <c r="O328" s="11"/>
      <c r="P328" s="14"/>
      <c r="Q328" s="14"/>
      <c r="R328" s="14"/>
      <c r="S328" s="14"/>
      <c r="T328" s="14"/>
      <c r="U328" s="14"/>
      <c r="V328" s="14"/>
      <c r="W328" s="14"/>
      <c r="X328" s="14"/>
      <c r="Y328" s="14"/>
      <c r="Z328" s="14"/>
      <c r="AA328" s="4"/>
      <c r="AB328" s="4"/>
      <c r="AC328" s="4"/>
      <c r="AD328" s="4"/>
      <c r="AE328" s="4"/>
      <c r="AF328" s="4"/>
      <c r="AG328" s="4"/>
      <c r="AH328" s="4"/>
      <c r="AI328" s="4"/>
      <c r="AJ328" s="4"/>
      <c r="AK328" s="4"/>
      <c r="AL328" s="4"/>
      <c r="AM328" s="4"/>
      <c r="AN328" s="4"/>
      <c r="AO328" s="4"/>
      <c r="AP328" s="4"/>
      <c r="AQ328" s="4"/>
      <c r="AR328" s="4"/>
    </row>
    <row r="329" spans="1:44">
      <c r="A329" s="4"/>
      <c r="B329" s="47"/>
      <c r="C329" s="47"/>
      <c r="D329" s="48"/>
      <c r="E329" s="4"/>
      <c r="F329" s="11"/>
      <c r="G329" s="11"/>
      <c r="H329" s="11"/>
      <c r="I329" s="11"/>
      <c r="J329" s="11"/>
      <c r="K329" s="11"/>
      <c r="L329" s="11"/>
      <c r="M329" s="11"/>
      <c r="N329" s="11"/>
      <c r="O329" s="11"/>
      <c r="P329" s="14"/>
      <c r="Q329" s="14"/>
      <c r="R329" s="14"/>
      <c r="S329" s="14"/>
      <c r="T329" s="14"/>
      <c r="U329" s="14"/>
      <c r="V329" s="14"/>
      <c r="W329" s="14"/>
      <c r="X329" s="14"/>
      <c r="Y329" s="14"/>
      <c r="Z329" s="14"/>
      <c r="AA329" s="4"/>
      <c r="AB329" s="4"/>
      <c r="AC329" s="4"/>
      <c r="AD329" s="4"/>
      <c r="AE329" s="4"/>
      <c r="AF329" s="4"/>
      <c r="AG329" s="4"/>
      <c r="AH329" s="4"/>
      <c r="AI329" s="4"/>
      <c r="AJ329" s="4"/>
      <c r="AK329" s="4"/>
      <c r="AL329" s="4"/>
      <c r="AM329" s="4"/>
      <c r="AN329" s="4"/>
      <c r="AO329" s="4"/>
      <c r="AP329" s="4"/>
      <c r="AQ329" s="4"/>
      <c r="AR329" s="4"/>
    </row>
    <row r="330" spans="1:44">
      <c r="A330" s="4"/>
      <c r="B330" s="47"/>
      <c r="C330" s="47"/>
      <c r="D330" s="48"/>
      <c r="E330" s="4"/>
      <c r="F330" s="11"/>
      <c r="G330" s="11"/>
      <c r="H330" s="11"/>
      <c r="I330" s="11"/>
      <c r="J330" s="11"/>
      <c r="K330" s="11"/>
      <c r="L330" s="11"/>
      <c r="M330" s="11"/>
      <c r="N330" s="11"/>
      <c r="O330" s="11"/>
      <c r="P330" s="14"/>
      <c r="Q330" s="14"/>
      <c r="R330" s="14"/>
      <c r="S330" s="14"/>
      <c r="T330" s="14"/>
      <c r="U330" s="14"/>
      <c r="V330" s="14"/>
      <c r="W330" s="14"/>
      <c r="X330" s="14"/>
      <c r="Y330" s="14"/>
      <c r="Z330" s="14"/>
      <c r="AA330" s="4"/>
      <c r="AB330" s="4"/>
      <c r="AC330" s="4"/>
      <c r="AD330" s="4"/>
      <c r="AE330" s="4"/>
      <c r="AF330" s="4"/>
      <c r="AG330" s="4"/>
      <c r="AH330" s="4"/>
      <c r="AI330" s="4"/>
      <c r="AJ330" s="4"/>
      <c r="AK330" s="4"/>
      <c r="AL330" s="4"/>
      <c r="AM330" s="4"/>
      <c r="AN330" s="4"/>
      <c r="AO330" s="4"/>
      <c r="AP330" s="4"/>
      <c r="AQ330" s="4"/>
      <c r="AR330" s="4"/>
    </row>
    <row r="331" spans="1:44">
      <c r="A331" s="4"/>
      <c r="B331" s="47"/>
      <c r="C331" s="47"/>
      <c r="D331" s="48"/>
      <c r="E331" s="4"/>
      <c r="F331" s="11"/>
      <c r="G331" s="11"/>
      <c r="H331" s="11"/>
      <c r="I331" s="11"/>
      <c r="J331" s="11"/>
      <c r="K331" s="11"/>
      <c r="L331" s="11"/>
      <c r="M331" s="11"/>
      <c r="N331" s="11"/>
      <c r="O331" s="11"/>
      <c r="P331" s="14"/>
      <c r="Q331" s="14"/>
      <c r="R331" s="14"/>
      <c r="S331" s="14"/>
      <c r="T331" s="14"/>
      <c r="U331" s="14"/>
      <c r="V331" s="14"/>
      <c r="W331" s="14"/>
      <c r="X331" s="14"/>
      <c r="Y331" s="14"/>
      <c r="Z331" s="14"/>
      <c r="AA331" s="4"/>
      <c r="AB331" s="4"/>
      <c r="AC331" s="4"/>
      <c r="AD331" s="4"/>
      <c r="AE331" s="4"/>
      <c r="AF331" s="4"/>
      <c r="AG331" s="4"/>
      <c r="AH331" s="4"/>
      <c r="AI331" s="4"/>
      <c r="AJ331" s="4"/>
      <c r="AK331" s="4"/>
      <c r="AL331" s="4"/>
      <c r="AM331" s="4"/>
      <c r="AN331" s="4"/>
      <c r="AO331" s="4"/>
      <c r="AP331" s="4"/>
      <c r="AQ331" s="4"/>
      <c r="AR331" s="4"/>
    </row>
    <row r="332" spans="1:44">
      <c r="A332" s="4"/>
      <c r="B332" s="47"/>
      <c r="C332" s="47"/>
      <c r="D332" s="48"/>
      <c r="E332" s="4"/>
      <c r="F332" s="11"/>
      <c r="G332" s="11"/>
      <c r="H332" s="11"/>
      <c r="I332" s="11"/>
      <c r="J332" s="11"/>
      <c r="K332" s="11"/>
      <c r="L332" s="11"/>
      <c r="M332" s="11"/>
      <c r="N332" s="11"/>
      <c r="O332" s="11"/>
      <c r="P332" s="14"/>
      <c r="Q332" s="14"/>
      <c r="R332" s="14"/>
      <c r="S332" s="14"/>
      <c r="T332" s="14"/>
      <c r="U332" s="14"/>
      <c r="V332" s="14"/>
      <c r="W332" s="14"/>
      <c r="X332" s="14"/>
      <c r="Y332" s="14"/>
      <c r="Z332" s="14"/>
      <c r="AA332" s="4"/>
      <c r="AB332" s="4"/>
      <c r="AC332" s="4"/>
      <c r="AD332" s="4"/>
      <c r="AE332" s="4"/>
      <c r="AF332" s="4"/>
      <c r="AG332" s="4"/>
      <c r="AH332" s="4"/>
      <c r="AI332" s="4"/>
      <c r="AJ332" s="4"/>
      <c r="AK332" s="4"/>
      <c r="AL332" s="4"/>
      <c r="AM332" s="4"/>
      <c r="AN332" s="4"/>
      <c r="AO332" s="4"/>
      <c r="AP332" s="4"/>
      <c r="AQ332" s="4"/>
      <c r="AR332" s="4"/>
    </row>
    <row r="333" spans="1:44">
      <c r="A333" s="4"/>
      <c r="B333" s="47"/>
      <c r="C333" s="47"/>
      <c r="D333" s="48"/>
      <c r="E333" s="4"/>
      <c r="F333" s="11"/>
      <c r="G333" s="11"/>
      <c r="H333" s="11"/>
      <c r="I333" s="11"/>
      <c r="J333" s="11"/>
      <c r="K333" s="11"/>
      <c r="L333" s="11"/>
      <c r="M333" s="11"/>
      <c r="N333" s="11"/>
      <c r="O333" s="11"/>
      <c r="P333" s="14"/>
      <c r="Q333" s="14"/>
      <c r="R333" s="14"/>
      <c r="S333" s="14"/>
      <c r="T333" s="14"/>
      <c r="U333" s="14"/>
      <c r="V333" s="14"/>
      <c r="W333" s="14"/>
      <c r="X333" s="14"/>
      <c r="Y333" s="14"/>
      <c r="Z333" s="14"/>
      <c r="AA333" s="4"/>
      <c r="AB333" s="4"/>
      <c r="AC333" s="4"/>
      <c r="AD333" s="4"/>
      <c r="AE333" s="4"/>
      <c r="AF333" s="4"/>
      <c r="AG333" s="4"/>
      <c r="AH333" s="4"/>
      <c r="AI333" s="4"/>
      <c r="AJ333" s="4"/>
      <c r="AK333" s="4"/>
      <c r="AL333" s="4"/>
      <c r="AM333" s="4"/>
      <c r="AN333" s="4"/>
      <c r="AO333" s="4"/>
      <c r="AP333" s="4"/>
      <c r="AQ333" s="4"/>
      <c r="AR333" s="4"/>
    </row>
    <row r="334" spans="1:44">
      <c r="A334" s="4"/>
      <c r="B334" s="47"/>
      <c r="C334" s="47"/>
      <c r="D334" s="48"/>
      <c r="E334" s="4"/>
      <c r="F334" s="11"/>
      <c r="G334" s="11"/>
      <c r="H334" s="11"/>
      <c r="I334" s="11"/>
      <c r="J334" s="11"/>
      <c r="K334" s="11"/>
      <c r="L334" s="11"/>
      <c r="M334" s="11"/>
      <c r="N334" s="11"/>
      <c r="O334" s="11"/>
      <c r="P334" s="14"/>
      <c r="Q334" s="14"/>
      <c r="R334" s="14"/>
      <c r="S334" s="14"/>
      <c r="T334" s="14"/>
      <c r="U334" s="14"/>
      <c r="V334" s="14"/>
      <c r="W334" s="14"/>
      <c r="X334" s="14"/>
      <c r="Y334" s="14"/>
      <c r="Z334" s="14"/>
      <c r="AA334" s="4"/>
      <c r="AB334" s="4"/>
      <c r="AC334" s="4"/>
      <c r="AD334" s="4"/>
      <c r="AE334" s="4"/>
      <c r="AF334" s="4"/>
      <c r="AG334" s="4"/>
      <c r="AH334" s="4"/>
      <c r="AI334" s="4"/>
      <c r="AJ334" s="4"/>
      <c r="AK334" s="4"/>
      <c r="AL334" s="4"/>
      <c r="AM334" s="4"/>
      <c r="AN334" s="4"/>
      <c r="AO334" s="4"/>
      <c r="AP334" s="4"/>
      <c r="AQ334" s="4"/>
      <c r="AR334" s="4"/>
    </row>
    <row r="335" spans="1:44">
      <c r="A335" s="4"/>
      <c r="B335" s="47"/>
      <c r="C335" s="47"/>
      <c r="D335" s="48"/>
      <c r="E335" s="4"/>
      <c r="F335" s="11"/>
      <c r="G335" s="11"/>
      <c r="H335" s="11"/>
      <c r="I335" s="11"/>
      <c r="J335" s="11"/>
      <c r="K335" s="11"/>
      <c r="L335" s="11"/>
      <c r="M335" s="11"/>
      <c r="N335" s="11"/>
      <c r="O335" s="11"/>
      <c r="P335" s="14"/>
      <c r="Q335" s="14"/>
      <c r="R335" s="14"/>
      <c r="S335" s="14"/>
      <c r="T335" s="14"/>
      <c r="U335" s="14"/>
      <c r="V335" s="14"/>
      <c r="W335" s="14"/>
      <c r="X335" s="14"/>
      <c r="Y335" s="14"/>
      <c r="Z335" s="14"/>
      <c r="AA335" s="4"/>
      <c r="AB335" s="4"/>
      <c r="AC335" s="4"/>
      <c r="AD335" s="4"/>
      <c r="AE335" s="4"/>
      <c r="AF335" s="4"/>
      <c r="AG335" s="4"/>
      <c r="AH335" s="4"/>
      <c r="AI335" s="4"/>
      <c r="AJ335" s="4"/>
      <c r="AK335" s="4"/>
      <c r="AL335" s="4"/>
      <c r="AM335" s="4"/>
      <c r="AN335" s="4"/>
      <c r="AO335" s="4"/>
      <c r="AP335" s="4"/>
      <c r="AQ335" s="4"/>
      <c r="AR335" s="4"/>
    </row>
    <row r="336" spans="1:44">
      <c r="A336" s="4"/>
      <c r="B336" s="47"/>
      <c r="C336" s="47"/>
      <c r="D336" s="48"/>
      <c r="E336" s="4"/>
      <c r="F336" s="11"/>
      <c r="G336" s="11"/>
      <c r="H336" s="11"/>
      <c r="I336" s="11"/>
      <c r="J336" s="11"/>
      <c r="K336" s="11"/>
      <c r="L336" s="11"/>
      <c r="M336" s="11"/>
      <c r="N336" s="11"/>
      <c r="O336" s="11"/>
      <c r="P336" s="14"/>
      <c r="Q336" s="14"/>
      <c r="R336" s="14"/>
      <c r="S336" s="14"/>
      <c r="T336" s="14"/>
      <c r="U336" s="14"/>
      <c r="V336" s="14"/>
      <c r="W336" s="14"/>
      <c r="X336" s="14"/>
      <c r="Y336" s="14"/>
      <c r="Z336" s="14"/>
      <c r="AA336" s="4"/>
      <c r="AB336" s="4"/>
      <c r="AC336" s="4"/>
      <c r="AD336" s="4"/>
      <c r="AE336" s="4"/>
      <c r="AF336" s="4"/>
      <c r="AG336" s="4"/>
      <c r="AH336" s="4"/>
      <c r="AI336" s="4"/>
      <c r="AJ336" s="4"/>
      <c r="AK336" s="4"/>
      <c r="AL336" s="4"/>
      <c r="AM336" s="4"/>
      <c r="AN336" s="4"/>
      <c r="AO336" s="4"/>
      <c r="AP336" s="4"/>
      <c r="AQ336" s="4"/>
      <c r="AR336" s="4"/>
    </row>
    <row r="337" spans="1:44">
      <c r="A337" s="4"/>
      <c r="B337" s="47"/>
      <c r="C337" s="47"/>
      <c r="D337" s="48"/>
      <c r="E337" s="4"/>
      <c r="F337" s="11"/>
      <c r="G337" s="11"/>
      <c r="H337" s="11"/>
      <c r="I337" s="11"/>
      <c r="J337" s="11"/>
      <c r="K337" s="11"/>
      <c r="L337" s="11"/>
      <c r="M337" s="11"/>
      <c r="N337" s="11"/>
      <c r="O337" s="11"/>
      <c r="P337" s="14"/>
      <c r="Q337" s="14"/>
      <c r="R337" s="14"/>
      <c r="S337" s="14"/>
      <c r="T337" s="14"/>
      <c r="U337" s="14"/>
      <c r="V337" s="14"/>
      <c r="W337" s="14"/>
      <c r="X337" s="14"/>
      <c r="Y337" s="14"/>
      <c r="Z337" s="14"/>
      <c r="AA337" s="4"/>
      <c r="AB337" s="4"/>
      <c r="AC337" s="4"/>
      <c r="AD337" s="4"/>
      <c r="AE337" s="4"/>
      <c r="AF337" s="4"/>
      <c r="AG337" s="4"/>
      <c r="AH337" s="4"/>
      <c r="AI337" s="4"/>
      <c r="AJ337" s="4"/>
      <c r="AK337" s="4"/>
      <c r="AL337" s="4"/>
      <c r="AM337" s="4"/>
      <c r="AN337" s="4"/>
      <c r="AO337" s="4"/>
      <c r="AP337" s="4"/>
      <c r="AQ337" s="4"/>
      <c r="AR337" s="4"/>
    </row>
    <row r="338" spans="1:44">
      <c r="A338" s="4"/>
      <c r="B338" s="47"/>
      <c r="C338" s="47"/>
      <c r="D338" s="48"/>
      <c r="E338" s="4"/>
      <c r="F338" s="11"/>
      <c r="G338" s="11"/>
      <c r="H338" s="11"/>
      <c r="I338" s="11"/>
      <c r="J338" s="11"/>
      <c r="K338" s="11"/>
      <c r="L338" s="11"/>
      <c r="M338" s="11"/>
      <c r="N338" s="11"/>
      <c r="O338" s="11"/>
      <c r="P338" s="14"/>
      <c r="Q338" s="14"/>
      <c r="R338" s="14"/>
      <c r="S338" s="14"/>
      <c r="T338" s="14"/>
      <c r="U338" s="14"/>
      <c r="V338" s="14"/>
      <c r="W338" s="14"/>
      <c r="X338" s="14"/>
      <c r="Y338" s="14"/>
      <c r="Z338" s="14"/>
      <c r="AA338" s="4"/>
      <c r="AB338" s="4"/>
      <c r="AC338" s="4"/>
      <c r="AD338" s="4"/>
      <c r="AE338" s="4"/>
      <c r="AF338" s="4"/>
      <c r="AG338" s="4"/>
      <c r="AH338" s="4"/>
      <c r="AI338" s="4"/>
      <c r="AJ338" s="4"/>
      <c r="AK338" s="4"/>
      <c r="AL338" s="4"/>
      <c r="AM338" s="4"/>
      <c r="AN338" s="4"/>
      <c r="AO338" s="4"/>
      <c r="AP338" s="4"/>
      <c r="AQ338" s="4"/>
      <c r="AR338" s="4"/>
    </row>
    <row r="339" spans="1:44">
      <c r="A339" s="4"/>
      <c r="B339" s="47"/>
      <c r="C339" s="47"/>
      <c r="D339" s="48"/>
      <c r="E339" s="4"/>
      <c r="F339" s="11"/>
      <c r="G339" s="11"/>
      <c r="H339" s="11"/>
      <c r="I339" s="11"/>
      <c r="J339" s="11"/>
      <c r="K339" s="11"/>
      <c r="L339" s="11"/>
      <c r="M339" s="11"/>
      <c r="N339" s="11"/>
      <c r="O339" s="11"/>
      <c r="P339" s="14"/>
      <c r="Q339" s="14"/>
      <c r="R339" s="14"/>
      <c r="S339" s="14"/>
      <c r="T339" s="14"/>
      <c r="U339" s="14"/>
      <c r="V339" s="14"/>
      <c r="W339" s="14"/>
      <c r="X339" s="14"/>
      <c r="Y339" s="14"/>
      <c r="Z339" s="14"/>
      <c r="AA339" s="4"/>
      <c r="AB339" s="4"/>
      <c r="AC339" s="4"/>
      <c r="AD339" s="4"/>
      <c r="AE339" s="4"/>
      <c r="AF339" s="4"/>
      <c r="AG339" s="4"/>
      <c r="AH339" s="4"/>
      <c r="AI339" s="4"/>
      <c r="AJ339" s="4"/>
      <c r="AK339" s="4"/>
      <c r="AL339" s="4"/>
      <c r="AM339" s="4"/>
      <c r="AN339" s="4"/>
      <c r="AO339" s="4"/>
      <c r="AP339" s="4"/>
      <c r="AQ339" s="4"/>
      <c r="AR339" s="4"/>
    </row>
    <row r="340" spans="1:44">
      <c r="A340" s="4"/>
      <c r="B340" s="47"/>
      <c r="C340" s="47"/>
      <c r="D340" s="48"/>
      <c r="E340" s="4"/>
      <c r="F340" s="11"/>
      <c r="G340" s="11"/>
      <c r="H340" s="11"/>
      <c r="I340" s="11"/>
      <c r="J340" s="11"/>
      <c r="K340" s="11"/>
      <c r="L340" s="11"/>
      <c r="M340" s="11"/>
      <c r="N340" s="11"/>
      <c r="O340" s="11"/>
      <c r="P340" s="14"/>
      <c r="Q340" s="14"/>
      <c r="R340" s="14"/>
      <c r="S340" s="14"/>
      <c r="T340" s="14"/>
      <c r="U340" s="14"/>
      <c r="V340" s="14"/>
      <c r="W340" s="14"/>
      <c r="X340" s="14"/>
      <c r="Y340" s="14"/>
      <c r="Z340" s="14"/>
      <c r="AA340" s="4"/>
      <c r="AB340" s="4"/>
      <c r="AC340" s="4"/>
      <c r="AD340" s="4"/>
      <c r="AE340" s="4"/>
      <c r="AF340" s="4"/>
      <c r="AG340" s="4"/>
      <c r="AH340" s="4"/>
      <c r="AI340" s="4"/>
      <c r="AJ340" s="4"/>
      <c r="AK340" s="4"/>
      <c r="AL340" s="4"/>
      <c r="AM340" s="4"/>
      <c r="AN340" s="4"/>
      <c r="AO340" s="4"/>
      <c r="AP340" s="4"/>
      <c r="AQ340" s="4"/>
      <c r="AR340" s="4"/>
    </row>
    <row r="341" spans="1:44">
      <c r="A341" s="4"/>
      <c r="B341" s="47"/>
      <c r="C341" s="47"/>
      <c r="D341" s="48"/>
      <c r="E341" s="4"/>
      <c r="F341" s="11"/>
      <c r="G341" s="11"/>
      <c r="H341" s="11"/>
      <c r="I341" s="11"/>
      <c r="J341" s="11"/>
      <c r="K341" s="11"/>
      <c r="L341" s="11"/>
      <c r="M341" s="11"/>
      <c r="N341" s="11"/>
      <c r="O341" s="11"/>
      <c r="P341" s="14"/>
      <c r="Q341" s="14"/>
      <c r="R341" s="14"/>
      <c r="S341" s="14"/>
      <c r="T341" s="14"/>
      <c r="U341" s="14"/>
      <c r="V341" s="14"/>
      <c r="W341" s="14"/>
      <c r="X341" s="14"/>
      <c r="Y341" s="14"/>
      <c r="Z341" s="14"/>
      <c r="AA341" s="4"/>
      <c r="AB341" s="4"/>
      <c r="AC341" s="4"/>
      <c r="AD341" s="4"/>
      <c r="AE341" s="4"/>
      <c r="AF341" s="4"/>
      <c r="AG341" s="4"/>
      <c r="AH341" s="4"/>
      <c r="AI341" s="4"/>
      <c r="AJ341" s="4"/>
      <c r="AK341" s="4"/>
      <c r="AL341" s="4"/>
      <c r="AM341" s="4"/>
      <c r="AN341" s="4"/>
      <c r="AO341" s="4"/>
      <c r="AP341" s="4"/>
      <c r="AQ341" s="4"/>
      <c r="AR341" s="4"/>
    </row>
    <row r="342" spans="1:44">
      <c r="A342" s="4"/>
      <c r="B342" s="47"/>
      <c r="C342" s="47"/>
      <c r="D342" s="48"/>
      <c r="E342" s="4"/>
      <c r="F342" s="11"/>
      <c r="G342" s="11"/>
      <c r="H342" s="11"/>
      <c r="I342" s="11"/>
      <c r="J342" s="11"/>
      <c r="K342" s="11"/>
      <c r="L342" s="11"/>
      <c r="M342" s="11"/>
      <c r="N342" s="11"/>
      <c r="O342" s="11"/>
      <c r="P342" s="14"/>
      <c r="Q342" s="14"/>
      <c r="R342" s="14"/>
      <c r="S342" s="14"/>
      <c r="T342" s="14"/>
      <c r="U342" s="14"/>
      <c r="V342" s="14"/>
      <c r="W342" s="14"/>
      <c r="X342" s="14"/>
      <c r="Y342" s="14"/>
      <c r="Z342" s="14"/>
      <c r="AA342" s="4"/>
      <c r="AB342" s="4"/>
      <c r="AC342" s="4"/>
      <c r="AD342" s="4"/>
      <c r="AE342" s="4"/>
      <c r="AF342" s="4"/>
      <c r="AG342" s="4"/>
      <c r="AH342" s="4"/>
      <c r="AI342" s="4"/>
      <c r="AJ342" s="4"/>
      <c r="AK342" s="4"/>
      <c r="AL342" s="4"/>
      <c r="AM342" s="4"/>
      <c r="AN342" s="4"/>
      <c r="AO342" s="4"/>
      <c r="AP342" s="4"/>
      <c r="AQ342" s="4"/>
      <c r="AR342" s="4"/>
    </row>
    <row r="343" spans="1:44">
      <c r="A343" s="4"/>
      <c r="B343" s="47"/>
      <c r="C343" s="47"/>
      <c r="D343" s="48"/>
      <c r="E343" s="4"/>
      <c r="F343" s="11"/>
      <c r="G343" s="11"/>
      <c r="H343" s="11"/>
      <c r="I343" s="11"/>
      <c r="J343" s="11"/>
      <c r="K343" s="11"/>
      <c r="L343" s="11"/>
      <c r="M343" s="11"/>
      <c r="N343" s="11"/>
      <c r="O343" s="11"/>
      <c r="P343" s="14"/>
      <c r="Q343" s="14"/>
      <c r="R343" s="14"/>
      <c r="S343" s="14"/>
      <c r="T343" s="14"/>
      <c r="U343" s="14"/>
      <c r="V343" s="14"/>
      <c r="W343" s="14"/>
      <c r="X343" s="14"/>
      <c r="Y343" s="14"/>
      <c r="Z343" s="14"/>
      <c r="AA343" s="4"/>
      <c r="AB343" s="4"/>
      <c r="AC343" s="4"/>
      <c r="AD343" s="4"/>
      <c r="AE343" s="4"/>
      <c r="AF343" s="4"/>
      <c r="AG343" s="4"/>
      <c r="AH343" s="4"/>
      <c r="AI343" s="4"/>
      <c r="AJ343" s="4"/>
      <c r="AK343" s="4"/>
      <c r="AL343" s="4"/>
      <c r="AM343" s="4"/>
      <c r="AN343" s="4"/>
      <c r="AO343" s="4"/>
      <c r="AP343" s="4"/>
      <c r="AQ343" s="4"/>
      <c r="AR343" s="4"/>
    </row>
    <row r="344" spans="1:44">
      <c r="A344" s="4"/>
      <c r="B344" s="47"/>
      <c r="C344" s="47"/>
      <c r="D344" s="48"/>
      <c r="E344" s="4"/>
      <c r="F344" s="11"/>
      <c r="G344" s="11"/>
      <c r="H344" s="11"/>
      <c r="I344" s="11"/>
      <c r="J344" s="11"/>
      <c r="K344" s="11"/>
      <c r="L344" s="11"/>
      <c r="M344" s="11"/>
      <c r="N344" s="11"/>
      <c r="O344" s="11"/>
      <c r="P344" s="14"/>
      <c r="Q344" s="14"/>
      <c r="R344" s="14"/>
      <c r="S344" s="14"/>
      <c r="T344" s="14"/>
      <c r="U344" s="14"/>
      <c r="V344" s="14"/>
      <c r="W344" s="14"/>
      <c r="X344" s="14"/>
      <c r="Y344" s="14"/>
      <c r="Z344" s="14"/>
      <c r="AA344" s="4"/>
      <c r="AB344" s="4"/>
      <c r="AC344" s="4"/>
      <c r="AD344" s="4"/>
      <c r="AE344" s="4"/>
      <c r="AF344" s="4"/>
      <c r="AG344" s="4"/>
      <c r="AH344" s="4"/>
      <c r="AI344" s="4"/>
      <c r="AJ344" s="4"/>
      <c r="AK344" s="4"/>
      <c r="AL344" s="4"/>
      <c r="AM344" s="4"/>
      <c r="AN344" s="4"/>
      <c r="AO344" s="4"/>
      <c r="AP344" s="4"/>
      <c r="AQ344" s="4"/>
      <c r="AR344" s="4"/>
    </row>
    <row r="345" spans="1:44">
      <c r="A345" s="4"/>
      <c r="B345" s="47"/>
      <c r="C345" s="47"/>
      <c r="D345" s="48"/>
      <c r="E345" s="4"/>
      <c r="F345" s="11"/>
      <c r="G345" s="11"/>
      <c r="H345" s="11"/>
      <c r="I345" s="11"/>
      <c r="J345" s="11"/>
      <c r="K345" s="11"/>
      <c r="L345" s="11"/>
      <c r="M345" s="11"/>
      <c r="N345" s="11"/>
      <c r="O345" s="11"/>
      <c r="P345" s="14"/>
      <c r="Q345" s="14"/>
      <c r="R345" s="14"/>
      <c r="S345" s="14"/>
      <c r="T345" s="14"/>
      <c r="U345" s="14"/>
      <c r="V345" s="14"/>
      <c r="W345" s="14"/>
      <c r="X345" s="14"/>
      <c r="Y345" s="14"/>
      <c r="Z345" s="14"/>
      <c r="AA345" s="4"/>
      <c r="AB345" s="4"/>
      <c r="AC345" s="4"/>
      <c r="AD345" s="4"/>
      <c r="AE345" s="4"/>
      <c r="AF345" s="4"/>
      <c r="AG345" s="4"/>
      <c r="AH345" s="4"/>
      <c r="AI345" s="4"/>
      <c r="AJ345" s="4"/>
      <c r="AK345" s="4"/>
      <c r="AL345" s="4"/>
      <c r="AM345" s="4"/>
      <c r="AN345" s="4"/>
      <c r="AO345" s="4"/>
      <c r="AP345" s="4"/>
      <c r="AQ345" s="4"/>
      <c r="AR345" s="4"/>
    </row>
    <row r="346" spans="1:44">
      <c r="A346" s="4"/>
      <c r="B346" s="47"/>
      <c r="C346" s="47"/>
      <c r="D346" s="48"/>
      <c r="E346" s="4"/>
      <c r="F346" s="11"/>
      <c r="G346" s="11"/>
      <c r="H346" s="11"/>
      <c r="I346" s="11"/>
      <c r="J346" s="11"/>
      <c r="K346" s="11"/>
      <c r="L346" s="11"/>
      <c r="M346" s="11"/>
      <c r="N346" s="11"/>
      <c r="O346" s="11"/>
      <c r="P346" s="14"/>
      <c r="Q346" s="14"/>
      <c r="R346" s="14"/>
      <c r="S346" s="14"/>
      <c r="T346" s="14"/>
      <c r="U346" s="14"/>
      <c r="V346" s="14"/>
      <c r="W346" s="14"/>
      <c r="X346" s="14"/>
      <c r="Y346" s="14"/>
      <c r="Z346" s="14"/>
      <c r="AA346" s="4"/>
      <c r="AB346" s="4"/>
      <c r="AC346" s="4"/>
      <c r="AD346" s="4"/>
      <c r="AE346" s="4"/>
      <c r="AF346" s="4"/>
      <c r="AG346" s="4"/>
      <c r="AH346" s="4"/>
      <c r="AI346" s="4"/>
      <c r="AJ346" s="4"/>
      <c r="AK346" s="4"/>
      <c r="AL346" s="4"/>
      <c r="AM346" s="4"/>
      <c r="AN346" s="4"/>
      <c r="AO346" s="4"/>
      <c r="AP346" s="4"/>
      <c r="AQ346" s="4"/>
      <c r="AR346" s="4"/>
    </row>
    <row r="347" spans="1:44">
      <c r="A347" s="4"/>
      <c r="B347" s="47"/>
      <c r="C347" s="47"/>
      <c r="D347" s="48"/>
      <c r="E347" s="4"/>
      <c r="F347" s="11"/>
      <c r="G347" s="11"/>
      <c r="H347" s="11"/>
      <c r="I347" s="11"/>
      <c r="J347" s="11"/>
      <c r="K347" s="11"/>
      <c r="L347" s="11"/>
      <c r="M347" s="11"/>
      <c r="N347" s="11"/>
      <c r="O347" s="11"/>
      <c r="P347" s="14"/>
      <c r="Q347" s="14"/>
      <c r="R347" s="14"/>
      <c r="S347" s="14"/>
      <c r="T347" s="14"/>
      <c r="U347" s="14"/>
      <c r="V347" s="14"/>
      <c r="W347" s="14"/>
      <c r="X347" s="14"/>
      <c r="Y347" s="14"/>
      <c r="Z347" s="14"/>
      <c r="AA347" s="4"/>
      <c r="AB347" s="4"/>
      <c r="AC347" s="4"/>
      <c r="AD347" s="4"/>
      <c r="AE347" s="4"/>
      <c r="AF347" s="4"/>
      <c r="AG347" s="4"/>
      <c r="AH347" s="4"/>
      <c r="AI347" s="4"/>
      <c r="AJ347" s="4"/>
      <c r="AK347" s="4"/>
      <c r="AL347" s="4"/>
      <c r="AM347" s="4"/>
      <c r="AN347" s="4"/>
      <c r="AO347" s="4"/>
      <c r="AP347" s="4"/>
      <c r="AQ347" s="4"/>
      <c r="AR347" s="4"/>
    </row>
    <row r="348" spans="1:44">
      <c r="A348" s="4"/>
      <c r="B348" s="47"/>
      <c r="C348" s="47"/>
      <c r="D348" s="48"/>
      <c r="E348" s="4"/>
      <c r="F348" s="11"/>
      <c r="G348" s="11"/>
      <c r="H348" s="11"/>
      <c r="I348" s="11"/>
      <c r="J348" s="11"/>
      <c r="K348" s="11"/>
      <c r="L348" s="11"/>
      <c r="M348" s="11"/>
      <c r="N348" s="11"/>
      <c r="O348" s="11"/>
      <c r="P348" s="14"/>
      <c r="Q348" s="14"/>
      <c r="R348" s="14"/>
      <c r="S348" s="14"/>
      <c r="T348" s="14"/>
      <c r="U348" s="14"/>
      <c r="V348" s="14"/>
      <c r="W348" s="14"/>
      <c r="X348" s="14"/>
      <c r="Y348" s="14"/>
      <c r="Z348" s="14"/>
      <c r="AA348" s="4"/>
      <c r="AB348" s="4"/>
      <c r="AC348" s="4"/>
      <c r="AD348" s="4"/>
      <c r="AE348" s="4"/>
      <c r="AF348" s="4"/>
      <c r="AG348" s="4"/>
      <c r="AH348" s="4"/>
      <c r="AI348" s="4"/>
      <c r="AJ348" s="4"/>
      <c r="AK348" s="4"/>
      <c r="AL348" s="4"/>
      <c r="AM348" s="4"/>
      <c r="AN348" s="4"/>
      <c r="AO348" s="4"/>
      <c r="AP348" s="4"/>
      <c r="AQ348" s="4"/>
      <c r="AR348" s="4"/>
    </row>
    <row r="349" spans="1:44">
      <c r="A349" s="4"/>
      <c r="B349" s="47"/>
      <c r="C349" s="47"/>
      <c r="D349" s="48"/>
      <c r="E349" s="4"/>
      <c r="F349" s="11"/>
      <c r="G349" s="11"/>
      <c r="H349" s="11"/>
      <c r="I349" s="11"/>
      <c r="J349" s="11"/>
      <c r="K349" s="11"/>
      <c r="L349" s="11"/>
      <c r="M349" s="11"/>
      <c r="N349" s="11"/>
      <c r="O349" s="11"/>
      <c r="P349" s="14"/>
      <c r="Q349" s="14"/>
      <c r="R349" s="14"/>
      <c r="S349" s="14"/>
      <c r="T349" s="14"/>
      <c r="U349" s="14"/>
      <c r="V349" s="14"/>
      <c r="W349" s="14"/>
      <c r="X349" s="14"/>
      <c r="Y349" s="14"/>
      <c r="Z349" s="14"/>
      <c r="AA349" s="4"/>
      <c r="AB349" s="4"/>
      <c r="AC349" s="4"/>
      <c r="AD349" s="4"/>
      <c r="AE349" s="4"/>
      <c r="AF349" s="4"/>
      <c r="AG349" s="4"/>
      <c r="AH349" s="4"/>
      <c r="AI349" s="4"/>
      <c r="AJ349" s="4"/>
      <c r="AK349" s="4"/>
      <c r="AL349" s="4"/>
      <c r="AM349" s="4"/>
      <c r="AN349" s="4"/>
      <c r="AO349" s="4"/>
      <c r="AP349" s="4"/>
      <c r="AQ349" s="4"/>
      <c r="AR349" s="4"/>
    </row>
    <row r="350" spans="1:44">
      <c r="A350" s="4"/>
      <c r="B350" s="47"/>
      <c r="C350" s="47"/>
      <c r="D350" s="48"/>
      <c r="E350" s="4"/>
      <c r="F350" s="11"/>
      <c r="G350" s="11"/>
      <c r="H350" s="11"/>
      <c r="I350" s="11"/>
      <c r="J350" s="11"/>
      <c r="K350" s="11"/>
      <c r="L350" s="11"/>
      <c r="M350" s="11"/>
      <c r="N350" s="11"/>
      <c r="O350" s="11"/>
      <c r="P350" s="14"/>
      <c r="Q350" s="14"/>
      <c r="R350" s="14"/>
      <c r="S350" s="14"/>
      <c r="T350" s="14"/>
      <c r="U350" s="14"/>
      <c r="V350" s="14"/>
      <c r="W350" s="14"/>
      <c r="X350" s="14"/>
      <c r="Y350" s="14"/>
      <c r="Z350" s="14"/>
      <c r="AA350" s="4"/>
      <c r="AB350" s="4"/>
      <c r="AC350" s="4"/>
      <c r="AD350" s="4"/>
      <c r="AE350" s="4"/>
      <c r="AF350" s="4"/>
      <c r="AG350" s="4"/>
      <c r="AH350" s="4"/>
      <c r="AI350" s="4"/>
      <c r="AJ350" s="4"/>
      <c r="AK350" s="4"/>
      <c r="AL350" s="4"/>
      <c r="AM350" s="4"/>
      <c r="AN350" s="4"/>
      <c r="AO350" s="4"/>
      <c r="AP350" s="4"/>
      <c r="AQ350" s="4"/>
      <c r="AR350" s="4"/>
    </row>
    <row r="351" spans="1:44">
      <c r="A351" s="4"/>
      <c r="B351" s="47"/>
      <c r="C351" s="47"/>
      <c r="D351" s="48"/>
      <c r="E351" s="4"/>
      <c r="F351" s="11"/>
      <c r="G351" s="11"/>
      <c r="H351" s="11"/>
      <c r="I351" s="11"/>
      <c r="J351" s="11"/>
      <c r="K351" s="11"/>
      <c r="L351" s="11"/>
      <c r="M351" s="11"/>
      <c r="N351" s="11"/>
      <c r="O351" s="11"/>
      <c r="P351" s="14"/>
      <c r="Q351" s="14"/>
      <c r="R351" s="14"/>
      <c r="S351" s="14"/>
      <c r="T351" s="14"/>
      <c r="U351" s="14"/>
      <c r="V351" s="14"/>
      <c r="W351" s="14"/>
      <c r="X351" s="14"/>
      <c r="Y351" s="14"/>
      <c r="Z351" s="14"/>
      <c r="AA351" s="4"/>
      <c r="AB351" s="4"/>
      <c r="AC351" s="4"/>
      <c r="AD351" s="4"/>
      <c r="AE351" s="4"/>
      <c r="AF351" s="4"/>
      <c r="AG351" s="4"/>
      <c r="AH351" s="4"/>
      <c r="AI351" s="4"/>
      <c r="AJ351" s="4"/>
      <c r="AK351" s="4"/>
      <c r="AL351" s="4"/>
      <c r="AM351" s="4"/>
      <c r="AN351" s="4"/>
      <c r="AO351" s="4"/>
      <c r="AP351" s="4"/>
      <c r="AQ351" s="4"/>
      <c r="AR351" s="4"/>
    </row>
    <row r="352" spans="1:44">
      <c r="A352" s="4"/>
      <c r="B352" s="47"/>
      <c r="C352" s="47"/>
      <c r="D352" s="48"/>
      <c r="E352" s="4"/>
      <c r="F352" s="11"/>
      <c r="G352" s="11"/>
      <c r="H352" s="11"/>
      <c r="I352" s="11"/>
      <c r="J352" s="11"/>
      <c r="K352" s="11"/>
      <c r="L352" s="11"/>
      <c r="M352" s="11"/>
      <c r="N352" s="11"/>
      <c r="O352" s="11"/>
      <c r="P352" s="14"/>
      <c r="Q352" s="14"/>
      <c r="R352" s="14"/>
      <c r="S352" s="14"/>
      <c r="T352" s="14"/>
      <c r="U352" s="14"/>
      <c r="V352" s="14"/>
      <c r="W352" s="14"/>
      <c r="X352" s="14"/>
      <c r="Y352" s="14"/>
      <c r="Z352" s="14"/>
      <c r="AA352" s="4"/>
      <c r="AB352" s="4"/>
      <c r="AC352" s="4"/>
      <c r="AD352" s="4"/>
      <c r="AE352" s="4"/>
      <c r="AF352" s="4"/>
      <c r="AG352" s="4"/>
      <c r="AH352" s="4"/>
      <c r="AI352" s="4"/>
      <c r="AJ352" s="4"/>
      <c r="AK352" s="4"/>
      <c r="AL352" s="4"/>
      <c r="AM352" s="4"/>
      <c r="AN352" s="4"/>
      <c r="AO352" s="4"/>
      <c r="AP352" s="4"/>
      <c r="AQ352" s="4"/>
      <c r="AR352" s="4"/>
    </row>
    <row r="353" spans="1:44">
      <c r="A353" s="4"/>
      <c r="B353" s="47"/>
      <c r="C353" s="47"/>
      <c r="D353" s="48"/>
      <c r="E353" s="4"/>
      <c r="F353" s="11"/>
      <c r="G353" s="11"/>
      <c r="H353" s="11"/>
      <c r="I353" s="11"/>
      <c r="J353" s="11"/>
      <c r="K353" s="11"/>
      <c r="L353" s="11"/>
      <c r="M353" s="11"/>
      <c r="N353" s="11"/>
      <c r="O353" s="11"/>
      <c r="P353" s="14"/>
      <c r="Q353" s="14"/>
      <c r="R353" s="14"/>
      <c r="S353" s="14"/>
      <c r="T353" s="14"/>
      <c r="U353" s="14"/>
      <c r="V353" s="14"/>
      <c r="W353" s="14"/>
      <c r="X353" s="14"/>
      <c r="Y353" s="14"/>
      <c r="Z353" s="14"/>
      <c r="AA353" s="4"/>
      <c r="AB353" s="4"/>
      <c r="AC353" s="4"/>
      <c r="AD353" s="4"/>
      <c r="AE353" s="4"/>
      <c r="AF353" s="4"/>
      <c r="AG353" s="4"/>
      <c r="AH353" s="4"/>
      <c r="AI353" s="4"/>
      <c r="AJ353" s="4"/>
      <c r="AK353" s="4"/>
      <c r="AL353" s="4"/>
      <c r="AM353" s="4"/>
      <c r="AN353" s="4"/>
      <c r="AO353" s="4"/>
      <c r="AP353" s="4"/>
      <c r="AQ353" s="4"/>
      <c r="AR353" s="4"/>
    </row>
    <row r="354" spans="1:44">
      <c r="A354" s="4"/>
      <c r="B354" s="47"/>
      <c r="C354" s="47"/>
      <c r="D354" s="48"/>
      <c r="E354" s="4"/>
      <c r="F354" s="11"/>
      <c r="G354" s="11"/>
      <c r="H354" s="11"/>
      <c r="I354" s="11"/>
      <c r="J354" s="11"/>
      <c r="K354" s="11"/>
      <c r="L354" s="11"/>
      <c r="M354" s="11"/>
      <c r="N354" s="11"/>
      <c r="O354" s="11"/>
      <c r="P354" s="14"/>
      <c r="Q354" s="14"/>
      <c r="R354" s="14"/>
      <c r="S354" s="14"/>
      <c r="T354" s="14"/>
      <c r="U354" s="14"/>
      <c r="V354" s="14"/>
      <c r="W354" s="14"/>
      <c r="X354" s="14"/>
      <c r="Y354" s="14"/>
      <c r="Z354" s="14"/>
      <c r="AA354" s="4"/>
      <c r="AB354" s="4"/>
      <c r="AC354" s="4"/>
      <c r="AD354" s="4"/>
      <c r="AE354" s="4"/>
      <c r="AF354" s="4"/>
      <c r="AG354" s="4"/>
      <c r="AH354" s="4"/>
      <c r="AI354" s="4"/>
      <c r="AJ354" s="4"/>
      <c r="AK354" s="4"/>
      <c r="AL354" s="4"/>
      <c r="AM354" s="4"/>
      <c r="AN354" s="4"/>
      <c r="AO354" s="4"/>
      <c r="AP354" s="4"/>
      <c r="AQ354" s="4"/>
      <c r="AR354" s="4"/>
    </row>
    <row r="355" spans="1:44">
      <c r="A355" s="4"/>
      <c r="B355" s="47"/>
      <c r="C355" s="47"/>
      <c r="D355" s="48"/>
      <c r="E355" s="4"/>
      <c r="F355" s="11"/>
      <c r="G355" s="11"/>
      <c r="H355" s="11"/>
      <c r="I355" s="11"/>
      <c r="J355" s="11"/>
      <c r="K355" s="11"/>
      <c r="L355" s="11"/>
      <c r="M355" s="11"/>
      <c r="N355" s="11"/>
      <c r="O355" s="11"/>
      <c r="P355" s="14"/>
      <c r="Q355" s="14"/>
      <c r="R355" s="14"/>
      <c r="S355" s="14"/>
      <c r="T355" s="14"/>
      <c r="U355" s="14"/>
      <c r="V355" s="14"/>
      <c r="W355" s="14"/>
      <c r="X355" s="14"/>
      <c r="Y355" s="14"/>
      <c r="Z355" s="14"/>
      <c r="AA355" s="4"/>
      <c r="AB355" s="4"/>
      <c r="AC355" s="4"/>
      <c r="AD355" s="4"/>
      <c r="AE355" s="4"/>
      <c r="AF355" s="4"/>
      <c r="AG355" s="4"/>
      <c r="AH355" s="4"/>
      <c r="AI355" s="4"/>
      <c r="AJ355" s="4"/>
      <c r="AK355" s="4"/>
      <c r="AL355" s="4"/>
      <c r="AM355" s="4"/>
      <c r="AN355" s="4"/>
      <c r="AO355" s="4"/>
      <c r="AP355" s="4"/>
      <c r="AQ355" s="4"/>
      <c r="AR355" s="4"/>
    </row>
    <row r="356" spans="1:44">
      <c r="A356" s="4"/>
      <c r="B356" s="47"/>
      <c r="C356" s="47"/>
      <c r="D356" s="48"/>
      <c r="E356" s="4"/>
      <c r="F356" s="11"/>
      <c r="G356" s="11"/>
      <c r="H356" s="11"/>
      <c r="I356" s="11"/>
      <c r="J356" s="11"/>
      <c r="K356" s="11"/>
      <c r="L356" s="11"/>
      <c r="M356" s="11"/>
      <c r="N356" s="11"/>
      <c r="O356" s="11"/>
      <c r="P356" s="14"/>
      <c r="Q356" s="14"/>
      <c r="R356" s="14"/>
      <c r="S356" s="14"/>
      <c r="T356" s="14"/>
      <c r="U356" s="14"/>
      <c r="V356" s="14"/>
      <c r="W356" s="14"/>
      <c r="X356" s="14"/>
      <c r="Y356" s="14"/>
      <c r="Z356" s="14"/>
      <c r="AA356" s="4"/>
      <c r="AB356" s="4"/>
      <c r="AC356" s="4"/>
      <c r="AD356" s="4"/>
      <c r="AE356" s="4"/>
      <c r="AF356" s="4"/>
      <c r="AG356" s="4"/>
      <c r="AH356" s="4"/>
      <c r="AI356" s="4"/>
      <c r="AJ356" s="4"/>
      <c r="AK356" s="4"/>
      <c r="AL356" s="4"/>
      <c r="AM356" s="4"/>
      <c r="AN356" s="4"/>
      <c r="AO356" s="4"/>
      <c r="AP356" s="4"/>
      <c r="AQ356" s="4"/>
      <c r="AR356" s="4"/>
    </row>
    <row r="357" spans="1:44">
      <c r="A357" s="4"/>
      <c r="B357" s="47"/>
      <c r="C357" s="47"/>
      <c r="D357" s="48"/>
      <c r="E357" s="4"/>
      <c r="F357" s="11"/>
      <c r="G357" s="11"/>
      <c r="H357" s="11"/>
      <c r="I357" s="11"/>
      <c r="J357" s="11"/>
      <c r="K357" s="11"/>
      <c r="L357" s="11"/>
      <c r="M357" s="11"/>
      <c r="N357" s="11"/>
      <c r="O357" s="11"/>
      <c r="P357" s="14"/>
      <c r="Q357" s="14"/>
      <c r="R357" s="14"/>
      <c r="S357" s="14"/>
      <c r="T357" s="14"/>
      <c r="U357" s="14"/>
      <c r="V357" s="14"/>
      <c r="W357" s="14"/>
      <c r="X357" s="14"/>
      <c r="Y357" s="14"/>
      <c r="Z357" s="14"/>
      <c r="AA357" s="4"/>
      <c r="AB357" s="4"/>
      <c r="AC357" s="4"/>
      <c r="AD357" s="4"/>
      <c r="AE357" s="4"/>
      <c r="AF357" s="4"/>
      <c r="AG357" s="4"/>
      <c r="AH357" s="4"/>
      <c r="AI357" s="4"/>
      <c r="AJ357" s="4"/>
      <c r="AK357" s="4"/>
      <c r="AL357" s="4"/>
      <c r="AM357" s="4"/>
      <c r="AN357" s="4"/>
      <c r="AO357" s="4"/>
      <c r="AP357" s="4"/>
      <c r="AQ357" s="4"/>
      <c r="AR357" s="4"/>
    </row>
    <row r="358" spans="1:44">
      <c r="A358" s="4"/>
      <c r="B358" s="47"/>
      <c r="C358" s="47"/>
      <c r="D358" s="48"/>
      <c r="E358" s="4"/>
      <c r="F358" s="11"/>
      <c r="G358" s="11"/>
      <c r="H358" s="11"/>
      <c r="I358" s="11"/>
      <c r="J358" s="11"/>
      <c r="K358" s="11"/>
      <c r="L358" s="11"/>
      <c r="M358" s="11"/>
      <c r="N358" s="11"/>
      <c r="O358" s="11"/>
      <c r="P358" s="14"/>
      <c r="Q358" s="14"/>
      <c r="R358" s="14"/>
      <c r="S358" s="14"/>
      <c r="T358" s="14"/>
      <c r="U358" s="14"/>
      <c r="V358" s="14"/>
      <c r="W358" s="14"/>
      <c r="X358" s="14"/>
      <c r="Y358" s="14"/>
      <c r="Z358" s="14"/>
      <c r="AA358" s="4"/>
      <c r="AB358" s="4"/>
      <c r="AC358" s="4"/>
      <c r="AD358" s="4"/>
      <c r="AE358" s="4"/>
      <c r="AF358" s="4"/>
      <c r="AG358" s="4"/>
      <c r="AH358" s="4"/>
      <c r="AI358" s="4"/>
      <c r="AJ358" s="4"/>
      <c r="AK358" s="4"/>
      <c r="AL358" s="4"/>
      <c r="AM358" s="4"/>
      <c r="AN358" s="4"/>
      <c r="AO358" s="4"/>
      <c r="AP358" s="4"/>
      <c r="AQ358" s="4"/>
      <c r="AR358" s="4"/>
    </row>
    <row r="359" spans="1:44">
      <c r="A359" s="4"/>
      <c r="B359" s="47"/>
      <c r="C359" s="47"/>
      <c r="D359" s="48"/>
      <c r="E359" s="4"/>
      <c r="F359" s="11"/>
      <c r="G359" s="11"/>
      <c r="H359" s="11"/>
      <c r="I359" s="11"/>
      <c r="J359" s="11"/>
      <c r="K359" s="11"/>
      <c r="L359" s="11"/>
      <c r="M359" s="11"/>
      <c r="N359" s="11"/>
      <c r="O359" s="11"/>
      <c r="P359" s="14"/>
      <c r="Q359" s="14"/>
      <c r="R359" s="14"/>
      <c r="S359" s="14"/>
      <c r="T359" s="14"/>
      <c r="U359" s="14"/>
      <c r="V359" s="14"/>
      <c r="W359" s="14"/>
      <c r="X359" s="14"/>
      <c r="Y359" s="14"/>
      <c r="Z359" s="14"/>
      <c r="AA359" s="4"/>
      <c r="AB359" s="4"/>
      <c r="AC359" s="4"/>
      <c r="AD359" s="4"/>
      <c r="AE359" s="4"/>
      <c r="AF359" s="4"/>
      <c r="AG359" s="4"/>
      <c r="AH359" s="4"/>
      <c r="AI359" s="4"/>
      <c r="AJ359" s="4"/>
      <c r="AK359" s="4"/>
      <c r="AL359" s="4"/>
      <c r="AM359" s="4"/>
      <c r="AN359" s="4"/>
      <c r="AO359" s="4"/>
      <c r="AP359" s="4"/>
      <c r="AQ359" s="4"/>
      <c r="AR359" s="4"/>
    </row>
    <row r="360" spans="1:44">
      <c r="A360" s="4"/>
      <c r="B360" s="47"/>
      <c r="C360" s="47"/>
      <c r="D360" s="48"/>
      <c r="E360" s="4"/>
      <c r="F360" s="11"/>
      <c r="G360" s="11"/>
      <c r="H360" s="11"/>
      <c r="I360" s="11"/>
      <c r="J360" s="11"/>
      <c r="K360" s="11"/>
      <c r="L360" s="11"/>
      <c r="M360" s="11"/>
      <c r="N360" s="11"/>
      <c r="O360" s="11"/>
      <c r="P360" s="14"/>
      <c r="Q360" s="14"/>
      <c r="R360" s="14"/>
      <c r="S360" s="14"/>
      <c r="T360" s="14"/>
      <c r="U360" s="14"/>
      <c r="V360" s="14"/>
      <c r="W360" s="14"/>
      <c r="X360" s="14"/>
      <c r="Y360" s="14"/>
      <c r="Z360" s="14"/>
      <c r="AA360" s="4"/>
      <c r="AB360" s="4"/>
      <c r="AC360" s="4"/>
      <c r="AD360" s="4"/>
      <c r="AE360" s="4"/>
      <c r="AF360" s="4"/>
      <c r="AG360" s="4"/>
      <c r="AH360" s="4"/>
      <c r="AI360" s="4"/>
      <c r="AJ360" s="4"/>
      <c r="AK360" s="4"/>
      <c r="AL360" s="4"/>
      <c r="AM360" s="4"/>
      <c r="AN360" s="4"/>
      <c r="AO360" s="4"/>
      <c r="AP360" s="4"/>
      <c r="AQ360" s="4"/>
      <c r="AR360" s="4"/>
    </row>
    <row r="361" spans="1:44">
      <c r="A361" s="4"/>
      <c r="B361" s="47"/>
      <c r="C361" s="47"/>
      <c r="D361" s="48"/>
      <c r="E361" s="4"/>
      <c r="F361" s="11"/>
      <c r="G361" s="11"/>
      <c r="H361" s="11"/>
      <c r="I361" s="11"/>
      <c r="J361" s="11"/>
      <c r="K361" s="11"/>
      <c r="L361" s="11"/>
      <c r="M361" s="11"/>
      <c r="N361" s="11"/>
      <c r="O361" s="11"/>
      <c r="P361" s="14"/>
      <c r="Q361" s="14"/>
      <c r="R361" s="14"/>
      <c r="S361" s="14"/>
      <c r="T361" s="14"/>
      <c r="U361" s="14"/>
      <c r="V361" s="14"/>
      <c r="W361" s="14"/>
      <c r="X361" s="14"/>
      <c r="Y361" s="14"/>
      <c r="Z361" s="14"/>
      <c r="AA361" s="4"/>
      <c r="AB361" s="4"/>
      <c r="AC361" s="4"/>
      <c r="AD361" s="4"/>
      <c r="AE361" s="4"/>
      <c r="AF361" s="4"/>
      <c r="AG361" s="4"/>
      <c r="AH361" s="4"/>
      <c r="AI361" s="4"/>
      <c r="AJ361" s="4"/>
      <c r="AK361" s="4"/>
      <c r="AL361" s="4"/>
      <c r="AM361" s="4"/>
      <c r="AN361" s="4"/>
      <c r="AO361" s="4"/>
      <c r="AP361" s="4"/>
      <c r="AQ361" s="4"/>
      <c r="AR361" s="4"/>
    </row>
    <row r="362" spans="1:44">
      <c r="A362" s="4"/>
      <c r="B362" s="47"/>
      <c r="C362" s="47"/>
      <c r="D362" s="48"/>
      <c r="E362" s="4"/>
      <c r="F362" s="11"/>
      <c r="G362" s="11"/>
      <c r="H362" s="11"/>
      <c r="I362" s="11"/>
      <c r="J362" s="11"/>
      <c r="K362" s="11"/>
      <c r="L362" s="11"/>
      <c r="M362" s="11"/>
      <c r="N362" s="11"/>
      <c r="O362" s="11"/>
      <c r="P362" s="14"/>
      <c r="Q362" s="14"/>
      <c r="R362" s="14"/>
      <c r="S362" s="14"/>
      <c r="T362" s="14"/>
      <c r="U362" s="14"/>
      <c r="V362" s="14"/>
      <c r="W362" s="14"/>
      <c r="X362" s="14"/>
      <c r="Y362" s="14"/>
      <c r="Z362" s="14"/>
      <c r="AA362" s="4"/>
      <c r="AB362" s="4"/>
      <c r="AC362" s="4"/>
      <c r="AD362" s="4"/>
      <c r="AE362" s="4"/>
      <c r="AF362" s="4"/>
      <c r="AG362" s="4"/>
      <c r="AH362" s="4"/>
      <c r="AI362" s="4"/>
      <c r="AJ362" s="4"/>
      <c r="AK362" s="4"/>
      <c r="AL362" s="4"/>
      <c r="AM362" s="4"/>
      <c r="AN362" s="4"/>
      <c r="AO362" s="4"/>
      <c r="AP362" s="4"/>
      <c r="AQ362" s="4"/>
      <c r="AR362" s="4"/>
    </row>
    <row r="363" spans="1:44">
      <c r="A363" s="4"/>
      <c r="B363" s="47"/>
      <c r="C363" s="47"/>
      <c r="D363" s="48"/>
      <c r="E363" s="4"/>
      <c r="F363" s="11"/>
      <c r="G363" s="11"/>
      <c r="H363" s="11"/>
      <c r="I363" s="11"/>
      <c r="J363" s="11"/>
      <c r="K363" s="11"/>
      <c r="L363" s="11"/>
      <c r="M363" s="11"/>
      <c r="N363" s="11"/>
      <c r="O363" s="11"/>
      <c r="P363" s="14"/>
      <c r="Q363" s="14"/>
      <c r="R363" s="14"/>
      <c r="S363" s="14"/>
      <c r="T363" s="14"/>
      <c r="U363" s="14"/>
      <c r="V363" s="14"/>
      <c r="W363" s="14"/>
      <c r="X363" s="14"/>
      <c r="Y363" s="14"/>
      <c r="Z363" s="14"/>
      <c r="AA363" s="4"/>
      <c r="AB363" s="4"/>
      <c r="AC363" s="4"/>
      <c r="AD363" s="4"/>
      <c r="AE363" s="4"/>
      <c r="AF363" s="4"/>
      <c r="AG363" s="4"/>
      <c r="AH363" s="4"/>
      <c r="AI363" s="4"/>
      <c r="AJ363" s="4"/>
      <c r="AK363" s="4"/>
      <c r="AL363" s="4"/>
      <c r="AM363" s="4"/>
      <c r="AN363" s="4"/>
      <c r="AO363" s="4"/>
      <c r="AP363" s="4"/>
      <c r="AQ363" s="4"/>
      <c r="AR363" s="4"/>
    </row>
    <row r="364" spans="1:44">
      <c r="A364" s="4"/>
      <c r="B364" s="47"/>
      <c r="C364" s="47"/>
      <c r="D364" s="48"/>
      <c r="E364" s="4"/>
      <c r="F364" s="11"/>
      <c r="G364" s="11"/>
      <c r="H364" s="11"/>
      <c r="I364" s="11"/>
      <c r="J364" s="11"/>
      <c r="K364" s="11"/>
      <c r="L364" s="11"/>
      <c r="M364" s="11"/>
      <c r="N364" s="11"/>
      <c r="O364" s="11"/>
      <c r="P364" s="14"/>
      <c r="Q364" s="14"/>
      <c r="R364" s="14"/>
      <c r="S364" s="14"/>
      <c r="T364" s="14"/>
      <c r="U364" s="14"/>
      <c r="V364" s="14"/>
      <c r="W364" s="14"/>
      <c r="X364" s="14"/>
      <c r="Y364" s="14"/>
      <c r="Z364" s="14"/>
      <c r="AA364" s="4"/>
      <c r="AB364" s="4"/>
      <c r="AC364" s="4"/>
      <c r="AD364" s="4"/>
      <c r="AE364" s="4"/>
      <c r="AF364" s="4"/>
      <c r="AG364" s="4"/>
      <c r="AH364" s="4"/>
      <c r="AI364" s="4"/>
      <c r="AJ364" s="4"/>
      <c r="AK364" s="4"/>
      <c r="AL364" s="4"/>
      <c r="AM364" s="4"/>
      <c r="AN364" s="4"/>
      <c r="AO364" s="4"/>
      <c r="AP364" s="4"/>
      <c r="AQ364" s="4"/>
      <c r="AR364" s="4"/>
    </row>
    <row r="365" spans="1:44">
      <c r="A365" s="4"/>
      <c r="B365" s="47"/>
      <c r="C365" s="47"/>
      <c r="D365" s="48"/>
      <c r="E365" s="4"/>
      <c r="F365" s="11"/>
      <c r="G365" s="11"/>
      <c r="H365" s="11"/>
      <c r="I365" s="11"/>
      <c r="J365" s="11"/>
      <c r="K365" s="11"/>
      <c r="L365" s="11"/>
      <c r="M365" s="11"/>
      <c r="N365" s="11"/>
      <c r="O365" s="11"/>
      <c r="P365" s="14"/>
      <c r="Q365" s="14"/>
      <c r="R365" s="14"/>
      <c r="S365" s="14"/>
      <c r="T365" s="14"/>
      <c r="U365" s="14"/>
      <c r="V365" s="14"/>
      <c r="W365" s="14"/>
      <c r="X365" s="14"/>
      <c r="Y365" s="14"/>
      <c r="Z365" s="14"/>
      <c r="AA365" s="4"/>
      <c r="AB365" s="4"/>
      <c r="AC365" s="4"/>
      <c r="AD365" s="4"/>
      <c r="AE365" s="4"/>
      <c r="AF365" s="4"/>
      <c r="AG365" s="4"/>
      <c r="AH365" s="4"/>
      <c r="AI365" s="4"/>
      <c r="AJ365" s="4"/>
      <c r="AK365" s="4"/>
      <c r="AL365" s="4"/>
      <c r="AM365" s="4"/>
      <c r="AN365" s="4"/>
      <c r="AO365" s="4"/>
      <c r="AP365" s="4"/>
      <c r="AQ365" s="4"/>
      <c r="AR365" s="4"/>
    </row>
    <row r="366" spans="1:44">
      <c r="A366" s="4"/>
      <c r="B366" s="47"/>
      <c r="C366" s="47"/>
      <c r="D366" s="48"/>
      <c r="E366" s="4"/>
      <c r="F366" s="11"/>
      <c r="G366" s="11"/>
      <c r="H366" s="11"/>
      <c r="I366" s="11"/>
      <c r="J366" s="11"/>
      <c r="K366" s="11"/>
      <c r="L366" s="11"/>
      <c r="M366" s="11"/>
      <c r="N366" s="11"/>
      <c r="O366" s="11"/>
      <c r="P366" s="14"/>
      <c r="Q366" s="14"/>
      <c r="R366" s="14"/>
      <c r="S366" s="14"/>
      <c r="T366" s="14"/>
      <c r="U366" s="14"/>
      <c r="V366" s="14"/>
      <c r="W366" s="14"/>
      <c r="X366" s="14"/>
      <c r="Y366" s="14"/>
      <c r="Z366" s="14"/>
      <c r="AA366" s="4"/>
      <c r="AB366" s="4"/>
      <c r="AC366" s="4"/>
      <c r="AD366" s="4"/>
      <c r="AE366" s="4"/>
      <c r="AF366" s="4"/>
      <c r="AG366" s="4"/>
      <c r="AH366" s="4"/>
      <c r="AI366" s="4"/>
      <c r="AJ366" s="4"/>
      <c r="AK366" s="4"/>
      <c r="AL366" s="4"/>
      <c r="AM366" s="4"/>
      <c r="AN366" s="4"/>
      <c r="AO366" s="4"/>
      <c r="AP366" s="4"/>
      <c r="AQ366" s="4"/>
      <c r="AR366" s="4"/>
    </row>
    <row r="367" spans="1:44">
      <c r="A367" s="4"/>
      <c r="B367" s="47"/>
      <c r="C367" s="47"/>
      <c r="D367" s="48"/>
      <c r="E367" s="4"/>
      <c r="F367" s="11"/>
      <c r="G367" s="11"/>
      <c r="H367" s="11"/>
      <c r="I367" s="11"/>
      <c r="J367" s="11"/>
      <c r="K367" s="11"/>
      <c r="L367" s="11"/>
      <c r="M367" s="11"/>
      <c r="N367" s="11"/>
      <c r="O367" s="11"/>
      <c r="P367" s="14"/>
      <c r="Q367" s="14"/>
      <c r="R367" s="14"/>
      <c r="S367" s="14"/>
      <c r="T367" s="14"/>
      <c r="U367" s="14"/>
      <c r="V367" s="14"/>
      <c r="W367" s="14"/>
      <c r="X367" s="14"/>
      <c r="Y367" s="14"/>
      <c r="Z367" s="14"/>
      <c r="AA367" s="4"/>
      <c r="AB367" s="4"/>
      <c r="AC367" s="4"/>
      <c r="AD367" s="4"/>
      <c r="AE367" s="4"/>
      <c r="AF367" s="4"/>
      <c r="AG367" s="4"/>
      <c r="AH367" s="4"/>
      <c r="AI367" s="4"/>
      <c r="AJ367" s="4"/>
      <c r="AK367" s="4"/>
      <c r="AL367" s="4"/>
      <c r="AM367" s="4"/>
      <c r="AN367" s="4"/>
      <c r="AO367" s="4"/>
      <c r="AP367" s="4"/>
      <c r="AQ367" s="4"/>
      <c r="AR367" s="4"/>
    </row>
    <row r="368" spans="1:44">
      <c r="A368" s="4"/>
      <c r="B368" s="47"/>
      <c r="C368" s="47"/>
      <c r="D368" s="48"/>
      <c r="E368" s="4"/>
      <c r="F368" s="11"/>
      <c r="G368" s="11"/>
      <c r="H368" s="11"/>
      <c r="I368" s="11"/>
      <c r="J368" s="11"/>
      <c r="K368" s="11"/>
      <c r="L368" s="11"/>
      <c r="M368" s="11"/>
      <c r="N368" s="11"/>
      <c r="O368" s="11"/>
      <c r="P368" s="14"/>
      <c r="Q368" s="14"/>
      <c r="R368" s="14"/>
      <c r="S368" s="14"/>
      <c r="T368" s="14"/>
      <c r="U368" s="14"/>
      <c r="V368" s="14"/>
      <c r="W368" s="14"/>
      <c r="X368" s="14"/>
      <c r="Y368" s="14"/>
      <c r="Z368" s="14"/>
      <c r="AA368" s="4"/>
      <c r="AB368" s="4"/>
      <c r="AC368" s="4"/>
      <c r="AD368" s="4"/>
      <c r="AE368" s="4"/>
      <c r="AF368" s="4"/>
      <c r="AG368" s="4"/>
      <c r="AH368" s="4"/>
      <c r="AI368" s="4"/>
      <c r="AJ368" s="4"/>
      <c r="AK368" s="4"/>
      <c r="AL368" s="4"/>
      <c r="AM368" s="4"/>
      <c r="AN368" s="4"/>
      <c r="AO368" s="4"/>
      <c r="AP368" s="4"/>
      <c r="AQ368" s="4"/>
      <c r="AR368" s="4"/>
    </row>
    <row r="369" spans="1:44">
      <c r="A369" s="4"/>
      <c r="B369" s="47"/>
      <c r="C369" s="47"/>
      <c r="D369" s="48"/>
      <c r="E369" s="4"/>
      <c r="F369" s="11"/>
      <c r="G369" s="11"/>
      <c r="H369" s="11"/>
      <c r="I369" s="11"/>
      <c r="J369" s="11"/>
      <c r="K369" s="11"/>
      <c r="L369" s="11"/>
      <c r="M369" s="11"/>
      <c r="N369" s="11"/>
      <c r="O369" s="11"/>
      <c r="P369" s="14"/>
      <c r="Q369" s="14"/>
      <c r="R369" s="14"/>
      <c r="S369" s="14"/>
      <c r="T369" s="14"/>
      <c r="U369" s="14"/>
      <c r="V369" s="14"/>
      <c r="W369" s="14"/>
      <c r="X369" s="14"/>
      <c r="Y369" s="14"/>
      <c r="Z369" s="14"/>
      <c r="AA369" s="4"/>
      <c r="AB369" s="4"/>
      <c r="AC369" s="4"/>
      <c r="AD369" s="4"/>
      <c r="AE369" s="4"/>
      <c r="AF369" s="4"/>
      <c r="AG369" s="4"/>
      <c r="AH369" s="4"/>
      <c r="AI369" s="4"/>
      <c r="AJ369" s="4"/>
      <c r="AK369" s="4"/>
      <c r="AL369" s="4"/>
      <c r="AM369" s="4"/>
      <c r="AN369" s="4"/>
      <c r="AO369" s="4"/>
      <c r="AP369" s="4"/>
      <c r="AQ369" s="4"/>
      <c r="AR369" s="4"/>
    </row>
    <row r="370" spans="1:44">
      <c r="A370" s="4"/>
      <c r="B370" s="47"/>
      <c r="C370" s="47"/>
      <c r="D370" s="48"/>
      <c r="E370" s="4"/>
      <c r="F370" s="11"/>
      <c r="G370" s="11"/>
      <c r="H370" s="11"/>
      <c r="I370" s="11"/>
      <c r="J370" s="11"/>
      <c r="K370" s="11"/>
      <c r="L370" s="11"/>
      <c r="M370" s="11"/>
      <c r="N370" s="11"/>
      <c r="O370" s="11"/>
      <c r="P370" s="14"/>
      <c r="Q370" s="14"/>
      <c r="R370" s="14"/>
      <c r="S370" s="14"/>
      <c r="T370" s="14"/>
      <c r="U370" s="14"/>
      <c r="V370" s="14"/>
      <c r="W370" s="14"/>
      <c r="X370" s="14"/>
      <c r="Y370" s="14"/>
      <c r="Z370" s="14"/>
      <c r="AA370" s="4"/>
      <c r="AB370" s="4"/>
      <c r="AC370" s="4"/>
      <c r="AD370" s="4"/>
      <c r="AE370" s="4"/>
      <c r="AF370" s="4"/>
      <c r="AG370" s="4"/>
      <c r="AH370" s="4"/>
      <c r="AI370" s="4"/>
      <c r="AJ370" s="4"/>
      <c r="AK370" s="4"/>
      <c r="AL370" s="4"/>
      <c r="AM370" s="4"/>
      <c r="AN370" s="4"/>
      <c r="AO370" s="4"/>
      <c r="AP370" s="4"/>
      <c r="AQ370" s="4"/>
      <c r="AR370" s="4"/>
    </row>
    <row r="371" spans="1:44">
      <c r="A371" s="4"/>
      <c r="B371" s="47"/>
      <c r="C371" s="47"/>
      <c r="D371" s="48"/>
      <c r="E371" s="4"/>
      <c r="F371" s="11"/>
      <c r="G371" s="11"/>
      <c r="H371" s="11"/>
      <c r="I371" s="11"/>
      <c r="J371" s="11"/>
      <c r="K371" s="11"/>
      <c r="L371" s="11"/>
      <c r="M371" s="11"/>
      <c r="N371" s="11"/>
      <c r="O371" s="11"/>
      <c r="P371" s="14"/>
      <c r="Q371" s="14"/>
      <c r="R371" s="14"/>
      <c r="S371" s="14"/>
      <c r="T371" s="14"/>
      <c r="U371" s="14"/>
      <c r="V371" s="14"/>
      <c r="W371" s="14"/>
      <c r="X371" s="14"/>
      <c r="Y371" s="14"/>
      <c r="Z371" s="14"/>
      <c r="AA371" s="4"/>
      <c r="AB371" s="4"/>
      <c r="AC371" s="4"/>
      <c r="AD371" s="4"/>
      <c r="AE371" s="4"/>
      <c r="AF371" s="4"/>
      <c r="AG371" s="4"/>
      <c r="AH371" s="4"/>
      <c r="AI371" s="4"/>
      <c r="AJ371" s="4"/>
      <c r="AK371" s="4"/>
      <c r="AL371" s="4"/>
      <c r="AM371" s="4"/>
      <c r="AN371" s="4"/>
      <c r="AO371" s="4"/>
      <c r="AP371" s="4"/>
      <c r="AQ371" s="4"/>
      <c r="AR371" s="4"/>
    </row>
    <row r="372" spans="1:44">
      <c r="A372" s="4"/>
      <c r="B372" s="47"/>
      <c r="C372" s="47"/>
      <c r="D372" s="48"/>
      <c r="E372" s="4"/>
      <c r="F372" s="11"/>
      <c r="G372" s="11"/>
      <c r="H372" s="11"/>
      <c r="I372" s="11"/>
      <c r="J372" s="11"/>
      <c r="K372" s="11"/>
      <c r="L372" s="11"/>
      <c r="M372" s="11"/>
      <c r="N372" s="11"/>
      <c r="O372" s="11"/>
      <c r="P372" s="14"/>
      <c r="Q372" s="14"/>
      <c r="R372" s="14"/>
      <c r="S372" s="14"/>
      <c r="T372" s="14"/>
      <c r="U372" s="14"/>
      <c r="V372" s="14"/>
      <c r="W372" s="14"/>
      <c r="X372" s="14"/>
      <c r="Y372" s="14"/>
      <c r="Z372" s="14"/>
      <c r="AA372" s="4"/>
      <c r="AB372" s="4"/>
      <c r="AC372" s="4"/>
      <c r="AD372" s="4"/>
      <c r="AE372" s="4"/>
      <c r="AF372" s="4"/>
      <c r="AG372" s="4"/>
      <c r="AH372" s="4"/>
      <c r="AI372" s="4"/>
      <c r="AJ372" s="4"/>
      <c r="AK372" s="4"/>
      <c r="AL372" s="4"/>
      <c r="AM372" s="4"/>
      <c r="AN372" s="4"/>
      <c r="AO372" s="4"/>
      <c r="AP372" s="4"/>
      <c r="AQ372" s="4"/>
      <c r="AR372" s="4"/>
    </row>
    <row r="373" spans="1:44">
      <c r="A373" s="4"/>
      <c r="B373" s="47"/>
      <c r="C373" s="47"/>
      <c r="D373" s="48"/>
      <c r="E373" s="4"/>
      <c r="F373" s="11"/>
      <c r="G373" s="11"/>
      <c r="H373" s="11"/>
      <c r="I373" s="11"/>
      <c r="J373" s="11"/>
      <c r="K373" s="11"/>
      <c r="L373" s="11"/>
      <c r="M373" s="11"/>
      <c r="N373" s="11"/>
      <c r="O373" s="11"/>
      <c r="P373" s="14"/>
      <c r="Q373" s="14"/>
      <c r="R373" s="14"/>
      <c r="S373" s="14"/>
      <c r="T373" s="14"/>
      <c r="U373" s="14"/>
      <c r="V373" s="14"/>
      <c r="W373" s="14"/>
      <c r="X373" s="14"/>
      <c r="Y373" s="14"/>
      <c r="Z373" s="14"/>
      <c r="AA373" s="4"/>
      <c r="AB373" s="4"/>
      <c r="AC373" s="4"/>
      <c r="AD373" s="4"/>
      <c r="AE373" s="4"/>
      <c r="AF373" s="4"/>
      <c r="AG373" s="4"/>
      <c r="AH373" s="4"/>
      <c r="AI373" s="4"/>
      <c r="AJ373" s="4"/>
      <c r="AK373" s="4"/>
      <c r="AL373" s="4"/>
      <c r="AM373" s="4"/>
      <c r="AN373" s="4"/>
      <c r="AO373" s="4"/>
      <c r="AP373" s="4"/>
      <c r="AQ373" s="4"/>
      <c r="AR373" s="4"/>
    </row>
    <row r="374" spans="1:44">
      <c r="A374" s="4"/>
      <c r="B374" s="47"/>
      <c r="C374" s="47"/>
      <c r="D374" s="48"/>
      <c r="E374" s="4"/>
      <c r="F374" s="11"/>
      <c r="G374" s="11"/>
      <c r="H374" s="11"/>
      <c r="I374" s="11"/>
      <c r="J374" s="11"/>
      <c r="K374" s="11"/>
      <c r="L374" s="11"/>
      <c r="M374" s="11"/>
      <c r="N374" s="11"/>
      <c r="O374" s="11"/>
      <c r="P374" s="14"/>
      <c r="Q374" s="14"/>
      <c r="R374" s="14"/>
      <c r="S374" s="14"/>
      <c r="T374" s="14"/>
      <c r="U374" s="14"/>
      <c r="V374" s="14"/>
      <c r="W374" s="14"/>
      <c r="X374" s="14"/>
      <c r="Y374" s="14"/>
      <c r="Z374" s="14"/>
      <c r="AA374" s="4"/>
      <c r="AB374" s="4"/>
      <c r="AC374" s="4"/>
      <c r="AD374" s="4"/>
      <c r="AE374" s="4"/>
      <c r="AF374" s="4"/>
      <c r="AG374" s="4"/>
      <c r="AH374" s="4"/>
      <c r="AI374" s="4"/>
      <c r="AJ374" s="4"/>
      <c r="AK374" s="4"/>
      <c r="AL374" s="4"/>
      <c r="AM374" s="4"/>
      <c r="AN374" s="4"/>
      <c r="AO374" s="4"/>
      <c r="AP374" s="4"/>
      <c r="AQ374" s="4"/>
      <c r="AR374" s="4"/>
    </row>
    <row r="375" spans="1:44">
      <c r="A375" s="4"/>
      <c r="B375" s="47"/>
      <c r="C375" s="47"/>
      <c r="D375" s="48"/>
      <c r="E375" s="4"/>
      <c r="F375" s="11"/>
      <c r="G375" s="11"/>
      <c r="H375" s="11"/>
      <c r="I375" s="11"/>
      <c r="J375" s="11"/>
      <c r="K375" s="11"/>
      <c r="L375" s="11"/>
      <c r="M375" s="11"/>
      <c r="N375" s="11"/>
      <c r="O375" s="11"/>
      <c r="P375" s="14"/>
      <c r="Q375" s="14"/>
      <c r="R375" s="14"/>
      <c r="S375" s="14"/>
      <c r="T375" s="14"/>
      <c r="U375" s="14"/>
      <c r="V375" s="14"/>
      <c r="W375" s="14"/>
      <c r="X375" s="14"/>
      <c r="Y375" s="14"/>
      <c r="Z375" s="14"/>
      <c r="AA375" s="4"/>
      <c r="AB375" s="4"/>
      <c r="AC375" s="4"/>
      <c r="AD375" s="4"/>
      <c r="AE375" s="4"/>
      <c r="AF375" s="4"/>
      <c r="AG375" s="4"/>
      <c r="AH375" s="4"/>
      <c r="AI375" s="4"/>
      <c r="AJ375" s="4"/>
      <c r="AK375" s="4"/>
      <c r="AL375" s="4"/>
      <c r="AM375" s="4"/>
      <c r="AN375" s="4"/>
      <c r="AO375" s="4"/>
      <c r="AP375" s="4"/>
      <c r="AQ375" s="4"/>
      <c r="AR375" s="4"/>
    </row>
    <row r="376" spans="1:44">
      <c r="A376" s="4"/>
      <c r="B376" s="47"/>
      <c r="C376" s="47"/>
      <c r="D376" s="48"/>
      <c r="E376" s="4"/>
      <c r="F376" s="11"/>
      <c r="G376" s="11"/>
      <c r="H376" s="11"/>
      <c r="I376" s="11"/>
      <c r="J376" s="11"/>
      <c r="K376" s="11"/>
      <c r="L376" s="11"/>
      <c r="M376" s="11"/>
      <c r="N376" s="11"/>
      <c r="O376" s="11"/>
      <c r="P376" s="14"/>
      <c r="Q376" s="14"/>
      <c r="R376" s="14"/>
      <c r="S376" s="14"/>
      <c r="T376" s="14"/>
      <c r="U376" s="14"/>
      <c r="V376" s="14"/>
      <c r="W376" s="14"/>
      <c r="X376" s="14"/>
      <c r="Y376" s="14"/>
      <c r="Z376" s="14"/>
      <c r="AA376" s="4"/>
      <c r="AB376" s="4"/>
      <c r="AC376" s="4"/>
      <c r="AD376" s="4"/>
      <c r="AE376" s="4"/>
      <c r="AF376" s="4"/>
      <c r="AG376" s="4"/>
      <c r="AH376" s="4"/>
      <c r="AI376" s="4"/>
      <c r="AJ376" s="4"/>
      <c r="AK376" s="4"/>
      <c r="AL376" s="4"/>
      <c r="AM376" s="4"/>
      <c r="AN376" s="4"/>
      <c r="AO376" s="4"/>
      <c r="AP376" s="4"/>
      <c r="AQ376" s="4"/>
      <c r="AR376" s="4"/>
    </row>
    <row r="377" spans="1:44">
      <c r="A377" s="4"/>
      <c r="B377" s="47"/>
      <c r="C377" s="47"/>
      <c r="D377" s="48"/>
      <c r="E377" s="4"/>
      <c r="F377" s="11"/>
      <c r="G377" s="11"/>
      <c r="H377" s="11"/>
      <c r="I377" s="11"/>
      <c r="J377" s="11"/>
      <c r="K377" s="11"/>
      <c r="L377" s="11"/>
      <c r="M377" s="11"/>
      <c r="N377" s="11"/>
      <c r="O377" s="11"/>
      <c r="P377" s="14"/>
      <c r="Q377" s="14"/>
      <c r="R377" s="14"/>
      <c r="S377" s="14"/>
      <c r="T377" s="14"/>
      <c r="U377" s="14"/>
      <c r="V377" s="14"/>
      <c r="W377" s="14"/>
      <c r="X377" s="14"/>
      <c r="Y377" s="14"/>
      <c r="Z377" s="14"/>
      <c r="AA377" s="4"/>
      <c r="AB377" s="4"/>
      <c r="AC377" s="4"/>
      <c r="AD377" s="4"/>
      <c r="AE377" s="4"/>
      <c r="AF377" s="4"/>
      <c r="AG377" s="4"/>
      <c r="AH377" s="4"/>
      <c r="AI377" s="4"/>
      <c r="AJ377" s="4"/>
      <c r="AK377" s="4"/>
      <c r="AL377" s="4"/>
      <c r="AM377" s="4"/>
      <c r="AN377" s="4"/>
      <c r="AO377" s="4"/>
      <c r="AP377" s="4"/>
      <c r="AQ377" s="4"/>
      <c r="AR377" s="4"/>
    </row>
    <row r="378" spans="1:44">
      <c r="A378" s="4"/>
      <c r="B378" s="47"/>
      <c r="C378" s="47"/>
      <c r="D378" s="48"/>
      <c r="E378" s="4"/>
      <c r="F378" s="11"/>
      <c r="G378" s="11"/>
      <c r="H378" s="11"/>
      <c r="I378" s="11"/>
      <c r="J378" s="11"/>
      <c r="K378" s="11"/>
      <c r="L378" s="11"/>
      <c r="M378" s="11"/>
      <c r="N378" s="11"/>
      <c r="O378" s="11"/>
      <c r="P378" s="14"/>
      <c r="Q378" s="14"/>
      <c r="R378" s="14"/>
      <c r="S378" s="14"/>
      <c r="T378" s="14"/>
      <c r="U378" s="14"/>
      <c r="V378" s="14"/>
      <c r="W378" s="14"/>
      <c r="X378" s="14"/>
      <c r="Y378" s="14"/>
      <c r="Z378" s="14"/>
      <c r="AA378" s="4"/>
      <c r="AB378" s="4"/>
      <c r="AC378" s="4"/>
      <c r="AD378" s="4"/>
      <c r="AE378" s="4"/>
      <c r="AF378" s="4"/>
      <c r="AG378" s="4"/>
      <c r="AH378" s="4"/>
      <c r="AI378" s="4"/>
      <c r="AJ378" s="4"/>
      <c r="AK378" s="4"/>
      <c r="AL378" s="4"/>
      <c r="AM378" s="4"/>
      <c r="AN378" s="4"/>
      <c r="AO378" s="4"/>
      <c r="AP378" s="4"/>
      <c r="AQ378" s="4"/>
      <c r="AR378" s="4"/>
    </row>
    <row r="379" spans="1:44">
      <c r="A379" s="4"/>
      <c r="B379" s="47"/>
      <c r="C379" s="47"/>
      <c r="D379" s="48"/>
      <c r="E379" s="4"/>
      <c r="F379" s="11"/>
      <c r="G379" s="11"/>
      <c r="H379" s="11"/>
      <c r="I379" s="11"/>
      <c r="J379" s="11"/>
      <c r="K379" s="11"/>
      <c r="L379" s="11"/>
      <c r="M379" s="11"/>
      <c r="N379" s="11"/>
      <c r="O379" s="11"/>
      <c r="P379" s="14"/>
      <c r="Q379" s="14"/>
      <c r="R379" s="14"/>
      <c r="S379" s="14"/>
      <c r="T379" s="14"/>
      <c r="U379" s="14"/>
      <c r="V379" s="14"/>
      <c r="W379" s="14"/>
      <c r="X379" s="14"/>
      <c r="Y379" s="14"/>
      <c r="Z379" s="14"/>
      <c r="AA379" s="4"/>
      <c r="AB379" s="4"/>
      <c r="AC379" s="4"/>
      <c r="AD379" s="4"/>
      <c r="AE379" s="4"/>
      <c r="AF379" s="4"/>
      <c r="AG379" s="4"/>
      <c r="AH379" s="4"/>
      <c r="AI379" s="4"/>
      <c r="AJ379" s="4"/>
      <c r="AK379" s="4"/>
      <c r="AL379" s="4"/>
      <c r="AM379" s="4"/>
      <c r="AN379" s="4"/>
      <c r="AO379" s="4"/>
      <c r="AP379" s="4"/>
      <c r="AQ379" s="4"/>
      <c r="AR379" s="4"/>
    </row>
    <row r="380" spans="1:44">
      <c r="A380" s="4"/>
      <c r="B380" s="47"/>
      <c r="C380" s="47"/>
      <c r="D380" s="48"/>
      <c r="E380" s="4"/>
      <c r="F380" s="11"/>
      <c r="G380" s="11"/>
      <c r="H380" s="11"/>
      <c r="I380" s="11"/>
      <c r="J380" s="11"/>
      <c r="K380" s="11"/>
      <c r="L380" s="11"/>
      <c r="M380" s="11"/>
      <c r="N380" s="11"/>
      <c r="O380" s="11"/>
      <c r="P380" s="14"/>
      <c r="Q380" s="14"/>
      <c r="R380" s="14"/>
      <c r="S380" s="14"/>
      <c r="T380" s="14"/>
      <c r="U380" s="14"/>
      <c r="V380" s="14"/>
      <c r="W380" s="14"/>
      <c r="X380" s="14"/>
      <c r="Y380" s="14"/>
      <c r="Z380" s="14"/>
      <c r="AA380" s="4"/>
      <c r="AB380" s="4"/>
      <c r="AC380" s="4"/>
      <c r="AD380" s="4"/>
      <c r="AE380" s="4"/>
      <c r="AF380" s="4"/>
      <c r="AG380" s="4"/>
      <c r="AH380" s="4"/>
      <c r="AI380" s="4"/>
      <c r="AJ380" s="4"/>
      <c r="AK380" s="4"/>
      <c r="AL380" s="4"/>
      <c r="AM380" s="4"/>
      <c r="AN380" s="4"/>
      <c r="AO380" s="4"/>
      <c r="AP380" s="4"/>
      <c r="AQ380" s="4"/>
      <c r="AR380" s="4"/>
    </row>
    <row r="381" spans="1:44">
      <c r="A381" s="4"/>
      <c r="B381" s="47"/>
      <c r="C381" s="47"/>
      <c r="D381" s="48"/>
      <c r="E381" s="4"/>
      <c r="F381" s="11"/>
      <c r="G381" s="11"/>
      <c r="H381" s="11"/>
      <c r="I381" s="11"/>
      <c r="J381" s="11"/>
      <c r="K381" s="11"/>
      <c r="L381" s="11"/>
      <c r="M381" s="11"/>
      <c r="N381" s="11"/>
      <c r="O381" s="11"/>
      <c r="P381" s="14"/>
      <c r="Q381" s="14"/>
      <c r="R381" s="14"/>
      <c r="S381" s="14"/>
      <c r="T381" s="14"/>
      <c r="U381" s="14"/>
      <c r="V381" s="14"/>
      <c r="W381" s="14"/>
      <c r="X381" s="14"/>
      <c r="Y381" s="14"/>
      <c r="Z381" s="14"/>
      <c r="AA381" s="4"/>
      <c r="AB381" s="4"/>
      <c r="AC381" s="4"/>
      <c r="AD381" s="4"/>
      <c r="AE381" s="4"/>
      <c r="AF381" s="4"/>
      <c r="AG381" s="4"/>
      <c r="AH381" s="4"/>
      <c r="AI381" s="4"/>
      <c r="AJ381" s="4"/>
      <c r="AK381" s="4"/>
      <c r="AL381" s="4"/>
      <c r="AM381" s="4"/>
      <c r="AN381" s="4"/>
      <c r="AO381" s="4"/>
      <c r="AP381" s="4"/>
      <c r="AQ381" s="4"/>
      <c r="AR381" s="4"/>
    </row>
    <row r="382" spans="1:44">
      <c r="A382" s="4"/>
      <c r="B382" s="47"/>
      <c r="C382" s="47"/>
      <c r="D382" s="48"/>
      <c r="E382" s="4"/>
      <c r="F382" s="11"/>
      <c r="G382" s="11"/>
      <c r="H382" s="11"/>
      <c r="I382" s="11"/>
      <c r="J382" s="11"/>
      <c r="K382" s="11"/>
      <c r="L382" s="11"/>
      <c r="M382" s="11"/>
      <c r="N382" s="11"/>
      <c r="O382" s="11"/>
      <c r="P382" s="14"/>
      <c r="Q382" s="14"/>
      <c r="R382" s="14"/>
      <c r="S382" s="14"/>
      <c r="T382" s="14"/>
      <c r="U382" s="14"/>
      <c r="V382" s="14"/>
      <c r="W382" s="14"/>
      <c r="X382" s="14"/>
      <c r="Y382" s="14"/>
      <c r="Z382" s="14"/>
      <c r="AA382" s="4"/>
      <c r="AB382" s="4"/>
      <c r="AC382" s="4"/>
      <c r="AD382" s="4"/>
      <c r="AE382" s="4"/>
      <c r="AF382" s="4"/>
      <c r="AG382" s="4"/>
      <c r="AH382" s="4"/>
      <c r="AI382" s="4"/>
      <c r="AJ382" s="4"/>
      <c r="AK382" s="4"/>
      <c r="AL382" s="4"/>
      <c r="AM382" s="4"/>
      <c r="AN382" s="4"/>
      <c r="AO382" s="4"/>
      <c r="AP382" s="4"/>
      <c r="AQ382" s="4"/>
      <c r="AR382" s="4"/>
    </row>
    <row r="383" spans="1:44">
      <c r="A383" s="4"/>
      <c r="B383" s="47"/>
      <c r="C383" s="47"/>
      <c r="D383" s="48"/>
      <c r="E383" s="4"/>
      <c r="F383" s="11"/>
      <c r="G383" s="11"/>
      <c r="H383" s="11"/>
      <c r="I383" s="11"/>
      <c r="J383" s="11"/>
      <c r="K383" s="11"/>
      <c r="L383" s="11"/>
      <c r="M383" s="11"/>
      <c r="N383" s="11"/>
      <c r="O383" s="11"/>
      <c r="P383" s="14"/>
      <c r="Q383" s="14"/>
      <c r="R383" s="14"/>
      <c r="S383" s="14"/>
      <c r="T383" s="14"/>
      <c r="U383" s="14"/>
      <c r="V383" s="14"/>
      <c r="W383" s="14"/>
      <c r="X383" s="14"/>
      <c r="Y383" s="14"/>
      <c r="Z383" s="14"/>
      <c r="AA383" s="4"/>
      <c r="AB383" s="4"/>
      <c r="AC383" s="4"/>
      <c r="AD383" s="4"/>
      <c r="AE383" s="4"/>
      <c r="AF383" s="4"/>
      <c r="AG383" s="4"/>
      <c r="AH383" s="4"/>
      <c r="AI383" s="4"/>
      <c r="AJ383" s="4"/>
      <c r="AK383" s="4"/>
      <c r="AL383" s="4"/>
      <c r="AM383" s="4"/>
      <c r="AN383" s="4"/>
      <c r="AO383" s="4"/>
      <c r="AP383" s="4"/>
      <c r="AQ383" s="4"/>
      <c r="AR383" s="4"/>
    </row>
    <row r="384" spans="1:44">
      <c r="A384" s="4"/>
      <c r="B384" s="47"/>
      <c r="C384" s="47"/>
      <c r="D384" s="48"/>
      <c r="E384" s="4"/>
      <c r="F384" s="11"/>
      <c r="G384" s="11"/>
      <c r="H384" s="11"/>
      <c r="I384" s="11"/>
      <c r="J384" s="11"/>
      <c r="K384" s="11"/>
      <c r="L384" s="11"/>
      <c r="M384" s="11"/>
      <c r="N384" s="11"/>
      <c r="O384" s="11"/>
      <c r="P384" s="14"/>
      <c r="Q384" s="14"/>
      <c r="R384" s="14"/>
      <c r="S384" s="14"/>
      <c r="T384" s="14"/>
      <c r="U384" s="14"/>
      <c r="V384" s="14"/>
      <c r="W384" s="14"/>
      <c r="X384" s="14"/>
      <c r="Y384" s="14"/>
      <c r="Z384" s="14"/>
      <c r="AA384" s="4"/>
      <c r="AB384" s="4"/>
      <c r="AC384" s="4"/>
      <c r="AD384" s="4"/>
      <c r="AE384" s="4"/>
      <c r="AF384" s="4"/>
      <c r="AG384" s="4"/>
      <c r="AH384" s="4"/>
      <c r="AI384" s="4"/>
      <c r="AJ384" s="4"/>
      <c r="AK384" s="4"/>
      <c r="AL384" s="4"/>
      <c r="AM384" s="4"/>
      <c r="AN384" s="4"/>
      <c r="AO384" s="4"/>
      <c r="AP384" s="4"/>
      <c r="AQ384" s="4"/>
      <c r="AR384" s="4"/>
    </row>
    <row r="385" spans="1:44">
      <c r="A385" s="4"/>
      <c r="B385" s="47"/>
      <c r="C385" s="47"/>
      <c r="D385" s="48"/>
      <c r="E385" s="4"/>
      <c r="F385" s="11"/>
      <c r="G385" s="11"/>
      <c r="H385" s="11"/>
      <c r="I385" s="11"/>
      <c r="J385" s="11"/>
      <c r="K385" s="11"/>
      <c r="L385" s="11"/>
      <c r="M385" s="11"/>
      <c r="N385" s="11"/>
      <c r="O385" s="11"/>
      <c r="P385" s="14"/>
      <c r="Q385" s="14"/>
      <c r="R385" s="14"/>
      <c r="S385" s="14"/>
      <c r="T385" s="14"/>
      <c r="U385" s="14"/>
      <c r="V385" s="14"/>
      <c r="W385" s="14"/>
      <c r="X385" s="14"/>
      <c r="Y385" s="14"/>
      <c r="Z385" s="14"/>
      <c r="AA385" s="4"/>
      <c r="AB385" s="4"/>
      <c r="AC385" s="4"/>
      <c r="AD385" s="4"/>
      <c r="AE385" s="4"/>
      <c r="AF385" s="4"/>
      <c r="AG385" s="4"/>
      <c r="AH385" s="4"/>
      <c r="AI385" s="4"/>
      <c r="AJ385" s="4"/>
      <c r="AK385" s="4"/>
      <c r="AL385" s="4"/>
      <c r="AM385" s="4"/>
      <c r="AN385" s="4"/>
      <c r="AO385" s="4"/>
      <c r="AP385" s="4"/>
      <c r="AQ385" s="4"/>
      <c r="AR385" s="4"/>
    </row>
    <row r="386" spans="1:44">
      <c r="A386" s="4"/>
      <c r="B386" s="47"/>
      <c r="C386" s="47"/>
      <c r="D386" s="48"/>
      <c r="E386" s="4"/>
      <c r="F386" s="11"/>
      <c r="G386" s="11"/>
      <c r="H386" s="11"/>
      <c r="I386" s="11"/>
      <c r="J386" s="11"/>
      <c r="K386" s="11"/>
      <c r="L386" s="11"/>
      <c r="M386" s="11"/>
      <c r="N386" s="11"/>
      <c r="O386" s="11"/>
      <c r="P386" s="14"/>
      <c r="Q386" s="14"/>
      <c r="R386" s="14"/>
      <c r="S386" s="14"/>
      <c r="T386" s="14"/>
      <c r="U386" s="14"/>
      <c r="V386" s="14"/>
      <c r="W386" s="14"/>
      <c r="X386" s="14"/>
      <c r="Y386" s="14"/>
      <c r="Z386" s="14"/>
      <c r="AA386" s="4"/>
      <c r="AB386" s="4"/>
      <c r="AC386" s="4"/>
      <c r="AD386" s="4"/>
      <c r="AE386" s="4"/>
      <c r="AF386" s="4"/>
      <c r="AG386" s="4"/>
      <c r="AH386" s="4"/>
      <c r="AI386" s="4"/>
      <c r="AJ386" s="4"/>
      <c r="AK386" s="4"/>
      <c r="AL386" s="4"/>
      <c r="AM386" s="4"/>
      <c r="AN386" s="4"/>
      <c r="AO386" s="4"/>
      <c r="AP386" s="4"/>
      <c r="AQ386" s="4"/>
      <c r="AR386" s="4"/>
    </row>
    <row r="387" spans="1:44">
      <c r="A387" s="4"/>
      <c r="B387" s="47"/>
      <c r="C387" s="47"/>
      <c r="D387" s="48"/>
      <c r="E387" s="4"/>
      <c r="F387" s="11"/>
      <c r="G387" s="11"/>
      <c r="H387" s="11"/>
      <c r="I387" s="11"/>
      <c r="J387" s="11"/>
      <c r="K387" s="11"/>
      <c r="L387" s="11"/>
      <c r="M387" s="11"/>
      <c r="N387" s="11"/>
      <c r="O387" s="11"/>
      <c r="P387" s="14"/>
      <c r="Q387" s="14"/>
      <c r="R387" s="14"/>
      <c r="S387" s="14"/>
      <c r="T387" s="14"/>
      <c r="U387" s="14"/>
      <c r="V387" s="14"/>
      <c r="W387" s="14"/>
      <c r="X387" s="14"/>
      <c r="Y387" s="14"/>
      <c r="Z387" s="14"/>
      <c r="AA387" s="4"/>
      <c r="AB387" s="4"/>
      <c r="AC387" s="4"/>
      <c r="AD387" s="4"/>
      <c r="AE387" s="4"/>
      <c r="AF387" s="4"/>
      <c r="AG387" s="4"/>
      <c r="AH387" s="4"/>
      <c r="AI387" s="4"/>
      <c r="AJ387" s="4"/>
      <c r="AK387" s="4"/>
      <c r="AL387" s="4"/>
      <c r="AM387" s="4"/>
      <c r="AN387" s="4"/>
      <c r="AO387" s="4"/>
      <c r="AP387" s="4"/>
      <c r="AQ387" s="4"/>
      <c r="AR387" s="4"/>
    </row>
    <row r="388" spans="1:44">
      <c r="A388" s="4"/>
      <c r="B388" s="47"/>
      <c r="C388" s="47"/>
      <c r="D388" s="48"/>
      <c r="E388" s="4"/>
      <c r="F388" s="11"/>
      <c r="G388" s="11"/>
      <c r="H388" s="11"/>
      <c r="I388" s="11"/>
      <c r="J388" s="11"/>
      <c r="K388" s="11"/>
      <c r="L388" s="11"/>
      <c r="M388" s="11"/>
      <c r="N388" s="11"/>
      <c r="O388" s="11"/>
      <c r="P388" s="14"/>
      <c r="Q388" s="14"/>
      <c r="R388" s="14"/>
      <c r="S388" s="14"/>
      <c r="T388" s="14"/>
      <c r="U388" s="14"/>
      <c r="V388" s="14"/>
      <c r="W388" s="14"/>
      <c r="X388" s="14"/>
      <c r="Y388" s="14"/>
      <c r="Z388" s="14"/>
      <c r="AA388" s="4"/>
      <c r="AB388" s="4"/>
      <c r="AC388" s="4"/>
      <c r="AD388" s="4"/>
      <c r="AE388" s="4"/>
      <c r="AF388" s="4"/>
      <c r="AG388" s="4"/>
      <c r="AH388" s="4"/>
      <c r="AI388" s="4"/>
      <c r="AJ388" s="4"/>
      <c r="AK388" s="4"/>
      <c r="AL388" s="4"/>
      <c r="AM388" s="4"/>
      <c r="AN388" s="4"/>
      <c r="AO388" s="4"/>
      <c r="AP388" s="4"/>
      <c r="AQ388" s="4"/>
      <c r="AR388" s="4"/>
    </row>
    <row r="389" spans="1:44">
      <c r="A389" s="4"/>
      <c r="B389" s="47"/>
      <c r="C389" s="47"/>
      <c r="D389" s="48"/>
      <c r="E389" s="4"/>
      <c r="F389" s="11"/>
      <c r="G389" s="11"/>
      <c r="H389" s="11"/>
      <c r="I389" s="11"/>
      <c r="J389" s="11"/>
      <c r="K389" s="11"/>
      <c r="L389" s="11"/>
      <c r="M389" s="11"/>
      <c r="N389" s="11"/>
      <c r="O389" s="11"/>
      <c r="P389" s="14"/>
      <c r="Q389" s="14"/>
      <c r="R389" s="14"/>
      <c r="S389" s="14"/>
      <c r="T389" s="14"/>
      <c r="U389" s="14"/>
      <c r="V389" s="14"/>
      <c r="W389" s="14"/>
      <c r="X389" s="14"/>
      <c r="Y389" s="14"/>
      <c r="Z389" s="14"/>
      <c r="AA389" s="4"/>
      <c r="AB389" s="4"/>
      <c r="AC389" s="4"/>
      <c r="AD389" s="4"/>
      <c r="AE389" s="4"/>
      <c r="AF389" s="4"/>
      <c r="AG389" s="4"/>
      <c r="AH389" s="4"/>
      <c r="AI389" s="4"/>
      <c r="AJ389" s="4"/>
      <c r="AK389" s="4"/>
      <c r="AL389" s="4"/>
      <c r="AM389" s="4"/>
      <c r="AN389" s="4"/>
      <c r="AO389" s="4"/>
      <c r="AP389" s="4"/>
      <c r="AQ389" s="4"/>
      <c r="AR389" s="4"/>
    </row>
    <row r="390" spans="1:44">
      <c r="A390" s="4"/>
      <c r="B390" s="47"/>
      <c r="C390" s="47"/>
      <c r="D390" s="48"/>
      <c r="E390" s="4"/>
      <c r="F390" s="11"/>
      <c r="G390" s="11"/>
      <c r="H390" s="11"/>
      <c r="I390" s="11"/>
      <c r="J390" s="11"/>
      <c r="K390" s="11"/>
      <c r="L390" s="11"/>
      <c r="M390" s="11"/>
      <c r="N390" s="11"/>
      <c r="O390" s="11"/>
      <c r="P390" s="14"/>
      <c r="Q390" s="14"/>
      <c r="R390" s="14"/>
      <c r="S390" s="14"/>
      <c r="T390" s="14"/>
      <c r="U390" s="14"/>
      <c r="V390" s="14"/>
      <c r="W390" s="14"/>
      <c r="X390" s="14"/>
      <c r="Y390" s="14"/>
      <c r="Z390" s="14"/>
      <c r="AA390" s="4"/>
      <c r="AB390" s="4"/>
      <c r="AC390" s="4"/>
      <c r="AD390" s="4"/>
      <c r="AE390" s="4"/>
      <c r="AF390" s="4"/>
      <c r="AG390" s="4"/>
      <c r="AH390" s="4"/>
      <c r="AI390" s="4"/>
      <c r="AJ390" s="4"/>
      <c r="AK390" s="4"/>
      <c r="AL390" s="4"/>
      <c r="AM390" s="4"/>
      <c r="AN390" s="4"/>
      <c r="AO390" s="4"/>
      <c r="AP390" s="4"/>
      <c r="AQ390" s="4"/>
      <c r="AR390" s="4"/>
    </row>
    <row r="391" spans="1:44">
      <c r="A391" s="4"/>
      <c r="B391" s="47"/>
      <c r="C391" s="47"/>
      <c r="D391" s="48"/>
      <c r="E391" s="4"/>
      <c r="F391" s="11"/>
      <c r="G391" s="11"/>
      <c r="H391" s="11"/>
      <c r="I391" s="11"/>
      <c r="J391" s="11"/>
      <c r="K391" s="11"/>
      <c r="L391" s="11"/>
      <c r="M391" s="11"/>
      <c r="N391" s="11"/>
      <c r="O391" s="11"/>
      <c r="P391" s="14"/>
      <c r="Q391" s="14"/>
      <c r="R391" s="14"/>
      <c r="S391" s="14"/>
      <c r="T391" s="14"/>
      <c r="U391" s="14"/>
      <c r="V391" s="14"/>
      <c r="W391" s="14"/>
      <c r="X391" s="14"/>
      <c r="Y391" s="14"/>
      <c r="Z391" s="14"/>
      <c r="AA391" s="4"/>
      <c r="AB391" s="4"/>
      <c r="AC391" s="4"/>
      <c r="AD391" s="4"/>
      <c r="AE391" s="4"/>
      <c r="AF391" s="4"/>
      <c r="AG391" s="4"/>
      <c r="AH391" s="4"/>
      <c r="AI391" s="4"/>
      <c r="AJ391" s="4"/>
      <c r="AK391" s="4"/>
      <c r="AL391" s="4"/>
      <c r="AM391" s="4"/>
      <c r="AN391" s="4"/>
      <c r="AO391" s="4"/>
      <c r="AP391" s="4"/>
      <c r="AQ391" s="4"/>
      <c r="AR391" s="4"/>
    </row>
    <row r="392" spans="1:44">
      <c r="A392" s="4"/>
      <c r="B392" s="47"/>
      <c r="C392" s="47"/>
      <c r="D392" s="48"/>
      <c r="E392" s="4"/>
      <c r="F392" s="11"/>
      <c r="G392" s="11"/>
      <c r="H392" s="11"/>
      <c r="I392" s="11"/>
      <c r="J392" s="11"/>
      <c r="K392" s="11"/>
      <c r="L392" s="11"/>
      <c r="M392" s="11"/>
      <c r="N392" s="11"/>
      <c r="O392" s="11"/>
      <c r="P392" s="14"/>
      <c r="Q392" s="14"/>
      <c r="R392" s="14"/>
      <c r="S392" s="14"/>
      <c r="T392" s="14"/>
      <c r="U392" s="14"/>
      <c r="V392" s="14"/>
      <c r="W392" s="14"/>
      <c r="X392" s="14"/>
      <c r="Y392" s="14"/>
      <c r="Z392" s="14"/>
      <c r="AA392" s="4"/>
      <c r="AB392" s="4"/>
      <c r="AC392" s="4"/>
      <c r="AD392" s="4"/>
      <c r="AE392" s="4"/>
      <c r="AF392" s="4"/>
      <c r="AG392" s="4"/>
      <c r="AH392" s="4"/>
      <c r="AI392" s="4"/>
      <c r="AJ392" s="4"/>
      <c r="AK392" s="4"/>
      <c r="AL392" s="4"/>
      <c r="AM392" s="4"/>
      <c r="AN392" s="4"/>
      <c r="AO392" s="4"/>
      <c r="AP392" s="4"/>
      <c r="AQ392" s="4"/>
      <c r="AR392" s="4"/>
    </row>
    <row r="393" spans="1:44">
      <c r="A393" s="4"/>
      <c r="B393" s="47"/>
      <c r="C393" s="47"/>
      <c r="D393" s="48"/>
      <c r="E393" s="4"/>
      <c r="F393" s="11"/>
      <c r="G393" s="11"/>
      <c r="H393" s="11"/>
      <c r="I393" s="11"/>
      <c r="J393" s="11"/>
      <c r="K393" s="11"/>
      <c r="L393" s="11"/>
      <c r="M393" s="11"/>
      <c r="N393" s="11"/>
      <c r="O393" s="11"/>
      <c r="P393" s="14"/>
      <c r="Q393" s="14"/>
      <c r="R393" s="14"/>
      <c r="S393" s="14"/>
      <c r="T393" s="14"/>
      <c r="U393" s="14"/>
      <c r="V393" s="14"/>
      <c r="W393" s="14"/>
      <c r="X393" s="14"/>
      <c r="Y393" s="14"/>
      <c r="Z393" s="14"/>
      <c r="AA393" s="4"/>
      <c r="AB393" s="4"/>
      <c r="AC393" s="4"/>
      <c r="AD393" s="4"/>
      <c r="AE393" s="4"/>
      <c r="AF393" s="4"/>
      <c r="AG393" s="4"/>
      <c r="AH393" s="4"/>
      <c r="AI393" s="4"/>
      <c r="AJ393" s="4"/>
      <c r="AK393" s="4"/>
      <c r="AL393" s="4"/>
      <c r="AM393" s="4"/>
      <c r="AN393" s="4"/>
      <c r="AO393" s="4"/>
      <c r="AP393" s="4"/>
      <c r="AQ393" s="4"/>
      <c r="AR393" s="4"/>
    </row>
    <row r="394" spans="1:44">
      <c r="A394" s="4"/>
      <c r="B394" s="47"/>
      <c r="C394" s="47"/>
      <c r="D394" s="48"/>
      <c r="E394" s="4"/>
      <c r="F394" s="11"/>
      <c r="G394" s="11"/>
      <c r="H394" s="11"/>
      <c r="I394" s="11"/>
      <c r="J394" s="11"/>
      <c r="K394" s="11"/>
      <c r="L394" s="11"/>
      <c r="M394" s="11"/>
      <c r="N394" s="11"/>
      <c r="O394" s="11"/>
      <c r="P394" s="14"/>
      <c r="Q394" s="14"/>
      <c r="R394" s="14"/>
      <c r="S394" s="14"/>
      <c r="T394" s="14"/>
      <c r="U394" s="14"/>
      <c r="V394" s="14"/>
      <c r="W394" s="14"/>
      <c r="X394" s="14"/>
      <c r="Y394" s="14"/>
      <c r="Z394" s="14"/>
      <c r="AA394" s="4"/>
      <c r="AB394" s="4"/>
      <c r="AC394" s="4"/>
      <c r="AD394" s="4"/>
      <c r="AE394" s="4"/>
      <c r="AF394" s="4"/>
      <c r="AG394" s="4"/>
      <c r="AH394" s="4"/>
      <c r="AI394" s="4"/>
      <c r="AJ394" s="4"/>
      <c r="AK394" s="4"/>
      <c r="AL394" s="4"/>
      <c r="AM394" s="4"/>
      <c r="AN394" s="4"/>
      <c r="AO394" s="4"/>
      <c r="AP394" s="4"/>
      <c r="AQ394" s="4"/>
      <c r="AR394" s="4"/>
    </row>
    <row r="395" spans="1:44">
      <c r="A395" s="4"/>
      <c r="B395" s="47"/>
      <c r="C395" s="47"/>
      <c r="D395" s="48"/>
      <c r="E395" s="4"/>
      <c r="F395" s="11"/>
      <c r="G395" s="11"/>
      <c r="H395" s="11"/>
      <c r="I395" s="11"/>
      <c r="J395" s="11"/>
      <c r="K395" s="11"/>
      <c r="L395" s="11"/>
      <c r="M395" s="11"/>
      <c r="N395" s="11"/>
      <c r="O395" s="11"/>
      <c r="P395" s="14"/>
      <c r="Q395" s="14"/>
      <c r="R395" s="14"/>
      <c r="S395" s="14"/>
      <c r="T395" s="14"/>
      <c r="U395" s="14"/>
      <c r="V395" s="14"/>
      <c r="W395" s="14"/>
      <c r="X395" s="14"/>
      <c r="Y395" s="14"/>
      <c r="Z395" s="14"/>
      <c r="AA395" s="4"/>
      <c r="AB395" s="4"/>
      <c r="AC395" s="4"/>
      <c r="AD395" s="4"/>
      <c r="AE395" s="4"/>
      <c r="AF395" s="4"/>
      <c r="AG395" s="4"/>
      <c r="AH395" s="4"/>
      <c r="AI395" s="4"/>
      <c r="AJ395" s="4"/>
      <c r="AK395" s="4"/>
      <c r="AL395" s="4"/>
      <c r="AM395" s="4"/>
      <c r="AN395" s="4"/>
      <c r="AO395" s="4"/>
      <c r="AP395" s="4"/>
      <c r="AQ395" s="4"/>
      <c r="AR395" s="4"/>
    </row>
    <row r="396" spans="1:44">
      <c r="A396" s="4"/>
      <c r="B396" s="47"/>
      <c r="C396" s="47"/>
      <c r="D396" s="48"/>
      <c r="E396" s="4"/>
      <c r="F396" s="11"/>
      <c r="G396" s="11"/>
      <c r="H396" s="11"/>
      <c r="I396" s="11"/>
      <c r="J396" s="11"/>
      <c r="K396" s="11"/>
      <c r="L396" s="11"/>
      <c r="M396" s="11"/>
      <c r="N396" s="11"/>
      <c r="O396" s="11"/>
      <c r="P396" s="14"/>
      <c r="Q396" s="14"/>
      <c r="R396" s="14"/>
      <c r="S396" s="14"/>
      <c r="T396" s="14"/>
      <c r="U396" s="14"/>
      <c r="V396" s="14"/>
      <c r="W396" s="14"/>
      <c r="X396" s="14"/>
      <c r="Y396" s="14"/>
      <c r="Z396" s="14"/>
      <c r="AA396" s="4"/>
      <c r="AB396" s="4"/>
      <c r="AC396" s="4"/>
      <c r="AD396" s="4"/>
      <c r="AE396" s="4"/>
      <c r="AF396" s="4"/>
      <c r="AG396" s="4"/>
      <c r="AH396" s="4"/>
      <c r="AI396" s="4"/>
      <c r="AJ396" s="4"/>
      <c r="AK396" s="4"/>
      <c r="AL396" s="4"/>
      <c r="AM396" s="4"/>
      <c r="AN396" s="4"/>
      <c r="AO396" s="4"/>
      <c r="AP396" s="4"/>
      <c r="AQ396" s="4"/>
      <c r="AR396" s="4"/>
    </row>
    <row r="397" spans="1:44">
      <c r="A397" s="4"/>
      <c r="B397" s="47"/>
      <c r="C397" s="47"/>
      <c r="D397" s="48"/>
      <c r="E397" s="4"/>
      <c r="F397" s="11"/>
      <c r="G397" s="11"/>
      <c r="H397" s="11"/>
      <c r="I397" s="11"/>
      <c r="J397" s="11"/>
      <c r="K397" s="11"/>
      <c r="L397" s="11"/>
      <c r="M397" s="11"/>
      <c r="N397" s="11"/>
      <c r="O397" s="11"/>
      <c r="P397" s="14"/>
      <c r="Q397" s="14"/>
      <c r="R397" s="14"/>
      <c r="S397" s="14"/>
      <c r="T397" s="14"/>
      <c r="U397" s="14"/>
      <c r="V397" s="14"/>
      <c r="W397" s="14"/>
      <c r="X397" s="14"/>
      <c r="Y397" s="14"/>
      <c r="Z397" s="14"/>
      <c r="AA397" s="4"/>
      <c r="AB397" s="4"/>
      <c r="AC397" s="4"/>
      <c r="AD397" s="4"/>
      <c r="AE397" s="4"/>
      <c r="AF397" s="4"/>
      <c r="AG397" s="4"/>
      <c r="AH397" s="4"/>
      <c r="AI397" s="4"/>
      <c r="AJ397" s="4"/>
      <c r="AK397" s="4"/>
      <c r="AL397" s="4"/>
      <c r="AM397" s="4"/>
      <c r="AN397" s="4"/>
      <c r="AO397" s="4"/>
      <c r="AP397" s="4"/>
      <c r="AQ397" s="4"/>
      <c r="AR397" s="4"/>
    </row>
    <row r="398" spans="1:44">
      <c r="A398" s="4"/>
      <c r="B398" s="47"/>
      <c r="C398" s="47"/>
      <c r="D398" s="48"/>
      <c r="E398" s="4"/>
      <c r="F398" s="11"/>
      <c r="G398" s="11"/>
      <c r="H398" s="11"/>
      <c r="I398" s="11"/>
      <c r="J398" s="11"/>
      <c r="K398" s="11"/>
      <c r="L398" s="11"/>
      <c r="M398" s="11"/>
      <c r="N398" s="11"/>
      <c r="O398" s="11"/>
      <c r="P398" s="14"/>
      <c r="Q398" s="14"/>
      <c r="R398" s="14"/>
      <c r="S398" s="14"/>
      <c r="T398" s="14"/>
      <c r="U398" s="14"/>
      <c r="V398" s="14"/>
      <c r="W398" s="14"/>
      <c r="X398" s="14"/>
      <c r="Y398" s="14"/>
      <c r="Z398" s="14"/>
      <c r="AA398" s="4"/>
      <c r="AB398" s="4"/>
      <c r="AC398" s="4"/>
      <c r="AD398" s="4"/>
      <c r="AE398" s="4"/>
      <c r="AF398" s="4"/>
      <c r="AG398" s="4"/>
      <c r="AH398" s="4"/>
      <c r="AI398" s="4"/>
      <c r="AJ398" s="4"/>
      <c r="AK398" s="4"/>
      <c r="AL398" s="4"/>
      <c r="AM398" s="4"/>
      <c r="AN398" s="4"/>
      <c r="AO398" s="4"/>
      <c r="AP398" s="4"/>
      <c r="AQ398" s="4"/>
      <c r="AR398" s="4"/>
    </row>
    <row r="399" spans="1:44">
      <c r="A399" s="4"/>
      <c r="B399" s="47"/>
      <c r="C399" s="47"/>
      <c r="D399" s="48"/>
      <c r="E399" s="4"/>
      <c r="F399" s="11"/>
      <c r="G399" s="11"/>
      <c r="H399" s="11"/>
      <c r="I399" s="11"/>
      <c r="J399" s="11"/>
      <c r="K399" s="11"/>
      <c r="L399" s="11"/>
      <c r="M399" s="11"/>
      <c r="N399" s="11"/>
      <c r="O399" s="11"/>
      <c r="P399" s="14"/>
      <c r="Q399" s="14"/>
      <c r="R399" s="14"/>
      <c r="S399" s="14"/>
      <c r="T399" s="14"/>
      <c r="U399" s="14"/>
      <c r="V399" s="14"/>
      <c r="W399" s="14"/>
      <c r="X399" s="14"/>
      <c r="Y399" s="14"/>
      <c r="Z399" s="14"/>
      <c r="AA399" s="4"/>
      <c r="AB399" s="4"/>
      <c r="AC399" s="4"/>
      <c r="AD399" s="4"/>
      <c r="AE399" s="4"/>
      <c r="AF399" s="4"/>
      <c r="AG399" s="4"/>
      <c r="AH399" s="4"/>
      <c r="AI399" s="4"/>
      <c r="AJ399" s="4"/>
      <c r="AK399" s="4"/>
      <c r="AL399" s="4"/>
      <c r="AM399" s="4"/>
      <c r="AN399" s="4"/>
      <c r="AO399" s="4"/>
      <c r="AP399" s="4"/>
      <c r="AQ399" s="4"/>
      <c r="AR399" s="4"/>
    </row>
    <row r="400" spans="1:44">
      <c r="A400" s="4"/>
      <c r="B400" s="47"/>
      <c r="C400" s="47"/>
      <c r="D400" s="48"/>
      <c r="E400" s="4"/>
      <c r="F400" s="11"/>
      <c r="G400" s="11"/>
      <c r="H400" s="11"/>
      <c r="I400" s="11"/>
      <c r="J400" s="11"/>
      <c r="K400" s="11"/>
      <c r="L400" s="11"/>
      <c r="M400" s="11"/>
      <c r="N400" s="11"/>
      <c r="O400" s="11"/>
      <c r="P400" s="14"/>
      <c r="Q400" s="14"/>
      <c r="R400" s="14"/>
      <c r="S400" s="14"/>
      <c r="T400" s="14"/>
      <c r="U400" s="14"/>
      <c r="V400" s="14"/>
      <c r="W400" s="14"/>
      <c r="X400" s="14"/>
      <c r="Y400" s="14"/>
      <c r="Z400" s="14"/>
      <c r="AA400" s="4"/>
      <c r="AB400" s="4"/>
      <c r="AC400" s="4"/>
      <c r="AD400" s="4"/>
      <c r="AE400" s="4"/>
      <c r="AF400" s="4"/>
      <c r="AG400" s="4"/>
      <c r="AH400" s="4"/>
      <c r="AI400" s="4"/>
      <c r="AJ400" s="4"/>
      <c r="AK400" s="4"/>
      <c r="AL400" s="4"/>
      <c r="AM400" s="4"/>
      <c r="AN400" s="4"/>
      <c r="AO400" s="4"/>
      <c r="AP400" s="4"/>
      <c r="AQ400" s="4"/>
      <c r="AR400" s="4"/>
    </row>
    <row r="401" spans="1:44">
      <c r="A401" s="4"/>
      <c r="B401" s="47"/>
      <c r="C401" s="47"/>
      <c r="D401" s="48"/>
      <c r="E401" s="4"/>
      <c r="F401" s="11"/>
      <c r="G401" s="11"/>
      <c r="H401" s="11"/>
      <c r="I401" s="11"/>
      <c r="J401" s="11"/>
      <c r="K401" s="11"/>
      <c r="L401" s="11"/>
      <c r="M401" s="11"/>
      <c r="N401" s="11"/>
      <c r="O401" s="11"/>
      <c r="P401" s="14"/>
      <c r="Q401" s="14"/>
      <c r="R401" s="14"/>
      <c r="S401" s="14"/>
      <c r="T401" s="14"/>
      <c r="U401" s="14"/>
      <c r="V401" s="14"/>
      <c r="W401" s="14"/>
      <c r="X401" s="14"/>
      <c r="Y401" s="14"/>
      <c r="Z401" s="14"/>
      <c r="AA401" s="4"/>
      <c r="AB401" s="4"/>
      <c r="AC401" s="4"/>
      <c r="AD401" s="4"/>
      <c r="AE401" s="4"/>
      <c r="AF401" s="4"/>
      <c r="AG401" s="4"/>
      <c r="AH401" s="4"/>
      <c r="AI401" s="4"/>
      <c r="AJ401" s="4"/>
      <c r="AK401" s="4"/>
      <c r="AL401" s="4"/>
      <c r="AM401" s="4"/>
      <c r="AN401" s="4"/>
      <c r="AO401" s="4"/>
      <c r="AP401" s="4"/>
      <c r="AQ401" s="4"/>
      <c r="AR401" s="4"/>
    </row>
    <row r="402" spans="1:44">
      <c r="A402" s="4"/>
      <c r="B402" s="47"/>
      <c r="C402" s="47"/>
      <c r="D402" s="48"/>
      <c r="E402" s="4"/>
      <c r="F402" s="11"/>
      <c r="G402" s="11"/>
      <c r="H402" s="11"/>
      <c r="I402" s="11"/>
      <c r="J402" s="11"/>
      <c r="K402" s="11"/>
      <c r="L402" s="11"/>
      <c r="M402" s="11"/>
      <c r="N402" s="11"/>
      <c r="O402" s="11"/>
      <c r="P402" s="14"/>
      <c r="Q402" s="14"/>
      <c r="R402" s="14"/>
      <c r="S402" s="14"/>
      <c r="T402" s="14"/>
      <c r="U402" s="14"/>
      <c r="V402" s="14"/>
      <c r="W402" s="14"/>
      <c r="X402" s="14"/>
      <c r="Y402" s="14"/>
      <c r="Z402" s="14"/>
      <c r="AA402" s="4"/>
      <c r="AB402" s="4"/>
      <c r="AC402" s="4"/>
      <c r="AD402" s="4"/>
      <c r="AE402" s="4"/>
      <c r="AF402" s="4"/>
      <c r="AG402" s="4"/>
      <c r="AH402" s="4"/>
      <c r="AI402" s="4"/>
      <c r="AJ402" s="4"/>
      <c r="AK402" s="4"/>
      <c r="AL402" s="4"/>
      <c r="AM402" s="4"/>
      <c r="AN402" s="4"/>
      <c r="AO402" s="4"/>
      <c r="AP402" s="4"/>
      <c r="AQ402" s="4"/>
      <c r="AR402" s="4"/>
    </row>
    <row r="403" spans="1:44">
      <c r="A403" s="4"/>
      <c r="B403" s="47"/>
      <c r="C403" s="47"/>
      <c r="D403" s="48"/>
      <c r="E403" s="4"/>
      <c r="F403" s="11"/>
      <c r="G403" s="11"/>
      <c r="H403" s="11"/>
      <c r="I403" s="11"/>
      <c r="J403" s="11"/>
      <c r="K403" s="11"/>
      <c r="L403" s="11"/>
      <c r="M403" s="11"/>
      <c r="N403" s="11"/>
      <c r="O403" s="11"/>
      <c r="P403" s="14"/>
      <c r="Q403" s="14"/>
      <c r="R403" s="14"/>
      <c r="S403" s="14"/>
      <c r="T403" s="14"/>
      <c r="U403" s="14"/>
      <c r="V403" s="14"/>
      <c r="W403" s="14"/>
      <c r="X403" s="14"/>
      <c r="Y403" s="14"/>
      <c r="Z403" s="14"/>
      <c r="AA403" s="4"/>
      <c r="AB403" s="4"/>
      <c r="AC403" s="4"/>
      <c r="AD403" s="4"/>
      <c r="AE403" s="4"/>
      <c r="AF403" s="4"/>
      <c r="AG403" s="4"/>
      <c r="AH403" s="4"/>
      <c r="AI403" s="4"/>
      <c r="AJ403" s="4"/>
      <c r="AK403" s="4"/>
      <c r="AL403" s="4"/>
      <c r="AM403" s="4"/>
      <c r="AN403" s="4"/>
      <c r="AO403" s="4"/>
      <c r="AP403" s="4"/>
      <c r="AQ403" s="4"/>
      <c r="AR403" s="4"/>
    </row>
    <row r="404" spans="1:44">
      <c r="A404" s="4"/>
      <c r="B404" s="47"/>
      <c r="C404" s="47"/>
      <c r="D404" s="48"/>
      <c r="E404" s="4"/>
      <c r="F404" s="11"/>
      <c r="G404" s="11"/>
      <c r="H404" s="11"/>
      <c r="I404" s="11"/>
      <c r="J404" s="11"/>
      <c r="K404" s="11"/>
      <c r="L404" s="11"/>
      <c r="M404" s="11"/>
      <c r="N404" s="11"/>
      <c r="O404" s="11"/>
      <c r="P404" s="14"/>
      <c r="Q404" s="14"/>
      <c r="R404" s="14"/>
      <c r="S404" s="14"/>
      <c r="T404" s="14"/>
      <c r="U404" s="14"/>
      <c r="V404" s="14"/>
      <c r="W404" s="14"/>
      <c r="X404" s="14"/>
      <c r="Y404" s="14"/>
      <c r="Z404" s="14"/>
      <c r="AA404" s="4"/>
      <c r="AB404" s="4"/>
      <c r="AC404" s="4"/>
      <c r="AD404" s="4"/>
      <c r="AE404" s="4"/>
      <c r="AF404" s="4"/>
      <c r="AG404" s="4"/>
      <c r="AH404" s="4"/>
      <c r="AI404" s="4"/>
      <c r="AJ404" s="4"/>
      <c r="AK404" s="4"/>
      <c r="AL404" s="4"/>
      <c r="AM404" s="4"/>
      <c r="AN404" s="4"/>
      <c r="AO404" s="4"/>
      <c r="AP404" s="4"/>
      <c r="AQ404" s="4"/>
      <c r="AR404" s="4"/>
    </row>
    <row r="405" spans="1:44">
      <c r="A405" s="4"/>
      <c r="B405" s="47"/>
      <c r="C405" s="47"/>
      <c r="D405" s="48"/>
      <c r="E405" s="4"/>
      <c r="F405" s="11"/>
      <c r="G405" s="11"/>
      <c r="H405" s="11"/>
      <c r="I405" s="11"/>
      <c r="J405" s="11"/>
      <c r="K405" s="11"/>
      <c r="L405" s="11"/>
      <c r="M405" s="11"/>
      <c r="N405" s="11"/>
      <c r="O405" s="11"/>
      <c r="P405" s="14"/>
      <c r="Q405" s="14"/>
      <c r="R405" s="14"/>
      <c r="S405" s="14"/>
      <c r="T405" s="14"/>
      <c r="U405" s="14"/>
      <c r="V405" s="14"/>
      <c r="W405" s="14"/>
      <c r="X405" s="14"/>
      <c r="Y405" s="14"/>
      <c r="Z405" s="14"/>
      <c r="AA405" s="4"/>
      <c r="AB405" s="4"/>
      <c r="AC405" s="4"/>
      <c r="AD405" s="4"/>
      <c r="AE405" s="4"/>
      <c r="AF405" s="4"/>
      <c r="AG405" s="4"/>
      <c r="AH405" s="4"/>
      <c r="AI405" s="4"/>
      <c r="AJ405" s="4"/>
      <c r="AK405" s="4"/>
      <c r="AL405" s="4"/>
      <c r="AM405" s="4"/>
      <c r="AN405" s="4"/>
      <c r="AO405" s="4"/>
      <c r="AP405" s="4"/>
      <c r="AQ405" s="4"/>
      <c r="AR405" s="4"/>
    </row>
    <row r="406" spans="1:44">
      <c r="A406" s="4"/>
      <c r="B406" s="47"/>
      <c r="C406" s="47"/>
      <c r="D406" s="48"/>
      <c r="E406" s="4"/>
      <c r="F406" s="11"/>
      <c r="G406" s="11"/>
      <c r="H406" s="11"/>
      <c r="I406" s="11"/>
      <c r="J406" s="11"/>
      <c r="K406" s="11"/>
      <c r="L406" s="11"/>
      <c r="M406" s="11"/>
      <c r="N406" s="11"/>
      <c r="O406" s="11"/>
      <c r="P406" s="14"/>
      <c r="Q406" s="14"/>
      <c r="R406" s="14"/>
      <c r="S406" s="14"/>
      <c r="T406" s="14"/>
      <c r="U406" s="14"/>
      <c r="V406" s="14"/>
      <c r="W406" s="14"/>
      <c r="X406" s="14"/>
      <c r="Y406" s="14"/>
      <c r="Z406" s="14"/>
      <c r="AA406" s="4"/>
      <c r="AB406" s="4"/>
      <c r="AC406" s="4"/>
      <c r="AD406" s="4"/>
      <c r="AE406" s="4"/>
      <c r="AF406" s="4"/>
      <c r="AG406" s="4"/>
      <c r="AH406" s="4"/>
      <c r="AI406" s="4"/>
      <c r="AJ406" s="4"/>
      <c r="AK406" s="4"/>
      <c r="AL406" s="4"/>
      <c r="AM406" s="4"/>
      <c r="AN406" s="4"/>
      <c r="AO406" s="4"/>
      <c r="AP406" s="4"/>
      <c r="AQ406" s="4"/>
      <c r="AR406" s="4"/>
    </row>
    <row r="407" spans="1:44">
      <c r="A407" s="4"/>
      <c r="B407" s="47"/>
      <c r="C407" s="47"/>
      <c r="D407" s="48"/>
      <c r="E407" s="4"/>
      <c r="F407" s="11"/>
      <c r="G407" s="11"/>
      <c r="H407" s="11"/>
      <c r="I407" s="11"/>
      <c r="J407" s="11"/>
      <c r="K407" s="11"/>
      <c r="L407" s="11"/>
      <c r="M407" s="11"/>
      <c r="N407" s="11"/>
      <c r="O407" s="11"/>
      <c r="P407" s="14"/>
      <c r="Q407" s="14"/>
      <c r="R407" s="14"/>
      <c r="S407" s="14"/>
      <c r="T407" s="14"/>
      <c r="U407" s="14"/>
      <c r="V407" s="14"/>
      <c r="W407" s="14"/>
      <c r="X407" s="14"/>
      <c r="Y407" s="14"/>
      <c r="Z407" s="14"/>
      <c r="AA407" s="4"/>
      <c r="AB407" s="4"/>
      <c r="AC407" s="4"/>
      <c r="AD407" s="4"/>
      <c r="AE407" s="4"/>
      <c r="AF407" s="4"/>
      <c r="AG407" s="4"/>
      <c r="AH407" s="4"/>
      <c r="AI407" s="4"/>
      <c r="AJ407" s="4"/>
      <c r="AK407" s="4"/>
      <c r="AL407" s="4"/>
      <c r="AM407" s="4"/>
      <c r="AN407" s="4"/>
      <c r="AO407" s="4"/>
      <c r="AP407" s="4"/>
      <c r="AQ407" s="4"/>
      <c r="AR407" s="4"/>
    </row>
    <row r="408" spans="1:44">
      <c r="A408" s="4"/>
      <c r="B408" s="47"/>
      <c r="C408" s="47"/>
      <c r="D408" s="48"/>
      <c r="E408" s="4"/>
      <c r="F408" s="11"/>
      <c r="G408" s="11"/>
      <c r="H408" s="11"/>
      <c r="I408" s="11"/>
      <c r="J408" s="11"/>
      <c r="K408" s="11"/>
      <c r="L408" s="11"/>
      <c r="M408" s="11"/>
      <c r="N408" s="11"/>
      <c r="O408" s="11"/>
      <c r="P408" s="14"/>
      <c r="Q408" s="14"/>
      <c r="R408" s="14"/>
      <c r="S408" s="14"/>
      <c r="T408" s="14"/>
      <c r="U408" s="14"/>
      <c r="V408" s="14"/>
      <c r="W408" s="14"/>
      <c r="X408" s="14"/>
      <c r="Y408" s="14"/>
      <c r="Z408" s="14"/>
      <c r="AA408" s="4"/>
      <c r="AB408" s="4"/>
      <c r="AC408" s="4"/>
      <c r="AD408" s="4"/>
      <c r="AE408" s="4"/>
      <c r="AF408" s="4"/>
      <c r="AG408" s="4"/>
      <c r="AH408" s="4"/>
      <c r="AI408" s="4"/>
      <c r="AJ408" s="4"/>
      <c r="AK408" s="4"/>
      <c r="AL408" s="4"/>
      <c r="AM408" s="4"/>
      <c r="AN408" s="4"/>
      <c r="AO408" s="4"/>
      <c r="AP408" s="4"/>
      <c r="AQ408" s="4"/>
      <c r="AR408" s="4"/>
    </row>
    <row r="409" spans="1:44">
      <c r="A409" s="4"/>
      <c r="B409" s="47"/>
      <c r="C409" s="47"/>
      <c r="D409" s="48"/>
      <c r="E409" s="4"/>
      <c r="F409" s="11"/>
      <c r="G409" s="11"/>
      <c r="H409" s="11"/>
      <c r="I409" s="11"/>
      <c r="J409" s="11"/>
      <c r="K409" s="11"/>
      <c r="L409" s="11"/>
      <c r="M409" s="11"/>
      <c r="N409" s="11"/>
      <c r="O409" s="11"/>
      <c r="P409" s="14"/>
      <c r="Q409" s="14"/>
      <c r="R409" s="14"/>
      <c r="S409" s="14"/>
      <c r="T409" s="14"/>
      <c r="U409" s="14"/>
      <c r="V409" s="14"/>
      <c r="W409" s="14"/>
      <c r="X409" s="14"/>
      <c r="Y409" s="14"/>
      <c r="Z409" s="14"/>
      <c r="AA409" s="4"/>
      <c r="AB409" s="4"/>
      <c r="AC409" s="4"/>
      <c r="AD409" s="4"/>
      <c r="AE409" s="4"/>
      <c r="AF409" s="4"/>
      <c r="AG409" s="4"/>
      <c r="AH409" s="4"/>
      <c r="AI409" s="4"/>
      <c r="AJ409" s="4"/>
      <c r="AK409" s="4"/>
      <c r="AL409" s="4"/>
      <c r="AM409" s="4"/>
      <c r="AN409" s="4"/>
      <c r="AO409" s="4"/>
      <c r="AP409" s="4"/>
      <c r="AQ409" s="4"/>
      <c r="AR409" s="4"/>
    </row>
    <row r="410" spans="1:44">
      <c r="A410" s="4"/>
      <c r="B410" s="47"/>
      <c r="C410" s="47"/>
      <c r="D410" s="48"/>
      <c r="E410" s="4"/>
      <c r="F410" s="11"/>
      <c r="G410" s="11"/>
      <c r="H410" s="11"/>
      <c r="I410" s="11"/>
      <c r="J410" s="11"/>
      <c r="K410" s="11"/>
      <c r="L410" s="11"/>
      <c r="M410" s="11"/>
      <c r="N410" s="11"/>
      <c r="O410" s="11"/>
      <c r="P410" s="14"/>
      <c r="Q410" s="14"/>
      <c r="R410" s="14"/>
      <c r="S410" s="14"/>
      <c r="T410" s="14"/>
      <c r="U410" s="14"/>
      <c r="V410" s="14"/>
      <c r="W410" s="14"/>
      <c r="X410" s="14"/>
      <c r="Y410" s="14"/>
      <c r="Z410" s="14"/>
      <c r="AA410" s="4"/>
      <c r="AB410" s="4"/>
      <c r="AC410" s="4"/>
      <c r="AD410" s="4"/>
      <c r="AE410" s="4"/>
      <c r="AF410" s="4"/>
      <c r="AG410" s="4"/>
      <c r="AH410" s="4"/>
      <c r="AI410" s="4"/>
      <c r="AJ410" s="4"/>
      <c r="AK410" s="4"/>
      <c r="AL410" s="4"/>
      <c r="AM410" s="4"/>
      <c r="AN410" s="4"/>
      <c r="AO410" s="4"/>
      <c r="AP410" s="4"/>
      <c r="AQ410" s="4"/>
      <c r="AR410" s="4"/>
    </row>
    <row r="411" spans="1:44">
      <c r="A411" s="4"/>
      <c r="B411" s="47"/>
      <c r="C411" s="47"/>
      <c r="D411" s="48"/>
      <c r="E411" s="4"/>
      <c r="F411" s="11"/>
      <c r="G411" s="11"/>
      <c r="H411" s="11"/>
      <c r="I411" s="11"/>
      <c r="J411" s="11"/>
      <c r="K411" s="11"/>
      <c r="L411" s="11"/>
      <c r="M411" s="11"/>
      <c r="N411" s="11"/>
      <c r="O411" s="11"/>
      <c r="P411" s="14"/>
      <c r="Q411" s="14"/>
      <c r="R411" s="14"/>
      <c r="S411" s="14"/>
      <c r="T411" s="14"/>
      <c r="U411" s="14"/>
      <c r="V411" s="14"/>
      <c r="W411" s="14"/>
      <c r="X411" s="14"/>
      <c r="Y411" s="14"/>
      <c r="Z411" s="14"/>
      <c r="AA411" s="4"/>
      <c r="AB411" s="4"/>
      <c r="AC411" s="4"/>
      <c r="AD411" s="4"/>
      <c r="AE411" s="4"/>
      <c r="AF411" s="4"/>
      <c r="AG411" s="4"/>
      <c r="AH411" s="4"/>
      <c r="AI411" s="4"/>
      <c r="AJ411" s="4"/>
      <c r="AK411" s="4"/>
      <c r="AL411" s="4"/>
      <c r="AM411" s="4"/>
      <c r="AN411" s="4"/>
      <c r="AO411" s="4"/>
      <c r="AP411" s="4"/>
      <c r="AQ411" s="4"/>
      <c r="AR411" s="4"/>
    </row>
    <row r="412" spans="1:44">
      <c r="A412" s="4"/>
      <c r="B412" s="47"/>
      <c r="C412" s="47"/>
      <c r="D412" s="48"/>
      <c r="E412" s="4"/>
      <c r="F412" s="11"/>
      <c r="G412" s="11"/>
      <c r="H412" s="11"/>
      <c r="I412" s="11"/>
      <c r="J412" s="11"/>
      <c r="K412" s="11"/>
      <c r="L412" s="11"/>
      <c r="M412" s="11"/>
      <c r="N412" s="11"/>
      <c r="O412" s="11"/>
      <c r="P412" s="14"/>
      <c r="Q412" s="14"/>
      <c r="R412" s="14"/>
      <c r="S412" s="14"/>
      <c r="T412" s="14"/>
      <c r="U412" s="14"/>
      <c r="V412" s="14"/>
      <c r="W412" s="14"/>
      <c r="X412" s="14"/>
      <c r="Y412" s="14"/>
      <c r="Z412" s="14"/>
      <c r="AA412" s="4"/>
      <c r="AB412" s="4"/>
      <c r="AC412" s="4"/>
      <c r="AD412" s="4"/>
      <c r="AE412" s="4"/>
      <c r="AF412" s="4"/>
      <c r="AG412" s="4"/>
      <c r="AH412" s="4"/>
      <c r="AI412" s="4"/>
      <c r="AJ412" s="4"/>
      <c r="AK412" s="4"/>
      <c r="AL412" s="4"/>
      <c r="AM412" s="4"/>
      <c r="AN412" s="4"/>
      <c r="AO412" s="4"/>
      <c r="AP412" s="4"/>
      <c r="AQ412" s="4"/>
      <c r="AR412" s="4"/>
    </row>
    <row r="413" spans="1:44">
      <c r="A413" s="4"/>
      <c r="B413" s="47"/>
      <c r="C413" s="47"/>
      <c r="D413" s="48"/>
      <c r="E413" s="4"/>
      <c r="F413" s="11"/>
      <c r="G413" s="11"/>
      <c r="H413" s="11"/>
      <c r="I413" s="11"/>
      <c r="J413" s="11"/>
      <c r="K413" s="11"/>
      <c r="L413" s="11"/>
      <c r="M413" s="11"/>
      <c r="N413" s="11"/>
      <c r="O413" s="11"/>
      <c r="P413" s="14"/>
      <c r="Q413" s="14"/>
      <c r="R413" s="14"/>
      <c r="S413" s="14"/>
      <c r="T413" s="14"/>
      <c r="U413" s="14"/>
      <c r="V413" s="14"/>
      <c r="W413" s="14"/>
      <c r="X413" s="14"/>
      <c r="Y413" s="14"/>
      <c r="Z413" s="14"/>
      <c r="AA413" s="4"/>
      <c r="AB413" s="4"/>
      <c r="AC413" s="4"/>
      <c r="AD413" s="4"/>
      <c r="AE413" s="4"/>
      <c r="AF413" s="4"/>
      <c r="AG413" s="4"/>
      <c r="AH413" s="4"/>
      <c r="AI413" s="4"/>
      <c r="AJ413" s="4"/>
      <c r="AK413" s="4"/>
      <c r="AL413" s="4"/>
      <c r="AM413" s="4"/>
      <c r="AN413" s="4"/>
      <c r="AO413" s="4"/>
      <c r="AP413" s="4"/>
      <c r="AQ413" s="4"/>
      <c r="AR413" s="4"/>
    </row>
    <row r="414" spans="1:44">
      <c r="A414" s="4"/>
      <c r="B414" s="47"/>
      <c r="C414" s="47"/>
      <c r="D414" s="48"/>
      <c r="E414" s="4"/>
      <c r="F414" s="11"/>
      <c r="G414" s="11"/>
      <c r="H414" s="11"/>
      <c r="I414" s="11"/>
      <c r="J414" s="11"/>
      <c r="K414" s="11"/>
      <c r="L414" s="11"/>
      <c r="M414" s="11"/>
      <c r="N414" s="11"/>
      <c r="O414" s="11"/>
      <c r="P414" s="14"/>
      <c r="Q414" s="14"/>
      <c r="R414" s="14"/>
      <c r="S414" s="14"/>
      <c r="T414" s="14"/>
      <c r="U414" s="14"/>
      <c r="V414" s="14"/>
      <c r="W414" s="14"/>
      <c r="X414" s="14"/>
      <c r="Y414" s="14"/>
      <c r="Z414" s="14"/>
      <c r="AA414" s="4"/>
      <c r="AB414" s="4"/>
      <c r="AC414" s="4"/>
      <c r="AD414" s="4"/>
      <c r="AE414" s="4"/>
      <c r="AF414" s="4"/>
      <c r="AG414" s="4"/>
      <c r="AH414" s="4"/>
      <c r="AI414" s="4"/>
      <c r="AJ414" s="4"/>
      <c r="AK414" s="4"/>
      <c r="AL414" s="4"/>
      <c r="AM414" s="4"/>
      <c r="AN414" s="4"/>
      <c r="AO414" s="4"/>
      <c r="AP414" s="4"/>
      <c r="AQ414" s="4"/>
      <c r="AR414" s="4"/>
    </row>
    <row r="415" spans="1:44">
      <c r="A415" s="4"/>
      <c r="B415" s="47"/>
      <c r="C415" s="47"/>
      <c r="D415" s="48"/>
      <c r="E415" s="4"/>
      <c r="F415" s="11"/>
      <c r="G415" s="11"/>
      <c r="H415" s="11"/>
      <c r="I415" s="11"/>
      <c r="J415" s="11"/>
      <c r="K415" s="11"/>
      <c r="L415" s="11"/>
      <c r="M415" s="11"/>
      <c r="N415" s="11"/>
      <c r="O415" s="11"/>
      <c r="P415" s="14"/>
      <c r="Q415" s="14"/>
      <c r="R415" s="14"/>
      <c r="S415" s="14"/>
      <c r="T415" s="14"/>
      <c r="U415" s="14"/>
      <c r="V415" s="14"/>
      <c r="W415" s="14"/>
      <c r="X415" s="14"/>
      <c r="Y415" s="14"/>
      <c r="Z415" s="14"/>
      <c r="AA415" s="4"/>
      <c r="AB415" s="4"/>
      <c r="AC415" s="4"/>
      <c r="AD415" s="4"/>
      <c r="AE415" s="4"/>
      <c r="AF415" s="4"/>
      <c r="AG415" s="4"/>
      <c r="AH415" s="4"/>
      <c r="AI415" s="4"/>
      <c r="AJ415" s="4"/>
      <c r="AK415" s="4"/>
      <c r="AL415" s="4"/>
      <c r="AM415" s="4"/>
      <c r="AN415" s="4"/>
      <c r="AO415" s="4"/>
      <c r="AP415" s="4"/>
      <c r="AQ415" s="4"/>
      <c r="AR415" s="4"/>
    </row>
    <row r="416" spans="1:44">
      <c r="A416" s="4"/>
      <c r="B416" s="47"/>
      <c r="C416" s="47"/>
      <c r="D416" s="48"/>
      <c r="E416" s="4"/>
      <c r="F416" s="11"/>
      <c r="G416" s="11"/>
      <c r="H416" s="11"/>
      <c r="I416" s="11"/>
      <c r="J416" s="11"/>
      <c r="K416" s="11"/>
      <c r="L416" s="11"/>
      <c r="M416" s="11"/>
      <c r="N416" s="11"/>
      <c r="O416" s="11"/>
      <c r="P416" s="14"/>
      <c r="Q416" s="14"/>
      <c r="R416" s="14"/>
      <c r="S416" s="14"/>
      <c r="T416" s="14"/>
      <c r="U416" s="14"/>
      <c r="V416" s="14"/>
      <c r="W416" s="14"/>
      <c r="X416" s="14"/>
      <c r="Y416" s="14"/>
      <c r="Z416" s="14"/>
      <c r="AA416" s="4"/>
      <c r="AB416" s="4"/>
      <c r="AC416" s="4"/>
      <c r="AD416" s="4"/>
      <c r="AE416" s="4"/>
      <c r="AF416" s="4"/>
      <c r="AG416" s="4"/>
      <c r="AH416" s="4"/>
      <c r="AI416" s="4"/>
      <c r="AJ416" s="4"/>
      <c r="AK416" s="4"/>
      <c r="AL416" s="4"/>
      <c r="AM416" s="4"/>
      <c r="AN416" s="4"/>
      <c r="AO416" s="4"/>
      <c r="AP416" s="4"/>
      <c r="AQ416" s="4"/>
      <c r="AR416" s="4"/>
    </row>
    <row r="417" spans="1:44">
      <c r="A417" s="4"/>
      <c r="B417" s="47"/>
      <c r="C417" s="47"/>
      <c r="D417" s="48"/>
      <c r="E417" s="4"/>
      <c r="F417" s="11"/>
      <c r="G417" s="11"/>
      <c r="H417" s="11"/>
      <c r="I417" s="11"/>
      <c r="J417" s="11"/>
      <c r="K417" s="11"/>
      <c r="L417" s="11"/>
      <c r="M417" s="11"/>
      <c r="N417" s="11"/>
      <c r="O417" s="11"/>
      <c r="P417" s="14"/>
      <c r="Q417" s="14"/>
      <c r="R417" s="14"/>
      <c r="S417" s="14"/>
      <c r="T417" s="14"/>
      <c r="U417" s="14"/>
      <c r="V417" s="14"/>
      <c r="W417" s="14"/>
      <c r="X417" s="14"/>
      <c r="Y417" s="14"/>
      <c r="Z417" s="14"/>
      <c r="AA417" s="4"/>
      <c r="AB417" s="4"/>
      <c r="AC417" s="4"/>
      <c r="AD417" s="4"/>
      <c r="AE417" s="4"/>
      <c r="AF417" s="4"/>
      <c r="AG417" s="4"/>
      <c r="AH417" s="4"/>
      <c r="AI417" s="4"/>
      <c r="AJ417" s="4"/>
      <c r="AK417" s="4"/>
      <c r="AL417" s="4"/>
      <c r="AM417" s="4"/>
      <c r="AN417" s="4"/>
      <c r="AO417" s="4"/>
      <c r="AP417" s="4"/>
      <c r="AQ417" s="4"/>
      <c r="AR417" s="4"/>
    </row>
    <row r="418" spans="1:44">
      <c r="A418" s="4"/>
      <c r="B418" s="47"/>
      <c r="C418" s="47"/>
      <c r="D418" s="48"/>
      <c r="E418" s="4"/>
      <c r="F418" s="11"/>
      <c r="G418" s="11"/>
      <c r="H418" s="11"/>
      <c r="I418" s="11"/>
      <c r="J418" s="11"/>
      <c r="K418" s="11"/>
      <c r="L418" s="11"/>
      <c r="M418" s="11"/>
      <c r="N418" s="11"/>
      <c r="O418" s="11"/>
      <c r="P418" s="14"/>
      <c r="Q418" s="14"/>
      <c r="R418" s="14"/>
      <c r="S418" s="14"/>
      <c r="T418" s="14"/>
      <c r="U418" s="14"/>
      <c r="V418" s="14"/>
      <c r="W418" s="14"/>
      <c r="X418" s="14"/>
      <c r="Y418" s="14"/>
      <c r="Z418" s="14"/>
      <c r="AA418" s="4"/>
      <c r="AB418" s="4"/>
      <c r="AC418" s="4"/>
      <c r="AD418" s="4"/>
      <c r="AE418" s="4"/>
      <c r="AF418" s="4"/>
      <c r="AG418" s="4"/>
      <c r="AH418" s="4"/>
      <c r="AI418" s="4"/>
      <c r="AJ418" s="4"/>
      <c r="AK418" s="4"/>
      <c r="AL418" s="4"/>
      <c r="AM418" s="4"/>
      <c r="AN418" s="4"/>
      <c r="AO418" s="4"/>
      <c r="AP418" s="4"/>
      <c r="AQ418" s="4"/>
      <c r="AR418" s="4"/>
    </row>
    <row r="419" spans="1:44">
      <c r="A419" s="4"/>
      <c r="B419" s="47"/>
      <c r="C419" s="47"/>
      <c r="D419" s="48"/>
      <c r="E419" s="4"/>
      <c r="F419" s="11"/>
      <c r="G419" s="11"/>
      <c r="H419" s="11"/>
      <c r="I419" s="11"/>
      <c r="J419" s="11"/>
      <c r="K419" s="11"/>
      <c r="L419" s="11"/>
      <c r="M419" s="11"/>
      <c r="N419" s="11"/>
      <c r="O419" s="11"/>
      <c r="P419" s="14"/>
      <c r="Q419" s="14"/>
      <c r="R419" s="14"/>
      <c r="S419" s="14"/>
      <c r="T419" s="14"/>
      <c r="U419" s="14"/>
      <c r="V419" s="14"/>
      <c r="W419" s="14"/>
      <c r="X419" s="14"/>
      <c r="Y419" s="14"/>
      <c r="Z419" s="14"/>
      <c r="AA419" s="4"/>
      <c r="AB419" s="4"/>
      <c r="AC419" s="4"/>
      <c r="AD419" s="4"/>
      <c r="AE419" s="4"/>
      <c r="AF419" s="4"/>
      <c r="AG419" s="4"/>
      <c r="AH419" s="4"/>
      <c r="AI419" s="4"/>
      <c r="AJ419" s="4"/>
      <c r="AK419" s="4"/>
      <c r="AL419" s="4"/>
      <c r="AM419" s="4"/>
      <c r="AN419" s="4"/>
      <c r="AO419" s="4"/>
      <c r="AP419" s="4"/>
      <c r="AQ419" s="4"/>
      <c r="AR419" s="4"/>
    </row>
    <row r="420" spans="1:44">
      <c r="A420" s="4"/>
      <c r="B420" s="47"/>
      <c r="C420" s="47"/>
      <c r="D420" s="48"/>
      <c r="E420" s="4"/>
      <c r="F420" s="11"/>
      <c r="G420" s="11"/>
      <c r="H420" s="11"/>
      <c r="I420" s="11"/>
      <c r="J420" s="11"/>
      <c r="K420" s="11"/>
      <c r="L420" s="11"/>
      <c r="M420" s="11"/>
      <c r="N420" s="11"/>
      <c r="O420" s="11"/>
      <c r="P420" s="14"/>
      <c r="Q420" s="14"/>
      <c r="R420" s="14"/>
      <c r="S420" s="14"/>
      <c r="T420" s="14"/>
      <c r="U420" s="14"/>
      <c r="V420" s="14"/>
      <c r="W420" s="14"/>
      <c r="X420" s="14"/>
      <c r="Y420" s="14"/>
      <c r="Z420" s="14"/>
      <c r="AA420" s="4"/>
      <c r="AB420" s="4"/>
      <c r="AC420" s="4"/>
      <c r="AD420" s="4"/>
      <c r="AE420" s="4"/>
      <c r="AF420" s="4"/>
      <c r="AG420" s="4"/>
      <c r="AH420" s="4"/>
      <c r="AI420" s="4"/>
      <c r="AJ420" s="4"/>
      <c r="AK420" s="4"/>
      <c r="AL420" s="4"/>
      <c r="AM420" s="4"/>
      <c r="AN420" s="4"/>
      <c r="AO420" s="4"/>
      <c r="AP420" s="4"/>
      <c r="AQ420" s="4"/>
      <c r="AR420" s="4"/>
    </row>
    <row r="421" spans="1:44">
      <c r="A421" s="4"/>
      <c r="B421" s="47"/>
      <c r="C421" s="47"/>
      <c r="D421" s="48"/>
      <c r="E421" s="4"/>
      <c r="F421" s="11"/>
      <c r="G421" s="11"/>
      <c r="H421" s="11"/>
      <c r="I421" s="11"/>
      <c r="J421" s="11"/>
      <c r="K421" s="11"/>
      <c r="L421" s="11"/>
      <c r="M421" s="11"/>
      <c r="N421" s="11"/>
      <c r="O421" s="11"/>
      <c r="P421" s="14"/>
      <c r="Q421" s="14"/>
      <c r="R421" s="14"/>
      <c r="S421" s="14"/>
      <c r="T421" s="14"/>
      <c r="U421" s="14"/>
      <c r="V421" s="14"/>
      <c r="W421" s="14"/>
      <c r="X421" s="14"/>
      <c r="Y421" s="14"/>
      <c r="Z421" s="14"/>
      <c r="AA421" s="4"/>
      <c r="AB421" s="4"/>
      <c r="AC421" s="4"/>
      <c r="AD421" s="4"/>
      <c r="AE421" s="4"/>
      <c r="AF421" s="4"/>
      <c r="AG421" s="4"/>
      <c r="AH421" s="4"/>
      <c r="AI421" s="4"/>
      <c r="AJ421" s="4"/>
      <c r="AK421" s="4"/>
      <c r="AL421" s="4"/>
      <c r="AM421" s="4"/>
      <c r="AN421" s="4"/>
      <c r="AO421" s="4"/>
      <c r="AP421" s="4"/>
      <c r="AQ421" s="4"/>
      <c r="AR421" s="4"/>
    </row>
    <row r="422" spans="1:44">
      <c r="A422" s="4"/>
      <c r="B422" s="47"/>
      <c r="C422" s="47"/>
      <c r="D422" s="48"/>
      <c r="E422" s="4"/>
      <c r="F422" s="11"/>
      <c r="G422" s="11"/>
      <c r="H422" s="11"/>
      <c r="I422" s="11"/>
      <c r="J422" s="11"/>
      <c r="K422" s="11"/>
      <c r="L422" s="11"/>
      <c r="M422" s="11"/>
      <c r="N422" s="11"/>
      <c r="O422" s="11"/>
      <c r="P422" s="14"/>
      <c r="Q422" s="14"/>
      <c r="R422" s="14"/>
      <c r="S422" s="14"/>
      <c r="T422" s="14"/>
      <c r="U422" s="14"/>
      <c r="V422" s="14"/>
      <c r="W422" s="14"/>
      <c r="X422" s="14"/>
      <c r="Y422" s="14"/>
      <c r="Z422" s="14"/>
      <c r="AA422" s="4"/>
      <c r="AB422" s="4"/>
      <c r="AC422" s="4"/>
      <c r="AD422" s="4"/>
      <c r="AE422" s="4"/>
      <c r="AF422" s="4"/>
      <c r="AG422" s="4"/>
      <c r="AH422" s="4"/>
      <c r="AI422" s="4"/>
      <c r="AJ422" s="4"/>
      <c r="AK422" s="4"/>
      <c r="AL422" s="4"/>
      <c r="AM422" s="4"/>
      <c r="AN422" s="4"/>
      <c r="AO422" s="4"/>
      <c r="AP422" s="4"/>
      <c r="AQ422" s="4"/>
      <c r="AR422" s="4"/>
    </row>
    <row r="423" spans="1:44">
      <c r="A423" s="4"/>
      <c r="B423" s="47"/>
      <c r="C423" s="47"/>
      <c r="D423" s="48"/>
      <c r="E423" s="4"/>
      <c r="F423" s="11"/>
      <c r="G423" s="11"/>
      <c r="H423" s="11"/>
      <c r="I423" s="11"/>
      <c r="J423" s="11"/>
      <c r="K423" s="11"/>
      <c r="L423" s="11"/>
      <c r="M423" s="11"/>
      <c r="N423" s="11"/>
      <c r="O423" s="11"/>
      <c r="P423" s="14"/>
      <c r="Q423" s="14"/>
      <c r="R423" s="14"/>
      <c r="S423" s="14"/>
      <c r="T423" s="14"/>
      <c r="U423" s="14"/>
      <c r="V423" s="14"/>
      <c r="W423" s="14"/>
      <c r="X423" s="14"/>
      <c r="Y423" s="14"/>
      <c r="Z423" s="14"/>
      <c r="AA423" s="4"/>
      <c r="AB423" s="4"/>
      <c r="AC423" s="4"/>
      <c r="AD423" s="4"/>
      <c r="AE423" s="4"/>
      <c r="AF423" s="4"/>
      <c r="AG423" s="4"/>
      <c r="AH423" s="4"/>
      <c r="AI423" s="4"/>
      <c r="AJ423" s="4"/>
      <c r="AK423" s="4"/>
      <c r="AL423" s="4"/>
      <c r="AM423" s="4"/>
      <c r="AN423" s="4"/>
      <c r="AO423" s="4"/>
      <c r="AP423" s="4"/>
      <c r="AQ423" s="4"/>
      <c r="AR423" s="4"/>
    </row>
    <row r="424" spans="1:44">
      <c r="A424" s="4"/>
      <c r="B424" s="47"/>
      <c r="C424" s="47"/>
      <c r="D424" s="48"/>
      <c r="E424" s="4"/>
      <c r="F424" s="11"/>
      <c r="G424" s="11"/>
      <c r="H424" s="11"/>
      <c r="I424" s="11"/>
      <c r="J424" s="11"/>
      <c r="K424" s="11"/>
      <c r="L424" s="11"/>
      <c r="M424" s="11"/>
      <c r="N424" s="11"/>
      <c r="O424" s="11"/>
      <c r="P424" s="14"/>
      <c r="Q424" s="14"/>
      <c r="R424" s="14"/>
      <c r="S424" s="14"/>
      <c r="T424" s="14"/>
      <c r="U424" s="14"/>
      <c r="V424" s="14"/>
      <c r="W424" s="14"/>
      <c r="X424" s="14"/>
      <c r="Y424" s="14"/>
      <c r="Z424" s="14"/>
      <c r="AA424" s="4"/>
      <c r="AB424" s="4"/>
      <c r="AC424" s="4"/>
      <c r="AD424" s="4"/>
      <c r="AE424" s="4"/>
      <c r="AF424" s="4"/>
      <c r="AG424" s="4"/>
      <c r="AH424" s="4"/>
      <c r="AI424" s="4"/>
      <c r="AJ424" s="4"/>
      <c r="AK424" s="4"/>
      <c r="AL424" s="4"/>
      <c r="AM424" s="4"/>
      <c r="AN424" s="4"/>
      <c r="AO424" s="4"/>
      <c r="AP424" s="4"/>
      <c r="AQ424" s="4"/>
      <c r="AR424" s="4"/>
    </row>
    <row r="425" spans="1:44">
      <c r="A425" s="4"/>
      <c r="B425" s="47"/>
      <c r="C425" s="47"/>
      <c r="D425" s="48"/>
      <c r="E425" s="4"/>
      <c r="F425" s="11"/>
      <c r="G425" s="11"/>
      <c r="H425" s="11"/>
      <c r="I425" s="11"/>
      <c r="J425" s="11"/>
      <c r="K425" s="11"/>
      <c r="L425" s="11"/>
      <c r="M425" s="11"/>
      <c r="N425" s="11"/>
      <c r="O425" s="11"/>
      <c r="P425" s="14"/>
      <c r="Q425" s="14"/>
      <c r="R425" s="14"/>
      <c r="S425" s="14"/>
      <c r="T425" s="14"/>
      <c r="U425" s="14"/>
      <c r="V425" s="14"/>
      <c r="W425" s="14"/>
      <c r="X425" s="14"/>
      <c r="Y425" s="14"/>
      <c r="Z425" s="14"/>
      <c r="AA425" s="4"/>
      <c r="AB425" s="4"/>
      <c r="AC425" s="4"/>
      <c r="AD425" s="4"/>
      <c r="AE425" s="4"/>
      <c r="AF425" s="4"/>
      <c r="AG425" s="4"/>
      <c r="AH425" s="4"/>
      <c r="AI425" s="4"/>
      <c r="AJ425" s="4"/>
      <c r="AK425" s="4"/>
      <c r="AL425" s="4"/>
      <c r="AM425" s="4"/>
      <c r="AN425" s="4"/>
      <c r="AO425" s="4"/>
      <c r="AP425" s="4"/>
      <c r="AQ425" s="4"/>
      <c r="AR425" s="4"/>
    </row>
    <row r="426" spans="1:44">
      <c r="A426" s="4"/>
      <c r="B426" s="47"/>
      <c r="C426" s="47"/>
      <c r="D426" s="48"/>
      <c r="E426" s="4"/>
      <c r="F426" s="11"/>
      <c r="G426" s="11"/>
      <c r="H426" s="11"/>
      <c r="I426" s="11"/>
      <c r="J426" s="11"/>
      <c r="K426" s="11"/>
      <c r="L426" s="11"/>
      <c r="M426" s="11"/>
      <c r="N426" s="11"/>
      <c r="O426" s="11"/>
      <c r="P426" s="14"/>
      <c r="Q426" s="14"/>
      <c r="R426" s="14"/>
      <c r="S426" s="14"/>
      <c r="T426" s="14"/>
      <c r="U426" s="14"/>
      <c r="V426" s="14"/>
      <c r="W426" s="14"/>
      <c r="X426" s="14"/>
      <c r="Y426" s="14"/>
      <c r="Z426" s="14"/>
      <c r="AA426" s="4"/>
      <c r="AB426" s="4"/>
      <c r="AC426" s="4"/>
      <c r="AD426" s="4"/>
      <c r="AE426" s="4"/>
      <c r="AF426" s="4"/>
      <c r="AG426" s="4"/>
      <c r="AH426" s="4"/>
      <c r="AI426" s="4"/>
      <c r="AJ426" s="4"/>
      <c r="AK426" s="4"/>
      <c r="AL426" s="4"/>
      <c r="AM426" s="4"/>
      <c r="AN426" s="4"/>
      <c r="AO426" s="4"/>
      <c r="AP426" s="4"/>
      <c r="AQ426" s="4"/>
      <c r="AR426" s="4"/>
    </row>
    <row r="427" spans="1:44">
      <c r="A427" s="4"/>
      <c r="B427" s="47"/>
      <c r="C427" s="47"/>
      <c r="D427" s="48"/>
      <c r="E427" s="4"/>
      <c r="F427" s="11"/>
      <c r="G427" s="11"/>
      <c r="H427" s="11"/>
      <c r="I427" s="11"/>
      <c r="J427" s="11"/>
      <c r="K427" s="11"/>
      <c r="L427" s="11"/>
      <c r="M427" s="11"/>
      <c r="N427" s="11"/>
      <c r="O427" s="11"/>
      <c r="P427" s="14"/>
      <c r="Q427" s="14"/>
      <c r="R427" s="14"/>
      <c r="S427" s="14"/>
      <c r="T427" s="14"/>
      <c r="U427" s="14"/>
      <c r="V427" s="14"/>
      <c r="W427" s="14"/>
      <c r="X427" s="14"/>
      <c r="Y427" s="14"/>
      <c r="Z427" s="14"/>
      <c r="AA427" s="4"/>
      <c r="AB427" s="4"/>
      <c r="AC427" s="4"/>
      <c r="AD427" s="4"/>
      <c r="AE427" s="4"/>
      <c r="AF427" s="4"/>
      <c r="AG427" s="4"/>
      <c r="AH427" s="4"/>
      <c r="AI427" s="4"/>
      <c r="AJ427" s="4"/>
      <c r="AK427" s="4"/>
      <c r="AL427" s="4"/>
      <c r="AM427" s="4"/>
      <c r="AN427" s="4"/>
      <c r="AO427" s="4"/>
      <c r="AP427" s="4"/>
      <c r="AQ427" s="4"/>
      <c r="AR427" s="4"/>
    </row>
    <row r="428" spans="1:44">
      <c r="A428" s="4"/>
      <c r="B428" s="47"/>
      <c r="C428" s="47"/>
      <c r="D428" s="48"/>
      <c r="E428" s="4"/>
      <c r="F428" s="11"/>
      <c r="G428" s="11"/>
      <c r="H428" s="11"/>
      <c r="I428" s="11"/>
      <c r="J428" s="11"/>
      <c r="K428" s="11"/>
      <c r="L428" s="11"/>
      <c r="M428" s="11"/>
      <c r="N428" s="11"/>
      <c r="O428" s="11"/>
      <c r="P428" s="14"/>
      <c r="Q428" s="14"/>
      <c r="R428" s="14"/>
      <c r="S428" s="14"/>
      <c r="T428" s="14"/>
      <c r="U428" s="14"/>
      <c r="V428" s="14"/>
      <c r="W428" s="14"/>
      <c r="X428" s="14"/>
      <c r="Y428" s="14"/>
      <c r="Z428" s="14"/>
      <c r="AA428" s="4"/>
      <c r="AB428" s="4"/>
      <c r="AC428" s="4"/>
      <c r="AD428" s="4"/>
      <c r="AE428" s="4"/>
      <c r="AF428" s="4"/>
      <c r="AG428" s="4"/>
      <c r="AH428" s="4"/>
      <c r="AI428" s="4"/>
      <c r="AJ428" s="4"/>
      <c r="AK428" s="4"/>
      <c r="AL428" s="4"/>
      <c r="AM428" s="4"/>
      <c r="AN428" s="4"/>
      <c r="AO428" s="4"/>
      <c r="AP428" s="4"/>
      <c r="AQ428" s="4"/>
      <c r="AR428" s="4"/>
    </row>
    <row r="429" spans="1:44">
      <c r="A429" s="4"/>
      <c r="B429" s="47"/>
      <c r="C429" s="47"/>
      <c r="D429" s="48"/>
      <c r="E429" s="4"/>
      <c r="F429" s="11"/>
      <c r="G429" s="11"/>
      <c r="H429" s="11"/>
      <c r="I429" s="11"/>
      <c r="J429" s="11"/>
      <c r="K429" s="11"/>
      <c r="L429" s="11"/>
      <c r="M429" s="11"/>
      <c r="N429" s="11"/>
      <c r="O429" s="11"/>
      <c r="P429" s="14"/>
      <c r="Q429" s="14"/>
      <c r="R429" s="14"/>
      <c r="S429" s="14"/>
      <c r="T429" s="14"/>
      <c r="U429" s="14"/>
      <c r="V429" s="14"/>
      <c r="W429" s="14"/>
      <c r="X429" s="14"/>
      <c r="Y429" s="14"/>
      <c r="Z429" s="14"/>
      <c r="AA429" s="4"/>
      <c r="AB429" s="4"/>
      <c r="AC429" s="4"/>
      <c r="AD429" s="4"/>
      <c r="AE429" s="4"/>
      <c r="AF429" s="4"/>
      <c r="AG429" s="4"/>
      <c r="AH429" s="4"/>
      <c r="AI429" s="4"/>
      <c r="AJ429" s="4"/>
      <c r="AK429" s="4"/>
      <c r="AL429" s="4"/>
      <c r="AM429" s="4"/>
      <c r="AN429" s="4"/>
      <c r="AO429" s="4"/>
      <c r="AP429" s="4"/>
      <c r="AQ429" s="4"/>
      <c r="AR429" s="4"/>
    </row>
    <row r="430" spans="1:44">
      <c r="A430" s="4"/>
      <c r="B430" s="47"/>
      <c r="C430" s="47"/>
      <c r="D430" s="48"/>
      <c r="E430" s="4"/>
      <c r="F430" s="11"/>
      <c r="G430" s="11"/>
      <c r="H430" s="11"/>
      <c r="I430" s="11"/>
      <c r="J430" s="11"/>
      <c r="K430" s="11"/>
      <c r="L430" s="11"/>
      <c r="M430" s="11"/>
      <c r="N430" s="11"/>
      <c r="O430" s="11"/>
      <c r="P430" s="14"/>
      <c r="Q430" s="14"/>
      <c r="R430" s="14"/>
      <c r="S430" s="14"/>
      <c r="T430" s="14"/>
      <c r="U430" s="14"/>
      <c r="V430" s="14"/>
      <c r="W430" s="14"/>
      <c r="X430" s="14"/>
      <c r="Y430" s="14"/>
      <c r="Z430" s="14"/>
      <c r="AA430" s="4"/>
      <c r="AB430" s="4"/>
      <c r="AC430" s="4"/>
      <c r="AD430" s="4"/>
      <c r="AE430" s="4"/>
      <c r="AF430" s="4"/>
      <c r="AG430" s="4"/>
      <c r="AH430" s="4"/>
      <c r="AI430" s="4"/>
      <c r="AJ430" s="4"/>
      <c r="AK430" s="4"/>
      <c r="AL430" s="4"/>
      <c r="AM430" s="4"/>
      <c r="AN430" s="4"/>
      <c r="AO430" s="4"/>
      <c r="AP430" s="4"/>
      <c r="AQ430" s="4"/>
      <c r="AR430" s="4"/>
    </row>
    <row r="431" spans="1:44">
      <c r="A431" s="4"/>
      <c r="B431" s="47"/>
      <c r="C431" s="47"/>
      <c r="D431" s="48"/>
      <c r="E431" s="4"/>
      <c r="F431" s="11"/>
      <c r="G431" s="11"/>
      <c r="H431" s="11"/>
      <c r="I431" s="11"/>
      <c r="J431" s="11"/>
      <c r="K431" s="11"/>
      <c r="L431" s="11"/>
      <c r="M431" s="11"/>
      <c r="N431" s="11"/>
      <c r="O431" s="11"/>
      <c r="P431" s="14"/>
      <c r="Q431" s="14"/>
      <c r="R431" s="14"/>
      <c r="S431" s="14"/>
      <c r="T431" s="14"/>
      <c r="U431" s="14"/>
      <c r="V431" s="14"/>
      <c r="W431" s="14"/>
      <c r="X431" s="14"/>
      <c r="Y431" s="14"/>
      <c r="Z431" s="14"/>
      <c r="AA431" s="4"/>
      <c r="AB431" s="4"/>
      <c r="AC431" s="4"/>
      <c r="AD431" s="4"/>
      <c r="AE431" s="4"/>
      <c r="AF431" s="4"/>
      <c r="AG431" s="4"/>
      <c r="AH431" s="4"/>
      <c r="AI431" s="4"/>
      <c r="AJ431" s="4"/>
      <c r="AK431" s="4"/>
      <c r="AL431" s="4"/>
      <c r="AM431" s="4"/>
      <c r="AN431" s="4"/>
      <c r="AO431" s="4"/>
      <c r="AP431" s="4"/>
      <c r="AQ431" s="4"/>
      <c r="AR431" s="4"/>
    </row>
    <row r="432" spans="1:44">
      <c r="A432" s="4"/>
      <c r="B432" s="47"/>
      <c r="C432" s="47"/>
      <c r="D432" s="48"/>
      <c r="E432" s="4"/>
      <c r="F432" s="11"/>
      <c r="G432" s="11"/>
      <c r="H432" s="11"/>
      <c r="I432" s="11"/>
      <c r="J432" s="11"/>
      <c r="K432" s="11"/>
      <c r="L432" s="11"/>
      <c r="M432" s="11"/>
      <c r="N432" s="11"/>
      <c r="O432" s="11"/>
      <c r="P432" s="14"/>
      <c r="Q432" s="14"/>
      <c r="R432" s="14"/>
      <c r="S432" s="14"/>
      <c r="T432" s="14"/>
      <c r="U432" s="14"/>
      <c r="V432" s="14"/>
      <c r="W432" s="14"/>
      <c r="X432" s="14"/>
      <c r="Y432" s="14"/>
      <c r="Z432" s="14"/>
      <c r="AA432" s="4"/>
      <c r="AB432" s="4"/>
      <c r="AC432" s="4"/>
      <c r="AD432" s="4"/>
      <c r="AE432" s="4"/>
      <c r="AF432" s="4"/>
      <c r="AG432" s="4"/>
      <c r="AH432" s="4"/>
      <c r="AI432" s="4"/>
      <c r="AJ432" s="4"/>
      <c r="AK432" s="4"/>
      <c r="AL432" s="4"/>
      <c r="AM432" s="4"/>
      <c r="AN432" s="4"/>
      <c r="AO432" s="4"/>
      <c r="AP432" s="4"/>
      <c r="AQ432" s="4"/>
      <c r="AR432" s="4"/>
    </row>
    <row r="433" spans="1:44">
      <c r="A433" s="4"/>
      <c r="B433" s="47"/>
      <c r="C433" s="47"/>
      <c r="D433" s="48"/>
      <c r="E433" s="4"/>
      <c r="F433" s="11"/>
      <c r="G433" s="11"/>
      <c r="H433" s="11"/>
      <c r="I433" s="11"/>
      <c r="J433" s="11"/>
      <c r="K433" s="11"/>
      <c r="L433" s="11"/>
      <c r="M433" s="11"/>
      <c r="N433" s="11"/>
      <c r="O433" s="11"/>
      <c r="P433" s="14"/>
      <c r="Q433" s="14"/>
      <c r="R433" s="14"/>
      <c r="S433" s="14"/>
      <c r="T433" s="14"/>
      <c r="U433" s="14"/>
      <c r="V433" s="14"/>
      <c r="W433" s="14"/>
      <c r="X433" s="14"/>
      <c r="Y433" s="14"/>
      <c r="Z433" s="14"/>
      <c r="AA433" s="4"/>
      <c r="AB433" s="4"/>
      <c r="AC433" s="4"/>
      <c r="AD433" s="4"/>
      <c r="AE433" s="4"/>
      <c r="AF433" s="4"/>
      <c r="AG433" s="4"/>
      <c r="AH433" s="4"/>
      <c r="AI433" s="4"/>
      <c r="AJ433" s="4"/>
      <c r="AK433" s="4"/>
      <c r="AL433" s="4"/>
      <c r="AM433" s="4"/>
      <c r="AN433" s="4"/>
      <c r="AO433" s="4"/>
      <c r="AP433" s="4"/>
      <c r="AQ433" s="4"/>
      <c r="AR433" s="4"/>
    </row>
    <row r="434" spans="1:44">
      <c r="A434" s="4"/>
      <c r="B434" s="47"/>
      <c r="C434" s="47"/>
      <c r="D434" s="48"/>
      <c r="E434" s="4"/>
      <c r="F434" s="11"/>
      <c r="G434" s="11"/>
      <c r="H434" s="11"/>
      <c r="I434" s="11"/>
      <c r="J434" s="11"/>
      <c r="K434" s="11"/>
      <c r="L434" s="11"/>
      <c r="M434" s="11"/>
      <c r="N434" s="11"/>
      <c r="O434" s="11"/>
      <c r="P434" s="14"/>
      <c r="Q434" s="14"/>
      <c r="R434" s="14"/>
      <c r="S434" s="14"/>
      <c r="T434" s="14"/>
      <c r="U434" s="14"/>
      <c r="V434" s="14"/>
      <c r="W434" s="14"/>
      <c r="X434" s="14"/>
      <c r="Y434" s="14"/>
      <c r="Z434" s="14"/>
      <c r="AA434" s="4"/>
      <c r="AB434" s="4"/>
      <c r="AC434" s="4"/>
      <c r="AD434" s="4"/>
      <c r="AE434" s="4"/>
      <c r="AF434" s="4"/>
      <c r="AG434" s="4"/>
      <c r="AH434" s="4"/>
      <c r="AI434" s="4"/>
      <c r="AJ434" s="4"/>
      <c r="AK434" s="4"/>
      <c r="AL434" s="4"/>
      <c r="AM434" s="4"/>
      <c r="AN434" s="4"/>
      <c r="AO434" s="4"/>
      <c r="AP434" s="4"/>
      <c r="AQ434" s="4"/>
      <c r="AR434" s="4"/>
    </row>
    <row r="435" spans="1:44">
      <c r="A435" s="4"/>
      <c r="B435" s="47"/>
      <c r="C435" s="47"/>
      <c r="D435" s="48"/>
      <c r="E435" s="4"/>
      <c r="F435" s="11"/>
      <c r="G435" s="11"/>
      <c r="H435" s="11"/>
      <c r="I435" s="11"/>
      <c r="J435" s="11"/>
      <c r="K435" s="11"/>
      <c r="L435" s="11"/>
      <c r="M435" s="11"/>
      <c r="N435" s="11"/>
      <c r="O435" s="11"/>
      <c r="P435" s="14"/>
      <c r="Q435" s="14"/>
      <c r="R435" s="14"/>
      <c r="S435" s="14"/>
      <c r="T435" s="14"/>
      <c r="U435" s="14"/>
      <c r="V435" s="14"/>
      <c r="W435" s="14"/>
      <c r="X435" s="14"/>
      <c r="Y435" s="14"/>
      <c r="Z435" s="14"/>
      <c r="AA435" s="4"/>
      <c r="AB435" s="4"/>
      <c r="AC435" s="4"/>
      <c r="AD435" s="4"/>
      <c r="AE435" s="4"/>
      <c r="AF435" s="4"/>
      <c r="AG435" s="4"/>
      <c r="AH435" s="4"/>
      <c r="AI435" s="4"/>
      <c r="AJ435" s="4"/>
      <c r="AK435" s="4"/>
      <c r="AL435" s="4"/>
      <c r="AM435" s="4"/>
      <c r="AN435" s="4"/>
      <c r="AO435" s="4"/>
      <c r="AP435" s="4"/>
      <c r="AQ435" s="4"/>
      <c r="AR435" s="4"/>
    </row>
    <row r="436" spans="1:44">
      <c r="A436" s="4"/>
      <c r="B436" s="47"/>
      <c r="C436" s="47"/>
      <c r="D436" s="48"/>
      <c r="E436" s="4"/>
      <c r="F436" s="11"/>
      <c r="G436" s="11"/>
      <c r="H436" s="11"/>
      <c r="I436" s="11"/>
      <c r="J436" s="11"/>
      <c r="K436" s="11"/>
      <c r="L436" s="11"/>
      <c r="M436" s="11"/>
      <c r="N436" s="11"/>
      <c r="O436" s="11"/>
      <c r="P436" s="14"/>
      <c r="Q436" s="14"/>
      <c r="R436" s="14"/>
      <c r="S436" s="14"/>
      <c r="T436" s="14"/>
      <c r="U436" s="14"/>
      <c r="V436" s="14"/>
      <c r="W436" s="14"/>
      <c r="X436" s="14"/>
      <c r="Y436" s="14"/>
      <c r="Z436" s="14"/>
      <c r="AA436" s="4"/>
      <c r="AB436" s="4"/>
      <c r="AC436" s="4"/>
      <c r="AD436" s="4"/>
      <c r="AE436" s="4"/>
      <c r="AF436" s="4"/>
      <c r="AG436" s="4"/>
      <c r="AH436" s="4"/>
      <c r="AI436" s="4"/>
      <c r="AJ436" s="4"/>
      <c r="AK436" s="4"/>
      <c r="AL436" s="4"/>
      <c r="AM436" s="4"/>
      <c r="AN436" s="4"/>
      <c r="AO436" s="4"/>
      <c r="AP436" s="4"/>
      <c r="AQ436" s="4"/>
      <c r="AR436" s="4"/>
    </row>
    <row r="437" spans="1:44">
      <c r="A437" s="4"/>
      <c r="B437" s="47"/>
      <c r="C437" s="47"/>
      <c r="D437" s="48"/>
      <c r="E437" s="4"/>
      <c r="F437" s="11"/>
      <c r="G437" s="11"/>
      <c r="H437" s="11"/>
      <c r="I437" s="11"/>
      <c r="J437" s="11"/>
      <c r="K437" s="11"/>
      <c r="L437" s="11"/>
      <c r="M437" s="11"/>
      <c r="N437" s="11"/>
      <c r="O437" s="11"/>
      <c r="P437" s="14"/>
      <c r="Q437" s="14"/>
      <c r="R437" s="14"/>
      <c r="S437" s="14"/>
      <c r="T437" s="14"/>
      <c r="U437" s="14"/>
      <c r="V437" s="14"/>
      <c r="W437" s="14"/>
      <c r="X437" s="14"/>
      <c r="Y437" s="14"/>
      <c r="Z437" s="14"/>
      <c r="AA437" s="4"/>
      <c r="AB437" s="4"/>
      <c r="AC437" s="4"/>
      <c r="AD437" s="4"/>
      <c r="AE437" s="4"/>
      <c r="AF437" s="4"/>
      <c r="AG437" s="4"/>
      <c r="AH437" s="4"/>
      <c r="AI437" s="4"/>
      <c r="AJ437" s="4"/>
      <c r="AK437" s="4"/>
      <c r="AL437" s="4"/>
      <c r="AM437" s="4"/>
      <c r="AN437" s="4"/>
      <c r="AO437" s="4"/>
      <c r="AP437" s="4"/>
      <c r="AQ437" s="4"/>
      <c r="AR437" s="4"/>
    </row>
    <row r="438" spans="1:44">
      <c r="A438" s="4"/>
      <c r="B438" s="47"/>
      <c r="C438" s="47"/>
      <c r="D438" s="48"/>
      <c r="E438" s="4"/>
      <c r="F438" s="11"/>
      <c r="G438" s="11"/>
      <c r="H438" s="11"/>
      <c r="I438" s="11"/>
      <c r="J438" s="11"/>
      <c r="K438" s="11"/>
      <c r="L438" s="11"/>
      <c r="M438" s="11"/>
      <c r="N438" s="11"/>
      <c r="O438" s="11"/>
      <c r="P438" s="14"/>
      <c r="Q438" s="14"/>
      <c r="R438" s="14"/>
      <c r="S438" s="14"/>
      <c r="T438" s="14"/>
      <c r="U438" s="14"/>
      <c r="V438" s="14"/>
      <c r="W438" s="14"/>
      <c r="X438" s="14"/>
      <c r="Y438" s="14"/>
      <c r="Z438" s="14"/>
      <c r="AA438" s="4"/>
      <c r="AB438" s="4"/>
      <c r="AC438" s="4"/>
      <c r="AD438" s="4"/>
      <c r="AE438" s="4"/>
      <c r="AF438" s="4"/>
      <c r="AG438" s="4"/>
      <c r="AH438" s="4"/>
      <c r="AI438" s="4"/>
      <c r="AJ438" s="4"/>
      <c r="AK438" s="4"/>
      <c r="AL438" s="4"/>
      <c r="AM438" s="4"/>
      <c r="AN438" s="4"/>
      <c r="AO438" s="4"/>
      <c r="AP438" s="4"/>
      <c r="AQ438" s="4"/>
      <c r="AR438" s="4"/>
    </row>
    <row r="439" spans="1:44">
      <c r="A439" s="4"/>
      <c r="B439" s="47"/>
      <c r="C439" s="47"/>
      <c r="D439" s="48"/>
      <c r="E439" s="4"/>
      <c r="F439" s="11"/>
      <c r="G439" s="11"/>
      <c r="H439" s="11"/>
      <c r="I439" s="11"/>
      <c r="J439" s="11"/>
      <c r="K439" s="11"/>
      <c r="L439" s="11"/>
      <c r="M439" s="11"/>
      <c r="N439" s="11"/>
      <c r="O439" s="11"/>
      <c r="P439" s="14"/>
      <c r="Q439" s="14"/>
      <c r="R439" s="14"/>
      <c r="S439" s="14"/>
      <c r="T439" s="14"/>
      <c r="U439" s="14"/>
      <c r="V439" s="14"/>
      <c r="W439" s="14"/>
      <c r="X439" s="14"/>
      <c r="Y439" s="14"/>
      <c r="Z439" s="14"/>
      <c r="AA439" s="4"/>
      <c r="AB439" s="4"/>
      <c r="AC439" s="4"/>
      <c r="AD439" s="4"/>
      <c r="AE439" s="4"/>
      <c r="AF439" s="4"/>
      <c r="AG439" s="4"/>
      <c r="AH439" s="4"/>
      <c r="AI439" s="4"/>
      <c r="AJ439" s="4"/>
      <c r="AK439" s="4"/>
      <c r="AL439" s="4"/>
      <c r="AM439" s="4"/>
      <c r="AN439" s="4"/>
      <c r="AO439" s="4"/>
      <c r="AP439" s="4"/>
      <c r="AQ439" s="4"/>
      <c r="AR439" s="4"/>
    </row>
    <row r="440" spans="1:44">
      <c r="A440" s="4"/>
      <c r="B440" s="47"/>
      <c r="C440" s="47"/>
      <c r="D440" s="48"/>
      <c r="E440" s="4"/>
      <c r="F440" s="11"/>
      <c r="G440" s="11"/>
      <c r="H440" s="11"/>
      <c r="I440" s="11"/>
      <c r="J440" s="11"/>
      <c r="K440" s="11"/>
      <c r="L440" s="11"/>
      <c r="M440" s="11"/>
      <c r="N440" s="11"/>
      <c r="O440" s="11"/>
      <c r="P440" s="14"/>
      <c r="Q440" s="14"/>
      <c r="R440" s="14"/>
      <c r="S440" s="14"/>
      <c r="T440" s="14"/>
      <c r="U440" s="14"/>
      <c r="V440" s="14"/>
      <c r="W440" s="14"/>
      <c r="X440" s="14"/>
      <c r="Y440" s="14"/>
      <c r="Z440" s="14"/>
      <c r="AA440" s="4"/>
      <c r="AB440" s="4"/>
      <c r="AC440" s="4"/>
      <c r="AD440" s="4"/>
      <c r="AE440" s="4"/>
      <c r="AF440" s="4"/>
      <c r="AG440" s="4"/>
      <c r="AH440" s="4"/>
      <c r="AI440" s="4"/>
      <c r="AJ440" s="4"/>
      <c r="AK440" s="4"/>
      <c r="AL440" s="4"/>
      <c r="AM440" s="4"/>
      <c r="AN440" s="4"/>
      <c r="AO440" s="4"/>
      <c r="AP440" s="4"/>
      <c r="AQ440" s="4"/>
      <c r="AR440" s="4"/>
    </row>
    <row r="441" spans="1:44">
      <c r="A441" s="4"/>
      <c r="B441" s="47"/>
      <c r="C441" s="47"/>
      <c r="D441" s="48"/>
      <c r="E441" s="4"/>
      <c r="F441" s="11"/>
      <c r="G441" s="11"/>
      <c r="H441" s="11"/>
      <c r="I441" s="11"/>
      <c r="J441" s="11"/>
      <c r="K441" s="11"/>
      <c r="L441" s="11"/>
      <c r="M441" s="11"/>
      <c r="N441" s="11"/>
      <c r="O441" s="11"/>
      <c r="P441" s="14"/>
      <c r="Q441" s="14"/>
      <c r="R441" s="14"/>
      <c r="S441" s="14"/>
      <c r="T441" s="14"/>
      <c r="U441" s="14"/>
      <c r="V441" s="14"/>
      <c r="W441" s="14"/>
      <c r="X441" s="14"/>
      <c r="Y441" s="14"/>
      <c r="Z441" s="14"/>
      <c r="AA441" s="4"/>
      <c r="AB441" s="4"/>
      <c r="AC441" s="4"/>
      <c r="AD441" s="4"/>
      <c r="AE441" s="4"/>
      <c r="AF441" s="4"/>
      <c r="AG441" s="4"/>
      <c r="AH441" s="4"/>
      <c r="AI441" s="4"/>
      <c r="AJ441" s="4"/>
      <c r="AK441" s="4"/>
      <c r="AL441" s="4"/>
      <c r="AM441" s="4"/>
      <c r="AN441" s="4"/>
      <c r="AO441" s="4"/>
      <c r="AP441" s="4"/>
      <c r="AQ441" s="4"/>
      <c r="AR441" s="4"/>
    </row>
    <row r="442" spans="1:44">
      <c r="A442" s="4"/>
      <c r="B442" s="47"/>
      <c r="C442" s="47"/>
      <c r="D442" s="48"/>
      <c r="E442" s="4"/>
      <c r="F442" s="11"/>
      <c r="G442" s="11"/>
      <c r="H442" s="11"/>
      <c r="I442" s="11"/>
      <c r="J442" s="11"/>
      <c r="K442" s="11"/>
      <c r="L442" s="11"/>
      <c r="M442" s="11"/>
      <c r="N442" s="11"/>
      <c r="O442" s="11"/>
      <c r="P442" s="14"/>
      <c r="Q442" s="14"/>
      <c r="R442" s="14"/>
      <c r="S442" s="14"/>
      <c r="T442" s="14"/>
      <c r="U442" s="14"/>
      <c r="V442" s="14"/>
      <c r="W442" s="14"/>
      <c r="X442" s="14"/>
      <c r="Y442" s="14"/>
      <c r="Z442" s="14"/>
      <c r="AA442" s="4"/>
      <c r="AB442" s="4"/>
      <c r="AC442" s="4"/>
      <c r="AD442" s="4"/>
      <c r="AE442" s="4"/>
      <c r="AF442" s="4"/>
      <c r="AG442" s="4"/>
      <c r="AH442" s="4"/>
      <c r="AI442" s="4"/>
      <c r="AJ442" s="4"/>
      <c r="AK442" s="4"/>
      <c r="AL442" s="4"/>
      <c r="AM442" s="4"/>
      <c r="AN442" s="4"/>
      <c r="AO442" s="4"/>
      <c r="AP442" s="4"/>
      <c r="AQ442" s="4"/>
      <c r="AR442" s="4"/>
    </row>
    <row r="443" spans="1:44">
      <c r="A443" s="4"/>
      <c r="B443" s="47"/>
      <c r="C443" s="47"/>
      <c r="D443" s="48"/>
      <c r="E443" s="4"/>
      <c r="F443" s="11"/>
      <c r="G443" s="11"/>
      <c r="H443" s="11"/>
      <c r="I443" s="11"/>
      <c r="J443" s="11"/>
      <c r="K443" s="11"/>
      <c r="L443" s="11"/>
      <c r="M443" s="11"/>
      <c r="N443" s="11"/>
      <c r="O443" s="11"/>
      <c r="P443" s="14"/>
      <c r="Q443" s="14"/>
      <c r="R443" s="14"/>
      <c r="S443" s="14"/>
      <c r="T443" s="14"/>
      <c r="U443" s="14"/>
      <c r="V443" s="14"/>
      <c r="W443" s="14"/>
      <c r="X443" s="14"/>
      <c r="Y443" s="14"/>
      <c r="Z443" s="14"/>
      <c r="AA443" s="4"/>
      <c r="AB443" s="4"/>
      <c r="AC443" s="4"/>
      <c r="AD443" s="4"/>
      <c r="AE443" s="4"/>
      <c r="AF443" s="4"/>
      <c r="AG443" s="4"/>
      <c r="AH443" s="4"/>
      <c r="AI443" s="4"/>
      <c r="AJ443" s="4"/>
      <c r="AK443" s="4"/>
      <c r="AL443" s="4"/>
      <c r="AM443" s="4"/>
      <c r="AN443" s="4"/>
      <c r="AO443" s="4"/>
      <c r="AP443" s="4"/>
      <c r="AQ443" s="4"/>
      <c r="AR443" s="4"/>
    </row>
    <row r="444" spans="1:44">
      <c r="A444" s="4"/>
      <c r="B444" s="47"/>
      <c r="C444" s="47"/>
      <c r="D444" s="48"/>
      <c r="E444" s="4"/>
      <c r="F444" s="11"/>
      <c r="G444" s="11"/>
      <c r="H444" s="11"/>
      <c r="I444" s="11"/>
      <c r="J444" s="11"/>
      <c r="K444" s="11"/>
      <c r="L444" s="11"/>
      <c r="M444" s="11"/>
      <c r="N444" s="11"/>
      <c r="O444" s="11"/>
      <c r="P444" s="14"/>
      <c r="Q444" s="14"/>
      <c r="R444" s="14"/>
      <c r="S444" s="14"/>
      <c r="T444" s="14"/>
      <c r="U444" s="14"/>
      <c r="V444" s="14"/>
      <c r="W444" s="14"/>
      <c r="X444" s="14"/>
      <c r="Y444" s="14"/>
      <c r="Z444" s="14"/>
      <c r="AA444" s="4"/>
      <c r="AB444" s="4"/>
      <c r="AC444" s="4"/>
      <c r="AD444" s="4"/>
      <c r="AE444" s="4"/>
      <c r="AF444" s="4"/>
      <c r="AG444" s="4"/>
      <c r="AH444" s="4"/>
      <c r="AI444" s="4"/>
      <c r="AJ444" s="4"/>
      <c r="AK444" s="4"/>
      <c r="AL444" s="4"/>
      <c r="AM444" s="4"/>
      <c r="AN444" s="4"/>
      <c r="AO444" s="4"/>
      <c r="AP444" s="4"/>
      <c r="AQ444" s="4"/>
      <c r="AR444" s="4"/>
    </row>
    <row r="445" spans="1:44">
      <c r="A445" s="4"/>
      <c r="B445" s="47"/>
      <c r="C445" s="47"/>
      <c r="D445" s="48"/>
      <c r="E445" s="4"/>
      <c r="F445" s="11"/>
      <c r="G445" s="11"/>
      <c r="H445" s="11"/>
      <c r="I445" s="11"/>
      <c r="J445" s="11"/>
      <c r="K445" s="11"/>
      <c r="L445" s="11"/>
      <c r="M445" s="11"/>
      <c r="N445" s="11"/>
      <c r="O445" s="11"/>
      <c r="P445" s="14"/>
      <c r="Q445" s="14"/>
      <c r="R445" s="14"/>
      <c r="S445" s="14"/>
      <c r="T445" s="14"/>
      <c r="U445" s="14"/>
      <c r="V445" s="14"/>
      <c r="W445" s="14"/>
      <c r="X445" s="14"/>
      <c r="Y445" s="14"/>
      <c r="Z445" s="14"/>
      <c r="AA445" s="4"/>
      <c r="AB445" s="4"/>
      <c r="AC445" s="4"/>
      <c r="AD445" s="4"/>
      <c r="AE445" s="4"/>
      <c r="AF445" s="4"/>
      <c r="AG445" s="4"/>
      <c r="AH445" s="4"/>
      <c r="AI445" s="4"/>
      <c r="AJ445" s="4"/>
      <c r="AK445" s="4"/>
      <c r="AL445" s="4"/>
      <c r="AM445" s="4"/>
      <c r="AN445" s="4"/>
      <c r="AO445" s="4"/>
      <c r="AP445" s="4"/>
      <c r="AQ445" s="4"/>
      <c r="AR445" s="4"/>
    </row>
    <row r="446" spans="1:44">
      <c r="A446" s="4"/>
      <c r="B446" s="47"/>
      <c r="C446" s="47"/>
      <c r="D446" s="48"/>
      <c r="E446" s="4"/>
      <c r="F446" s="11"/>
      <c r="G446" s="11"/>
      <c r="H446" s="11"/>
      <c r="I446" s="11"/>
      <c r="J446" s="11"/>
      <c r="K446" s="11"/>
      <c r="L446" s="11"/>
      <c r="M446" s="11"/>
      <c r="N446" s="11"/>
      <c r="O446" s="11"/>
      <c r="P446" s="14"/>
      <c r="Q446" s="14"/>
      <c r="R446" s="14"/>
      <c r="S446" s="14"/>
      <c r="T446" s="14"/>
      <c r="U446" s="14"/>
      <c r="V446" s="14"/>
      <c r="W446" s="14"/>
      <c r="X446" s="14"/>
      <c r="Y446" s="14"/>
      <c r="Z446" s="14"/>
      <c r="AA446" s="4"/>
      <c r="AB446" s="4"/>
      <c r="AC446" s="4"/>
      <c r="AD446" s="4"/>
      <c r="AE446" s="4"/>
      <c r="AF446" s="4"/>
      <c r="AG446" s="4"/>
      <c r="AH446" s="4"/>
      <c r="AI446" s="4"/>
      <c r="AJ446" s="4"/>
      <c r="AK446" s="4"/>
      <c r="AL446" s="4"/>
      <c r="AM446" s="4"/>
      <c r="AN446" s="4"/>
      <c r="AO446" s="4"/>
      <c r="AP446" s="4"/>
      <c r="AQ446" s="4"/>
      <c r="AR446" s="4"/>
    </row>
    <row r="447" spans="1:44">
      <c r="A447" s="4"/>
      <c r="B447" s="47"/>
      <c r="C447" s="47"/>
      <c r="D447" s="48"/>
      <c r="E447" s="4"/>
      <c r="F447" s="11"/>
      <c r="G447" s="11"/>
      <c r="H447" s="11"/>
      <c r="I447" s="11"/>
      <c r="J447" s="11"/>
      <c r="K447" s="11"/>
      <c r="L447" s="11"/>
      <c r="M447" s="11"/>
      <c r="N447" s="11"/>
      <c r="O447" s="11"/>
      <c r="P447" s="14"/>
      <c r="Q447" s="14"/>
      <c r="R447" s="14"/>
      <c r="S447" s="14"/>
      <c r="T447" s="14"/>
      <c r="U447" s="14"/>
      <c r="V447" s="14"/>
      <c r="W447" s="14"/>
      <c r="X447" s="14"/>
      <c r="Y447" s="14"/>
      <c r="Z447" s="14"/>
      <c r="AA447" s="4"/>
      <c r="AB447" s="4"/>
      <c r="AC447" s="4"/>
      <c r="AD447" s="4"/>
      <c r="AE447" s="4"/>
      <c r="AF447" s="4"/>
      <c r="AG447" s="4"/>
      <c r="AH447" s="4"/>
      <c r="AI447" s="4"/>
      <c r="AJ447" s="4"/>
      <c r="AK447" s="4"/>
      <c r="AL447" s="4"/>
      <c r="AM447" s="4"/>
      <c r="AN447" s="4"/>
      <c r="AO447" s="4"/>
      <c r="AP447" s="4"/>
      <c r="AQ447" s="4"/>
      <c r="AR447" s="4"/>
    </row>
    <row r="448" spans="1:44">
      <c r="A448" s="4"/>
      <c r="B448" s="47"/>
      <c r="C448" s="47"/>
      <c r="D448" s="48"/>
      <c r="E448" s="4"/>
      <c r="F448" s="11"/>
      <c r="G448" s="11"/>
      <c r="H448" s="11"/>
      <c r="I448" s="11"/>
      <c r="J448" s="11"/>
      <c r="K448" s="11"/>
      <c r="L448" s="11"/>
      <c r="M448" s="11"/>
      <c r="N448" s="11"/>
      <c r="O448" s="11"/>
      <c r="P448" s="14"/>
      <c r="Q448" s="14"/>
      <c r="R448" s="14"/>
      <c r="S448" s="14"/>
      <c r="T448" s="14"/>
      <c r="U448" s="14"/>
      <c r="V448" s="14"/>
      <c r="W448" s="14"/>
      <c r="X448" s="14"/>
      <c r="Y448" s="14"/>
      <c r="Z448" s="14"/>
      <c r="AA448" s="4"/>
      <c r="AB448" s="4"/>
      <c r="AC448" s="4"/>
      <c r="AD448" s="4"/>
      <c r="AE448" s="4"/>
      <c r="AF448" s="4"/>
      <c r="AG448" s="4"/>
      <c r="AH448" s="4"/>
      <c r="AI448" s="4"/>
      <c r="AJ448" s="4"/>
      <c r="AK448" s="4"/>
      <c r="AL448" s="4"/>
      <c r="AM448" s="4"/>
      <c r="AN448" s="4"/>
      <c r="AO448" s="4"/>
      <c r="AP448" s="4"/>
      <c r="AQ448" s="4"/>
      <c r="AR448" s="4"/>
    </row>
    <row r="449" spans="1:44">
      <c r="A449" s="4"/>
      <c r="B449" s="47"/>
      <c r="C449" s="47"/>
      <c r="D449" s="48"/>
      <c r="E449" s="4"/>
      <c r="F449" s="11"/>
      <c r="G449" s="11"/>
      <c r="H449" s="11"/>
      <c r="I449" s="11"/>
      <c r="J449" s="11"/>
      <c r="K449" s="11"/>
      <c r="L449" s="11"/>
      <c r="M449" s="11"/>
      <c r="N449" s="11"/>
      <c r="O449" s="11"/>
      <c r="P449" s="14"/>
      <c r="Q449" s="14"/>
      <c r="R449" s="14"/>
      <c r="S449" s="14"/>
      <c r="T449" s="14"/>
      <c r="U449" s="14"/>
      <c r="V449" s="14"/>
      <c r="W449" s="14"/>
      <c r="X449" s="14"/>
      <c r="Y449" s="14"/>
      <c r="Z449" s="14"/>
      <c r="AA449" s="4"/>
      <c r="AB449" s="4"/>
      <c r="AC449" s="4"/>
      <c r="AD449" s="4"/>
      <c r="AE449" s="4"/>
      <c r="AF449" s="4"/>
      <c r="AG449" s="4"/>
      <c r="AH449" s="4"/>
      <c r="AI449" s="4"/>
      <c r="AJ449" s="4"/>
      <c r="AK449" s="4"/>
      <c r="AL449" s="4"/>
      <c r="AM449" s="4"/>
      <c r="AN449" s="4"/>
      <c r="AO449" s="4"/>
      <c r="AP449" s="4"/>
      <c r="AQ449" s="4"/>
      <c r="AR449" s="4"/>
    </row>
    <row r="450" spans="1:44">
      <c r="A450" s="4"/>
      <c r="B450" s="47"/>
      <c r="C450" s="47"/>
      <c r="D450" s="48"/>
      <c r="E450" s="4"/>
      <c r="F450" s="11"/>
      <c r="G450" s="11"/>
      <c r="H450" s="11"/>
      <c r="I450" s="11"/>
      <c r="J450" s="11"/>
      <c r="K450" s="11"/>
      <c r="L450" s="11"/>
      <c r="M450" s="11"/>
      <c r="N450" s="11"/>
      <c r="O450" s="11"/>
      <c r="P450" s="14"/>
      <c r="Q450" s="14"/>
      <c r="R450" s="14"/>
      <c r="S450" s="14"/>
      <c r="T450" s="14"/>
      <c r="U450" s="14"/>
      <c r="V450" s="14"/>
      <c r="W450" s="14"/>
      <c r="X450" s="14"/>
      <c r="Y450" s="14"/>
      <c r="Z450" s="14"/>
      <c r="AA450" s="4"/>
      <c r="AB450" s="4"/>
      <c r="AC450" s="4"/>
      <c r="AD450" s="4"/>
      <c r="AE450" s="4"/>
      <c r="AF450" s="4"/>
      <c r="AG450" s="4"/>
      <c r="AH450" s="4"/>
      <c r="AI450" s="4"/>
      <c r="AJ450" s="4"/>
      <c r="AK450" s="4"/>
      <c r="AL450" s="4"/>
      <c r="AM450" s="4"/>
      <c r="AN450" s="4"/>
      <c r="AO450" s="4"/>
      <c r="AP450" s="4"/>
      <c r="AQ450" s="4"/>
      <c r="AR450" s="4"/>
    </row>
    <row r="451" spans="1:44">
      <c r="A451" s="4"/>
      <c r="B451" s="47"/>
      <c r="C451" s="47"/>
      <c r="D451" s="48"/>
      <c r="E451" s="4"/>
      <c r="F451" s="11"/>
      <c r="G451" s="11"/>
      <c r="H451" s="11"/>
      <c r="I451" s="11"/>
      <c r="J451" s="11"/>
      <c r="K451" s="11"/>
      <c r="L451" s="11"/>
      <c r="M451" s="11"/>
      <c r="N451" s="11"/>
      <c r="O451" s="11"/>
      <c r="P451" s="14"/>
      <c r="Q451" s="14"/>
      <c r="R451" s="14"/>
      <c r="S451" s="14"/>
      <c r="T451" s="14"/>
      <c r="U451" s="14"/>
      <c r="V451" s="14"/>
      <c r="W451" s="14"/>
      <c r="X451" s="14"/>
      <c r="Y451" s="14"/>
      <c r="Z451" s="14"/>
      <c r="AA451" s="4"/>
      <c r="AB451" s="4"/>
      <c r="AC451" s="4"/>
      <c r="AD451" s="4"/>
      <c r="AE451" s="4"/>
      <c r="AF451" s="4"/>
      <c r="AG451" s="4"/>
      <c r="AH451" s="4"/>
      <c r="AI451" s="4"/>
      <c r="AJ451" s="4"/>
      <c r="AK451" s="4"/>
      <c r="AL451" s="4"/>
      <c r="AM451" s="4"/>
      <c r="AN451" s="4"/>
      <c r="AO451" s="4"/>
      <c r="AP451" s="4"/>
      <c r="AQ451" s="4"/>
      <c r="AR451" s="4"/>
    </row>
    <row r="452" spans="1:44">
      <c r="A452" s="4"/>
      <c r="B452" s="47"/>
      <c r="C452" s="47"/>
      <c r="D452" s="48"/>
      <c r="E452" s="4"/>
      <c r="F452" s="11"/>
      <c r="G452" s="11"/>
      <c r="H452" s="11"/>
      <c r="I452" s="11"/>
      <c r="J452" s="11"/>
      <c r="K452" s="11"/>
      <c r="L452" s="11"/>
      <c r="M452" s="11"/>
      <c r="N452" s="11"/>
      <c r="O452" s="11"/>
      <c r="P452" s="14"/>
      <c r="Q452" s="14"/>
      <c r="R452" s="14"/>
      <c r="S452" s="14"/>
      <c r="T452" s="14"/>
      <c r="U452" s="14"/>
      <c r="V452" s="14"/>
      <c r="W452" s="14"/>
      <c r="X452" s="14"/>
      <c r="Y452" s="14"/>
      <c r="Z452" s="14"/>
      <c r="AA452" s="4"/>
      <c r="AB452" s="4"/>
      <c r="AC452" s="4"/>
      <c r="AD452" s="4"/>
      <c r="AE452" s="4"/>
      <c r="AF452" s="4"/>
      <c r="AG452" s="4"/>
      <c r="AH452" s="4"/>
      <c r="AI452" s="4"/>
      <c r="AJ452" s="4"/>
      <c r="AK452" s="4"/>
      <c r="AL452" s="4"/>
      <c r="AM452" s="4"/>
      <c r="AN452" s="4"/>
      <c r="AO452" s="4"/>
      <c r="AP452" s="4"/>
      <c r="AQ452" s="4"/>
      <c r="AR452" s="4"/>
    </row>
    <row r="453" spans="1:44">
      <c r="A453" s="4"/>
      <c r="B453" s="47"/>
      <c r="C453" s="47"/>
      <c r="D453" s="48"/>
      <c r="E453" s="4"/>
      <c r="F453" s="11"/>
      <c r="G453" s="11"/>
      <c r="H453" s="11"/>
      <c r="I453" s="11"/>
      <c r="J453" s="11"/>
      <c r="K453" s="11"/>
      <c r="L453" s="11"/>
      <c r="M453" s="11"/>
      <c r="N453" s="11"/>
      <c r="O453" s="11"/>
      <c r="P453" s="14"/>
      <c r="Q453" s="14"/>
      <c r="R453" s="14"/>
      <c r="S453" s="14"/>
      <c r="T453" s="14"/>
      <c r="U453" s="14"/>
      <c r="V453" s="14"/>
      <c r="W453" s="14"/>
      <c r="X453" s="14"/>
      <c r="Y453" s="14"/>
      <c r="Z453" s="14"/>
      <c r="AA453" s="4"/>
      <c r="AB453" s="4"/>
      <c r="AC453" s="4"/>
      <c r="AD453" s="4"/>
      <c r="AE453" s="4"/>
      <c r="AF453" s="4"/>
      <c r="AG453" s="4"/>
      <c r="AH453" s="4"/>
      <c r="AI453" s="4"/>
      <c r="AJ453" s="4"/>
      <c r="AK453" s="4"/>
      <c r="AL453" s="4"/>
      <c r="AM453" s="4"/>
      <c r="AN453" s="4"/>
      <c r="AO453" s="4"/>
      <c r="AP453" s="4"/>
      <c r="AQ453" s="4"/>
      <c r="AR453" s="4"/>
    </row>
    <row r="454" spans="1:44">
      <c r="A454" s="4"/>
      <c r="B454" s="47"/>
      <c r="C454" s="47"/>
      <c r="D454" s="48"/>
      <c r="E454" s="4"/>
      <c r="F454" s="11"/>
      <c r="G454" s="11"/>
      <c r="H454" s="11"/>
      <c r="I454" s="11"/>
      <c r="J454" s="11"/>
      <c r="K454" s="11"/>
      <c r="L454" s="11"/>
      <c r="M454" s="11"/>
      <c r="N454" s="11"/>
      <c r="O454" s="11"/>
      <c r="P454" s="14"/>
      <c r="Q454" s="14"/>
      <c r="R454" s="14"/>
      <c r="S454" s="14"/>
      <c r="T454" s="14"/>
      <c r="U454" s="14"/>
      <c r="V454" s="14"/>
      <c r="W454" s="14"/>
      <c r="X454" s="14"/>
      <c r="Y454" s="14"/>
      <c r="Z454" s="14"/>
      <c r="AA454" s="4"/>
      <c r="AB454" s="4"/>
      <c r="AC454" s="4"/>
      <c r="AD454" s="4"/>
      <c r="AE454" s="4"/>
      <c r="AF454" s="4"/>
      <c r="AG454" s="4"/>
      <c r="AH454" s="4"/>
      <c r="AI454" s="4"/>
      <c r="AJ454" s="4"/>
      <c r="AK454" s="4"/>
      <c r="AL454" s="4"/>
      <c r="AM454" s="4"/>
      <c r="AN454" s="4"/>
      <c r="AO454" s="4"/>
      <c r="AP454" s="4"/>
      <c r="AQ454" s="4"/>
      <c r="AR454" s="4"/>
    </row>
    <row r="455" spans="1:44">
      <c r="A455" s="4"/>
      <c r="B455" s="47"/>
      <c r="C455" s="47"/>
      <c r="D455" s="48"/>
      <c r="E455" s="4"/>
      <c r="F455" s="11"/>
      <c r="G455" s="11"/>
      <c r="H455" s="11"/>
      <c r="I455" s="11"/>
      <c r="J455" s="11"/>
      <c r="K455" s="11"/>
      <c r="L455" s="11"/>
      <c r="M455" s="11"/>
      <c r="N455" s="11"/>
      <c r="O455" s="11"/>
      <c r="P455" s="14"/>
      <c r="Q455" s="14"/>
      <c r="R455" s="14"/>
      <c r="S455" s="14"/>
      <c r="T455" s="14"/>
      <c r="U455" s="14"/>
      <c r="V455" s="14"/>
      <c r="W455" s="14"/>
      <c r="X455" s="14"/>
      <c r="Y455" s="14"/>
      <c r="Z455" s="14"/>
      <c r="AA455" s="4"/>
      <c r="AB455" s="4"/>
      <c r="AC455" s="4"/>
      <c r="AD455" s="4"/>
      <c r="AE455" s="4"/>
      <c r="AF455" s="4"/>
      <c r="AG455" s="4"/>
      <c r="AH455" s="4"/>
      <c r="AI455" s="4"/>
      <c r="AJ455" s="4"/>
      <c r="AK455" s="4"/>
      <c r="AL455" s="4"/>
      <c r="AM455" s="4"/>
      <c r="AN455" s="4"/>
      <c r="AO455" s="4"/>
      <c r="AP455" s="4"/>
      <c r="AQ455" s="4"/>
      <c r="AR455" s="4"/>
    </row>
    <row r="456" spans="1:44">
      <c r="A456" s="4"/>
      <c r="B456" s="47"/>
      <c r="C456" s="47"/>
      <c r="D456" s="48"/>
      <c r="E456" s="4"/>
      <c r="F456" s="11"/>
      <c r="G456" s="11"/>
      <c r="H456" s="11"/>
      <c r="I456" s="11"/>
      <c r="J456" s="11"/>
      <c r="K456" s="11"/>
      <c r="L456" s="11"/>
      <c r="M456" s="11"/>
      <c r="N456" s="11"/>
      <c r="O456" s="11"/>
      <c r="P456" s="14"/>
      <c r="Q456" s="14"/>
      <c r="R456" s="14"/>
      <c r="S456" s="14"/>
      <c r="T456" s="14"/>
      <c r="U456" s="14"/>
      <c r="V456" s="14"/>
      <c r="W456" s="14"/>
      <c r="X456" s="14"/>
      <c r="Y456" s="14"/>
      <c r="Z456" s="14"/>
      <c r="AA456" s="4"/>
      <c r="AB456" s="4"/>
      <c r="AC456" s="4"/>
      <c r="AD456" s="4"/>
      <c r="AE456" s="4"/>
      <c r="AF456" s="4"/>
      <c r="AG456" s="4"/>
      <c r="AH456" s="4"/>
      <c r="AI456" s="4"/>
      <c r="AJ456" s="4"/>
      <c r="AK456" s="4"/>
      <c r="AL456" s="4"/>
      <c r="AM456" s="4"/>
      <c r="AN456" s="4"/>
      <c r="AO456" s="4"/>
      <c r="AP456" s="4"/>
      <c r="AQ456" s="4"/>
      <c r="AR456" s="4"/>
    </row>
    <row r="457" spans="1:44">
      <c r="A457" s="4"/>
      <c r="B457" s="47"/>
      <c r="C457" s="47"/>
      <c r="D457" s="48"/>
      <c r="E457" s="4"/>
      <c r="F457" s="11"/>
      <c r="G457" s="11"/>
      <c r="H457" s="11"/>
      <c r="I457" s="11"/>
      <c r="J457" s="11"/>
      <c r="K457" s="11"/>
      <c r="L457" s="11"/>
      <c r="M457" s="11"/>
      <c r="N457" s="11"/>
      <c r="O457" s="11"/>
      <c r="P457" s="14"/>
      <c r="Q457" s="14"/>
      <c r="R457" s="14"/>
      <c r="S457" s="14"/>
      <c r="T457" s="14"/>
      <c r="U457" s="14"/>
      <c r="V457" s="14"/>
      <c r="W457" s="14"/>
      <c r="X457" s="14"/>
      <c r="Y457" s="14"/>
      <c r="Z457" s="14"/>
      <c r="AA457" s="4"/>
      <c r="AB457" s="4"/>
      <c r="AC457" s="4"/>
      <c r="AD457" s="4"/>
      <c r="AE457" s="4"/>
      <c r="AF457" s="4"/>
      <c r="AG457" s="4"/>
      <c r="AH457" s="4"/>
      <c r="AI457" s="4"/>
      <c r="AJ457" s="4"/>
      <c r="AK457" s="4"/>
      <c r="AL457" s="4"/>
      <c r="AM457" s="4"/>
      <c r="AN457" s="4"/>
      <c r="AO457" s="4"/>
      <c r="AP457" s="4"/>
      <c r="AQ457" s="4"/>
      <c r="AR457" s="4"/>
    </row>
    <row r="458" spans="1:44">
      <c r="A458" s="4"/>
      <c r="B458" s="47"/>
      <c r="C458" s="47"/>
      <c r="D458" s="48"/>
      <c r="E458" s="4"/>
      <c r="F458" s="11"/>
      <c r="G458" s="11"/>
      <c r="H458" s="11"/>
      <c r="I458" s="11"/>
      <c r="J458" s="11"/>
      <c r="K458" s="11"/>
      <c r="L458" s="11"/>
      <c r="M458" s="11"/>
      <c r="N458" s="11"/>
      <c r="O458" s="11"/>
      <c r="P458" s="14"/>
      <c r="Q458" s="14"/>
      <c r="R458" s="14"/>
      <c r="S458" s="14"/>
      <c r="T458" s="14"/>
      <c r="U458" s="14"/>
      <c r="V458" s="14"/>
      <c r="W458" s="14"/>
      <c r="X458" s="14"/>
      <c r="Y458" s="14"/>
      <c r="Z458" s="14"/>
      <c r="AA458" s="4"/>
      <c r="AB458" s="4"/>
      <c r="AC458" s="4"/>
      <c r="AD458" s="4"/>
      <c r="AE458" s="4"/>
      <c r="AF458" s="4"/>
      <c r="AG458" s="4"/>
      <c r="AH458" s="4"/>
      <c r="AI458" s="4"/>
      <c r="AJ458" s="4"/>
      <c r="AK458" s="4"/>
      <c r="AL458" s="4"/>
      <c r="AM458" s="4"/>
      <c r="AN458" s="4"/>
      <c r="AO458" s="4"/>
      <c r="AP458" s="4"/>
      <c r="AQ458" s="4"/>
      <c r="AR458" s="4"/>
    </row>
    <row r="459" spans="1:44">
      <c r="A459" s="4"/>
      <c r="B459" s="47"/>
      <c r="C459" s="47"/>
      <c r="D459" s="48"/>
      <c r="E459" s="4"/>
      <c r="F459" s="11"/>
      <c r="G459" s="11"/>
      <c r="H459" s="11"/>
      <c r="I459" s="11"/>
      <c r="J459" s="11"/>
      <c r="K459" s="11"/>
      <c r="L459" s="11"/>
      <c r="M459" s="11"/>
      <c r="N459" s="11"/>
      <c r="O459" s="11"/>
      <c r="P459" s="14"/>
      <c r="Q459" s="14"/>
      <c r="R459" s="14"/>
      <c r="S459" s="14"/>
      <c r="T459" s="14"/>
      <c r="U459" s="14"/>
      <c r="V459" s="14"/>
      <c r="W459" s="14"/>
      <c r="X459" s="14"/>
      <c r="Y459" s="14"/>
      <c r="Z459" s="14"/>
      <c r="AA459" s="4"/>
      <c r="AB459" s="4"/>
      <c r="AC459" s="4"/>
      <c r="AD459" s="4"/>
      <c r="AE459" s="4"/>
      <c r="AF459" s="4"/>
      <c r="AG459" s="4"/>
      <c r="AH459" s="4"/>
      <c r="AI459" s="4"/>
      <c r="AJ459" s="4"/>
      <c r="AK459" s="4"/>
      <c r="AL459" s="4"/>
      <c r="AM459" s="4"/>
      <c r="AN459" s="4"/>
      <c r="AO459" s="4"/>
      <c r="AP459" s="4"/>
      <c r="AQ459" s="4"/>
      <c r="AR459" s="4"/>
    </row>
    <row r="460" spans="1:44">
      <c r="A460" s="4"/>
      <c r="B460" s="47"/>
      <c r="C460" s="47"/>
      <c r="D460" s="48"/>
      <c r="E460" s="4"/>
      <c r="F460" s="11"/>
      <c r="G460" s="11"/>
      <c r="H460" s="11"/>
      <c r="I460" s="11"/>
      <c r="J460" s="11"/>
      <c r="K460" s="11"/>
      <c r="L460" s="11"/>
      <c r="M460" s="11"/>
      <c r="N460" s="11"/>
      <c r="O460" s="11"/>
      <c r="P460" s="14"/>
      <c r="Q460" s="14"/>
      <c r="R460" s="14"/>
      <c r="S460" s="14"/>
      <c r="T460" s="14"/>
      <c r="U460" s="14"/>
      <c r="V460" s="14"/>
      <c r="W460" s="14"/>
      <c r="X460" s="14"/>
      <c r="Y460" s="14"/>
      <c r="Z460" s="14"/>
      <c r="AA460" s="4"/>
      <c r="AB460" s="4"/>
      <c r="AC460" s="4"/>
      <c r="AD460" s="4"/>
      <c r="AE460" s="4"/>
      <c r="AF460" s="4"/>
      <c r="AG460" s="4"/>
      <c r="AH460" s="4"/>
      <c r="AI460" s="4"/>
      <c r="AJ460" s="4"/>
      <c r="AK460" s="4"/>
      <c r="AL460" s="4"/>
      <c r="AM460" s="4"/>
      <c r="AN460" s="4"/>
      <c r="AO460" s="4"/>
      <c r="AP460" s="4"/>
      <c r="AQ460" s="4"/>
      <c r="AR460" s="4"/>
    </row>
    <row r="461" spans="1:44">
      <c r="A461" s="4"/>
      <c r="B461" s="47"/>
      <c r="C461" s="47"/>
      <c r="D461" s="48"/>
      <c r="E461" s="4"/>
      <c r="F461" s="11"/>
      <c r="G461" s="11"/>
      <c r="H461" s="11"/>
      <c r="I461" s="11"/>
      <c r="J461" s="11"/>
      <c r="K461" s="11"/>
      <c r="L461" s="11"/>
      <c r="M461" s="11"/>
      <c r="N461" s="11"/>
      <c r="O461" s="11"/>
      <c r="P461" s="14"/>
      <c r="Q461" s="14"/>
      <c r="R461" s="14"/>
      <c r="S461" s="14"/>
      <c r="T461" s="14"/>
      <c r="U461" s="14"/>
      <c r="V461" s="14"/>
      <c r="W461" s="14"/>
      <c r="X461" s="14"/>
      <c r="Y461" s="14"/>
      <c r="Z461" s="14"/>
      <c r="AA461" s="4"/>
      <c r="AB461" s="4"/>
      <c r="AC461" s="4"/>
      <c r="AD461" s="4"/>
      <c r="AE461" s="4"/>
      <c r="AF461" s="4"/>
      <c r="AG461" s="4"/>
      <c r="AH461" s="4"/>
      <c r="AI461" s="4"/>
      <c r="AJ461" s="4"/>
      <c r="AK461" s="4"/>
      <c r="AL461" s="4"/>
      <c r="AM461" s="4"/>
      <c r="AN461" s="4"/>
      <c r="AO461" s="4"/>
      <c r="AP461" s="4"/>
      <c r="AQ461" s="4"/>
      <c r="AR461" s="4"/>
    </row>
    <row r="462" spans="1:44">
      <c r="A462" s="4"/>
      <c r="B462" s="47"/>
      <c r="C462" s="47"/>
      <c r="D462" s="48"/>
      <c r="E462" s="4"/>
      <c r="F462" s="11"/>
      <c r="G462" s="11"/>
      <c r="H462" s="11"/>
      <c r="I462" s="11"/>
      <c r="J462" s="11"/>
      <c r="K462" s="11"/>
      <c r="L462" s="11"/>
      <c r="M462" s="11"/>
      <c r="N462" s="11"/>
      <c r="O462" s="11"/>
      <c r="P462" s="14"/>
      <c r="Q462" s="14"/>
      <c r="R462" s="14"/>
      <c r="S462" s="14"/>
      <c r="T462" s="14"/>
      <c r="U462" s="14"/>
      <c r="V462" s="14"/>
      <c r="W462" s="14"/>
      <c r="X462" s="14"/>
      <c r="Y462" s="14"/>
      <c r="Z462" s="14"/>
      <c r="AA462" s="4"/>
      <c r="AB462" s="4"/>
      <c r="AC462" s="4"/>
      <c r="AD462" s="4"/>
      <c r="AE462" s="4"/>
      <c r="AF462" s="4"/>
      <c r="AG462" s="4"/>
      <c r="AH462" s="4"/>
      <c r="AI462" s="4"/>
      <c r="AJ462" s="4"/>
      <c r="AK462" s="4"/>
      <c r="AL462" s="4"/>
      <c r="AM462" s="4"/>
      <c r="AN462" s="4"/>
      <c r="AO462" s="4"/>
      <c r="AP462" s="4"/>
      <c r="AQ462" s="4"/>
      <c r="AR462" s="4"/>
    </row>
    <row r="463" spans="1:44">
      <c r="A463" s="4"/>
      <c r="B463" s="47"/>
      <c r="C463" s="47"/>
      <c r="D463" s="48"/>
      <c r="E463" s="4"/>
      <c r="F463" s="11"/>
      <c r="G463" s="11"/>
      <c r="H463" s="11"/>
      <c r="I463" s="11"/>
      <c r="J463" s="11"/>
      <c r="K463" s="11"/>
      <c r="L463" s="11"/>
      <c r="M463" s="11"/>
      <c r="N463" s="11"/>
      <c r="O463" s="11"/>
      <c r="P463" s="14"/>
      <c r="Q463" s="14"/>
      <c r="R463" s="14"/>
      <c r="S463" s="14"/>
      <c r="T463" s="14"/>
      <c r="U463" s="14"/>
      <c r="V463" s="14"/>
      <c r="W463" s="14"/>
      <c r="X463" s="14"/>
      <c r="Y463" s="14"/>
      <c r="Z463" s="14"/>
      <c r="AA463" s="4"/>
      <c r="AB463" s="4"/>
      <c r="AC463" s="4"/>
      <c r="AD463" s="4"/>
      <c r="AE463" s="4"/>
      <c r="AF463" s="4"/>
      <c r="AG463" s="4"/>
      <c r="AH463" s="4"/>
      <c r="AI463" s="4"/>
      <c r="AJ463" s="4"/>
      <c r="AK463" s="4"/>
      <c r="AL463" s="4"/>
      <c r="AM463" s="4"/>
      <c r="AN463" s="4"/>
      <c r="AO463" s="4"/>
      <c r="AP463" s="4"/>
      <c r="AQ463" s="4"/>
      <c r="AR463" s="4"/>
    </row>
    <row r="464" spans="1:44">
      <c r="A464" s="4"/>
      <c r="B464" s="47"/>
      <c r="C464" s="47"/>
      <c r="D464" s="48"/>
      <c r="E464" s="4"/>
      <c r="F464" s="11"/>
      <c r="G464" s="11"/>
      <c r="H464" s="11"/>
      <c r="I464" s="11"/>
      <c r="J464" s="11"/>
      <c r="K464" s="11"/>
      <c r="L464" s="11"/>
      <c r="M464" s="11"/>
      <c r="N464" s="11"/>
      <c r="O464" s="11"/>
      <c r="P464" s="14"/>
      <c r="Q464" s="14"/>
      <c r="R464" s="14"/>
      <c r="S464" s="14"/>
      <c r="T464" s="14"/>
      <c r="U464" s="14"/>
      <c r="V464" s="14"/>
      <c r="W464" s="14"/>
      <c r="X464" s="14"/>
      <c r="Y464" s="14"/>
      <c r="Z464" s="14"/>
      <c r="AA464" s="4"/>
      <c r="AB464" s="4"/>
      <c r="AC464" s="4"/>
      <c r="AD464" s="4"/>
      <c r="AE464" s="4"/>
      <c r="AF464" s="4"/>
      <c r="AG464" s="4"/>
      <c r="AH464" s="4"/>
      <c r="AI464" s="4"/>
      <c r="AJ464" s="4"/>
      <c r="AK464" s="4"/>
      <c r="AL464" s="4"/>
      <c r="AM464" s="4"/>
      <c r="AN464" s="4"/>
      <c r="AO464" s="4"/>
      <c r="AP464" s="4"/>
      <c r="AQ464" s="4"/>
      <c r="AR464" s="4"/>
    </row>
    <row r="465" spans="1:44">
      <c r="A465" s="4"/>
      <c r="B465" s="47"/>
      <c r="C465" s="47"/>
      <c r="D465" s="48"/>
      <c r="E465" s="4"/>
      <c r="F465" s="11"/>
      <c r="G465" s="11"/>
      <c r="H465" s="11"/>
      <c r="I465" s="11"/>
      <c r="J465" s="11"/>
      <c r="K465" s="11"/>
      <c r="L465" s="11"/>
      <c r="M465" s="11"/>
      <c r="N465" s="11"/>
      <c r="O465" s="11"/>
      <c r="P465" s="14"/>
      <c r="Q465" s="14"/>
      <c r="R465" s="14"/>
      <c r="S465" s="14"/>
      <c r="T465" s="14"/>
      <c r="U465" s="14"/>
      <c r="V465" s="14"/>
      <c r="W465" s="14"/>
      <c r="X465" s="14"/>
      <c r="Y465" s="14"/>
      <c r="Z465" s="14"/>
      <c r="AA465" s="4"/>
      <c r="AB465" s="4"/>
      <c r="AC465" s="4"/>
      <c r="AD465" s="4"/>
      <c r="AE465" s="4"/>
      <c r="AF465" s="4"/>
      <c r="AG465" s="4"/>
      <c r="AH465" s="4"/>
      <c r="AI465" s="4"/>
      <c r="AJ465" s="4"/>
      <c r="AK465" s="4"/>
      <c r="AL465" s="4"/>
      <c r="AM465" s="4"/>
      <c r="AN465" s="4"/>
      <c r="AO465" s="4"/>
      <c r="AP465" s="4"/>
      <c r="AQ465" s="4"/>
      <c r="AR465" s="4"/>
    </row>
    <row r="466" spans="1:44">
      <c r="A466" s="4"/>
      <c r="B466" s="47"/>
      <c r="C466" s="47"/>
      <c r="D466" s="48"/>
      <c r="E466" s="4"/>
      <c r="F466" s="11"/>
      <c r="G466" s="11"/>
      <c r="H466" s="11"/>
      <c r="I466" s="11"/>
      <c r="J466" s="11"/>
      <c r="K466" s="11"/>
      <c r="L466" s="11"/>
      <c r="M466" s="11"/>
      <c r="N466" s="11"/>
      <c r="O466" s="11"/>
      <c r="P466" s="14"/>
      <c r="Q466" s="14"/>
      <c r="R466" s="14"/>
      <c r="S466" s="14"/>
      <c r="T466" s="14"/>
      <c r="U466" s="14"/>
      <c r="V466" s="14"/>
      <c r="W466" s="14"/>
      <c r="X466" s="14"/>
      <c r="Y466" s="14"/>
      <c r="Z466" s="14"/>
      <c r="AA466" s="4"/>
      <c r="AB466" s="4"/>
      <c r="AC466" s="4"/>
      <c r="AD466" s="4"/>
      <c r="AE466" s="4"/>
      <c r="AF466" s="4"/>
      <c r="AG466" s="4"/>
      <c r="AH466" s="4"/>
      <c r="AI466" s="4"/>
      <c r="AJ466" s="4"/>
      <c r="AK466" s="4"/>
      <c r="AL466" s="4"/>
      <c r="AM466" s="4"/>
      <c r="AN466" s="4"/>
      <c r="AO466" s="4"/>
      <c r="AP466" s="4"/>
      <c r="AQ466" s="4"/>
      <c r="AR466" s="4"/>
    </row>
    <row r="467" spans="1:44">
      <c r="A467" s="4"/>
      <c r="B467" s="47"/>
      <c r="C467" s="47"/>
      <c r="D467" s="48"/>
      <c r="E467" s="4"/>
      <c r="F467" s="11"/>
      <c r="G467" s="11"/>
      <c r="H467" s="11"/>
      <c r="I467" s="11"/>
      <c r="J467" s="11"/>
      <c r="K467" s="11"/>
      <c r="L467" s="11"/>
      <c r="M467" s="11"/>
      <c r="N467" s="11"/>
      <c r="O467" s="11"/>
      <c r="P467" s="14"/>
      <c r="Q467" s="14"/>
      <c r="R467" s="14"/>
      <c r="S467" s="14"/>
      <c r="T467" s="14"/>
      <c r="U467" s="14"/>
      <c r="V467" s="14"/>
      <c r="W467" s="14"/>
      <c r="X467" s="14"/>
      <c r="Y467" s="14"/>
      <c r="Z467" s="14"/>
      <c r="AA467" s="4"/>
      <c r="AB467" s="4"/>
      <c r="AC467" s="4"/>
      <c r="AD467" s="4"/>
      <c r="AE467" s="4"/>
      <c r="AF467" s="4"/>
      <c r="AG467" s="4"/>
      <c r="AH467" s="4"/>
      <c r="AI467" s="4"/>
      <c r="AJ467" s="4"/>
      <c r="AK467" s="4"/>
      <c r="AL467" s="4"/>
      <c r="AM467" s="4"/>
      <c r="AN467" s="4"/>
      <c r="AO467" s="4"/>
      <c r="AP467" s="4"/>
      <c r="AQ467" s="4"/>
      <c r="AR467" s="4"/>
    </row>
    <row r="468" spans="1:44">
      <c r="A468" s="4"/>
      <c r="B468" s="47"/>
      <c r="C468" s="47"/>
      <c r="D468" s="48"/>
      <c r="E468" s="4"/>
      <c r="F468" s="11"/>
      <c r="G468" s="11"/>
      <c r="H468" s="11"/>
      <c r="I468" s="11"/>
      <c r="J468" s="11"/>
      <c r="K468" s="11"/>
      <c r="L468" s="11"/>
      <c r="M468" s="11"/>
      <c r="N468" s="11"/>
      <c r="O468" s="11"/>
      <c r="P468" s="14"/>
      <c r="Q468" s="14"/>
      <c r="R468" s="14"/>
      <c r="S468" s="14"/>
      <c r="T468" s="14"/>
      <c r="U468" s="14"/>
      <c r="V468" s="14"/>
      <c r="W468" s="14"/>
      <c r="X468" s="14"/>
      <c r="Y468" s="14"/>
      <c r="Z468" s="14"/>
      <c r="AA468" s="4"/>
      <c r="AB468" s="4"/>
      <c r="AC468" s="4"/>
      <c r="AD468" s="4"/>
      <c r="AE468" s="4"/>
      <c r="AF468" s="4"/>
      <c r="AG468" s="4"/>
      <c r="AH468" s="4"/>
      <c r="AI468" s="4"/>
      <c r="AJ468" s="4"/>
      <c r="AK468" s="4"/>
      <c r="AL468" s="4"/>
      <c r="AM468" s="4"/>
      <c r="AN468" s="4"/>
      <c r="AO468" s="4"/>
      <c r="AP468" s="4"/>
      <c r="AQ468" s="4"/>
      <c r="AR468" s="4"/>
    </row>
    <row r="469" spans="1:44">
      <c r="A469" s="4"/>
      <c r="B469" s="47"/>
      <c r="C469" s="47"/>
      <c r="D469" s="48"/>
      <c r="E469" s="4"/>
      <c r="F469" s="11"/>
      <c r="G469" s="11"/>
      <c r="H469" s="11"/>
      <c r="I469" s="11"/>
      <c r="J469" s="11"/>
      <c r="K469" s="11"/>
      <c r="L469" s="11"/>
      <c r="M469" s="11"/>
      <c r="N469" s="11"/>
      <c r="O469" s="11"/>
      <c r="P469" s="14"/>
      <c r="Q469" s="14"/>
      <c r="R469" s="14"/>
      <c r="S469" s="14"/>
      <c r="T469" s="14"/>
      <c r="U469" s="14"/>
      <c r="V469" s="14"/>
      <c r="W469" s="14"/>
      <c r="X469" s="14"/>
      <c r="Y469" s="14"/>
      <c r="Z469" s="14"/>
      <c r="AA469" s="4"/>
      <c r="AB469" s="4"/>
      <c r="AC469" s="4"/>
      <c r="AD469" s="4"/>
      <c r="AE469" s="4"/>
      <c r="AF469" s="4"/>
      <c r="AG469" s="4"/>
      <c r="AH469" s="4"/>
      <c r="AI469" s="4"/>
      <c r="AJ469" s="4"/>
      <c r="AK469" s="4"/>
      <c r="AL469" s="4"/>
      <c r="AM469" s="4"/>
      <c r="AN469" s="4"/>
      <c r="AO469" s="4"/>
      <c r="AP469" s="4"/>
      <c r="AQ469" s="4"/>
      <c r="AR469" s="4"/>
    </row>
    <row r="470" spans="1:44">
      <c r="A470" s="4"/>
      <c r="B470" s="47"/>
      <c r="C470" s="47"/>
      <c r="D470" s="48"/>
      <c r="E470" s="4"/>
      <c r="F470" s="11"/>
      <c r="G470" s="11"/>
      <c r="H470" s="11"/>
      <c r="I470" s="11"/>
      <c r="J470" s="11"/>
      <c r="K470" s="11"/>
      <c r="L470" s="11"/>
      <c r="M470" s="11"/>
      <c r="N470" s="11"/>
      <c r="O470" s="11"/>
      <c r="P470" s="14"/>
      <c r="Q470" s="14"/>
      <c r="R470" s="14"/>
      <c r="S470" s="14"/>
      <c r="T470" s="14"/>
      <c r="U470" s="14"/>
      <c r="V470" s="14"/>
      <c r="W470" s="14"/>
      <c r="X470" s="14"/>
      <c r="Y470" s="14"/>
      <c r="Z470" s="14"/>
      <c r="AA470" s="4"/>
      <c r="AB470" s="4"/>
      <c r="AC470" s="4"/>
      <c r="AD470" s="4"/>
      <c r="AE470" s="4"/>
      <c r="AF470" s="4"/>
      <c r="AG470" s="4"/>
      <c r="AH470" s="4"/>
      <c r="AI470" s="4"/>
      <c r="AJ470" s="4"/>
      <c r="AK470" s="4"/>
      <c r="AL470" s="4"/>
      <c r="AM470" s="4"/>
      <c r="AN470" s="4"/>
      <c r="AO470" s="4"/>
      <c r="AP470" s="4"/>
      <c r="AQ470" s="4"/>
      <c r="AR470" s="4"/>
    </row>
    <row r="471" spans="1:44">
      <c r="A471" s="4"/>
      <c r="B471" s="47"/>
      <c r="C471" s="47"/>
      <c r="D471" s="48"/>
      <c r="E471" s="4"/>
      <c r="F471" s="11"/>
      <c r="G471" s="11"/>
      <c r="H471" s="11"/>
      <c r="I471" s="11"/>
      <c r="J471" s="11"/>
      <c r="K471" s="11"/>
      <c r="L471" s="11"/>
      <c r="M471" s="11"/>
      <c r="N471" s="11"/>
      <c r="O471" s="11"/>
      <c r="P471" s="14"/>
      <c r="Q471" s="14"/>
      <c r="R471" s="14"/>
      <c r="S471" s="14"/>
      <c r="T471" s="14"/>
      <c r="U471" s="14"/>
      <c r="V471" s="14"/>
      <c r="W471" s="14"/>
      <c r="X471" s="14"/>
      <c r="Y471" s="14"/>
      <c r="Z471" s="14"/>
      <c r="AA471" s="4"/>
      <c r="AB471" s="4"/>
      <c r="AC471" s="4"/>
      <c r="AD471" s="4"/>
      <c r="AE471" s="4"/>
      <c r="AF471" s="4"/>
      <c r="AG471" s="4"/>
      <c r="AH471" s="4"/>
      <c r="AI471" s="4"/>
      <c r="AJ471" s="4"/>
      <c r="AK471" s="4"/>
      <c r="AL471" s="4"/>
      <c r="AM471" s="4"/>
      <c r="AN471" s="4"/>
      <c r="AO471" s="4"/>
      <c r="AP471" s="4"/>
      <c r="AQ471" s="4"/>
      <c r="AR471" s="4"/>
    </row>
    <row r="472" spans="1:44">
      <c r="A472" s="4"/>
      <c r="B472" s="47"/>
      <c r="C472" s="47"/>
      <c r="D472" s="48"/>
      <c r="E472" s="4"/>
      <c r="F472" s="11"/>
      <c r="G472" s="11"/>
      <c r="H472" s="11"/>
      <c r="I472" s="11"/>
      <c r="J472" s="11"/>
      <c r="K472" s="11"/>
      <c r="L472" s="11"/>
      <c r="M472" s="11"/>
      <c r="N472" s="11"/>
      <c r="O472" s="11"/>
      <c r="P472" s="14"/>
      <c r="Q472" s="14"/>
      <c r="R472" s="14"/>
      <c r="S472" s="14"/>
      <c r="T472" s="14"/>
      <c r="U472" s="14"/>
      <c r="V472" s="14"/>
      <c r="W472" s="14"/>
      <c r="X472" s="14"/>
      <c r="Y472" s="14"/>
      <c r="Z472" s="14"/>
      <c r="AA472" s="4"/>
      <c r="AB472" s="4"/>
      <c r="AC472" s="4"/>
      <c r="AD472" s="4"/>
      <c r="AE472" s="4"/>
      <c r="AF472" s="4"/>
      <c r="AG472" s="4"/>
      <c r="AH472" s="4"/>
      <c r="AI472" s="4"/>
      <c r="AJ472" s="4"/>
      <c r="AK472" s="4"/>
      <c r="AL472" s="4"/>
      <c r="AM472" s="4"/>
      <c r="AN472" s="4"/>
      <c r="AO472" s="4"/>
      <c r="AP472" s="4"/>
      <c r="AQ472" s="4"/>
      <c r="AR472" s="4"/>
    </row>
    <row r="473" spans="1:44">
      <c r="A473" s="4"/>
      <c r="B473" s="47"/>
      <c r="C473" s="47"/>
      <c r="D473" s="48"/>
      <c r="E473" s="4"/>
      <c r="F473" s="11"/>
      <c r="G473" s="11"/>
      <c r="H473" s="11"/>
      <c r="I473" s="11"/>
      <c r="J473" s="11"/>
      <c r="K473" s="11"/>
      <c r="L473" s="11"/>
      <c r="M473" s="11"/>
      <c r="N473" s="11"/>
      <c r="O473" s="11"/>
      <c r="P473" s="14"/>
      <c r="Q473" s="14"/>
      <c r="R473" s="14"/>
      <c r="S473" s="14"/>
      <c r="T473" s="14"/>
      <c r="U473" s="14"/>
      <c r="V473" s="14"/>
      <c r="W473" s="14"/>
      <c r="X473" s="14"/>
      <c r="Y473" s="14"/>
      <c r="Z473" s="14"/>
      <c r="AA473" s="4"/>
      <c r="AB473" s="4"/>
      <c r="AC473" s="4"/>
      <c r="AD473" s="4"/>
      <c r="AE473" s="4"/>
      <c r="AF473" s="4"/>
      <c r="AG473" s="4"/>
      <c r="AH473" s="4"/>
      <c r="AI473" s="4"/>
      <c r="AJ473" s="4"/>
      <c r="AK473" s="4"/>
      <c r="AL473" s="4"/>
      <c r="AM473" s="4"/>
      <c r="AN473" s="4"/>
      <c r="AO473" s="4"/>
      <c r="AP473" s="4"/>
      <c r="AQ473" s="4"/>
      <c r="AR473" s="4"/>
    </row>
    <row r="474" spans="1:44">
      <c r="A474" s="4"/>
      <c r="B474" s="47"/>
      <c r="C474" s="47"/>
      <c r="D474" s="48"/>
      <c r="E474" s="4"/>
      <c r="F474" s="11"/>
      <c r="G474" s="11"/>
      <c r="H474" s="11"/>
      <c r="I474" s="11"/>
      <c r="J474" s="11"/>
      <c r="K474" s="11"/>
      <c r="L474" s="11"/>
      <c r="M474" s="11"/>
      <c r="N474" s="11"/>
      <c r="O474" s="11"/>
      <c r="P474" s="14"/>
      <c r="Q474" s="14"/>
      <c r="R474" s="14"/>
      <c r="S474" s="14"/>
      <c r="T474" s="14"/>
      <c r="U474" s="14"/>
      <c r="V474" s="14"/>
      <c r="W474" s="14"/>
      <c r="X474" s="14"/>
      <c r="Y474" s="14"/>
      <c r="Z474" s="14"/>
      <c r="AA474" s="4"/>
      <c r="AB474" s="4"/>
      <c r="AC474" s="4"/>
      <c r="AD474" s="4"/>
      <c r="AE474" s="4"/>
      <c r="AF474" s="4"/>
      <c r="AG474" s="4"/>
      <c r="AH474" s="4"/>
      <c r="AI474" s="4"/>
      <c r="AJ474" s="4"/>
      <c r="AK474" s="4"/>
      <c r="AL474" s="4"/>
      <c r="AM474" s="4"/>
      <c r="AN474" s="4"/>
      <c r="AO474" s="4"/>
      <c r="AP474" s="4"/>
      <c r="AQ474" s="4"/>
      <c r="AR474" s="4"/>
    </row>
    <row r="475" spans="1:44">
      <c r="A475" s="4"/>
      <c r="B475" s="47"/>
      <c r="C475" s="47"/>
      <c r="D475" s="48"/>
      <c r="E475" s="4"/>
      <c r="F475" s="11"/>
      <c r="G475" s="11"/>
      <c r="H475" s="11"/>
      <c r="I475" s="11"/>
      <c r="J475" s="11"/>
      <c r="K475" s="11"/>
      <c r="L475" s="11"/>
      <c r="M475" s="11"/>
      <c r="N475" s="11"/>
      <c r="O475" s="11"/>
      <c r="P475" s="14"/>
      <c r="Q475" s="14"/>
      <c r="R475" s="14"/>
      <c r="S475" s="14"/>
      <c r="T475" s="14"/>
      <c r="U475" s="14"/>
      <c r="V475" s="14"/>
      <c r="W475" s="14"/>
      <c r="X475" s="14"/>
      <c r="Y475" s="14"/>
      <c r="Z475" s="14"/>
      <c r="AA475" s="4"/>
      <c r="AB475" s="4"/>
      <c r="AC475" s="4"/>
      <c r="AD475" s="4"/>
      <c r="AE475" s="4"/>
      <c r="AF475" s="4"/>
      <c r="AG475" s="4"/>
      <c r="AH475" s="4"/>
      <c r="AI475" s="4"/>
      <c r="AJ475" s="4"/>
      <c r="AK475" s="4"/>
      <c r="AL475" s="4"/>
      <c r="AM475" s="4"/>
      <c r="AN475" s="4"/>
      <c r="AO475" s="4"/>
      <c r="AP475" s="4"/>
      <c r="AQ475" s="4"/>
      <c r="AR475" s="4"/>
    </row>
    <row r="476" spans="1:44">
      <c r="A476" s="4"/>
      <c r="B476" s="47"/>
      <c r="C476" s="47"/>
      <c r="D476" s="48"/>
      <c r="E476" s="4"/>
      <c r="F476" s="11"/>
      <c r="G476" s="11"/>
      <c r="H476" s="11"/>
      <c r="I476" s="11"/>
      <c r="J476" s="11"/>
      <c r="K476" s="11"/>
      <c r="L476" s="11"/>
      <c r="M476" s="11"/>
      <c r="N476" s="11"/>
      <c r="O476" s="11"/>
      <c r="P476" s="14"/>
      <c r="Q476" s="14"/>
      <c r="R476" s="14"/>
      <c r="S476" s="14"/>
      <c r="T476" s="14"/>
      <c r="U476" s="14"/>
      <c r="V476" s="14"/>
      <c r="W476" s="14"/>
      <c r="X476" s="14"/>
      <c r="Y476" s="14"/>
      <c r="Z476" s="14"/>
      <c r="AA476" s="4"/>
      <c r="AB476" s="4"/>
      <c r="AC476" s="4"/>
      <c r="AD476" s="4"/>
      <c r="AE476" s="4"/>
      <c r="AF476" s="4"/>
      <c r="AG476" s="4"/>
      <c r="AH476" s="4"/>
      <c r="AI476" s="4"/>
      <c r="AJ476" s="4"/>
      <c r="AK476" s="4"/>
      <c r="AL476" s="4"/>
      <c r="AM476" s="4"/>
      <c r="AN476" s="4"/>
      <c r="AO476" s="4"/>
      <c r="AP476" s="4"/>
      <c r="AQ476" s="4"/>
      <c r="AR476" s="4"/>
    </row>
    <row r="477" spans="1:44">
      <c r="A477" s="4"/>
      <c r="B477" s="47"/>
      <c r="C477" s="47"/>
      <c r="D477" s="48"/>
      <c r="E477" s="4"/>
      <c r="F477" s="11"/>
      <c r="G477" s="11"/>
      <c r="H477" s="11"/>
      <c r="I477" s="11"/>
      <c r="J477" s="11"/>
      <c r="K477" s="11"/>
      <c r="L477" s="11"/>
      <c r="M477" s="11"/>
      <c r="N477" s="11"/>
      <c r="O477" s="11"/>
      <c r="P477" s="14"/>
      <c r="Q477" s="14"/>
      <c r="R477" s="14"/>
      <c r="S477" s="14"/>
      <c r="T477" s="14"/>
      <c r="U477" s="14"/>
      <c r="V477" s="14"/>
      <c r="W477" s="14"/>
      <c r="X477" s="14"/>
      <c r="Y477" s="14"/>
      <c r="Z477" s="14"/>
      <c r="AA477" s="4"/>
      <c r="AB477" s="4"/>
      <c r="AC477" s="4"/>
      <c r="AD477" s="4"/>
      <c r="AE477" s="4"/>
      <c r="AF477" s="4"/>
      <c r="AG477" s="4"/>
      <c r="AH477" s="4"/>
      <c r="AI477" s="4"/>
      <c r="AJ477" s="4"/>
      <c r="AK477" s="4"/>
      <c r="AL477" s="4"/>
      <c r="AM477" s="4"/>
      <c r="AN477" s="4"/>
      <c r="AO477" s="4"/>
      <c r="AP477" s="4"/>
      <c r="AQ477" s="4"/>
      <c r="AR477" s="4"/>
    </row>
    <row r="478" spans="1:44">
      <c r="A478" s="4"/>
      <c r="B478" s="47"/>
      <c r="C478" s="47"/>
      <c r="D478" s="48"/>
      <c r="E478" s="4"/>
      <c r="F478" s="11"/>
      <c r="G478" s="11"/>
      <c r="H478" s="11"/>
      <c r="I478" s="11"/>
      <c r="J478" s="11"/>
      <c r="K478" s="11"/>
      <c r="L478" s="11"/>
      <c r="M478" s="11"/>
      <c r="N478" s="11"/>
      <c r="O478" s="11"/>
      <c r="P478" s="14"/>
      <c r="Q478" s="14"/>
      <c r="R478" s="14"/>
      <c r="S478" s="14"/>
      <c r="T478" s="14"/>
      <c r="U478" s="14"/>
      <c r="V478" s="14"/>
      <c r="W478" s="14"/>
      <c r="X478" s="14"/>
      <c r="Y478" s="14"/>
      <c r="Z478" s="14"/>
      <c r="AA478" s="4"/>
      <c r="AB478" s="4"/>
      <c r="AC478" s="4"/>
      <c r="AD478" s="4"/>
      <c r="AE478" s="4"/>
      <c r="AF478" s="4"/>
      <c r="AG478" s="4"/>
      <c r="AH478" s="4"/>
      <c r="AI478" s="4"/>
      <c r="AJ478" s="4"/>
      <c r="AK478" s="4"/>
      <c r="AL478" s="4"/>
      <c r="AM478" s="4"/>
      <c r="AN478" s="4"/>
      <c r="AO478" s="4"/>
      <c r="AP478" s="4"/>
      <c r="AQ478" s="4"/>
      <c r="AR478" s="4"/>
    </row>
    <row r="479" spans="1:44">
      <c r="A479" s="4"/>
      <c r="B479" s="47"/>
      <c r="C479" s="47"/>
      <c r="D479" s="48"/>
      <c r="E479" s="4"/>
      <c r="F479" s="11"/>
      <c r="G479" s="11"/>
      <c r="H479" s="11"/>
      <c r="I479" s="11"/>
      <c r="J479" s="11"/>
      <c r="K479" s="11"/>
      <c r="L479" s="11"/>
      <c r="M479" s="11"/>
      <c r="N479" s="11"/>
      <c r="O479" s="11"/>
      <c r="P479" s="14"/>
      <c r="Q479" s="14"/>
      <c r="R479" s="14"/>
      <c r="S479" s="14"/>
      <c r="T479" s="14"/>
      <c r="U479" s="14"/>
      <c r="V479" s="14"/>
      <c r="W479" s="14"/>
      <c r="X479" s="14"/>
      <c r="Y479" s="14"/>
      <c r="Z479" s="14"/>
      <c r="AA479" s="4"/>
      <c r="AB479" s="4"/>
      <c r="AC479" s="4"/>
      <c r="AD479" s="4"/>
      <c r="AE479" s="4"/>
      <c r="AF479" s="4"/>
      <c r="AG479" s="4"/>
      <c r="AH479" s="4"/>
      <c r="AI479" s="4"/>
      <c r="AJ479" s="4"/>
      <c r="AK479" s="4"/>
      <c r="AL479" s="4"/>
      <c r="AM479" s="4"/>
      <c r="AN479" s="4"/>
      <c r="AO479" s="4"/>
      <c r="AP479" s="4"/>
      <c r="AQ479" s="4"/>
      <c r="AR479" s="4"/>
    </row>
    <row r="480" spans="1:44">
      <c r="A480" s="4"/>
      <c r="B480" s="47"/>
      <c r="C480" s="47"/>
      <c r="D480" s="48"/>
      <c r="E480" s="4"/>
      <c r="F480" s="11"/>
      <c r="G480" s="11"/>
      <c r="H480" s="11"/>
      <c r="I480" s="11"/>
      <c r="J480" s="11"/>
      <c r="K480" s="11"/>
      <c r="L480" s="11"/>
      <c r="M480" s="11"/>
      <c r="N480" s="11"/>
      <c r="O480" s="11"/>
      <c r="P480" s="14"/>
      <c r="Q480" s="14"/>
      <c r="R480" s="14"/>
      <c r="S480" s="14"/>
      <c r="T480" s="14"/>
      <c r="U480" s="14"/>
      <c r="V480" s="14"/>
      <c r="W480" s="14"/>
      <c r="X480" s="14"/>
      <c r="Y480" s="14"/>
      <c r="Z480" s="14"/>
      <c r="AA480" s="4"/>
      <c r="AB480" s="4"/>
      <c r="AC480" s="4"/>
      <c r="AD480" s="4"/>
      <c r="AE480" s="4"/>
      <c r="AF480" s="4"/>
      <c r="AG480" s="4"/>
      <c r="AH480" s="4"/>
      <c r="AI480" s="4"/>
      <c r="AJ480" s="4"/>
      <c r="AK480" s="4"/>
      <c r="AL480" s="4"/>
      <c r="AM480" s="4"/>
      <c r="AN480" s="4"/>
      <c r="AO480" s="4"/>
      <c r="AP480" s="4"/>
      <c r="AQ480" s="4"/>
      <c r="AR480" s="4"/>
    </row>
    <row r="481" spans="1:44">
      <c r="A481" s="4"/>
      <c r="B481" s="47"/>
      <c r="C481" s="47"/>
      <c r="D481" s="48"/>
      <c r="E481" s="4"/>
      <c r="F481" s="11"/>
      <c r="G481" s="11"/>
      <c r="H481" s="11"/>
      <c r="I481" s="11"/>
      <c r="J481" s="11"/>
      <c r="K481" s="11"/>
      <c r="L481" s="11"/>
      <c r="M481" s="11"/>
      <c r="N481" s="11"/>
      <c r="O481" s="11"/>
      <c r="P481" s="14"/>
      <c r="Q481" s="14"/>
      <c r="R481" s="14"/>
      <c r="S481" s="14"/>
      <c r="T481" s="14"/>
      <c r="U481" s="14"/>
      <c r="V481" s="14"/>
      <c r="W481" s="14"/>
      <c r="X481" s="14"/>
      <c r="Y481" s="14"/>
      <c r="Z481" s="14"/>
      <c r="AA481" s="4"/>
      <c r="AB481" s="4"/>
      <c r="AC481" s="4"/>
      <c r="AD481" s="4"/>
      <c r="AE481" s="4"/>
      <c r="AF481" s="4"/>
      <c r="AG481" s="4"/>
      <c r="AH481" s="4"/>
      <c r="AI481" s="4"/>
      <c r="AJ481" s="4"/>
      <c r="AK481" s="4"/>
      <c r="AL481" s="4"/>
      <c r="AM481" s="4"/>
      <c r="AN481" s="4"/>
      <c r="AO481" s="4"/>
      <c r="AP481" s="4"/>
      <c r="AQ481" s="4"/>
      <c r="AR481" s="4"/>
    </row>
    <row r="482" spans="1:44">
      <c r="A482" s="4"/>
      <c r="B482" s="47"/>
      <c r="C482" s="47"/>
      <c r="D482" s="48"/>
      <c r="E482" s="4"/>
      <c r="F482" s="11"/>
      <c r="G482" s="11"/>
      <c r="H482" s="11"/>
      <c r="I482" s="11"/>
      <c r="J482" s="11"/>
      <c r="K482" s="11"/>
      <c r="L482" s="11"/>
      <c r="M482" s="11"/>
      <c r="N482" s="11"/>
      <c r="O482" s="11"/>
      <c r="P482" s="14"/>
      <c r="Q482" s="14"/>
      <c r="R482" s="14"/>
      <c r="S482" s="14"/>
      <c r="T482" s="14"/>
      <c r="U482" s="14"/>
      <c r="V482" s="14"/>
      <c r="W482" s="14"/>
      <c r="X482" s="14"/>
      <c r="Y482" s="14"/>
      <c r="Z482" s="14"/>
      <c r="AA482" s="4"/>
      <c r="AB482" s="4"/>
      <c r="AC482" s="4"/>
      <c r="AD482" s="4"/>
      <c r="AE482" s="4"/>
      <c r="AF482" s="4"/>
      <c r="AG482" s="4"/>
      <c r="AH482" s="4"/>
      <c r="AI482" s="4"/>
      <c r="AJ482" s="4"/>
      <c r="AK482" s="4"/>
      <c r="AL482" s="4"/>
      <c r="AM482" s="4"/>
      <c r="AN482" s="4"/>
      <c r="AO482" s="4"/>
      <c r="AP482" s="4"/>
      <c r="AQ482" s="4"/>
      <c r="AR482" s="4"/>
    </row>
    <row r="483" spans="1:44">
      <c r="A483" s="4"/>
      <c r="B483" s="47"/>
      <c r="C483" s="47"/>
      <c r="D483" s="48"/>
      <c r="E483" s="4"/>
      <c r="F483" s="11"/>
      <c r="G483" s="11"/>
      <c r="H483" s="11"/>
      <c r="I483" s="11"/>
      <c r="J483" s="11"/>
      <c r="K483" s="11"/>
      <c r="L483" s="11"/>
      <c r="M483" s="11"/>
      <c r="N483" s="11"/>
      <c r="O483" s="11"/>
      <c r="P483" s="14"/>
      <c r="Q483" s="14"/>
      <c r="R483" s="14"/>
      <c r="S483" s="14"/>
      <c r="T483" s="14"/>
      <c r="U483" s="14"/>
      <c r="V483" s="14"/>
      <c r="W483" s="14"/>
      <c r="X483" s="14"/>
      <c r="Y483" s="14"/>
      <c r="Z483" s="14"/>
      <c r="AA483" s="4"/>
      <c r="AB483" s="4"/>
      <c r="AC483" s="4"/>
      <c r="AD483" s="4"/>
      <c r="AE483" s="4"/>
      <c r="AF483" s="4"/>
      <c r="AG483" s="4"/>
      <c r="AH483" s="4"/>
      <c r="AI483" s="4"/>
      <c r="AJ483" s="4"/>
      <c r="AK483" s="4"/>
      <c r="AL483" s="4"/>
      <c r="AM483" s="4"/>
      <c r="AN483" s="4"/>
      <c r="AO483" s="4"/>
      <c r="AP483" s="4"/>
      <c r="AQ483" s="4"/>
      <c r="AR483" s="4"/>
    </row>
    <row r="484" spans="1:44">
      <c r="A484" s="4"/>
      <c r="B484" s="47"/>
      <c r="C484" s="47"/>
      <c r="D484" s="48"/>
      <c r="E484" s="4"/>
      <c r="F484" s="11"/>
      <c r="G484" s="11"/>
      <c r="H484" s="11"/>
      <c r="I484" s="11"/>
      <c r="J484" s="11"/>
      <c r="K484" s="11"/>
      <c r="L484" s="11"/>
      <c r="M484" s="11"/>
      <c r="N484" s="11"/>
      <c r="O484" s="11"/>
      <c r="P484" s="14"/>
      <c r="Q484" s="14"/>
      <c r="R484" s="14"/>
      <c r="S484" s="14"/>
      <c r="T484" s="14"/>
      <c r="U484" s="14"/>
      <c r="V484" s="14"/>
      <c r="W484" s="14"/>
      <c r="X484" s="14"/>
      <c r="Y484" s="14"/>
      <c r="Z484" s="14"/>
      <c r="AA484" s="4"/>
      <c r="AB484" s="4"/>
      <c r="AC484" s="4"/>
      <c r="AD484" s="4"/>
      <c r="AE484" s="4"/>
      <c r="AF484" s="4"/>
      <c r="AG484" s="4"/>
      <c r="AH484" s="4"/>
      <c r="AI484" s="4"/>
      <c r="AJ484" s="4"/>
      <c r="AK484" s="4"/>
      <c r="AL484" s="4"/>
      <c r="AM484" s="4"/>
      <c r="AN484" s="4"/>
      <c r="AO484" s="4"/>
      <c r="AP484" s="4"/>
      <c r="AQ484" s="4"/>
      <c r="AR484" s="4"/>
    </row>
    <row r="485" spans="1:44">
      <c r="A485" s="4"/>
      <c r="B485" s="47"/>
      <c r="C485" s="47"/>
      <c r="D485" s="48"/>
      <c r="E485" s="4"/>
      <c r="F485" s="11"/>
      <c r="G485" s="11"/>
      <c r="H485" s="11"/>
      <c r="I485" s="11"/>
      <c r="J485" s="11"/>
      <c r="K485" s="11"/>
      <c r="L485" s="11"/>
      <c r="M485" s="11"/>
      <c r="N485" s="11"/>
      <c r="O485" s="11"/>
      <c r="P485" s="14"/>
      <c r="Q485" s="14"/>
      <c r="R485" s="14"/>
      <c r="S485" s="14"/>
      <c r="T485" s="14"/>
      <c r="U485" s="14"/>
      <c r="V485" s="14"/>
      <c r="W485" s="14"/>
      <c r="X485" s="14"/>
      <c r="Y485" s="14"/>
      <c r="Z485" s="14"/>
      <c r="AA485" s="4"/>
      <c r="AB485" s="4"/>
      <c r="AC485" s="4"/>
      <c r="AD485" s="4"/>
      <c r="AE485" s="4"/>
      <c r="AF485" s="4"/>
      <c r="AG485" s="4"/>
      <c r="AH485" s="4"/>
      <c r="AI485" s="4"/>
      <c r="AJ485" s="4"/>
      <c r="AK485" s="4"/>
      <c r="AL485" s="4"/>
      <c r="AM485" s="4"/>
      <c r="AN485" s="4"/>
      <c r="AO485" s="4"/>
      <c r="AP485" s="4"/>
      <c r="AQ485" s="4"/>
      <c r="AR485" s="4"/>
    </row>
    <row r="486" spans="1:44">
      <c r="A486" s="4"/>
      <c r="B486" s="47"/>
      <c r="C486" s="47"/>
      <c r="D486" s="48"/>
      <c r="E486" s="4"/>
      <c r="F486" s="11"/>
      <c r="G486" s="11"/>
      <c r="H486" s="11"/>
      <c r="I486" s="11"/>
      <c r="J486" s="11"/>
      <c r="K486" s="11"/>
      <c r="L486" s="11"/>
      <c r="M486" s="11"/>
      <c r="N486" s="11"/>
      <c r="O486" s="11"/>
      <c r="P486" s="14"/>
      <c r="Q486" s="14"/>
      <c r="R486" s="14"/>
      <c r="S486" s="14"/>
      <c r="T486" s="14"/>
      <c r="U486" s="14"/>
      <c r="V486" s="14"/>
      <c r="W486" s="14"/>
      <c r="X486" s="14"/>
      <c r="Y486" s="14"/>
      <c r="Z486" s="14"/>
      <c r="AA486" s="4"/>
      <c r="AB486" s="4"/>
      <c r="AC486" s="4"/>
      <c r="AD486" s="4"/>
      <c r="AE486" s="4"/>
      <c r="AF486" s="4"/>
      <c r="AG486" s="4"/>
      <c r="AH486" s="4"/>
      <c r="AI486" s="4"/>
      <c r="AJ486" s="4"/>
      <c r="AK486" s="4"/>
      <c r="AL486" s="4"/>
      <c r="AM486" s="4"/>
      <c r="AN486" s="4"/>
      <c r="AO486" s="4"/>
      <c r="AP486" s="4"/>
      <c r="AQ486" s="4"/>
      <c r="AR486" s="4"/>
    </row>
    <row r="487" spans="1:44">
      <c r="A487" s="4"/>
      <c r="B487" s="47"/>
      <c r="C487" s="47"/>
      <c r="D487" s="48"/>
      <c r="E487" s="4"/>
      <c r="F487" s="11"/>
      <c r="G487" s="11"/>
      <c r="H487" s="11"/>
      <c r="I487" s="11"/>
      <c r="J487" s="11"/>
      <c r="K487" s="11"/>
      <c r="L487" s="11"/>
      <c r="M487" s="11"/>
      <c r="N487" s="11"/>
      <c r="O487" s="11"/>
      <c r="P487" s="14"/>
      <c r="Q487" s="14"/>
      <c r="R487" s="14"/>
      <c r="S487" s="14"/>
      <c r="T487" s="14"/>
      <c r="U487" s="14"/>
      <c r="V487" s="14"/>
      <c r="W487" s="14"/>
      <c r="X487" s="14"/>
      <c r="Y487" s="14"/>
      <c r="Z487" s="14"/>
      <c r="AA487" s="4"/>
      <c r="AB487" s="4"/>
      <c r="AC487" s="4"/>
      <c r="AD487" s="4"/>
      <c r="AE487" s="4"/>
      <c r="AF487" s="4"/>
      <c r="AG487" s="4"/>
      <c r="AH487" s="4"/>
      <c r="AI487" s="4"/>
      <c r="AJ487" s="4"/>
      <c r="AK487" s="4"/>
      <c r="AL487" s="4"/>
      <c r="AM487" s="4"/>
      <c r="AN487" s="4"/>
      <c r="AO487" s="4"/>
      <c r="AP487" s="4"/>
      <c r="AQ487" s="4"/>
      <c r="AR487" s="4"/>
    </row>
    <row r="488" spans="1:44">
      <c r="A488" s="4"/>
      <c r="B488" s="47"/>
      <c r="C488" s="47"/>
      <c r="D488" s="48"/>
      <c r="E488" s="4"/>
      <c r="F488" s="11"/>
      <c r="G488" s="11"/>
      <c r="H488" s="11"/>
      <c r="I488" s="11"/>
      <c r="J488" s="11"/>
      <c r="K488" s="11"/>
      <c r="L488" s="11"/>
      <c r="M488" s="11"/>
      <c r="N488" s="11"/>
      <c r="O488" s="11"/>
      <c r="P488" s="14"/>
      <c r="Q488" s="14"/>
      <c r="R488" s="14"/>
      <c r="S488" s="14"/>
      <c r="T488" s="14"/>
      <c r="U488" s="14"/>
      <c r="V488" s="14"/>
      <c r="W488" s="14"/>
      <c r="X488" s="14"/>
      <c r="Y488" s="14"/>
      <c r="Z488" s="14"/>
      <c r="AA488" s="4"/>
      <c r="AB488" s="4"/>
      <c r="AC488" s="4"/>
      <c r="AD488" s="4"/>
      <c r="AE488" s="4"/>
      <c r="AF488" s="4"/>
      <c r="AG488" s="4"/>
      <c r="AH488" s="4"/>
      <c r="AI488" s="4"/>
      <c r="AJ488" s="4"/>
      <c r="AK488" s="4"/>
      <c r="AL488" s="4"/>
      <c r="AM488" s="4"/>
      <c r="AN488" s="4"/>
      <c r="AO488" s="4"/>
      <c r="AP488" s="4"/>
      <c r="AQ488" s="4"/>
      <c r="AR488" s="4"/>
    </row>
    <row r="489" spans="1:44">
      <c r="A489" s="4"/>
      <c r="B489" s="47"/>
      <c r="C489" s="47"/>
      <c r="D489" s="48"/>
      <c r="E489" s="4"/>
      <c r="F489" s="11"/>
      <c r="G489" s="11"/>
      <c r="H489" s="11"/>
      <c r="I489" s="11"/>
      <c r="J489" s="11"/>
      <c r="K489" s="11"/>
      <c r="L489" s="11"/>
      <c r="M489" s="11"/>
      <c r="N489" s="11"/>
      <c r="O489" s="11"/>
      <c r="P489" s="14"/>
      <c r="Q489" s="14"/>
      <c r="R489" s="14"/>
      <c r="S489" s="14"/>
      <c r="T489" s="14"/>
      <c r="U489" s="14"/>
      <c r="V489" s="14"/>
      <c r="W489" s="14"/>
      <c r="X489" s="14"/>
      <c r="Y489" s="14"/>
      <c r="Z489" s="14"/>
      <c r="AA489" s="4"/>
      <c r="AB489" s="4"/>
      <c r="AC489" s="4"/>
      <c r="AD489" s="4"/>
      <c r="AE489" s="4"/>
      <c r="AF489" s="4"/>
      <c r="AG489" s="4"/>
      <c r="AH489" s="4"/>
      <c r="AI489" s="4"/>
      <c r="AJ489" s="4"/>
      <c r="AK489" s="4"/>
      <c r="AL489" s="4"/>
      <c r="AM489" s="4"/>
      <c r="AN489" s="4"/>
      <c r="AO489" s="4"/>
      <c r="AP489" s="4"/>
      <c r="AQ489" s="4"/>
      <c r="AR489" s="4"/>
    </row>
    <row r="490" spans="1:44">
      <c r="A490" s="4"/>
      <c r="B490" s="47"/>
      <c r="C490" s="47"/>
      <c r="D490" s="48"/>
      <c r="E490" s="4"/>
      <c r="F490" s="11"/>
      <c r="G490" s="11"/>
      <c r="H490" s="11"/>
      <c r="I490" s="11"/>
      <c r="J490" s="11"/>
      <c r="K490" s="11"/>
      <c r="L490" s="11"/>
      <c r="M490" s="11"/>
      <c r="N490" s="11"/>
      <c r="O490" s="11"/>
      <c r="P490" s="14"/>
      <c r="Q490" s="14"/>
      <c r="R490" s="14"/>
      <c r="S490" s="14"/>
      <c r="T490" s="14"/>
      <c r="U490" s="14"/>
      <c r="V490" s="14"/>
      <c r="W490" s="14"/>
      <c r="X490" s="14"/>
      <c r="Y490" s="14"/>
      <c r="Z490" s="14"/>
      <c r="AA490" s="4"/>
      <c r="AB490" s="4"/>
      <c r="AC490" s="4"/>
      <c r="AD490" s="4"/>
      <c r="AE490" s="4"/>
      <c r="AF490" s="4"/>
      <c r="AG490" s="4"/>
      <c r="AH490" s="4"/>
      <c r="AI490" s="4"/>
      <c r="AJ490" s="4"/>
      <c r="AK490" s="4"/>
      <c r="AL490" s="4"/>
      <c r="AM490" s="4"/>
      <c r="AN490" s="4"/>
      <c r="AO490" s="4"/>
      <c r="AP490" s="4"/>
      <c r="AQ490" s="4"/>
      <c r="AR490" s="4"/>
    </row>
    <row r="491" spans="1:44">
      <c r="A491" s="4"/>
      <c r="B491" s="47"/>
      <c r="C491" s="47"/>
      <c r="D491" s="48"/>
      <c r="E491" s="4"/>
      <c r="F491" s="11"/>
      <c r="G491" s="11"/>
      <c r="H491" s="11"/>
      <c r="I491" s="11"/>
      <c r="J491" s="11"/>
      <c r="K491" s="11"/>
      <c r="L491" s="11"/>
      <c r="M491" s="11"/>
      <c r="N491" s="11"/>
      <c r="O491" s="11"/>
      <c r="P491" s="14"/>
      <c r="Q491" s="14"/>
      <c r="R491" s="14"/>
      <c r="S491" s="14"/>
      <c r="T491" s="14"/>
      <c r="U491" s="14"/>
      <c r="V491" s="14"/>
      <c r="W491" s="14"/>
      <c r="X491" s="14"/>
      <c r="Y491" s="14"/>
      <c r="Z491" s="14"/>
      <c r="AA491" s="4"/>
      <c r="AB491" s="4"/>
      <c r="AC491" s="4"/>
      <c r="AD491" s="4"/>
      <c r="AE491" s="4"/>
      <c r="AF491" s="4"/>
      <c r="AG491" s="4"/>
      <c r="AH491" s="4"/>
      <c r="AI491" s="4"/>
      <c r="AJ491" s="4"/>
      <c r="AK491" s="4"/>
      <c r="AL491" s="4"/>
      <c r="AM491" s="4"/>
      <c r="AN491" s="4"/>
      <c r="AO491" s="4"/>
      <c r="AP491" s="4"/>
      <c r="AQ491" s="4"/>
      <c r="AR491" s="4"/>
    </row>
    <row r="492" spans="1:44">
      <c r="A492" s="4"/>
      <c r="B492" s="47"/>
      <c r="C492" s="47"/>
      <c r="D492" s="48"/>
      <c r="E492" s="4"/>
      <c r="F492" s="11"/>
      <c r="G492" s="11"/>
      <c r="H492" s="11"/>
      <c r="I492" s="11"/>
      <c r="J492" s="11"/>
      <c r="K492" s="11"/>
      <c r="L492" s="11"/>
      <c r="M492" s="11"/>
      <c r="N492" s="11"/>
      <c r="O492" s="11"/>
      <c r="P492" s="14"/>
      <c r="Q492" s="14"/>
      <c r="R492" s="14"/>
      <c r="S492" s="14"/>
      <c r="T492" s="14"/>
      <c r="U492" s="14"/>
      <c r="V492" s="14"/>
      <c r="W492" s="14"/>
      <c r="X492" s="14"/>
      <c r="Y492" s="14"/>
      <c r="Z492" s="14"/>
      <c r="AA492" s="4"/>
      <c r="AB492" s="4"/>
      <c r="AC492" s="4"/>
      <c r="AD492" s="4"/>
      <c r="AE492" s="4"/>
      <c r="AF492" s="4"/>
      <c r="AG492" s="4"/>
      <c r="AH492" s="4"/>
      <c r="AI492" s="4"/>
      <c r="AJ492" s="4"/>
      <c r="AK492" s="4"/>
      <c r="AL492" s="4"/>
      <c r="AM492" s="4"/>
      <c r="AN492" s="4"/>
      <c r="AO492" s="4"/>
      <c r="AP492" s="4"/>
      <c r="AQ492" s="4"/>
      <c r="AR492" s="4"/>
    </row>
    <row r="493" spans="1:44">
      <c r="A493" s="4"/>
      <c r="B493" s="47"/>
      <c r="C493" s="47"/>
      <c r="D493" s="48"/>
      <c r="E493" s="4"/>
      <c r="F493" s="11"/>
      <c r="G493" s="11"/>
      <c r="H493" s="11"/>
      <c r="I493" s="11"/>
      <c r="J493" s="11"/>
      <c r="K493" s="11"/>
      <c r="L493" s="11"/>
      <c r="M493" s="11"/>
      <c r="N493" s="11"/>
      <c r="O493" s="11"/>
      <c r="P493" s="14"/>
      <c r="Q493" s="14"/>
      <c r="R493" s="14"/>
      <c r="S493" s="14"/>
      <c r="T493" s="14"/>
      <c r="U493" s="14"/>
      <c r="V493" s="14"/>
      <c r="W493" s="14"/>
      <c r="X493" s="14"/>
      <c r="Y493" s="14"/>
      <c r="Z493" s="14"/>
      <c r="AA493" s="4"/>
      <c r="AB493" s="4"/>
      <c r="AC493" s="4"/>
      <c r="AD493" s="4"/>
      <c r="AE493" s="4"/>
      <c r="AF493" s="4"/>
      <c r="AG493" s="4"/>
      <c r="AH493" s="4"/>
      <c r="AI493" s="4"/>
      <c r="AJ493" s="4"/>
      <c r="AK493" s="4"/>
      <c r="AL493" s="4"/>
      <c r="AM493" s="4"/>
      <c r="AN493" s="4"/>
      <c r="AO493" s="4"/>
      <c r="AP493" s="4"/>
      <c r="AQ493" s="4"/>
      <c r="AR493" s="4"/>
    </row>
    <row r="494" spans="1:44">
      <c r="A494" s="4"/>
      <c r="B494" s="47"/>
      <c r="C494" s="47"/>
      <c r="D494" s="48"/>
      <c r="E494" s="4"/>
      <c r="F494" s="11"/>
      <c r="G494" s="11"/>
      <c r="H494" s="11"/>
      <c r="I494" s="11"/>
      <c r="J494" s="11"/>
      <c r="K494" s="11"/>
      <c r="L494" s="11"/>
      <c r="M494" s="11"/>
      <c r="N494" s="11"/>
      <c r="O494" s="11"/>
      <c r="P494" s="14"/>
      <c r="Q494" s="14"/>
      <c r="R494" s="14"/>
      <c r="S494" s="14"/>
      <c r="T494" s="14"/>
      <c r="U494" s="14"/>
      <c r="V494" s="14"/>
      <c r="W494" s="14"/>
      <c r="X494" s="14"/>
      <c r="Y494" s="14"/>
      <c r="Z494" s="14"/>
      <c r="AA494" s="4"/>
      <c r="AB494" s="4"/>
      <c r="AC494" s="4"/>
      <c r="AD494" s="4"/>
      <c r="AE494" s="4"/>
      <c r="AF494" s="4"/>
      <c r="AG494" s="4"/>
      <c r="AH494" s="4"/>
      <c r="AI494" s="4"/>
      <c r="AJ494" s="4"/>
      <c r="AK494" s="4"/>
      <c r="AL494" s="4"/>
      <c r="AM494" s="4"/>
      <c r="AN494" s="4"/>
      <c r="AO494" s="4"/>
      <c r="AP494" s="4"/>
      <c r="AQ494" s="4"/>
      <c r="AR494" s="4"/>
    </row>
    <row r="495" spans="1:44">
      <c r="A495" s="4"/>
      <c r="B495" s="47"/>
      <c r="C495" s="47"/>
      <c r="D495" s="48"/>
      <c r="E495" s="4"/>
      <c r="F495" s="11"/>
      <c r="G495" s="11"/>
      <c r="H495" s="11"/>
      <c r="I495" s="11"/>
      <c r="J495" s="11"/>
      <c r="K495" s="11"/>
      <c r="L495" s="11"/>
      <c r="M495" s="11"/>
      <c r="N495" s="11"/>
      <c r="O495" s="11"/>
      <c r="P495" s="14"/>
      <c r="Q495" s="14"/>
      <c r="R495" s="14"/>
      <c r="S495" s="14"/>
      <c r="T495" s="14"/>
      <c r="U495" s="14"/>
      <c r="V495" s="14"/>
      <c r="W495" s="14"/>
      <c r="X495" s="14"/>
      <c r="Y495" s="14"/>
      <c r="Z495" s="14"/>
      <c r="AA495" s="4"/>
      <c r="AB495" s="4"/>
      <c r="AC495" s="4"/>
      <c r="AD495" s="4"/>
      <c r="AE495" s="4"/>
      <c r="AF495" s="4"/>
      <c r="AG495" s="4"/>
      <c r="AH495" s="4"/>
      <c r="AI495" s="4"/>
      <c r="AJ495" s="4"/>
      <c r="AK495" s="4"/>
      <c r="AL495" s="4"/>
      <c r="AM495" s="4"/>
      <c r="AN495" s="4"/>
      <c r="AO495" s="4"/>
      <c r="AP495" s="4"/>
      <c r="AQ495" s="4"/>
      <c r="AR495" s="4"/>
    </row>
    <row r="496" spans="1:44">
      <c r="A496" s="4"/>
      <c r="B496" s="47"/>
      <c r="C496" s="47"/>
      <c r="D496" s="48"/>
      <c r="E496" s="4"/>
      <c r="F496" s="11"/>
      <c r="G496" s="11"/>
      <c r="H496" s="11"/>
      <c r="I496" s="11"/>
      <c r="J496" s="11"/>
      <c r="K496" s="11"/>
      <c r="L496" s="11"/>
      <c r="M496" s="11"/>
      <c r="N496" s="11"/>
      <c r="O496" s="11"/>
      <c r="P496" s="14"/>
      <c r="Q496" s="14"/>
      <c r="R496" s="14"/>
      <c r="S496" s="14"/>
      <c r="T496" s="14"/>
      <c r="U496" s="14"/>
      <c r="V496" s="14"/>
      <c r="W496" s="14"/>
      <c r="X496" s="14"/>
      <c r="Y496" s="14"/>
      <c r="Z496" s="14"/>
      <c r="AA496" s="4"/>
      <c r="AB496" s="4"/>
      <c r="AC496" s="4"/>
      <c r="AD496" s="4"/>
      <c r="AE496" s="4"/>
      <c r="AF496" s="4"/>
      <c r="AG496" s="4"/>
      <c r="AH496" s="4"/>
      <c r="AI496" s="4"/>
      <c r="AJ496" s="4"/>
      <c r="AK496" s="4"/>
      <c r="AL496" s="4"/>
      <c r="AM496" s="4"/>
      <c r="AN496" s="4"/>
      <c r="AO496" s="4"/>
      <c r="AP496" s="4"/>
      <c r="AQ496" s="4"/>
      <c r="AR496" s="4"/>
    </row>
    <row r="497" spans="1:44">
      <c r="A497" s="4"/>
      <c r="B497" s="47"/>
      <c r="C497" s="47"/>
      <c r="D497" s="48"/>
      <c r="E497" s="4"/>
      <c r="F497" s="11"/>
      <c r="G497" s="11"/>
      <c r="H497" s="11"/>
      <c r="I497" s="11"/>
      <c r="J497" s="11"/>
      <c r="K497" s="11"/>
      <c r="L497" s="11"/>
      <c r="M497" s="11"/>
      <c r="N497" s="11"/>
      <c r="O497" s="11"/>
      <c r="P497" s="14"/>
      <c r="Q497" s="14"/>
      <c r="R497" s="14"/>
      <c r="S497" s="14"/>
      <c r="T497" s="14"/>
      <c r="U497" s="14"/>
      <c r="V497" s="14"/>
      <c r="W497" s="14"/>
      <c r="X497" s="14"/>
      <c r="Y497" s="14"/>
      <c r="Z497" s="14"/>
      <c r="AA497" s="4"/>
      <c r="AB497" s="4"/>
      <c r="AC497" s="4"/>
      <c r="AD497" s="4"/>
      <c r="AE497" s="4"/>
      <c r="AF497" s="4"/>
      <c r="AG497" s="4"/>
      <c r="AH497" s="4"/>
      <c r="AI497" s="4"/>
      <c r="AJ497" s="4"/>
      <c r="AK497" s="4"/>
      <c r="AL497" s="4"/>
      <c r="AM497" s="4"/>
      <c r="AN497" s="4"/>
      <c r="AO497" s="4"/>
      <c r="AP497" s="4"/>
      <c r="AQ497" s="4"/>
      <c r="AR497" s="4"/>
    </row>
    <row r="498" spans="1:44">
      <c r="A498" s="4"/>
      <c r="B498" s="47"/>
      <c r="C498" s="47"/>
      <c r="D498" s="48"/>
      <c r="E498" s="4"/>
      <c r="F498" s="11"/>
      <c r="G498" s="11"/>
      <c r="H498" s="11"/>
      <c r="I498" s="11"/>
      <c r="J498" s="11"/>
      <c r="K498" s="11"/>
      <c r="L498" s="11"/>
      <c r="M498" s="11"/>
      <c r="N498" s="11"/>
      <c r="O498" s="11"/>
      <c r="P498" s="14"/>
      <c r="Q498" s="14"/>
      <c r="R498" s="14"/>
      <c r="S498" s="14"/>
      <c r="T498" s="14"/>
      <c r="U498" s="14"/>
      <c r="V498" s="14"/>
      <c r="W498" s="14"/>
      <c r="X498" s="14"/>
      <c r="Y498" s="14"/>
      <c r="Z498" s="14"/>
      <c r="AA498" s="4"/>
      <c r="AB498" s="4"/>
      <c r="AC498" s="4"/>
      <c r="AD498" s="4"/>
      <c r="AE498" s="4"/>
      <c r="AF498" s="4"/>
      <c r="AG498" s="4"/>
      <c r="AH498" s="4"/>
      <c r="AI498" s="4"/>
      <c r="AJ498" s="4"/>
      <c r="AK498" s="4"/>
      <c r="AL498" s="4"/>
      <c r="AM498" s="4"/>
      <c r="AN498" s="4"/>
      <c r="AO498" s="4"/>
      <c r="AP498" s="4"/>
      <c r="AQ498" s="4"/>
      <c r="AR498" s="4"/>
    </row>
    <row r="499" spans="1:44">
      <c r="A499" s="4"/>
      <c r="B499" s="47"/>
      <c r="C499" s="47"/>
      <c r="D499" s="48"/>
      <c r="E499" s="4"/>
      <c r="F499" s="11"/>
      <c r="G499" s="11"/>
      <c r="H499" s="11"/>
      <c r="I499" s="11"/>
      <c r="J499" s="11"/>
      <c r="K499" s="11"/>
      <c r="L499" s="11"/>
      <c r="M499" s="11"/>
      <c r="N499" s="11"/>
      <c r="O499" s="11"/>
      <c r="P499" s="14"/>
      <c r="Q499" s="14"/>
      <c r="R499" s="14"/>
      <c r="S499" s="14"/>
      <c r="T499" s="14"/>
      <c r="U499" s="14"/>
      <c r="V499" s="14"/>
      <c r="W499" s="14"/>
      <c r="X499" s="14"/>
      <c r="Y499" s="14"/>
      <c r="Z499" s="14"/>
      <c r="AA499" s="4"/>
      <c r="AB499" s="4"/>
      <c r="AC499" s="4"/>
      <c r="AD499" s="4"/>
      <c r="AE499" s="4"/>
      <c r="AF499" s="4"/>
      <c r="AG499" s="4"/>
      <c r="AH499" s="4"/>
      <c r="AI499" s="4"/>
      <c r="AJ499" s="4"/>
      <c r="AK499" s="4"/>
      <c r="AL499" s="4"/>
      <c r="AM499" s="4"/>
      <c r="AN499" s="4"/>
      <c r="AO499" s="4"/>
      <c r="AP499" s="4"/>
      <c r="AQ499" s="4"/>
      <c r="AR499" s="4"/>
    </row>
    <row r="500" spans="1:44">
      <c r="A500" s="4"/>
      <c r="B500" s="47"/>
      <c r="C500" s="47"/>
      <c r="D500" s="48"/>
      <c r="E500" s="4"/>
      <c r="F500" s="11"/>
      <c r="G500" s="11"/>
      <c r="H500" s="11"/>
      <c r="I500" s="11"/>
      <c r="J500" s="11"/>
      <c r="K500" s="11"/>
      <c r="L500" s="11"/>
      <c r="M500" s="11"/>
      <c r="N500" s="11"/>
      <c r="O500" s="11"/>
      <c r="P500" s="14"/>
      <c r="Q500" s="14"/>
      <c r="R500" s="14"/>
      <c r="S500" s="14"/>
      <c r="T500" s="14"/>
      <c r="U500" s="14"/>
      <c r="V500" s="14"/>
      <c r="W500" s="14"/>
      <c r="X500" s="14"/>
      <c r="Y500" s="14"/>
      <c r="Z500" s="14"/>
      <c r="AA500" s="4"/>
      <c r="AB500" s="4"/>
      <c r="AC500" s="4"/>
      <c r="AD500" s="4"/>
      <c r="AE500" s="4"/>
      <c r="AF500" s="4"/>
      <c r="AG500" s="4"/>
      <c r="AH500" s="4"/>
      <c r="AI500" s="4"/>
      <c r="AJ500" s="4"/>
      <c r="AK500" s="4"/>
      <c r="AL500" s="4"/>
      <c r="AM500" s="4"/>
      <c r="AN500" s="4"/>
      <c r="AO500" s="4"/>
      <c r="AP500" s="4"/>
      <c r="AQ500" s="4"/>
      <c r="AR500" s="4"/>
    </row>
  </sheetData>
  <mergeCells count="4">
    <mergeCell ref="B2:D2"/>
    <mergeCell ref="F2:O2"/>
    <mergeCell ref="B1:D1"/>
    <mergeCell ref="G1:O1"/>
  </mergeCells>
  <phoneticPr fontId="24" type="noConversion"/>
  <conditionalFormatting sqref="F4:O49">
    <cfRule type="cellIs" dxfId="0" priority="1" operator="equal">
      <formula>"X"</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학급명렬표</vt:lpstr>
      <vt:lpstr>인성</vt:lpstr>
      <vt:lpstr>인지적특성&amp;학습능력</vt:lpstr>
      <vt:lpstr>창의성</vt:lpstr>
      <vt:lpstr>잠재력&amp;진로</vt:lpstr>
      <vt:lpstr>배려&amp;타인존중</vt:lpstr>
      <vt:lpstr>나눔&amp;협력</vt:lpstr>
      <vt:lpstr>대인관계 지향성</vt:lpstr>
      <vt:lpstr>규칙준수</vt:lpstr>
      <vt:lpstr>예체능</vt:lpstr>
      <vt:lpstr>종합의견</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2015-12-29T00:27:06Z</cp:lastPrinted>
  <dcterms:created xsi:type="dcterms:W3CDTF">2015-01-01T06:37:39Z</dcterms:created>
  <dcterms:modified xsi:type="dcterms:W3CDTF">2019-12-31T02:21:09Z</dcterms:modified>
</cp:coreProperties>
</file>