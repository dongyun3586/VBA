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현재_통합_문서"/>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workbookProtection workbookAlgorithmName="SHA-512" workbookHashValue="aUNBCIVIzLc9dfB6sLZ1JnTtvel31n70kKTDp0l6TVk82lOh5FZHAX7rnz70n+Zk0yUAysVPNDKLkpKI78qmRQ==" workbookSaltValue="brOPgANrrEnmAYo6WbTzTg==" workbookSpinCount="100000" lockStructure="1"/>
  <bookViews>
    <workbookView xWindow="0" yWindow="0" windowWidth="28800" windowHeight="12255"/>
  </bookViews>
  <sheets>
    <sheet name="개인별_종합의견" sheetId="1" r:id="rId1"/>
    <sheet name="학습" sheetId="2" r:id="rId2"/>
    <sheet name="특성1" sheetId="3" r:id="rId3"/>
    <sheet name="특성2" sheetId="4" r:id="rId4"/>
    <sheet name="특성3" sheetId="5" r:id="rId5"/>
    <sheet name="예체능" sheetId="6" r:id="rId6"/>
    <sheet name="Temp" sheetId="7" state="hidden" r:id="rId7"/>
  </sheets>
  <definedNames>
    <definedName name="_xlnm._FilterDatabase" localSheetId="5" hidden="1">예체능!$A$6:$C$1007</definedName>
    <definedName name="_xlnm._FilterDatabase" localSheetId="2" hidden="1">특성1!$A$6:$C$1006</definedName>
    <definedName name="_xlnm._FilterDatabase" localSheetId="3" hidden="1">특성2!$A$6:$C$1007</definedName>
    <definedName name="_xlnm._FilterDatabase" localSheetId="4" hidden="1">특성3!$A$6:$C$1007</definedName>
    <definedName name="_xlnm._FilterDatabase" localSheetId="1" hidden="1">학습!$A$6:$C$987</definedName>
    <definedName name="_xlnm.Print_Area" localSheetId="0">개인별_종합의견!$A$1:$J$45</definedName>
    <definedName name="이름">개인별_종합의견!$C$5:$C$44</definedName>
    <definedName name="인성A코드">특성1!$A$7:$C$1005</definedName>
    <definedName name="인성B코드" localSheetId="3">특성2!$A$7:$C$1006</definedName>
    <definedName name="인성C코드" localSheetId="4">특성3!$A$7:$C$1006</definedName>
    <definedName name="코드테이블">개인별_종합의견!$C$4:$H$44</definedName>
    <definedName name="학습코드" localSheetId="5">예체능!$A$7:$C$1006</definedName>
    <definedName name="학습코드" localSheetId="1">학습!$A$7:$C$986</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4" i="7" l="1"/>
  <c r="F44" i="7"/>
  <c r="E44" i="7"/>
  <c r="D44" i="7"/>
  <c r="C44" i="7"/>
  <c r="B44" i="7"/>
  <c r="G43" i="7"/>
  <c r="F43" i="7"/>
  <c r="E43" i="7"/>
  <c r="D43" i="7"/>
  <c r="C43" i="7"/>
  <c r="B43" i="7"/>
  <c r="G42" i="7"/>
  <c r="F42" i="7"/>
  <c r="E42" i="7"/>
  <c r="D42" i="7"/>
  <c r="C42" i="7"/>
  <c r="B42" i="7"/>
  <c r="G41" i="7"/>
  <c r="F41" i="7"/>
  <c r="E41" i="7"/>
  <c r="D41" i="7"/>
  <c r="C41" i="7"/>
  <c r="B41" i="7"/>
  <c r="G40" i="7"/>
  <c r="F40" i="7"/>
  <c r="E40" i="7"/>
  <c r="D40" i="7"/>
  <c r="C40" i="7"/>
  <c r="B40" i="7"/>
  <c r="G39" i="7"/>
  <c r="F39" i="7"/>
  <c r="E39" i="7"/>
  <c r="D39" i="7"/>
  <c r="C39" i="7"/>
  <c r="B39" i="7"/>
  <c r="G38" i="7"/>
  <c r="F38" i="7"/>
  <c r="E38" i="7"/>
  <c r="D38" i="7"/>
  <c r="C38" i="7"/>
  <c r="B38" i="7"/>
  <c r="G37" i="7"/>
  <c r="F37" i="7"/>
  <c r="E37" i="7"/>
  <c r="D37" i="7"/>
  <c r="C37" i="7"/>
  <c r="B37" i="7"/>
  <c r="G36" i="7"/>
  <c r="F36" i="7"/>
  <c r="E36" i="7"/>
  <c r="D36" i="7"/>
  <c r="C36" i="7"/>
  <c r="B36" i="7"/>
  <c r="G35" i="7"/>
  <c r="F35" i="7"/>
  <c r="E35" i="7"/>
  <c r="D35" i="7"/>
  <c r="C35" i="7"/>
  <c r="B35" i="7"/>
  <c r="G34" i="7"/>
  <c r="F34" i="7"/>
  <c r="E34" i="7"/>
  <c r="D34" i="7"/>
  <c r="C34" i="7"/>
  <c r="B34" i="7"/>
  <c r="G33" i="7"/>
  <c r="F33" i="7"/>
  <c r="E33" i="7"/>
  <c r="D33" i="7"/>
  <c r="C33" i="7"/>
  <c r="B33" i="7"/>
  <c r="G32" i="7"/>
  <c r="F32" i="7"/>
  <c r="E32" i="7"/>
  <c r="D32" i="7"/>
  <c r="C32" i="7"/>
  <c r="B32" i="7"/>
  <c r="G31" i="7"/>
  <c r="F31" i="7"/>
  <c r="E31" i="7"/>
  <c r="D31" i="7"/>
  <c r="C31" i="7"/>
  <c r="B31" i="7"/>
  <c r="G30" i="7"/>
  <c r="F30" i="7"/>
  <c r="E30" i="7"/>
  <c r="D30" i="7"/>
  <c r="C30" i="7"/>
  <c r="B30" i="7"/>
  <c r="G29" i="7"/>
  <c r="F29" i="7"/>
  <c r="E29" i="7"/>
  <c r="D29" i="7"/>
  <c r="C29" i="7"/>
  <c r="B29" i="7"/>
  <c r="G28" i="7"/>
  <c r="F28" i="7"/>
  <c r="E28" i="7"/>
  <c r="D28" i="7"/>
  <c r="C28" i="7"/>
  <c r="B28" i="7"/>
  <c r="G27" i="7"/>
  <c r="F27" i="7"/>
  <c r="E27" i="7"/>
  <c r="D27" i="7"/>
  <c r="C27" i="7"/>
  <c r="B27" i="7"/>
  <c r="G26" i="7"/>
  <c r="F26" i="7"/>
  <c r="E26" i="7"/>
  <c r="D26" i="7"/>
  <c r="C26" i="7"/>
  <c r="B26" i="7"/>
  <c r="G25" i="7"/>
  <c r="F25" i="7"/>
  <c r="E25" i="7"/>
  <c r="D25" i="7"/>
  <c r="C25" i="7"/>
  <c r="B25" i="7"/>
  <c r="G24" i="7"/>
  <c r="F24" i="7"/>
  <c r="E24" i="7"/>
  <c r="D24" i="7"/>
  <c r="C24" i="7"/>
  <c r="B24" i="7"/>
  <c r="G23" i="7"/>
  <c r="F23" i="7"/>
  <c r="E23" i="7"/>
  <c r="D23" i="7"/>
  <c r="C23" i="7"/>
  <c r="B23" i="7"/>
  <c r="G22" i="7"/>
  <c r="F22" i="7"/>
  <c r="E22" i="7"/>
  <c r="D22" i="7"/>
  <c r="C22" i="7"/>
  <c r="B22" i="7"/>
  <c r="G21" i="7"/>
  <c r="F21" i="7"/>
  <c r="E21" i="7"/>
  <c r="D21" i="7"/>
  <c r="C21" i="7"/>
  <c r="B21" i="7"/>
  <c r="G20" i="7"/>
  <c r="F20" i="7"/>
  <c r="E20" i="7"/>
  <c r="D20" i="7"/>
  <c r="C20" i="7"/>
  <c r="B20" i="7"/>
  <c r="G19" i="7"/>
  <c r="F19" i="7"/>
  <c r="E19" i="7"/>
  <c r="D19" i="7"/>
  <c r="C19" i="7"/>
  <c r="B19" i="7"/>
  <c r="G18" i="7"/>
  <c r="F18" i="7"/>
  <c r="E18" i="7"/>
  <c r="D18" i="7"/>
  <c r="C18" i="7"/>
  <c r="B18" i="7"/>
  <c r="G17" i="7"/>
  <c r="F17" i="7"/>
  <c r="E17" i="7"/>
  <c r="D17" i="7"/>
  <c r="C17" i="7"/>
  <c r="B17" i="7"/>
  <c r="G16" i="7"/>
  <c r="F16" i="7"/>
  <c r="E16" i="7"/>
  <c r="D16" i="7"/>
  <c r="C16" i="7"/>
  <c r="B16" i="7"/>
  <c r="G15" i="7"/>
  <c r="F15" i="7"/>
  <c r="E15" i="7"/>
  <c r="D15" i="7"/>
  <c r="C15" i="7"/>
  <c r="B15" i="7"/>
  <c r="G14" i="7"/>
  <c r="F14" i="7"/>
  <c r="E14" i="7"/>
  <c r="D14" i="7"/>
  <c r="C14" i="7"/>
  <c r="B14" i="7"/>
  <c r="G13" i="7"/>
  <c r="F13" i="7"/>
  <c r="E13" i="7"/>
  <c r="D13" i="7"/>
  <c r="C13" i="7"/>
  <c r="B13" i="7"/>
  <c r="G12" i="7"/>
  <c r="F12" i="7"/>
  <c r="E12" i="7"/>
  <c r="D12" i="7"/>
  <c r="C12" i="7"/>
  <c r="B12" i="7"/>
  <c r="G11" i="7"/>
  <c r="F11" i="7"/>
  <c r="E11" i="7"/>
  <c r="D11" i="7"/>
  <c r="C11" i="7"/>
  <c r="B11" i="7"/>
  <c r="G10" i="7"/>
  <c r="F10" i="7"/>
  <c r="E10" i="7"/>
  <c r="D10" i="7"/>
  <c r="C10" i="7"/>
  <c r="B10" i="7"/>
  <c r="G9" i="7"/>
  <c r="F9" i="7"/>
  <c r="E9" i="7"/>
  <c r="D9" i="7"/>
  <c r="C9" i="7"/>
  <c r="B9" i="7"/>
  <c r="G8" i="7"/>
  <c r="F8" i="7"/>
  <c r="E8" i="7"/>
  <c r="D8" i="7"/>
  <c r="C8" i="7"/>
  <c r="B8" i="7"/>
  <c r="G7" i="7"/>
  <c r="F7" i="7"/>
  <c r="E7" i="7"/>
  <c r="D7" i="7"/>
  <c r="C7" i="7"/>
  <c r="B7" i="7"/>
  <c r="G6" i="7"/>
  <c r="F6" i="7"/>
  <c r="E6" i="7"/>
  <c r="D6" i="7"/>
  <c r="C6" i="7"/>
  <c r="B6" i="7"/>
  <c r="G5" i="7"/>
  <c r="F5" i="7"/>
  <c r="E5" i="7"/>
  <c r="D5" i="7"/>
  <c r="C5" i="7"/>
  <c r="B5" i="7"/>
  <c r="O3" i="7"/>
  <c r="O4" i="7" s="1"/>
  <c r="N3" i="7"/>
  <c r="N4" i="7" s="1"/>
  <c r="M3" i="7"/>
  <c r="M4" i="7" s="1"/>
  <c r="L3" i="7"/>
  <c r="L4" i="7" s="1"/>
  <c r="K3" i="7"/>
  <c r="K4" i="7" s="1"/>
  <c r="C4" i="6"/>
  <c r="B3" i="6"/>
  <c r="C3" i="6" s="1"/>
  <c r="C4" i="5"/>
  <c r="B3" i="5"/>
  <c r="C3" i="5" s="1"/>
  <c r="C4" i="4"/>
  <c r="B3" i="4"/>
  <c r="C3" i="4" s="1"/>
  <c r="C4" i="3"/>
  <c r="B3" i="3"/>
  <c r="C3" i="3" s="1"/>
  <c r="C4" i="2"/>
  <c r="B3" i="2"/>
  <c r="C3" i="2" s="1"/>
  <c r="H45" i="1"/>
  <c r="G45" i="1"/>
  <c r="F45" i="1"/>
  <c r="E45" i="1"/>
  <c r="D45" i="1"/>
  <c r="H38" i="7" l="1"/>
  <c r="H42" i="7"/>
  <c r="H36" i="7"/>
  <c r="H40" i="7"/>
  <c r="H44" i="7"/>
  <c r="H10" i="7"/>
  <c r="D45" i="7"/>
  <c r="H6" i="7"/>
  <c r="H8" i="7"/>
  <c r="H12" i="7"/>
  <c r="H14" i="7"/>
  <c r="H16" i="7"/>
  <c r="H18" i="7"/>
  <c r="H20" i="7"/>
  <c r="H22" i="7"/>
  <c r="H24" i="7"/>
  <c r="H26" i="7"/>
  <c r="H28" i="7"/>
  <c r="H30" i="7"/>
  <c r="H32" i="7"/>
  <c r="H34" i="7"/>
  <c r="H5" i="7"/>
  <c r="G45" i="7"/>
  <c r="H7" i="7"/>
  <c r="H9" i="7"/>
  <c r="H11" i="7"/>
  <c r="H13" i="7"/>
  <c r="H15" i="7"/>
  <c r="H17" i="7"/>
  <c r="H19" i="7"/>
  <c r="H21" i="7"/>
  <c r="H23" i="7"/>
  <c r="H25" i="7"/>
  <c r="H27" i="7"/>
  <c r="H29" i="7"/>
  <c r="H31" i="7"/>
  <c r="H33" i="7"/>
  <c r="H35" i="7"/>
  <c r="H37" i="7"/>
  <c r="H39" i="7"/>
  <c r="H41" i="7"/>
  <c r="H43" i="7"/>
  <c r="C45" i="7"/>
</calcChain>
</file>

<file path=xl/comments1.xml><?xml version="1.0" encoding="utf-8"?>
<comments xmlns="http://schemas.openxmlformats.org/spreadsheetml/2006/main">
  <authors>
    <author>bmb_pc</author>
  </authors>
  <commentList>
    <comment ref="B3" authorId="0" shapeId="0">
      <text>
        <r>
          <rPr>
            <sz val="11"/>
            <color rgb="FFFF0000"/>
            <rFont val="맑은 고딕"/>
            <family val="3"/>
            <charset val="129"/>
          </rPr>
          <t xml:space="preserve">1. 학생별 학습, 인성, 예체능 예시문 코드를 입력합니다.
2. 상단에 있는 종합의견을 작성할 학생의 시작번호와 끝번호를 
입력한 후 가저오기 버튼을 끌릭하면 초안이 만들어 집니다.
3. 초안작성 후 적당히 수정한 후 학생부에 붙여 넣기를 하면 끝.
# 주의 : 초안을 수정한 후 다시 가져오기를 하면 수정된 내용이 원래대로 바뀌니 주의하세요.
                                    제작 2015. 12. 28. 배만병
</t>
        </r>
      </text>
    </comment>
  </commentList>
</comments>
</file>

<file path=xl/sharedStrings.xml><?xml version="1.0" encoding="utf-8"?>
<sst xmlns="http://schemas.openxmlformats.org/spreadsheetml/2006/main" count="2464" uniqueCount="1123">
  <si>
    <r>
      <rPr>
        <sz val="12"/>
        <color rgb="FF000000"/>
        <rFont val="맑은 고딕"/>
        <family val="3"/>
        <charset val="129"/>
      </rPr>
      <t>자신이 좋아하는 일만 하거나 한 가지에 쏠리지 않고 균형 있게 판단하고 행동함</t>
    </r>
    <r>
      <rPr>
        <sz val="12"/>
        <color rgb="FF000000"/>
        <rFont val="함초롬바탕"/>
        <family val="1"/>
        <charset val="129"/>
      </rPr>
      <t xml:space="preserve">. </t>
    </r>
  </si>
  <si>
    <r>
      <rPr>
        <sz val="12"/>
        <color rgb="FF000000"/>
        <rFont val="맑은 고딕"/>
        <family val="3"/>
        <charset val="129"/>
      </rPr>
      <t>마음이 순박하여</t>
    </r>
    <r>
      <rPr>
        <sz val="12"/>
        <color rgb="FF000000"/>
        <rFont val="함초롬바탕"/>
        <family val="1"/>
        <charset val="129"/>
      </rPr>
      <t xml:space="preserve">, </t>
    </r>
    <r>
      <rPr>
        <sz val="12"/>
        <color rgb="FF000000"/>
        <rFont val="맑은 고딕"/>
        <family val="3"/>
        <charset val="129"/>
      </rPr>
      <t>친구들의 말을 잘 따르고 친구들과 함께 어울리는 것을 좋아함</t>
    </r>
    <r>
      <rPr>
        <sz val="12"/>
        <color rgb="FF000000"/>
        <rFont val="함초롬바탕"/>
        <family val="1"/>
        <charset val="129"/>
      </rPr>
      <t xml:space="preserve">. </t>
    </r>
  </si>
  <si>
    <t xml:space="preserve">어려운 일은 쉽게 포기하려 하고 자기의 목표가 분명하지 않으며 학교생활이 매우 산만하고, 행동이 느려 주변 정리 정돈과 끝마무리가 잘 안됨. </t>
  </si>
  <si>
    <t xml:space="preserve">분단 토의 학습에 관심을 갖지 못하며 모든 일에 최선을 다하지 않고, 여러 방면에 걸쳐 노력이 미약하고 특히 학습 성취 의욕이 부족함. </t>
  </si>
  <si>
    <t xml:space="preserve">자신감 있고 명랑하나 어려운 일은 쉽게 포기하려 하고 남에게 많이 의지하며, 학습태도가 산만한 편이고 과제와 준비물에 좀 더 관심이 필요함. </t>
  </si>
  <si>
    <t xml:space="preserve">학습에 필요한 자료를 잘 수집해 오지 않으며 학습시간에 산만하고, 주어진 일을 끈기 있게 해결하지 않으며 작은 일에도 최선을 다하지 못함. </t>
  </si>
  <si>
    <t xml:space="preserve">학습태도가 산만해 집중력이 떨어지고 발표를 논리적으로 하는 능력이 부족하며, 친구들과 잘 어울려 지내지 않으려 하고 매사 자신감이 부족함 </t>
  </si>
  <si>
    <r>
      <rPr>
        <sz val="12"/>
        <color rgb="FF000000"/>
        <rFont val="맑은 고딕"/>
        <family val="3"/>
        <charset val="129"/>
      </rPr>
      <t>갈등 상황에서 자신의 생각을 표현하기 보다 혼자만의 시간을 갖는 경우가 많아 자신의 감정을 효과적으로 표현하는 능력을 기를 필요가 있음</t>
    </r>
    <r>
      <rPr>
        <sz val="12"/>
        <color rgb="FF000000"/>
        <rFont val="함초롬바탕"/>
        <family val="1"/>
        <charset val="129"/>
      </rPr>
      <t xml:space="preserve">. </t>
    </r>
  </si>
  <si>
    <t xml:space="preserve">학습태도 좋으며 전 교과학습 영역에 걸쳐 성적이 양호하고, 자기의 행동에 책임을 지며 맡은 일에 최선을 다하여 잘 하려는 태도를 가졌음. </t>
  </si>
  <si>
    <t xml:space="preserve">인내심을 갖고 하려는 태도가 부족하여 과제를 대강 해오거나 마치지 못하는 경우가 있으므로 꾸준한 과제해결태도를 기른다면 많은 발전이 기대됨. </t>
  </si>
  <si>
    <t xml:space="preserve">꾸준히 노력하는 학습 태도를 가져서 전 교과 성적이 우수하고, 다른 사람의 의견을 잘 존중하며 궂은일에도 솔선하여 앞장서서 끝맺음을 잘 함. </t>
  </si>
  <si>
    <t xml:space="preserve">스스로 문제를 해결하려는 자세가 좋으며 학습 활동에 자신감이 있으며, 남의 의견을 존중할 줄 알고 단체 활동에 매우 적극적인 태도를 지녔음. </t>
  </si>
  <si>
    <r>
      <rPr>
        <sz val="12"/>
        <color rgb="FF000000"/>
        <rFont val="맑은 고딕"/>
        <family val="3"/>
        <charset val="129"/>
      </rPr>
      <t>말과 행동이 침착하고 사려가 깊으며 학급 부회장으로 남들이 싫어하는 학급 쓰레기 분리수거를 나서서 하는 친구를 배려할 줄 아는 학생임</t>
    </r>
    <r>
      <rPr>
        <sz val="12"/>
        <color rgb="FF000000"/>
        <rFont val="함초롬바탕"/>
        <family val="1"/>
        <charset val="129"/>
      </rPr>
      <t xml:space="preserve">. </t>
    </r>
  </si>
  <si>
    <r>
      <rPr>
        <sz val="12"/>
        <color rgb="FF000000"/>
        <rFont val="맑은 고딕"/>
        <family val="3"/>
        <charset val="129"/>
      </rPr>
      <t>밝고 명랑한 성격으로 친구들과 즐겁게 학교생활을 하지만 수업시간에 지나친 행동으로 학습을 방해하는 경우가 있어 주의를 기울이는 노력을 함</t>
    </r>
    <r>
      <rPr>
        <sz val="12"/>
        <color rgb="FF000000"/>
        <rFont val="함초롬바탕"/>
        <family val="1"/>
        <charset val="129"/>
      </rPr>
      <t xml:space="preserve">. </t>
    </r>
  </si>
  <si>
    <t xml:space="preserve">학용품을 깨끗이 이용하며 주변 정리정돈을 잘하고, 독서하는 습관이 바르게 형성되어 있으며 글쓰기를 즐겨하고 그리기, 꾸미기에 소질이 많음. </t>
  </si>
  <si>
    <r>
      <rPr>
        <sz val="12"/>
        <color rgb="FF000000"/>
        <rFont val="맑은 고딕"/>
        <family val="3"/>
        <charset val="129"/>
      </rPr>
      <t>모둠 활동이나 단체 활동을 할 때 독단적으로 하기 보단 다른 친구들을 배려하고 함께 헤쳐나갈 수 있도록 리더쉽을 보여 교우관계가 돈독함</t>
    </r>
    <r>
      <rPr>
        <sz val="12"/>
        <color rgb="FF000000"/>
        <rFont val="함초롬바탕"/>
        <family val="1"/>
        <charset val="129"/>
      </rPr>
      <t xml:space="preserve">. </t>
    </r>
  </si>
  <si>
    <r>
      <rPr>
        <sz val="12"/>
        <color rgb="FF000000"/>
        <rFont val="맑은 고딕"/>
        <family val="3"/>
        <charset val="129"/>
      </rPr>
      <t>웃어른을 존경할 줄 알며 인사성이 바르고 성품이 너그러워 친구의 잘못이나 아픔을 따뜻하게 이해해 주는 진지하고 따뜻한 품성을 지닌 학생임</t>
    </r>
    <r>
      <rPr>
        <sz val="12"/>
        <color rgb="FF000000"/>
        <rFont val="함초롬바탕"/>
        <family val="1"/>
        <charset val="129"/>
      </rPr>
      <t xml:space="preserve">. </t>
    </r>
  </si>
  <si>
    <t xml:space="preserve">바른 생활 습관이 잘 형성되어 있으며 매사에 성실하며, 말씨가 차분하고 남의 의견을 존중할 줄 알며 학습에도 열심을 보이고 고루 우수함. </t>
  </si>
  <si>
    <r>
      <rPr>
        <sz val="12"/>
        <color rgb="FF000000"/>
        <rFont val="맑은 고딕"/>
        <family val="3"/>
        <charset val="129"/>
      </rPr>
      <t>타인의 감정을 이해하는 노력</t>
    </r>
    <r>
      <rPr>
        <sz val="12"/>
        <color rgb="FF000000"/>
        <rFont val="함초롬바탕"/>
        <family val="1"/>
        <charset val="129"/>
      </rPr>
      <t>(</t>
    </r>
    <r>
      <rPr>
        <sz val="12"/>
        <color rgb="FF000000"/>
        <rFont val="맑은 고딕"/>
        <family val="3"/>
        <charset val="129"/>
      </rPr>
      <t>심리상담</t>
    </r>
    <r>
      <rPr>
        <sz val="12"/>
        <color rgb="FF000000"/>
        <rFont val="함초롬바탕"/>
        <family val="1"/>
        <charset val="129"/>
      </rPr>
      <t xml:space="preserve">, </t>
    </r>
    <r>
      <rPr>
        <sz val="12"/>
        <color rgb="FF000000"/>
        <rFont val="맑은 고딕"/>
        <family val="3"/>
        <charset val="129"/>
      </rPr>
      <t>가족상담</t>
    </r>
    <r>
      <rPr>
        <sz val="12"/>
        <color rgb="FF000000"/>
        <rFont val="함초롬바탕"/>
        <family val="1"/>
        <charset val="129"/>
      </rPr>
      <t>)</t>
    </r>
    <r>
      <rPr>
        <sz val="12"/>
        <color rgb="FF000000"/>
        <rFont val="맑은 고딕"/>
        <family val="3"/>
        <charset val="129"/>
      </rPr>
      <t>을 통해 자기조절능력을 키움</t>
    </r>
    <r>
      <rPr>
        <sz val="12"/>
        <color rgb="FF000000"/>
        <rFont val="함초롬바탕"/>
        <family val="1"/>
        <charset val="129"/>
      </rPr>
      <t xml:space="preserve">. </t>
    </r>
  </si>
  <si>
    <r>
      <rPr>
        <sz val="12"/>
        <color rgb="FF000000"/>
        <rFont val="맑은 고딕"/>
        <family val="3"/>
        <charset val="129"/>
      </rPr>
      <t>교만하지 않고 매사에 신중하면서도 자신을 낮추는 태도에서 겸손함을 엿볼 수 있음</t>
    </r>
    <r>
      <rPr>
        <sz val="12"/>
        <color rgb="FF000000"/>
        <rFont val="함초롬바탕"/>
        <family val="1"/>
        <charset val="129"/>
      </rPr>
      <t>.</t>
    </r>
  </si>
  <si>
    <t>문제/해결/자신감/태도</t>
  </si>
  <si>
    <t xml:space="preserve">학교생활을 매우 즐겁게 하며 주어진 일을 끝까지 잘 해결하고, 스스로 맡은 일을 잘 처리하며, 무슨 일이든 열심히 하는 태도를 가졌음. </t>
  </si>
  <si>
    <r>
      <rPr>
        <sz val="12"/>
        <color rgb="FF000000"/>
        <rFont val="맑은 고딕"/>
        <family val="3"/>
        <charset val="129"/>
      </rPr>
      <t>친구의 작은 부탁도 소홀이 여기지 않고 잘 들어주며 급우들과는 밝은 모습으로 즐겁게 학교생활을 하고 어른에 대한 예의가 바른 순수한 학생임</t>
    </r>
    <r>
      <rPr>
        <sz val="12"/>
        <color rgb="FF000000"/>
        <rFont val="함초롬바탕"/>
        <family val="1"/>
        <charset val="129"/>
      </rPr>
      <t xml:space="preserve">. </t>
    </r>
  </si>
  <si>
    <r>
      <rPr>
        <sz val="12"/>
        <color rgb="FF000000"/>
        <rFont val="맑은 고딕"/>
        <family val="3"/>
        <charset val="129"/>
      </rPr>
      <t>만화 그리기를 좋아하고 주제에 맞게 그림을 잘 표현하며 전반적인 문제를 해결하는 속도가 다소 늦은 편으로 끝까지 마무리하는 자세가 필요함</t>
    </r>
    <r>
      <rPr>
        <sz val="12"/>
        <color rgb="FF000000"/>
        <rFont val="함초롬바탕"/>
        <family val="1"/>
        <charset val="129"/>
      </rPr>
      <t xml:space="preserve">. </t>
    </r>
  </si>
  <si>
    <r>
      <rPr>
        <sz val="12"/>
        <color rgb="FF000000"/>
        <rFont val="맑은 고딕"/>
        <family val="3"/>
        <charset val="129"/>
      </rPr>
      <t>서로 힘을 합쳐 어려운 일도 함께 해내는 태도가 바람직하고 체육 활동에 적극적으로 참여하여 건강하고 활동적이며 사교성이 좋아 친구가 많음</t>
    </r>
    <r>
      <rPr>
        <sz val="12"/>
        <color rgb="FF000000"/>
        <rFont val="함초롬바탕"/>
        <family val="1"/>
        <charset val="129"/>
      </rPr>
      <t xml:space="preserve">. </t>
    </r>
  </si>
  <si>
    <r>
      <rPr>
        <sz val="12"/>
        <color rgb="FF000000"/>
        <rFont val="맑은 고딕"/>
        <family val="3"/>
        <charset val="129"/>
      </rPr>
      <t>차분하고 다정다감한 성품으로 언제나 작은 미소로 모두에게 친절하게 대하여 친구들에게 신망이 두터운 학생으로 수업 시간에 바른 자세로 참여함</t>
    </r>
    <r>
      <rPr>
        <sz val="12"/>
        <color rgb="FF000000"/>
        <rFont val="함초롬바탕"/>
        <family val="1"/>
        <charset val="129"/>
      </rPr>
      <t xml:space="preserve">. </t>
    </r>
  </si>
  <si>
    <t xml:space="preserve">모든 일에 소극적이며 협력학습 활동에 참여하는 활동이 미약하고, 스스로 문제를 해결하려는 자세가 아쉬우며 학습활동에 자신감을 키워야 하겠음. </t>
  </si>
  <si>
    <t xml:space="preserve">주변의 일에 앞장서서 자발적으로 해결하기도 하며 유머감각이 있고, 학습내용에 대한 성취의욕이 있어 전 교과 성적이 조금씩 발전되어 감. </t>
  </si>
  <si>
    <t xml:space="preserve">순박하고 명랑한 성품을 가졌으며 매사에 성실한 태도를 보이나, 기초학습기능이 바르게 정착되었으나 내용을 생각하며 독서하기에 노력이 필요함. </t>
  </si>
  <si>
    <r>
      <rPr>
        <sz val="12"/>
        <color rgb="FF000000"/>
        <rFont val="맑은 고딕"/>
        <family val="3"/>
        <charset val="129"/>
      </rPr>
      <t>평소 자신의 주장만 내세우고 학급의 어려운 친구들을 도와주기보다는 이기적인 행동으로 급우간의 관계가 좋지 않았고</t>
    </r>
    <r>
      <rPr>
        <sz val="12"/>
        <color rgb="FF000000"/>
        <rFont val="함초롬바탕"/>
        <family val="1"/>
        <charset val="129"/>
      </rPr>
      <t xml:space="preserve">, </t>
    </r>
    <r>
      <rPr>
        <sz val="12"/>
        <color rgb="FF000000"/>
        <rFont val="맑은 고딕"/>
        <family val="3"/>
        <charset val="129"/>
      </rPr>
      <t>이를 해결하는 갈등관리 능력이 부족하여 학교생활에 어려움을 겪고 있었음</t>
    </r>
    <r>
      <rPr>
        <sz val="12"/>
        <color rgb="FF000000"/>
        <rFont val="함초롬바탕"/>
        <family val="1"/>
        <charset val="129"/>
      </rPr>
      <t xml:space="preserve">. </t>
    </r>
    <r>
      <rPr>
        <sz val="12"/>
        <color rgb="FF000000"/>
        <rFont val="맑은 고딕"/>
        <family val="3"/>
        <charset val="129"/>
      </rPr>
      <t>이후 친구들과 협력학습 및 모둠활동 등을 준비하며 협력하는 방법을 배우게 되었음</t>
    </r>
    <r>
      <rPr>
        <sz val="12"/>
        <color rgb="FF000000"/>
        <rFont val="함초롬바탕"/>
        <family val="1"/>
        <charset val="129"/>
      </rPr>
      <t xml:space="preserve">. </t>
    </r>
  </si>
  <si>
    <t xml:space="preserve">학습내용에 대한 성취의욕이 있으며 수학적 문제 해결에 관심이 많으며 친구들과 어울리기를 좋아하나 바른 생활 습관이 더욱 형성되어야 하며 정서적 안정감이 필요함. </t>
  </si>
  <si>
    <t xml:space="preserve">말씨가 차분하고 고운 마음씨와 순박하고 명랑한 성품을 가졌으며, 과제학습을 잘 해오고 기본 학습 태도가 잘 형성되어 있으며 매사에 시간을 유익하게 잘 활용함. </t>
  </si>
  <si>
    <t xml:space="preserve">학습태도 양호하며 그리기에 소질이 있고, 자기의 주장을 잘 내세우며 책읽기 및 글짓기에 관심이 있으며 남의 의견을 존중하며 단체 활동에 참여하는 태도가 양호함. </t>
  </si>
  <si>
    <t xml:space="preserve">매사 말씨와 행동에 붙임성이 있어서 교우관계가 원만하고 기본적인 학습규칙을 잘 이행하며 자기의 목표 달성을 위해 성실히 노력하여 전 교과 성적 많이 향상됨. </t>
  </si>
  <si>
    <t>학교생활을 매우 즐겁게 하며 주어진 일을 끝까지 잘 해결하고, 스스로 맡은 일을 잘 처리하며, 무슨 일이든 열심히 하는 태도를 가졌으며 친구들과도 매우 잘 지냄.</t>
  </si>
  <si>
    <t xml:space="preserve">독서하는 습관이 바르게 형성되었고, 바른 글씨 쓰기에 관심을 가지고 노력하여 많이 발전되었으며, 학습내용에 대한 성취 의욕이 있어 전 교과 성적이 많이 향상 됨. </t>
  </si>
  <si>
    <t xml:space="preserve">순박하고 명랑한 성품을 가졌으며 집단생활에 적응하는 태도가 양호하나, 기초적 학습 기능은 바르게 정착되었으나 산만하고 다른 사람에게 의지하려는 경향이 많음. </t>
  </si>
  <si>
    <r>
      <rPr>
        <sz val="12"/>
        <color rgb="FF000000"/>
        <rFont val="맑은 고딕"/>
        <family val="3"/>
        <charset val="129"/>
      </rPr>
      <t>자신을 되돌아보고 힘에 대한 애착을 하지 않아 내면의 평화를 가지고 있음</t>
    </r>
    <r>
      <rPr>
        <sz val="12"/>
        <color rgb="FF000000"/>
        <rFont val="함초롬바탕"/>
        <family val="1"/>
        <charset val="129"/>
      </rPr>
      <t xml:space="preserve">. </t>
    </r>
  </si>
  <si>
    <t>끝까지 포기하지 않고 목표한 바를 위해 노력하는 꾸준함이 돋보이는 학생임.</t>
  </si>
  <si>
    <r>
      <rPr>
        <sz val="12"/>
        <color rgb="FF000000"/>
        <rFont val="맑은 고딕"/>
        <family val="3"/>
        <charset val="129"/>
      </rPr>
      <t>한번 정한 목표를 이루기 위해 부단히 노력하는 모습이 타의 모범이 됨</t>
    </r>
    <r>
      <rPr>
        <sz val="12"/>
        <color rgb="FF000000"/>
        <rFont val="함초롬바탕"/>
        <family val="1"/>
        <charset val="129"/>
      </rPr>
      <t xml:space="preserve">. </t>
    </r>
  </si>
  <si>
    <r>
      <rPr>
        <sz val="12"/>
        <color rgb="FF000000"/>
        <rFont val="맑은 고딕"/>
        <family val="3"/>
        <charset val="129"/>
      </rPr>
      <t>무엇이든 관심을 가지고 열심히 하려는 태도로 성취감이 강하여 발전이 기대됨</t>
    </r>
    <r>
      <rPr>
        <sz val="12"/>
        <color rgb="FF000000"/>
        <rFont val="함초롬바탕"/>
        <family val="1"/>
        <charset val="129"/>
      </rPr>
      <t>.</t>
    </r>
  </si>
  <si>
    <r>
      <rPr>
        <sz val="12"/>
        <color rgb="FF000000"/>
        <rFont val="맑은 고딕"/>
        <family val="3"/>
        <charset val="129"/>
      </rPr>
      <t>자기의 행동에 책임을 지며 맡은 일에 최선을 다하여 잘하려는 태도를 지녔음</t>
    </r>
    <r>
      <rPr>
        <sz val="12"/>
        <color rgb="FF000000"/>
        <rFont val="함초롬바탕"/>
        <family val="1"/>
        <charset val="129"/>
      </rPr>
      <t>.</t>
    </r>
  </si>
  <si>
    <r>
      <rPr>
        <sz val="12"/>
        <color rgb="FF000000"/>
        <rFont val="맑은 고딕"/>
        <family val="3"/>
        <charset val="129"/>
      </rPr>
      <t>말과 행동이 일치하며 가장 가치있는 것이 무엇인지를 알고 그에 따라 행동함</t>
    </r>
    <r>
      <rPr>
        <sz val="12"/>
        <color rgb="FF000000"/>
        <rFont val="함초롬바탕"/>
        <family val="1"/>
        <charset val="129"/>
      </rPr>
      <t xml:space="preserve">. </t>
    </r>
  </si>
  <si>
    <r>
      <rPr>
        <sz val="12"/>
        <color rgb="FF000000"/>
        <rFont val="맑은 고딕"/>
        <family val="3"/>
        <charset val="129"/>
      </rPr>
      <t>자신의 주위가 체계적으로 정리되도록 주변을 조화롭고 가지런하게 유지함</t>
    </r>
    <r>
      <rPr>
        <sz val="12"/>
        <color rgb="FF000000"/>
        <rFont val="함초롬바탕"/>
        <family val="1"/>
        <charset val="129"/>
      </rPr>
      <t xml:space="preserve">. </t>
    </r>
  </si>
  <si>
    <r>
      <rPr>
        <sz val="12"/>
        <color rgb="FF000000"/>
        <rFont val="맑은 고딕"/>
        <family val="3"/>
        <charset val="129"/>
      </rPr>
      <t>자기 물건에 이름표를 잘 붙이고</t>
    </r>
    <r>
      <rPr>
        <sz val="12"/>
        <color rgb="FF000000"/>
        <rFont val="함초롬바탕"/>
        <family val="1"/>
        <charset val="129"/>
      </rPr>
      <t xml:space="preserve">, </t>
    </r>
    <r>
      <rPr>
        <sz val="12"/>
        <color rgb="FF000000"/>
        <rFont val="맑은 고딕"/>
        <family val="3"/>
        <charset val="129"/>
      </rPr>
      <t>학습지를 파일에 잘 정리하는 태도가 좋음</t>
    </r>
    <r>
      <rPr>
        <sz val="12"/>
        <color rgb="FF000000"/>
        <rFont val="함초롬바탕"/>
        <family val="1"/>
        <charset val="129"/>
      </rPr>
      <t xml:space="preserve">. </t>
    </r>
  </si>
  <si>
    <r>
      <rPr>
        <sz val="12"/>
        <color rgb="FF000000"/>
        <rFont val="맑은 고딕"/>
        <family val="3"/>
        <charset val="129"/>
      </rPr>
      <t>무슨 일이든 맡은 일을 훌륭하게 해냄으로써 타인으로부터 신뢰를 얻고 있음</t>
    </r>
    <r>
      <rPr>
        <sz val="12"/>
        <color rgb="FF000000"/>
        <rFont val="함초롬바탕"/>
        <family val="1"/>
        <charset val="129"/>
      </rPr>
      <t xml:space="preserve">. </t>
    </r>
  </si>
  <si>
    <r>
      <rPr>
        <sz val="12"/>
        <color rgb="FF000000"/>
        <rFont val="맑은 고딕"/>
        <family val="3"/>
        <charset val="129"/>
      </rPr>
      <t>학급의 학습 활동시 부족한 친구들을 도와주어 친구의 학업 능력을 향상시킴</t>
    </r>
    <r>
      <rPr>
        <sz val="12"/>
        <color rgb="FF000000"/>
        <rFont val="함초롬바탕"/>
        <family val="1"/>
        <charset val="129"/>
      </rPr>
      <t xml:space="preserve">. </t>
    </r>
  </si>
  <si>
    <r>
      <rPr>
        <sz val="12"/>
        <color rgb="FF000000"/>
        <rFont val="맑은 고딕"/>
        <family val="3"/>
        <charset val="129"/>
      </rPr>
      <t>친구가 어려움에 처했을 때 친구의 상황과 아픔을 이해하여 따뜻하게 대해 줌</t>
    </r>
    <r>
      <rPr>
        <sz val="12"/>
        <color rgb="FF000000"/>
        <rFont val="함초롬바탕"/>
        <family val="1"/>
        <charset val="129"/>
      </rPr>
      <t xml:space="preserve">. </t>
    </r>
  </si>
  <si>
    <r>
      <rPr>
        <sz val="12"/>
        <color rgb="FF000000"/>
        <rFont val="맑은 고딕"/>
        <family val="3"/>
        <charset val="129"/>
      </rPr>
      <t>가치있다고 여기는 대상에 대하여 몸과 마음을 다해 돌보는 태도가 바람직함</t>
    </r>
    <r>
      <rPr>
        <sz val="12"/>
        <color rgb="FF000000"/>
        <rFont val="함초롬바탕"/>
        <family val="1"/>
        <charset val="129"/>
      </rPr>
      <t>.</t>
    </r>
  </si>
  <si>
    <r>
      <rPr>
        <sz val="12"/>
        <color rgb="FF000000"/>
        <rFont val="맑은 고딕"/>
        <family val="3"/>
        <charset val="129"/>
      </rPr>
      <t>온 마음과 힘을 쏟아 일을 해결하며 목표를 달성할 때 느끼는 성취감을 즐김</t>
    </r>
    <r>
      <rPr>
        <sz val="12"/>
        <color rgb="FF000000"/>
        <rFont val="함초롬바탕"/>
        <family val="1"/>
        <charset val="129"/>
      </rPr>
      <t xml:space="preserve">. </t>
    </r>
  </si>
  <si>
    <r>
      <rPr>
        <sz val="12"/>
        <color rgb="FF000000"/>
        <rFont val="맑은 고딕"/>
        <family val="3"/>
        <charset val="129"/>
      </rPr>
      <t>친구를 보살펴주고 스스럼없이 친구와 사이좋게 지내면서 학습활동을 잘 도와줌</t>
    </r>
    <r>
      <rPr>
        <sz val="12"/>
        <color rgb="FF000000"/>
        <rFont val="함초롬바탕"/>
        <family val="1"/>
        <charset val="129"/>
      </rPr>
      <t xml:space="preserve">. </t>
    </r>
  </si>
  <si>
    <r>
      <rPr>
        <sz val="12"/>
        <color rgb="FF000000"/>
        <rFont val="맑은 고딕"/>
        <family val="3"/>
        <charset val="129"/>
      </rPr>
      <t>무슨일이든 맡은 일을 훌륭하게 해냄으로써 타인으로부터 신뢰를 얻고 있음</t>
    </r>
    <r>
      <rPr>
        <sz val="12"/>
        <color rgb="FF000000"/>
        <rFont val="함초롬바탕"/>
        <family val="1"/>
        <charset val="129"/>
      </rPr>
      <t xml:space="preserve">. </t>
    </r>
  </si>
  <si>
    <r>
      <rPr>
        <sz val="12"/>
        <color rgb="FF000000"/>
        <rFont val="맑은 고딕"/>
        <family val="3"/>
        <charset val="129"/>
      </rPr>
      <t>제시된 방법이 아닌 자신만의 독창적인 방법으로 문제를 해결하는 능력이 탁월함</t>
    </r>
    <r>
      <rPr>
        <sz val="12"/>
        <color rgb="FF000000"/>
        <rFont val="함초롬바탕"/>
        <family val="1"/>
        <charset val="129"/>
      </rPr>
      <t>.</t>
    </r>
  </si>
  <si>
    <t xml:space="preserve">자기의 잘못을 인정하고 수정하여 행동하며 무슨 일이든 자신감을 갖고 해결함. </t>
  </si>
  <si>
    <t xml:space="preserve">체육과의 신체적 기능이 뛰어나 운동하기를 좋아하고 우수한 기록을 세움. </t>
  </si>
  <si>
    <r>
      <rPr>
        <sz val="12"/>
        <color rgb="FF000000"/>
        <rFont val="맑은 고딕"/>
        <family val="3"/>
        <charset val="129"/>
      </rPr>
      <t>말과 행동이 일치하며 가장 가치있는 것이 무엇인지를 알고 그에 따라 행동함</t>
    </r>
    <r>
      <rPr>
        <sz val="12"/>
        <color rgb="FF000000"/>
        <rFont val="함초롬바탕"/>
        <family val="1"/>
        <charset val="129"/>
      </rPr>
      <t>.</t>
    </r>
  </si>
  <si>
    <r>
      <rPr>
        <sz val="12"/>
        <color rgb="FF000000"/>
        <rFont val="맑은 고딕"/>
        <family val="3"/>
        <charset val="129"/>
      </rPr>
      <t>가치있다고 여기는 대상에 대하여 몸과 마음을 다해 돌보는 태도가 바람직함</t>
    </r>
    <r>
      <rPr>
        <sz val="12"/>
        <color rgb="FF000000"/>
        <rFont val="함초롬바탕"/>
        <family val="1"/>
        <charset val="129"/>
      </rPr>
      <t xml:space="preserve">. </t>
    </r>
  </si>
  <si>
    <t xml:space="preserve">기본적인 학습 규칙을 잘 이행하며 자기의 목표가 뚜렷한 학교생활을 함. </t>
  </si>
  <si>
    <t xml:space="preserve">학습 내용에 대한 성취 의욕이 있어 전 교과 성적이 조금씩 발전되어 감. </t>
  </si>
  <si>
    <r>
      <rPr>
        <sz val="12"/>
        <color rgb="FF000000"/>
        <rFont val="맑은 고딕"/>
        <family val="3"/>
        <charset val="129"/>
      </rPr>
      <t>기본적인 학습규칙을 잘 이행하며 자기의 목표 달성을 위해 성실히 노력함</t>
    </r>
    <r>
      <rPr>
        <sz val="12"/>
        <color rgb="FF000000"/>
        <rFont val="함초롬바탕"/>
        <family val="1"/>
        <charset val="129"/>
      </rPr>
      <t xml:space="preserve">. </t>
    </r>
  </si>
  <si>
    <t xml:space="preserve">기본적인 학습 규칙을 잘 이행하고 자기의 목표가 뚜렷한 학교생활을 함. </t>
  </si>
  <si>
    <t xml:space="preserve">미술에 소질이 있으며 색감과 작품 구상 능력이 뛰어나고 표현력이 돋보임. </t>
  </si>
  <si>
    <t xml:space="preserve">신체적 기능이 뛰어나 음악을 듣고 자유자재로 몸짓으로 표현할 수 있음. </t>
  </si>
  <si>
    <t xml:space="preserve">자기의 주장을 논리적으로 잘 나타내고 사물에 대한 관찰력과 탐구력이 뛰어남. </t>
  </si>
  <si>
    <r>
      <rPr>
        <sz val="12"/>
        <color rgb="FF000000"/>
        <rFont val="맑은 고딕"/>
        <family val="3"/>
        <charset val="129"/>
      </rPr>
      <t>기본적인 학습규칙을 잘 이행하고 자기의 목표가 뚜렷한 학교 생활을 함</t>
    </r>
    <r>
      <rPr>
        <sz val="12"/>
        <color rgb="FF000000"/>
        <rFont val="함초롬바탕"/>
        <family val="1"/>
        <charset val="129"/>
      </rPr>
      <t xml:space="preserve">. </t>
    </r>
  </si>
  <si>
    <t xml:space="preserve">남의 의견을 존중할 줄 알며 단체 활동에 매우 적극적인 태도를 지녔음. </t>
  </si>
  <si>
    <r>
      <rPr>
        <sz val="12"/>
        <color rgb="FF000000"/>
        <rFont val="맑은 고딕"/>
        <family val="3"/>
        <charset val="129"/>
      </rPr>
      <t>자신이 믿는 바를 지키기 위해 노력하며 한결같은 마음으로 상대방을 대함</t>
    </r>
    <r>
      <rPr>
        <sz val="12"/>
        <color rgb="FF000000"/>
        <rFont val="함초롬바탕"/>
        <family val="1"/>
        <charset val="129"/>
      </rPr>
      <t xml:space="preserve">. </t>
    </r>
  </si>
  <si>
    <t xml:space="preserve">예체능 활동에 열심히 참여하려고 노력하며 다양한 방면에서 좋은 결과를 보임. </t>
  </si>
  <si>
    <t xml:space="preserve">티볼, 발야구 등 여러 가지 체육 활동에 적극적으로 참여하고 열심히 노력함. </t>
  </si>
  <si>
    <t xml:space="preserve">체육 활동에 적극적으로 참여하며 도전 활동과 다양한 체육 활동을 잘함. </t>
  </si>
  <si>
    <t xml:space="preserve">드럼에 흥미를 가지고 연주하며 체육 활동에 관심이 많고 활동적으로 참여함. </t>
  </si>
  <si>
    <t>그리기, 꾸미기 등 미술 활동에 소질이 많고 시각적, 공간적 표현을 잘 함</t>
  </si>
  <si>
    <t xml:space="preserve">자연현상에 대해 관심이 많으며 학습에 필요한 자료를 잘 수집하여 활용함. </t>
  </si>
  <si>
    <r>
      <rPr>
        <sz val="12"/>
        <color rgb="FF000000"/>
        <rFont val="맑은 고딕"/>
        <family val="3"/>
        <charset val="129"/>
      </rPr>
      <t>친구들이 하는 것이 옳지 않으면 언제든 확실하게 이야기해주어 바르게 함</t>
    </r>
    <r>
      <rPr>
        <sz val="12"/>
        <color rgb="FF000000"/>
        <rFont val="함초롬바탕"/>
        <family val="1"/>
        <charset val="129"/>
      </rPr>
      <t>.</t>
    </r>
  </si>
  <si>
    <t xml:space="preserve">통솔력이 있고 자신감이 넘치며 급우간에 신임이 두터움 모든 면에 모범적임 </t>
  </si>
  <si>
    <r>
      <rPr>
        <sz val="12"/>
        <color rgb="FF000000"/>
        <rFont val="맑은 고딕"/>
        <family val="3"/>
        <charset val="129"/>
      </rPr>
      <t>학급의 학습 부원으로 활동하며 학습 준비물 준비와 친구와 협력을 도움</t>
    </r>
    <r>
      <rPr>
        <sz val="12"/>
        <color rgb="FF000000"/>
        <rFont val="함초롬바탕"/>
        <family val="1"/>
        <charset val="129"/>
      </rPr>
      <t xml:space="preserve">. </t>
    </r>
  </si>
  <si>
    <r>
      <rPr>
        <sz val="12"/>
        <color rgb="FF000000"/>
        <rFont val="맑은 고딕"/>
        <family val="3"/>
        <charset val="129"/>
      </rPr>
      <t>학급의 모둠 연극 활동시 친구들과 협력하여 모둠 연극을 훌륭하게 해냄</t>
    </r>
    <r>
      <rPr>
        <sz val="12"/>
        <color rgb="FF000000"/>
        <rFont val="함초롬바탕"/>
        <family val="1"/>
        <charset val="129"/>
      </rPr>
      <t xml:space="preserve">. </t>
    </r>
  </si>
  <si>
    <r>
      <rPr>
        <sz val="12"/>
        <color rgb="FF000000"/>
        <rFont val="맑은 고딕"/>
        <family val="3"/>
        <charset val="129"/>
      </rPr>
      <t>베푸는 자세가 몸에 배어 있으며 다른 사람의 입장을 공감하는 능력이 뛰어남</t>
    </r>
    <r>
      <rPr>
        <sz val="12"/>
        <color rgb="FF000000"/>
        <rFont val="함초롬바탕"/>
        <family val="1"/>
        <charset val="129"/>
      </rPr>
      <t>.</t>
    </r>
  </si>
  <si>
    <r>
      <rPr>
        <sz val="12"/>
        <color rgb="FF000000"/>
        <rFont val="맑은 고딕"/>
        <family val="3"/>
        <charset val="129"/>
      </rPr>
      <t>자신의 기대에 어긋나는 일이 일어나도 인내심과 유연성을 갖고 받아들임</t>
    </r>
    <r>
      <rPr>
        <sz val="12"/>
        <color rgb="FF000000"/>
        <rFont val="함초롬바탕"/>
        <family val="1"/>
        <charset val="129"/>
      </rPr>
      <t xml:space="preserve">. </t>
    </r>
  </si>
  <si>
    <r>
      <rPr>
        <sz val="12"/>
        <color rgb="FF000000"/>
        <rFont val="맑은 고딕"/>
        <family val="3"/>
        <charset val="129"/>
      </rPr>
      <t>환하게 웃는 모습으로 친구들을 챙기고 학급 분위기를 밝게 만드는 학생임</t>
    </r>
    <r>
      <rPr>
        <sz val="12"/>
        <color rgb="FF000000"/>
        <rFont val="함초롬바탕"/>
        <family val="1"/>
        <charset val="129"/>
      </rPr>
      <t xml:space="preserve">. </t>
    </r>
  </si>
  <si>
    <r>
      <rPr>
        <sz val="12"/>
        <color rgb="FF000000"/>
        <rFont val="맑은 고딕"/>
        <family val="3"/>
        <charset val="129"/>
      </rPr>
      <t>자신이 화가 나고 짜증낼 때 친구와 슬기롭게 대화하는 방법을 연습하고 있음</t>
    </r>
    <r>
      <rPr>
        <sz val="12"/>
        <color rgb="FF000000"/>
        <rFont val="함초롬바탕"/>
        <family val="1"/>
        <charset val="129"/>
      </rPr>
      <t xml:space="preserve">. </t>
    </r>
  </si>
  <si>
    <r>
      <rPr>
        <sz val="12"/>
        <color rgb="FF000000"/>
        <rFont val="맑은 고딕"/>
        <family val="3"/>
        <charset val="129"/>
      </rPr>
      <t>선입견 없이 모든 사람을 공정하고 공평하게 대우하며 문제를 잘 해결함</t>
    </r>
    <r>
      <rPr>
        <sz val="12"/>
        <color rgb="FF000000"/>
        <rFont val="함초롬바탕"/>
        <family val="1"/>
        <charset val="129"/>
      </rPr>
      <t xml:space="preserve">. </t>
    </r>
  </si>
  <si>
    <r>
      <rPr>
        <sz val="12"/>
        <color rgb="FF000000"/>
        <rFont val="맑은 고딕"/>
        <family val="3"/>
        <charset val="129"/>
      </rPr>
      <t>친구가 자신에게 잘못을 저질렀을 때 너그럽게 이해하고 포용하는 대범함이 있음</t>
    </r>
    <r>
      <rPr>
        <sz val="12"/>
        <color rgb="FF000000"/>
        <rFont val="함초롬바탕"/>
        <family val="1"/>
        <charset val="129"/>
      </rPr>
      <t xml:space="preserve">. </t>
    </r>
  </si>
  <si>
    <r>
      <rPr>
        <sz val="12"/>
        <color rgb="FF000000"/>
        <rFont val="맑은 고딕"/>
        <family val="3"/>
        <charset val="129"/>
      </rPr>
      <t>실수를 배움의 기회로 여기고 일을 성취했을 때도 우쭐대지 않는 태도가 돋보임</t>
    </r>
    <r>
      <rPr>
        <sz val="12"/>
        <color rgb="FF000000"/>
        <rFont val="함초롬바탕"/>
        <family val="1"/>
        <charset val="129"/>
      </rPr>
      <t xml:space="preserve">. </t>
    </r>
  </si>
  <si>
    <t xml:space="preserve">기본적인 학습 규칙을 잘 지키고 분단 토의학습에도 매우 적극임하며, 밝고 쾌활한 성품을 가졌으며 맡은 일을 책임감 있게 잘 수행하고 모든 일에 모범을 보임자기의 주장을 논리적으로 잘 나타내고 글짓기 능력이 매우 뛰어나며, 말과 행동이 의젓하고, 사물에 대한 관찰력과 탐구력이 뛰어남. </t>
  </si>
  <si>
    <r>
      <rPr>
        <sz val="12"/>
        <color rgb="FF000000"/>
        <rFont val="맑은 고딕"/>
        <family val="3"/>
        <charset val="129"/>
      </rPr>
      <t>환하게 웃는 모습과 친구들을 챙기는 태도로 학급의 분위기를 밝게 만드는 학생임</t>
    </r>
    <r>
      <rPr>
        <sz val="12"/>
        <color rgb="FF000000"/>
        <rFont val="함초롬바탕"/>
        <family val="1"/>
        <charset val="129"/>
      </rPr>
      <t xml:space="preserve">. </t>
    </r>
  </si>
  <si>
    <r>
      <rPr>
        <sz val="12"/>
        <color rgb="FF000000"/>
        <rFont val="맑은 고딕"/>
        <family val="3"/>
        <charset val="129"/>
      </rPr>
      <t>주변에서 일어나는 작은 일에 대하여 감사하는 마음을 갖고 매사에 긍정적으로 생각함</t>
    </r>
    <r>
      <rPr>
        <sz val="12"/>
        <color rgb="FF000000"/>
        <rFont val="함초롬바탕"/>
        <family val="1"/>
        <charset val="129"/>
      </rPr>
      <t xml:space="preserve">. </t>
    </r>
  </si>
  <si>
    <t xml:space="preserve">학습태도 및 학습 준비물을 챙기는 태도가 양호함. </t>
  </si>
  <si>
    <t xml:space="preserve">학습 태도가 양호하며 꾸준히 노력하는 성품을 가졌음. </t>
  </si>
  <si>
    <t xml:space="preserve">탐구능력이 뛰어나고 합리적인 생활 태도를 가졌음. </t>
  </si>
  <si>
    <t xml:space="preserve">자신의 목표를 세우고 시간을 유익하게 잘 활용함. </t>
  </si>
  <si>
    <t xml:space="preserve">진취적인 학습 태도를 가져서 전 교과 성적이 우수함. </t>
  </si>
  <si>
    <t xml:space="preserve">기본적인 학습 규칙을 잘 지키며 모든 일에 성실함. </t>
  </si>
  <si>
    <r>
      <rPr>
        <sz val="12"/>
        <color rgb="FF000000"/>
        <rFont val="맑은 고딕"/>
        <family val="3"/>
        <charset val="129"/>
      </rPr>
      <t>사람들 앞에서는 것에 부끄러움이 많아 자신감을 가지고 발표하는 습관을 가지려는 노력이 필요함.</t>
    </r>
    <r>
      <rPr>
        <sz val="12"/>
        <color rgb="FF000000"/>
        <rFont val="함초롬바탕"/>
        <family val="1"/>
        <charset val="129"/>
      </rPr>
      <t xml:space="preserve"> </t>
    </r>
  </si>
  <si>
    <r>
      <rPr>
        <sz val="12"/>
        <color rgb="FF000000"/>
        <rFont val="맑은 고딕"/>
        <family val="3"/>
        <charset val="129"/>
      </rPr>
      <t>상큼한 표정과 행동으로 친구들에게 즐거움을 주고 친구들의 좋은 점을 칭찬해주는 멋진 학생임</t>
    </r>
    <r>
      <rPr>
        <sz val="12"/>
        <color rgb="FF000000"/>
        <rFont val="함초롬바탕"/>
        <family val="1"/>
        <charset val="129"/>
      </rPr>
      <t xml:space="preserve">. </t>
    </r>
  </si>
  <si>
    <t xml:space="preserve">항상 용모가 단정하고 차분한 성격으로 조용히 자신의 할 일을 마무리하는 학생으로 수업태도가 바름. </t>
  </si>
  <si>
    <r>
      <rPr>
        <sz val="12"/>
        <color rgb="FF000000"/>
        <rFont val="맑은 고딕"/>
        <family val="3"/>
        <charset val="129"/>
      </rPr>
      <t>자기자신을 포함하여 모든 사람을 똑같이 존중하고 사회가 정한 규범을 존중하는 태도가 바람직함</t>
    </r>
    <r>
      <rPr>
        <sz val="12"/>
        <color rgb="FF000000"/>
        <rFont val="함초롬바탕"/>
        <family val="1"/>
        <charset val="129"/>
      </rPr>
      <t xml:space="preserve">. </t>
    </r>
  </si>
  <si>
    <r>
      <rPr>
        <sz val="12"/>
        <color rgb="FF000000"/>
        <rFont val="맑은 고딕"/>
        <family val="3"/>
        <charset val="129"/>
      </rPr>
      <t>자기가 해야 할 일을 성실히 수행하고</t>
    </r>
    <r>
      <rPr>
        <sz val="12"/>
        <color rgb="FF000000"/>
        <rFont val="함초롬바탕"/>
        <family val="1"/>
        <charset val="129"/>
      </rPr>
      <t>(</t>
    </r>
    <r>
      <rPr>
        <sz val="12"/>
        <color rgb="FF000000"/>
        <rFont val="맑은 고딕"/>
        <family val="3"/>
        <charset val="129"/>
      </rPr>
      <t>협력</t>
    </r>
    <r>
      <rPr>
        <sz val="12"/>
        <color rgb="FF000000"/>
        <rFont val="함초롬바탕"/>
        <family val="1"/>
        <charset val="129"/>
      </rPr>
      <t xml:space="preserve">) </t>
    </r>
    <r>
      <rPr>
        <sz val="12"/>
        <color rgb="FF000000"/>
        <rFont val="맑은 고딕"/>
        <family val="3"/>
        <charset val="129"/>
      </rPr>
      <t>모둠 친구들이 잘 할 수 있도록 옆에서 독려함</t>
    </r>
    <r>
      <rPr>
        <sz val="12"/>
        <color rgb="FF000000"/>
        <rFont val="함초롬바탕"/>
        <family val="1"/>
        <charset val="129"/>
      </rPr>
      <t xml:space="preserve">. </t>
    </r>
  </si>
  <si>
    <r>
      <rPr>
        <sz val="12"/>
        <color rgb="FF000000"/>
        <rFont val="맑은 고딕"/>
        <family val="3"/>
        <charset val="129"/>
      </rPr>
      <t>무엇이든 욕심을 가지고 열심히 하려는 태도가 바람직하며 성취욕구가 강하여 앞으로의 발전이 기대됨</t>
    </r>
    <r>
      <rPr>
        <sz val="12"/>
        <color rgb="FF000000"/>
        <rFont val="함초롬바탕"/>
        <family val="1"/>
        <charset val="129"/>
      </rPr>
      <t xml:space="preserve">. </t>
    </r>
  </si>
  <si>
    <r>
      <rPr>
        <sz val="12"/>
        <color rgb="FF000000"/>
        <rFont val="맑은 고딕"/>
        <family val="3"/>
        <charset val="129"/>
      </rPr>
      <t>자신이 원하는 것을 하기 위해 수동적으로 반응하기 보다 스스로 자신의 행동을 선택하여 통제함</t>
    </r>
    <r>
      <rPr>
        <sz val="12"/>
        <color rgb="FF000000"/>
        <rFont val="함초롬바탕"/>
        <family val="1"/>
        <charset val="129"/>
      </rPr>
      <t xml:space="preserve">. </t>
    </r>
  </si>
  <si>
    <r>
      <rPr>
        <sz val="12"/>
        <color rgb="FF000000"/>
        <rFont val="맑은 고딕"/>
        <family val="3"/>
        <charset val="129"/>
      </rPr>
      <t>싫은 소리를 하지 않고 묵묵히 챙겨주는 스타일로 긍정적인 성격이라 교우관계에서 선호도가 높음</t>
    </r>
    <r>
      <rPr>
        <sz val="12"/>
        <color rgb="FF000000"/>
        <rFont val="함초롬바탕"/>
        <family val="1"/>
        <charset val="129"/>
      </rPr>
      <t xml:space="preserve">. </t>
    </r>
  </si>
  <si>
    <r>
      <rPr>
        <sz val="12"/>
        <color rgb="FF000000"/>
        <rFont val="맑은 고딕"/>
        <family val="3"/>
        <charset val="129"/>
      </rPr>
      <t>자신에 대한 통제력을 토대로 하여 자신이 어떻게 행동할 것인지에 대해 자유롭게 선택할 줄 앎</t>
    </r>
    <r>
      <rPr>
        <sz val="12"/>
        <color rgb="FF000000"/>
        <rFont val="함초롬바탕"/>
        <family val="1"/>
        <charset val="129"/>
      </rPr>
      <t xml:space="preserve">. </t>
    </r>
  </si>
  <si>
    <r>
      <rPr>
        <sz val="12"/>
        <color rgb="FF000000"/>
        <rFont val="맑은 고딕"/>
        <family val="3"/>
        <charset val="129"/>
      </rPr>
      <t>말과 행동이 차분하며 교실에서 생활하는 모습이 사려 깊고 이해심이 많아 친구들에게 인기가 좋음</t>
    </r>
    <r>
      <rPr>
        <sz val="12"/>
        <color rgb="FF000000"/>
        <rFont val="함초롬바탕"/>
        <family val="1"/>
        <charset val="129"/>
      </rPr>
      <t xml:space="preserve">. </t>
    </r>
  </si>
  <si>
    <r>
      <rPr>
        <sz val="12"/>
        <color rgb="FF000000"/>
        <rFont val="맑은 고딕"/>
        <family val="3"/>
        <charset val="129"/>
      </rPr>
      <t>말과 행동이 차분하며 교실에서 생활하는 모습이 사려 깊고 이해심이 많으며 친구들에게 인기가 좋음</t>
    </r>
    <r>
      <rPr>
        <sz val="12"/>
        <color rgb="FF000000"/>
        <rFont val="함초롬바탕"/>
        <family val="1"/>
        <charset val="129"/>
      </rPr>
      <t xml:space="preserve">. </t>
    </r>
  </si>
  <si>
    <r>
      <rPr>
        <sz val="12"/>
        <color rgb="FF000000"/>
        <rFont val="맑은 고딕"/>
        <family val="3"/>
        <charset val="129"/>
      </rPr>
      <t>도움이 필요한 친구들을 잘 돕고</t>
    </r>
    <r>
      <rPr>
        <sz val="12"/>
        <color rgb="FF000000"/>
        <rFont val="함초롬바탕"/>
        <family val="1"/>
        <charset val="129"/>
      </rPr>
      <t xml:space="preserve">, </t>
    </r>
    <r>
      <rPr>
        <sz val="12"/>
        <color rgb="FF000000"/>
        <rFont val="맑은 고딕"/>
        <family val="3"/>
        <charset val="129"/>
      </rPr>
      <t>학급 내에서 봉사정신이 투철하여 모든 일에 솔선수범하는 학생임</t>
    </r>
    <r>
      <rPr>
        <sz val="12"/>
        <color rgb="FF000000"/>
        <rFont val="함초롬바탕"/>
        <family val="1"/>
        <charset val="129"/>
      </rPr>
      <t xml:space="preserve">. </t>
    </r>
  </si>
  <si>
    <r>
      <rPr>
        <sz val="12"/>
        <color rgb="FF000000"/>
        <rFont val="맑은 고딕"/>
        <family val="3"/>
        <charset val="129"/>
      </rPr>
      <t>다른 사람들을 도울 줄 아는 착한 마음씨와 웃어른을 진심으로 따르는 모습이 칭찬 받을 만함</t>
    </r>
    <r>
      <rPr>
        <sz val="12"/>
        <color rgb="FF000000"/>
        <rFont val="함초롬바탕"/>
        <family val="1"/>
        <charset val="129"/>
      </rPr>
      <t xml:space="preserve">. </t>
    </r>
  </si>
  <si>
    <r>
      <rPr>
        <sz val="12"/>
        <color rgb="FF000000"/>
        <rFont val="맑은 고딕"/>
        <family val="3"/>
        <charset val="129"/>
      </rPr>
      <t>학습 준비물을 친구들과 함께 나누어 쓰고</t>
    </r>
    <r>
      <rPr>
        <sz val="12"/>
        <color rgb="FF000000"/>
        <rFont val="함초롬바탕"/>
        <family val="1"/>
        <charset val="129"/>
      </rPr>
      <t xml:space="preserve">, </t>
    </r>
    <r>
      <rPr>
        <sz val="12"/>
        <color rgb="FF000000"/>
        <rFont val="맑은 고딕"/>
        <family val="3"/>
        <charset val="129"/>
      </rPr>
      <t>학급의 어려운 일을 솔선수범하여 처리하는 실천함</t>
    </r>
    <r>
      <rPr>
        <sz val="12"/>
        <color rgb="FF000000"/>
        <rFont val="함초롬바탕"/>
        <family val="1"/>
        <charset val="129"/>
      </rPr>
      <t xml:space="preserve">. </t>
    </r>
  </si>
  <si>
    <r>
      <rPr>
        <sz val="12"/>
        <color rgb="FF000000"/>
        <rFont val="맑은 고딕"/>
        <family val="3"/>
        <charset val="129"/>
      </rPr>
      <t>댓가를 바라지 않고 무조건적으로 자신이 도와줄 수 있는 친구가 있으면 언제든지 기꺼이 도와줌</t>
    </r>
    <r>
      <rPr>
        <sz val="12"/>
        <color rgb="FF000000"/>
        <rFont val="함초롬바탕"/>
        <family val="1"/>
        <charset val="129"/>
      </rPr>
      <t>.</t>
    </r>
  </si>
  <si>
    <t xml:space="preserve">스스로 공부하는 습관 및 독서 생활 습관이 바르게 형성되어 있어 전 교과 성적이 고루 우수함. </t>
  </si>
  <si>
    <r>
      <rPr>
        <sz val="12"/>
        <color rgb="FF000000"/>
        <rFont val="맑은 고딕"/>
        <family val="3"/>
        <charset val="129"/>
      </rPr>
      <t>평소 자신의 주장이 강해 친구들과 자주 갈등을 겪지만</t>
    </r>
    <r>
      <rPr>
        <sz val="12"/>
        <color rgb="FF000000"/>
        <rFont val="함초롬바탕"/>
        <family val="1"/>
        <charset val="129"/>
      </rPr>
      <t xml:space="preserve">, </t>
    </r>
    <r>
      <rPr>
        <sz val="12"/>
        <color rgb="FF000000"/>
        <rFont val="맑은 고딕"/>
        <family val="3"/>
        <charset val="129"/>
      </rPr>
      <t xml:space="preserve">자신의 잘못은 반성할 줄 알고 친구와 대화를 통하여 갈등을 해결해 나가며 모둠 활동시 주도적으로 모둠 활동에 참여하여 모둠 문제를 해결해나가는 모습이 돋보임. </t>
    </r>
  </si>
  <si>
    <t xml:space="preserve">기본적인 학습 규칙을 잘 지키며, 모든 일에 성실하게 자기의 목표를 세워 놓고 목표 달성을 위해 꾸준히 노력하여 전 교과 성적이 조금씩 발전되어 감. </t>
  </si>
  <si>
    <t xml:space="preserve">맡은 일을 빈틈없이 처리하지 못하며 자기중심적인 생각을 많이 하고, 생활 습관이 바르게 형성되어 있지 않으며 끈기 있게 노력하는 태도를 가져야 하겠음. </t>
  </si>
  <si>
    <t xml:space="preserve">매사에 명랑한 생활을 하며 급우 간에 인기가 높고 자기 의사 표시를 분명히 하며 설득력 있으나, 학습에 대한 집중력 향상과 학습장 정리에는 노력이 필요함. </t>
  </si>
  <si>
    <t xml:space="preserve">학교생활을 매우 즐겁게 하며 자기 의사 표시를 분명히 하나, 국어교과의 읽기, 쓰기 기능이 부족하고 학습태도가 산만한 편이어서 집중력향상에 관심이 필요함. </t>
  </si>
  <si>
    <r>
      <rPr>
        <sz val="12"/>
        <color rgb="FF000000"/>
        <rFont val="맑은 고딕"/>
        <family val="3"/>
        <charset val="129"/>
      </rPr>
      <t>자존심이 강하고 표현이 다소 직설적으로 사소한 문제로 친구들과 갈등상황이 발생할 때가 있으니 자신의 생각을 좀 더 부드럽게 표현하여 친구들에게 다가간다면 교우관계에 있어 신망이 두터워질 것임</t>
    </r>
    <r>
      <rPr>
        <sz val="12"/>
        <color rgb="FF000000"/>
        <rFont val="함초롬바탕"/>
        <family val="1"/>
        <charset val="129"/>
      </rPr>
      <t xml:space="preserve">. </t>
    </r>
  </si>
  <si>
    <r>
      <rPr>
        <sz val="12"/>
        <color rgb="FF000000"/>
        <rFont val="맑은 고딕"/>
        <family val="3"/>
        <charset val="129"/>
      </rPr>
      <t>토의활동을 할 때 다른 사람의 입장에서 생각하고 말하며 소수의 의견도 존중하는 태도를 지니고 있으며 교우관계가 원만하여 학교생활을 즐겁게 함</t>
    </r>
    <r>
      <rPr>
        <sz val="12"/>
        <color rgb="FF000000"/>
        <rFont val="함초롬바탕"/>
        <family val="1"/>
        <charset val="129"/>
      </rPr>
      <t xml:space="preserve">. </t>
    </r>
  </si>
  <si>
    <t xml:space="preserve">매사에 호기심이 많고 활동적이라 친구들과 어울리기를 좋아하며 의사표현력이 좋아 자기주장을 펼치는데 능동적이고 남에게 즐거움을 주는 해맑은 학생임. </t>
  </si>
  <si>
    <r>
      <rPr>
        <sz val="12"/>
        <color rgb="FF000000"/>
        <rFont val="맑은 고딕"/>
        <family val="3"/>
        <charset val="129"/>
      </rPr>
      <t>교우관계가 원만하고 사교성이 좋으나 보다 적극적인 자세로 친구들을 배려하고 리더쉽을 키우는 노력을 한다면 더욱 즐거운 학교생활을 할 수 있을 것임</t>
    </r>
    <r>
      <rPr>
        <sz val="12"/>
        <color rgb="FF000000"/>
        <rFont val="함초롬바탕"/>
        <family val="1"/>
        <charset val="129"/>
      </rPr>
      <t xml:space="preserve">. </t>
    </r>
  </si>
  <si>
    <r>
      <rPr>
        <sz val="12"/>
        <color rgb="FF000000"/>
        <rFont val="맑은 고딕"/>
        <family val="3"/>
        <charset val="129"/>
      </rPr>
      <t>자기 의사를 강하게 표현하여 주변 친구들과 마찰이 있으나 관심있는 분야에 대해 깊이 있게 생각하고 논리적으로 따지는 훌륭한 의견을 가지고 있음</t>
    </r>
    <r>
      <rPr>
        <sz val="12"/>
        <color rgb="FF000000"/>
        <rFont val="함초롬바탕"/>
        <family val="1"/>
        <charset val="129"/>
      </rPr>
      <t xml:space="preserve">. </t>
    </r>
  </si>
  <si>
    <r>
      <rPr>
        <sz val="12"/>
        <color rgb="FF000000"/>
        <rFont val="맑은 고딕"/>
        <family val="3"/>
        <charset val="129"/>
      </rPr>
      <t>평소 명랑하고 쾌할한 성격으로 학교생활을 매우 즐겁게 하고 모둠 활동시 친구의 의견을 잘 조절하고 모둠 문제를 해결하여 친구들의 믿음이 두터움</t>
    </r>
    <r>
      <rPr>
        <sz val="12"/>
        <color rgb="FF000000"/>
        <rFont val="함초롬바탕"/>
        <family val="1"/>
        <charset val="129"/>
      </rPr>
      <t xml:space="preserve">. </t>
    </r>
  </si>
  <si>
    <r>
      <rPr>
        <sz val="12"/>
        <color rgb="FF000000"/>
        <rFont val="맑은 고딕"/>
        <family val="3"/>
        <charset val="129"/>
      </rPr>
      <t>학기 초 소극적인 태도로 친구관계 형성에 어려움이 있었으나 학급전체 게임활동 등 다양한 활동을 통해 친구들과 어울리는 모습을 자주 볼 수 있음</t>
    </r>
    <r>
      <rPr>
        <sz val="12"/>
        <color rgb="FF000000"/>
        <rFont val="함초롬바탕"/>
        <family val="1"/>
        <charset val="129"/>
      </rPr>
      <t xml:space="preserve">. </t>
    </r>
  </si>
  <si>
    <r>
      <rPr>
        <sz val="12"/>
        <color rgb="FF000000"/>
        <rFont val="맑은 고딕"/>
        <family val="3"/>
        <charset val="129"/>
      </rPr>
      <t>자기 자신을 포함하여 모든 사람을 똑같이 존중하고 사회가 정한 규범을 존중하는 태도가 바람직며 생활 주변 현상에 대해 관심이 많고 매사 진취적임</t>
    </r>
    <r>
      <rPr>
        <sz val="12"/>
        <color rgb="FF000000"/>
        <rFont val="함초롬바탕"/>
        <family val="1"/>
        <charset val="129"/>
      </rPr>
      <t xml:space="preserve">. </t>
    </r>
  </si>
  <si>
    <r>
      <rPr>
        <sz val="12"/>
        <color rgb="FF000000"/>
        <rFont val="맑은 고딕"/>
        <family val="3"/>
        <charset val="129"/>
      </rPr>
      <t>자원봉사센터에서의 정기적인 봉사활동</t>
    </r>
    <r>
      <rPr>
        <sz val="12"/>
        <color rgb="FF000000"/>
        <rFont val="함초롬바탕"/>
        <family val="1"/>
        <charset val="129"/>
      </rPr>
      <t>(56</t>
    </r>
    <r>
      <rPr>
        <sz val="12"/>
        <color rgb="FF000000"/>
        <rFont val="맑은 고딕"/>
        <family val="3"/>
        <charset val="129"/>
      </rPr>
      <t>시간</t>
    </r>
    <r>
      <rPr>
        <sz val="12"/>
        <color rgb="FF000000"/>
        <rFont val="함초롬바탕"/>
        <family val="1"/>
        <charset val="129"/>
      </rPr>
      <t>)</t>
    </r>
    <r>
      <rPr>
        <sz val="12"/>
        <color rgb="FF000000"/>
        <rFont val="맑은 고딕"/>
        <family val="3"/>
        <charset val="129"/>
      </rPr>
      <t>을 통해 체득한 여러 가지 방법으로 같은 학급 자폐학생의 학습도우미 역할을 수행하였으며</t>
    </r>
    <r>
      <rPr>
        <sz val="12"/>
        <color rgb="FF000000"/>
        <rFont val="함초롬바탕"/>
        <family val="1"/>
        <charset val="129"/>
      </rPr>
      <t xml:space="preserve">, </t>
    </r>
    <r>
      <rPr>
        <sz val="12"/>
        <color rgb="FF000000"/>
        <rFont val="맑은 고딕"/>
        <family val="3"/>
        <charset val="129"/>
      </rPr>
      <t xml:space="preserve">학급의 어려운 일을 솔선수범하여 처리하는 등 나눔의 정신을 실천하는 모범적인 학생임 </t>
    </r>
  </si>
  <si>
    <r>
      <rPr>
        <sz val="12"/>
        <color rgb="FF000000"/>
        <rFont val="맑은 고딕"/>
        <family val="3"/>
        <charset val="129"/>
      </rPr>
      <t>학기초 소극적인 태도로 인해 친구관계 형성에 어려움이 있었으나 다양한 학급 활동으로 친구관계 형성에 성공함</t>
    </r>
    <r>
      <rPr>
        <sz val="12"/>
        <color rgb="FF000000"/>
        <rFont val="함초롬바탕"/>
        <family val="1"/>
        <charset val="129"/>
      </rPr>
      <t xml:space="preserve">. </t>
    </r>
    <r>
      <rPr>
        <sz val="12"/>
        <color rgb="FF000000"/>
        <rFont val="맑은 고딕"/>
        <family val="3"/>
        <charset val="129"/>
      </rPr>
      <t>보다 적극적이고 진솔한 자세로 친구들에게 다가간다면 교우관계가 두터워질 것임</t>
    </r>
    <r>
      <rPr>
        <sz val="12"/>
        <color rgb="FF000000"/>
        <rFont val="함초롬바탕"/>
        <family val="1"/>
        <charset val="129"/>
      </rPr>
      <t xml:space="preserve">. </t>
    </r>
  </si>
  <si>
    <t xml:space="preserve">스스로 문제를 해결하려는 자세를 가졌으며 매사 말씨와 행동에 붙임성이 있어서 교우관계가 원만하고 밝고 쾌활한 성품을 가졌으며 꾸준히 노력하는 학습 태도를 가져서 모든 교과 성적이 발전됨 </t>
  </si>
  <si>
    <r>
      <rPr>
        <sz val="12"/>
        <color rgb="FF000000"/>
        <rFont val="맑은 고딕"/>
        <family val="3"/>
        <charset val="129"/>
      </rPr>
      <t>과제학습을 잘 해오며 기본 학습 태도가 잘 형성되어 있고 학교생활을 즐겁게 긍정적으로 하는 모습이 기특하며 서로 힘을 합쳐 어려운 일도 함께 해내는 태도가 바람직하고 순수한 마음이 돋보임</t>
    </r>
    <r>
      <rPr>
        <sz val="12"/>
        <color rgb="FF000000"/>
        <rFont val="함초롬바탕"/>
        <family val="1"/>
        <charset val="129"/>
      </rPr>
      <t xml:space="preserve">. </t>
    </r>
  </si>
  <si>
    <r>
      <rPr>
        <sz val="12"/>
        <color rgb="FF000000"/>
        <rFont val="맑은 고딕"/>
        <family val="3"/>
        <charset val="129"/>
      </rPr>
      <t>소극적이고 자기만의 생각이 있어 다른 친구들과 쉽게 어울리지 못하지만 따뜻한 마음씨로 주변 친구들과 점점 좋은 관계를 만들어감</t>
    </r>
    <r>
      <rPr>
        <sz val="12"/>
        <color rgb="FF000000"/>
        <rFont val="함초롬바탕"/>
        <family val="1"/>
        <charset val="129"/>
      </rPr>
      <t xml:space="preserve">. </t>
    </r>
  </si>
  <si>
    <r>
      <rPr>
        <sz val="12"/>
        <color rgb="FF000000"/>
        <rFont val="맑은 고딕"/>
        <family val="3"/>
        <charset val="129"/>
      </rPr>
      <t>규칙을 잘 지키고 해야 할 일을 끝까지 처리하며 자신의 생각을 솔직하게 드러낼 줄 알고 밝고 건강한 모습으로 즐겁게 학교생활을 함</t>
    </r>
    <r>
      <rPr>
        <sz val="12"/>
        <color rgb="FF000000"/>
        <rFont val="함초롬바탕"/>
        <family val="1"/>
        <charset val="129"/>
      </rPr>
      <t xml:space="preserve">. </t>
    </r>
  </si>
  <si>
    <r>
      <rPr>
        <sz val="12"/>
        <color rgb="FF000000"/>
        <rFont val="맑은 고딕"/>
        <family val="3"/>
        <charset val="129"/>
      </rPr>
      <t>과제학습을 잘 해오며 기본 학습 태도가 잘 형성되어 있고</t>
    </r>
    <r>
      <rPr>
        <sz val="12"/>
        <color rgb="FF000000"/>
        <rFont val="함초롬바탕"/>
        <family val="1"/>
        <charset val="129"/>
      </rPr>
      <t xml:space="preserve">, </t>
    </r>
    <r>
      <rPr>
        <sz val="12"/>
        <color rgb="FF000000"/>
        <rFont val="맑은 고딕"/>
        <family val="3"/>
        <charset val="129"/>
      </rPr>
      <t>스스로 맡은 일을 잘 처리하며 무슨 일이든 열심히 하는 태도를 가졌음</t>
    </r>
    <r>
      <rPr>
        <sz val="12"/>
        <color rgb="FF000000"/>
        <rFont val="함초롬바탕"/>
        <family val="1"/>
        <charset val="129"/>
      </rPr>
      <t xml:space="preserve">. </t>
    </r>
  </si>
  <si>
    <r>
      <rPr>
        <sz val="12"/>
        <color rgb="FF000000"/>
        <rFont val="맑은 고딕"/>
        <family val="3"/>
        <charset val="129"/>
      </rPr>
      <t>매사에 말씨와 행동에 붙임성이 있어서 교우관계가 매우 좋으며 기본적인 학급규칙을 잘 이행하고 자기의 목표가 뚜렷한 학교생활을 함</t>
    </r>
    <r>
      <rPr>
        <sz val="12"/>
        <color rgb="FF000000"/>
        <rFont val="함초롬바탕"/>
        <family val="1"/>
        <charset val="129"/>
      </rPr>
      <t xml:space="preserve">. </t>
    </r>
  </si>
  <si>
    <t xml:space="preserve">기본적인 학습 규칙을 잘 이행하며 자기의 목표가 뚜렷한 학교생활을 하고, 모든 일에 솔선수범하며 협력 학습 활동에 적극적으로 참여함. </t>
  </si>
  <si>
    <t xml:space="preserve">수학과의 기본적 문제해결방법을 잘 이해하고 차근차근 생각하여 풀어내나 수업에 집중할 때와 집중하지 않을 때의 수업 태도의 차이가 큼. </t>
  </si>
  <si>
    <r>
      <rPr>
        <sz val="12"/>
        <color rgb="FF000000"/>
        <rFont val="맑은 고딕"/>
        <family val="3"/>
        <charset val="129"/>
      </rPr>
      <t>마음이 순수하고 정이 많아 힘이 약한 친구나 소외된 사람들을 도우려는 마음을 갖고 있어 다른 친구들에게 좋은 본보기가 되고 있음</t>
    </r>
    <r>
      <rPr>
        <sz val="12"/>
        <color rgb="FF000000"/>
        <rFont val="함초롬바탕"/>
        <family val="1"/>
        <charset val="129"/>
      </rPr>
      <t xml:space="preserve">. </t>
    </r>
  </si>
  <si>
    <r>
      <rPr>
        <sz val="12"/>
        <color rgb="FF000000"/>
        <rFont val="맑은 고딕"/>
        <family val="3"/>
        <charset val="129"/>
      </rPr>
      <t>웃어른을 존경할 줄 알며 인사성이 바르고 성품이 너그러워 친구의 잘못이나 아픔을 따뜻하게 이해해 주는 진지한 품성을 지닌 학생임</t>
    </r>
    <r>
      <rPr>
        <sz val="12"/>
        <color rgb="FF000000"/>
        <rFont val="함초롬바탕"/>
        <family val="1"/>
        <charset val="129"/>
      </rPr>
      <t xml:space="preserve">. </t>
    </r>
  </si>
  <si>
    <t xml:space="preserve">자신의 생각을 적극적으로 표현하는 태도를 기르고 학교생활에 능동적으로 참여하려 노력한다면 모든 면에서 더 큰 향상을 보이리라 기대됨. </t>
  </si>
  <si>
    <t>집중력이나 인내심이 강하여 공부를 더 잘할 수 있는 저력을 가지고 있으므로 더 열심히 공부한다면 충분히 좋은 성적을 거둘 수 있음.</t>
  </si>
  <si>
    <r>
      <rPr>
        <sz val="12"/>
        <color rgb="FF000000"/>
        <rFont val="맑은 고딕"/>
        <family val="3"/>
        <charset val="129"/>
      </rPr>
      <t>학습 태도가 바르고 언행이 고우며 명랑한 얼굴로 급우들에게 친절하게 대하는 등 타인을 위한 이해와 배려하는 마음을 가지고 있음</t>
    </r>
    <r>
      <rPr>
        <sz val="12"/>
        <color rgb="FF000000"/>
        <rFont val="함초롬바탕"/>
        <family val="1"/>
        <charset val="129"/>
      </rPr>
      <t xml:space="preserve">. </t>
    </r>
  </si>
  <si>
    <r>
      <rPr>
        <sz val="12"/>
        <color rgb="FF000000"/>
        <rFont val="맑은 고딕"/>
        <family val="3"/>
        <charset val="129"/>
      </rPr>
      <t>웃어른을 존경할 줄 알며 인사성이 바르고 성품이 너그러워 친구의 잘못이나 아픔을 따뜻하게 이해해주는 진지한 성품을 지닌 학생임</t>
    </r>
    <r>
      <rPr>
        <sz val="12"/>
        <color rgb="FF000000"/>
        <rFont val="함초롬바탕"/>
        <family val="1"/>
        <charset val="129"/>
      </rPr>
      <t xml:space="preserve">. </t>
    </r>
  </si>
  <si>
    <r>
      <rPr>
        <sz val="12"/>
        <color rgb="FF000000"/>
        <rFont val="맑은 고딕"/>
        <family val="3"/>
        <charset val="129"/>
      </rPr>
      <t>학급 쓰레기 분리수거와 같이 남들이 기피하는 일을 도맡아 하는 이타 정신이 강하고 학급의 궃은 일이나 남을 돕는 일에 솔선수범함</t>
    </r>
    <r>
      <rPr>
        <sz val="12"/>
        <color rgb="FF000000"/>
        <rFont val="함초롬바탕"/>
        <family val="1"/>
        <charset val="129"/>
      </rPr>
      <t xml:space="preserve">. </t>
    </r>
  </si>
  <si>
    <r>
      <rPr>
        <sz val="12"/>
        <color rgb="FF000000"/>
        <rFont val="맑은 고딕"/>
        <family val="3"/>
        <charset val="129"/>
      </rPr>
      <t>학습을 꾸준히 인내심을 갖고 하려는 태도가 부족하여 과제를 대강 해오거나 마치지 못하는 경우가 있으므로 꾸준한 과제해결태도가 필요함</t>
    </r>
    <r>
      <rPr>
        <sz val="12"/>
        <color rgb="FF000000"/>
        <rFont val="함초롬바탕"/>
        <family val="1"/>
        <charset val="129"/>
      </rPr>
      <t xml:space="preserve">. </t>
    </r>
  </si>
  <si>
    <r>
      <rPr>
        <sz val="12"/>
        <color rgb="FF000000"/>
        <rFont val="맑은 고딕"/>
        <family val="3"/>
        <charset val="129"/>
      </rPr>
      <t>학급내에서 아주 사소한 규칙도 잘 지키면서 타인과 정정 당당하게 경쟁하는 건전한 정신을 지니고 있음</t>
    </r>
    <r>
      <rPr>
        <sz val="12"/>
        <color rgb="FF000000"/>
        <rFont val="함초롬바탕"/>
        <family val="1"/>
        <charset val="129"/>
      </rPr>
      <t xml:space="preserve">. </t>
    </r>
  </si>
  <si>
    <t xml:space="preserve">열정적으로 체육활동에 참여하며 즐거운 마음과 태도로 노래부르기나 박자표현하기에 임하는 모습이 좋음. </t>
  </si>
  <si>
    <t xml:space="preserve">모든 신체 도전 동작에 능하며, 자신감을 가지고 적극적으로 참여함. 기본 체력의 보강이 더욱 필요함. </t>
  </si>
  <si>
    <r>
      <rPr>
        <sz val="12"/>
        <color rgb="FF000000"/>
        <rFont val="맑은 고딕"/>
        <family val="3"/>
        <charset val="129"/>
      </rPr>
      <t>자신을 되돌아보고 욕심이 없이 내면의 여유를 가지고 있으며 사사로운 정에 얽매여 판단을 흐리지 않음</t>
    </r>
    <r>
      <rPr>
        <sz val="12"/>
        <color rgb="FF000000"/>
        <rFont val="함초롬바탕"/>
        <family val="1"/>
        <charset val="129"/>
      </rPr>
      <t xml:space="preserve">. </t>
    </r>
  </si>
  <si>
    <r>
      <rPr>
        <sz val="12"/>
        <color rgb="FF000000"/>
        <rFont val="맑은 고딕"/>
        <family val="3"/>
        <charset val="129"/>
      </rPr>
      <t>학기초 친구들과 함께 학급의 규칙을 정하는 활동에 적극적으로 참여하며 함께 정한 언어활동을 준수함</t>
    </r>
    <r>
      <rPr>
        <sz val="12"/>
        <color rgb="FF000000"/>
        <rFont val="함초롬바탕"/>
        <family val="1"/>
        <charset val="129"/>
      </rPr>
      <t xml:space="preserve">. </t>
    </r>
  </si>
  <si>
    <t>궂은 일이어도 남보다 앞장서기를 좋아하고 친구들과 사이좋게 지내며 친구를 도울 줄 아는 착한 학생임.</t>
  </si>
  <si>
    <r>
      <rPr>
        <sz val="12"/>
        <color rgb="FF000000"/>
        <rFont val="맑은 고딕"/>
        <family val="3"/>
        <charset val="129"/>
      </rPr>
      <t>말과 행동이 침착하고 사려가 깊으며 교실 및 학교 주변 청결에 솔선수범하여 타의 모범이 되는 학생임</t>
    </r>
    <r>
      <rPr>
        <sz val="12"/>
        <color rgb="FF000000"/>
        <rFont val="함초롬바탕"/>
        <family val="1"/>
        <charset val="129"/>
      </rPr>
      <t xml:space="preserve">. </t>
    </r>
  </si>
  <si>
    <r>
      <rPr>
        <sz val="12"/>
        <color rgb="FF000000"/>
        <rFont val="맑은 고딕"/>
        <family val="3"/>
        <charset val="129"/>
      </rPr>
      <t>모둠 활동에서 친구들과 함께 도와가며 적극적으로 참여하고 친구들을 배려하며 협동하는 마음가짐이 바람직함</t>
    </r>
    <r>
      <rPr>
        <sz val="12"/>
        <color rgb="FF000000"/>
        <rFont val="함초롬바탕"/>
        <family val="1"/>
        <charset val="129"/>
      </rPr>
      <t xml:space="preserve">. </t>
    </r>
  </si>
  <si>
    <r>
      <rPr>
        <sz val="12"/>
        <color rgb="FF000000"/>
        <rFont val="맑은 고딕"/>
        <family val="3"/>
        <charset val="129"/>
      </rPr>
      <t>토의 활동을 할 때 다른 사람의 입장에서 생각하고 말하며 소수의 의견도 존중하는 태도를 지니고 있음</t>
    </r>
    <r>
      <rPr>
        <sz val="12"/>
        <color rgb="FF000000"/>
        <rFont val="함초롬바탕"/>
        <family val="1"/>
        <charset val="129"/>
      </rPr>
      <t xml:space="preserve">. </t>
    </r>
  </si>
  <si>
    <t xml:space="preserve">스스로 공부하는 태도가 형성되었으며 잘하려는 성취의욕이 높아 전 교과 성적이 고루 우수하게 발전함. </t>
  </si>
  <si>
    <t xml:space="preserve">또래 친구들보다 성장한 겉모습에 비해 학생 다운 순진함과 상처에 약한 마음씨를 가진 순수한 학생임. </t>
  </si>
  <si>
    <r>
      <rPr>
        <sz val="12"/>
        <color rgb="FF000000"/>
        <rFont val="맑은 고딕"/>
        <family val="3"/>
        <charset val="129"/>
      </rPr>
      <t>매사에 긍정적이며 힘든 일에 대한 불만보다는 해결 방안을 먼저 생각하고 친구를 챙겨주는 태도가 바람직함</t>
    </r>
    <r>
      <rPr>
        <sz val="12"/>
        <color rgb="FF000000"/>
        <rFont val="함초롬바탕"/>
        <family val="1"/>
        <charset val="129"/>
      </rPr>
      <t xml:space="preserve">. </t>
    </r>
  </si>
  <si>
    <r>
      <rPr>
        <sz val="12"/>
        <color rgb="FF000000"/>
        <rFont val="맑은 고딕"/>
        <family val="3"/>
        <charset val="129"/>
      </rPr>
      <t>매사에 의욕이 강하고 자신감이 넘치며 많은 친구와 사이좋게 지내고 학급 활동에 참여하는 것이 발전됨</t>
    </r>
    <r>
      <rPr>
        <sz val="12"/>
        <color rgb="FF000000"/>
        <rFont val="함초롬바탕"/>
        <family val="1"/>
        <charset val="129"/>
      </rPr>
      <t xml:space="preserve">. </t>
    </r>
  </si>
  <si>
    <t xml:space="preserve">언어 구사능력이 뛰어나고 자기의 주장을 곧 잘 내세우며 전 교과 성적 양호하고 그리기에 소질이 많음. </t>
  </si>
  <si>
    <t xml:space="preserve">노래를 음정에 맞게 잘 부르고 달리기를 잘 하며 다양한 체육활동에 흥미를 가지고 적극적으로 참여함. </t>
  </si>
  <si>
    <t xml:space="preserve">음악적 감각이 있으며 리코더 연주를 박자와 음정에 맞게 잘 하고 축구 드리블에 흥미와 소질이 있음. </t>
  </si>
  <si>
    <r>
      <rPr>
        <sz val="12"/>
        <color rgb="FF000000"/>
        <rFont val="맑은 고딕"/>
        <family val="3"/>
        <charset val="129"/>
      </rPr>
      <t>다른 사람의 입장을 생각할 줄 아는 고운 성품을 지녔고 목표의식을 바탕으로 진지한 모습으로 노력함</t>
    </r>
    <r>
      <rPr>
        <sz val="12"/>
        <color rgb="FF000000"/>
        <rFont val="함초롬바탕"/>
        <family val="1"/>
        <charset val="129"/>
      </rPr>
      <t xml:space="preserve">. </t>
    </r>
  </si>
  <si>
    <t>태도/학습/양호</t>
  </si>
  <si>
    <t xml:space="preserve">스스로 문제를 해결하려는 자세가 좋으며 매사 성실함. </t>
  </si>
  <si>
    <t xml:space="preserve">기본적인 학습 규칙을 잘 지키며 모든 일에 진취적임. </t>
  </si>
  <si>
    <t xml:space="preserve">교과 성적이 우수하고 주어진 일을 성실하게 수행함. </t>
  </si>
  <si>
    <r>
      <rPr>
        <sz val="12"/>
        <color rgb="FF000000"/>
        <rFont val="맑은 고딕"/>
        <family val="3"/>
        <charset val="129"/>
      </rPr>
      <t>체험학습시 지켜야 할 규칙들을 잘 이해하고 지킴</t>
    </r>
    <r>
      <rPr>
        <sz val="12"/>
        <color rgb="FF000000"/>
        <rFont val="함초롬바탕"/>
        <family val="1"/>
        <charset val="129"/>
      </rPr>
      <t xml:space="preserve">. </t>
    </r>
  </si>
  <si>
    <t xml:space="preserve">학습 내용에 대한 이해력이 높고 책을 즐겨 읽음. </t>
  </si>
  <si>
    <t xml:space="preserve">학습내용에 대한 이해가 빨라서 전 교과 성적이 우수함. </t>
  </si>
  <si>
    <r>
      <rPr>
        <sz val="12"/>
        <color rgb="FF000000"/>
        <rFont val="맑은 고딕"/>
        <family val="3"/>
        <charset val="129"/>
      </rPr>
      <t>차분한 성격으로 조용히 자신의 할 일을 마무리함</t>
    </r>
    <r>
      <rPr>
        <sz val="12"/>
        <color rgb="FF000000"/>
        <rFont val="함초롬바탕"/>
        <family val="1"/>
        <charset val="129"/>
      </rPr>
      <t xml:space="preserve">. </t>
    </r>
  </si>
  <si>
    <t xml:space="preserve">언어 구사 능력이 뛰어나며 자기의 주장을 잘 펼침. </t>
  </si>
  <si>
    <r>
      <rPr>
        <sz val="12"/>
        <color rgb="FF000000"/>
        <rFont val="맑은 고딕"/>
        <family val="3"/>
        <charset val="129"/>
      </rPr>
      <t>용의 단정하고 주위를 깨끗하게 정돈하고 간수할 줄 암</t>
    </r>
    <r>
      <rPr>
        <sz val="12"/>
        <color rgb="FF000000"/>
        <rFont val="함초롬바탕"/>
        <family val="1"/>
        <charset val="129"/>
      </rPr>
      <t>.</t>
    </r>
  </si>
  <si>
    <t xml:space="preserve">지도력이 뛰어나며 적극적이고 행동이 매우 모범적임 </t>
  </si>
  <si>
    <r>
      <rPr>
        <sz val="12"/>
        <color rgb="FF000000"/>
        <rFont val="맑은 고딕"/>
        <family val="3"/>
        <charset val="129"/>
      </rPr>
      <t>자신의 주변을 잘 정리하여 조화롭고 가지런하게 유지함</t>
    </r>
    <r>
      <rPr>
        <sz val="12"/>
        <color rgb="FF000000"/>
        <rFont val="함초롬바탕"/>
        <family val="1"/>
        <charset val="129"/>
      </rPr>
      <t xml:space="preserve">. </t>
    </r>
  </si>
  <si>
    <r>
      <rPr>
        <sz val="12"/>
        <color rgb="FF000000"/>
        <rFont val="맑은 고딕"/>
        <family val="3"/>
        <charset val="129"/>
      </rPr>
      <t>주변 정리정돈을 잘하고 행동이 매우 침착하고 사려깊음</t>
    </r>
    <r>
      <rPr>
        <sz val="12"/>
        <color rgb="FF000000"/>
        <rFont val="함초롬바탕"/>
        <family val="1"/>
        <charset val="129"/>
      </rPr>
      <t xml:space="preserve">. </t>
    </r>
  </si>
  <si>
    <t xml:space="preserve">전 영역에 걸쳐 성적이 우수하고 책임 있는 행동을 함. </t>
  </si>
  <si>
    <t xml:space="preserve">남의 의견을 존중할 줄 알며 학습 태도가 모범적임. </t>
  </si>
  <si>
    <r>
      <rPr>
        <sz val="12"/>
        <color rgb="FF000000"/>
        <rFont val="맑은 고딕"/>
        <family val="3"/>
        <charset val="129"/>
      </rPr>
      <t>성격이 밝고 쾌활하며 사교적이어서 친구들과 잘 어울림</t>
    </r>
    <r>
      <rPr>
        <sz val="12"/>
        <color rgb="FF000000"/>
        <rFont val="함초롬바탕"/>
        <family val="1"/>
        <charset val="129"/>
      </rPr>
      <t xml:space="preserve">. </t>
    </r>
  </si>
  <si>
    <t xml:space="preserve">맡은 일을 빈틈없이 잘 처리하며 솔선 수범하는 학생임. </t>
  </si>
  <si>
    <r>
      <rPr>
        <sz val="12"/>
        <color rgb="FF000000"/>
        <rFont val="맑은 고딕"/>
        <family val="3"/>
        <charset val="129"/>
      </rPr>
      <t>몸가짐이 신중하고 말씨가 공손하며 생각이 사려 깊음</t>
    </r>
    <r>
      <rPr>
        <sz val="12"/>
        <color rgb="FF000000"/>
        <rFont val="함초롬바탕"/>
        <family val="1"/>
        <charset val="129"/>
      </rPr>
      <t xml:space="preserve">. </t>
    </r>
  </si>
  <si>
    <r>
      <rPr>
        <sz val="12"/>
        <color rgb="FF000000"/>
        <rFont val="맑은 고딕"/>
        <family val="3"/>
        <charset val="129"/>
      </rPr>
      <t>타인에게 대하는 태도가 상냥하고 몸가짐이 공손함</t>
    </r>
    <r>
      <rPr>
        <sz val="12"/>
        <color rgb="FF000000"/>
        <rFont val="함초롬바탕"/>
        <family val="1"/>
        <charset val="129"/>
      </rPr>
      <t xml:space="preserve">. </t>
    </r>
  </si>
  <si>
    <t>자신의 칭찬을 발전의 기회로 여기며 자랑하지 않음.</t>
  </si>
  <si>
    <r>
      <rPr>
        <sz val="12"/>
        <color rgb="FF000000"/>
        <rFont val="맑은 고딕"/>
        <family val="3"/>
        <charset val="129"/>
      </rPr>
      <t>다른 사람의 입장을 생각할 줄 아는 고운 성품을 지님</t>
    </r>
    <r>
      <rPr>
        <sz val="12"/>
        <color rgb="FF000000"/>
        <rFont val="함초롬바탕"/>
        <family val="1"/>
        <charset val="129"/>
      </rPr>
      <t xml:space="preserve">. </t>
    </r>
  </si>
  <si>
    <t xml:space="preserve">학급 미화 활동에 관심이 있으며 당번활동을 성실히 하 </t>
  </si>
  <si>
    <t>바른 생활 습관이 잘 형성되어 있으며 매사에 성실함.</t>
  </si>
  <si>
    <t xml:space="preserve">학용품을 깨끗이 이용하며 주변 정리 정돈을 잘함. </t>
  </si>
  <si>
    <t xml:space="preserve">말을 조리있게 잘 하며 좋은 인상을 주는 학생임. </t>
  </si>
  <si>
    <t xml:space="preserve">작은 일에도 최선을 다하며 좋은 인상을 주는 학생임. </t>
  </si>
  <si>
    <t xml:space="preserve">자기의 목표를 세우고 목표 달성을 위해 꾸준히 노력함. </t>
  </si>
  <si>
    <r>
      <rPr>
        <sz val="12"/>
        <color rgb="FF000000"/>
        <rFont val="맑은 고딕"/>
        <family val="3"/>
        <charset val="129"/>
      </rPr>
      <t>이루고자 하는 일에 집중하고 관심의 초점이 분명함</t>
    </r>
    <r>
      <rPr>
        <sz val="12"/>
        <color rgb="FF000000"/>
        <rFont val="함초롬바탕"/>
        <family val="1"/>
        <charset val="129"/>
      </rPr>
      <t xml:space="preserve">. </t>
    </r>
  </si>
  <si>
    <t>수학/문제/집중</t>
  </si>
  <si>
    <t xml:space="preserve">교과 성적이 우수하고 주어진 일을 성실하게 이행함. </t>
  </si>
  <si>
    <r>
      <rPr>
        <sz val="12"/>
        <color rgb="FF000000"/>
        <rFont val="맑은 고딕"/>
        <family val="3"/>
        <charset val="129"/>
      </rPr>
      <t>평소 학습 준비물 및 학급에서 지켜야할 규칙을 지키지 않아 주의 받는 편이었으나 학기말에 학급의 규칙을 스스로 지키려는 태도가 눈에 띄게 발전함</t>
    </r>
    <r>
      <rPr>
        <sz val="12"/>
        <color rgb="FF000000"/>
        <rFont val="함초롬바탕"/>
        <family val="1"/>
        <charset val="129"/>
      </rPr>
      <t xml:space="preserve">. </t>
    </r>
    <r>
      <rPr>
        <sz val="12"/>
        <color rgb="FF000000"/>
        <rFont val="맑은 고딕"/>
        <family val="3"/>
        <charset val="129"/>
      </rPr>
      <t>앞으로 조금만 더 규칙을 준수하는 태도를 함양한다면 모범적인 태도를 가진 학생으로서의 변화가 기대되는 학생임</t>
    </r>
    <r>
      <rPr>
        <sz val="12"/>
        <color rgb="FF000000"/>
        <rFont val="함초롬바탕"/>
        <family val="1"/>
        <charset val="129"/>
      </rPr>
      <t xml:space="preserve">. </t>
    </r>
  </si>
  <si>
    <t>학습태도 예시문</t>
  </si>
  <si>
    <t>체육/미술/아이디어</t>
  </si>
  <si>
    <t>종합/체육/음악</t>
  </si>
  <si>
    <t>체육/음악/노래</t>
  </si>
  <si>
    <t>체육/드리블/종합</t>
  </si>
  <si>
    <t>체육/음악/종합</t>
  </si>
  <si>
    <t>체육/음악/드럼</t>
  </si>
  <si>
    <t>미술/체육/종합</t>
  </si>
  <si>
    <t>음악/미술/종합</t>
  </si>
  <si>
    <t>종합/미술/음악</t>
  </si>
  <si>
    <t>종합/음악/미술/체육</t>
  </si>
  <si>
    <t>음악/미술/피아노</t>
  </si>
  <si>
    <t>발표/노력/독서/자연</t>
  </si>
  <si>
    <t>태도/우수/교과</t>
  </si>
  <si>
    <t>독서/글쓰기/그리기</t>
  </si>
  <si>
    <t>자연/문제/태도/끈기</t>
  </si>
  <si>
    <t>자료/태도/진취</t>
  </si>
  <si>
    <t>공부/태도/성적/우수</t>
  </si>
  <si>
    <t>자료/주장/논리</t>
  </si>
  <si>
    <t>탐구/합리적/태도</t>
  </si>
  <si>
    <t>노력/성적/향상</t>
  </si>
  <si>
    <t>노리/주장/쓰기</t>
  </si>
  <si>
    <t>과제/태도/우수</t>
  </si>
  <si>
    <t>호기심/관찰/우수</t>
  </si>
  <si>
    <t>문제/학습/자신감</t>
  </si>
  <si>
    <t>존중/태도/모범</t>
  </si>
  <si>
    <t>바람직/태도/과제</t>
  </si>
  <si>
    <t>독서/습관/글쓰기</t>
  </si>
  <si>
    <t>진취/학습/우수</t>
  </si>
  <si>
    <t>주장/글짓기/독서</t>
  </si>
  <si>
    <t>학습/규칙/성실</t>
  </si>
  <si>
    <t>양호/태도/노력</t>
  </si>
  <si>
    <t>호기심/관찰노력</t>
  </si>
  <si>
    <t>성취/발전/노력</t>
  </si>
  <si>
    <t>발표/논리/독서</t>
  </si>
  <si>
    <t>노력/태도/향상</t>
  </si>
  <si>
    <t>태도/성취/성적/우수</t>
  </si>
  <si>
    <t>체력/운동/기대/노력</t>
  </si>
  <si>
    <t>태도/성적/우수</t>
  </si>
  <si>
    <t>주장/논리/관찰/탐구</t>
  </si>
  <si>
    <t>언어/주장/성적/우수</t>
  </si>
  <si>
    <t>주장/논리적/글쓰기</t>
  </si>
  <si>
    <r>
      <rPr>
        <sz val="12"/>
        <color rgb="FF000000"/>
        <rFont val="맑은 고딕"/>
        <family val="3"/>
        <charset val="129"/>
      </rPr>
      <t>발표를 논리적으로 잘 하며 글씨를 바르게 쓰고 약속을 잘 지키며 사물에 대한 호기심과 관찰력이 우수하고 책 읽기를 즐겨하여 독서량이 많으며 교과 성적도 우수함</t>
    </r>
    <r>
      <rPr>
        <sz val="12"/>
        <color rgb="FF000000"/>
        <rFont val="함초롬바탕"/>
        <family val="1"/>
        <charset val="129"/>
      </rPr>
      <t xml:space="preserve">. </t>
    </r>
  </si>
  <si>
    <r>
      <rPr>
        <sz val="12"/>
        <color rgb="FF000000"/>
        <rFont val="맑은 고딕"/>
        <family val="3"/>
        <charset val="129"/>
      </rPr>
      <t>맡은 일을 성실하게 수행해서 다른 사람으로 하여금 믿음이 깊어지게 하고 성격이 아주 부드러워 웬만한 일에는 다툼을 벌이지 않는 어른스러운 모습을 지니고 있음</t>
    </r>
    <r>
      <rPr>
        <sz val="12"/>
        <color rgb="FF000000"/>
        <rFont val="함초롬바탕"/>
        <family val="1"/>
        <charset val="129"/>
      </rPr>
      <t xml:space="preserve">. </t>
    </r>
  </si>
  <si>
    <r>
      <rPr>
        <sz val="12"/>
        <color rgb="FF000000"/>
        <rFont val="맑은 고딕"/>
        <family val="3"/>
        <charset val="129"/>
      </rPr>
      <t>규칙과 질서를 잘 지키고 자기가 할 일을 묵묵히 실천하며 모든 일을 성실히 마무리하려 노력하고 자신이 한 약속을 잘 지키며 독서를 열심히 하여 독서량이 많음</t>
    </r>
    <r>
      <rPr>
        <sz val="12"/>
        <color rgb="FF000000"/>
        <rFont val="함초롬바탕"/>
        <family val="1"/>
        <charset val="129"/>
      </rPr>
      <t xml:space="preserve">. </t>
    </r>
  </si>
  <si>
    <t xml:space="preserve">창의력과 미적 감각이 있어 그리기나 만들기에서 대담한 표현력이 엿보이며 세심한 관찰을 잘하지만 집중하여 끝까지 작업을 완수하려고 노력한다면 더욱 발전이 기대됨. </t>
  </si>
  <si>
    <t xml:space="preserve">꾸준히 노력하여 전 교과 성적이 많이 향상되었으며, 이해심이 있어 급우 간에 인기가 좋으며, 자기의 잘못을 인정하고 수정하여 행동하는 곱고 착한 마음씨를 지녔음. </t>
  </si>
  <si>
    <r>
      <rPr>
        <sz val="12"/>
        <color rgb="FF000000"/>
        <rFont val="맑은 고딕"/>
        <family val="3"/>
        <charset val="129"/>
      </rPr>
      <t>내성적인 성격으로 참을성이 있고 다른 친구의 어려움을 먼저 나서서 도와줄 수 있는 착한 마음씨를 가지고 있으며 남의 의견을 존중할 줄 알고 학습태도가 양호함</t>
    </r>
    <r>
      <rPr>
        <sz val="12"/>
        <color rgb="FF000000"/>
        <rFont val="함초롬바탕"/>
        <family val="1"/>
        <charset val="129"/>
      </rPr>
      <t xml:space="preserve">. </t>
    </r>
  </si>
  <si>
    <r>
      <rPr>
        <sz val="12"/>
        <color rgb="FF000000"/>
        <rFont val="맑은 고딕"/>
        <family val="3"/>
        <charset val="129"/>
      </rPr>
      <t>항상 사람들에게 상냥하고 부드럽게 대하고 즐겁게 학교생활을 하며 묵묵히 자신이 맡은 일을 열심히 하고 친구들을 배려할 줄 아는 넓은 마음을 가진 순수한 학생임</t>
    </r>
    <r>
      <rPr>
        <sz val="12"/>
        <color rgb="FF000000"/>
        <rFont val="함초롬바탕"/>
        <family val="1"/>
        <charset val="129"/>
      </rPr>
      <t xml:space="preserve">. </t>
    </r>
  </si>
  <si>
    <r>
      <rPr>
        <sz val="12"/>
        <color rgb="FF000000"/>
        <rFont val="맑은 고딕"/>
        <family val="3"/>
        <charset val="129"/>
      </rPr>
      <t>주위 환경에 쉽게 휩쓸리지 않고 나의 주관에 따라 판단하고 신중하게 행동하는 결단력이 돋보이며</t>
    </r>
    <r>
      <rPr>
        <sz val="12"/>
        <color rgb="FF000000"/>
        <rFont val="함초롬바탕"/>
        <family val="1"/>
        <charset val="129"/>
      </rPr>
      <t xml:space="preserve">, </t>
    </r>
    <r>
      <rPr>
        <sz val="12"/>
        <color rgb="FF000000"/>
        <rFont val="맑은 고딕"/>
        <family val="3"/>
        <charset val="129"/>
      </rPr>
      <t>한번 정한 목표에 도달하기 위해 끊임없이 노력하는 뚝심이 있음</t>
    </r>
    <r>
      <rPr>
        <sz val="12"/>
        <color rgb="FF000000"/>
        <rFont val="함초롬바탕"/>
        <family val="1"/>
        <charset val="129"/>
      </rPr>
      <t xml:space="preserve">. </t>
    </r>
  </si>
  <si>
    <t xml:space="preserve">작은 일에도 최선을 다하고, 항상 긍정적인 생활태도를 가졌으며 이해심이 많고, 자연현상에 대해 관심이 많으며 스스로 문제를 해결하려는 끈기 있는 학습태도가 좋음. </t>
  </si>
  <si>
    <t>학습에 적극 참여하여 많이 향상되었고, 학급 미화 활동에 관심이 있으며 당번활동을 성실히 하고, 발표를 잘 하려고 노력하며 독서하는 습관이 바르게 형성되어 있음 .</t>
  </si>
  <si>
    <r>
      <rPr>
        <sz val="12"/>
        <color rgb="FF000000"/>
        <rFont val="맑은 고딕"/>
        <family val="3"/>
        <charset val="129"/>
      </rPr>
      <t>매사에 준비하는 자세가 정착되어 있고 맡은 일의 끝맺음을 잘하며 다른 사람의 의견을 존중하고 독서습관이 잘 형성되어 독서량이 많으며 교과 성적도 매우 우수함</t>
    </r>
    <r>
      <rPr>
        <sz val="12"/>
        <color rgb="FF000000"/>
        <rFont val="함초롬바탕"/>
        <family val="1"/>
        <charset val="129"/>
      </rPr>
      <t xml:space="preserve">. </t>
    </r>
  </si>
  <si>
    <r>
      <rPr>
        <sz val="12"/>
        <color rgb="FF000000"/>
        <rFont val="맑은 고딕"/>
        <family val="3"/>
        <charset val="129"/>
      </rPr>
      <t>항상 사람들에게 상냥하고 부드럽게 대하며 친구와 마찰이 생겼을 때 나의 주장보다 상대방의 말을 수용해주고 받아들이는 아량이 있어 큰 다툼 없이 원만히 해결함</t>
    </r>
    <r>
      <rPr>
        <sz val="12"/>
        <color rgb="FF000000"/>
        <rFont val="함초롬바탕"/>
        <family val="1"/>
        <charset val="129"/>
      </rPr>
      <t xml:space="preserve">. </t>
    </r>
  </si>
  <si>
    <t>학습/자신감</t>
  </si>
  <si>
    <t>발표/노력/독서</t>
  </si>
  <si>
    <t>생활습관/성적/우수</t>
  </si>
  <si>
    <t>교과/성적/성실</t>
  </si>
  <si>
    <t>관찰/탐구/노력</t>
  </si>
  <si>
    <t xml:space="preserve">발표를 잘하려고 노력하며 독서하는 습관이 바르게 형성되어 있고, 자연현상에 대해 관심이 많음. </t>
  </si>
  <si>
    <t xml:space="preserve">주변 정리 정돈을 잘하고 매사에 준비하는 자세가 정착되어 있어 학습 성과물을 완성도 있게 처리함 </t>
  </si>
  <si>
    <r>
      <rPr>
        <sz val="12"/>
        <color rgb="FF000000"/>
        <rFont val="맑은 고딕"/>
        <family val="3"/>
        <charset val="129"/>
      </rPr>
      <t>무엇이 옳고 무엇이 옳지 않은지를 판단할 수 있고 옳은 일에 대해서 자신의 생각을 굽히지 않는 결단력이 있음</t>
    </r>
    <r>
      <rPr>
        <sz val="12"/>
        <color rgb="FF000000"/>
        <rFont val="함초롬바탕"/>
        <family val="1"/>
        <charset val="129"/>
      </rPr>
      <t xml:space="preserve">. </t>
    </r>
  </si>
  <si>
    <r>
      <rPr>
        <sz val="12"/>
        <color rgb="FF000000"/>
        <rFont val="맑은 고딕"/>
        <family val="3"/>
        <charset val="129"/>
      </rPr>
      <t>자신이 세운 목표에 전념하여 초지 일관 꾸준한 믿음을 바탕으로 어떤 어려움이 와도 잘 헤쳐 나가는 힘이 있음</t>
    </r>
    <r>
      <rPr>
        <sz val="12"/>
        <color rgb="FF000000"/>
        <rFont val="함초롬바탕"/>
        <family val="1"/>
        <charset val="129"/>
      </rPr>
      <t xml:space="preserve">. </t>
    </r>
  </si>
  <si>
    <r>
      <rPr>
        <sz val="12"/>
        <color rgb="FF000000"/>
        <rFont val="맑은 고딕"/>
        <family val="3"/>
        <charset val="129"/>
      </rPr>
      <t>자기의 주장을 논리적으로 잘 나타내고 정이 많아 힘이 약한 친구나 소외된 사람들을 도우려는 마음을 가지고 있음</t>
    </r>
    <r>
      <rPr>
        <sz val="12"/>
        <color rgb="FF000000"/>
        <rFont val="함초롬바탕"/>
        <family val="1"/>
        <charset val="129"/>
      </rPr>
      <t>.</t>
    </r>
  </si>
  <si>
    <r>
      <rPr>
        <sz val="12"/>
        <color rgb="FF000000"/>
        <rFont val="맑은 고딕"/>
        <family val="3"/>
        <charset val="129"/>
      </rPr>
      <t>기본적인 학교 규칙을 잘 지키며</t>
    </r>
    <r>
      <rPr>
        <sz val="12"/>
        <color rgb="FF000000"/>
        <rFont val="함초롬바탕"/>
        <family val="1"/>
        <charset val="129"/>
      </rPr>
      <t xml:space="preserve">, </t>
    </r>
    <r>
      <rPr>
        <sz val="12"/>
        <color rgb="FF000000"/>
        <rFont val="맑은 고딕"/>
        <family val="3"/>
        <charset val="129"/>
      </rPr>
      <t>모든 일에 성실하게 자기의 목표를 세워 놓고 목표 달성을 위해 꾸준히 노력함.</t>
    </r>
  </si>
  <si>
    <t xml:space="preserve">세심한 관찰력으로 인물의 특징을 잘 잡아 표현하며 아름다운 목소리와 음악적 감각을 바탕으로 노래를 잘 부름. </t>
  </si>
  <si>
    <r>
      <rPr>
        <sz val="12"/>
        <color rgb="FF000000"/>
        <rFont val="맑은 고딕"/>
        <family val="3"/>
        <charset val="129"/>
      </rPr>
      <t>남의 의견을 존중할 줄 알고 단체활동에 매우 적극적인 태도를 지녔으며 학습에 집중력을 가지고 이해가 빠름</t>
    </r>
    <r>
      <rPr>
        <sz val="12"/>
        <color rgb="FF000000"/>
        <rFont val="함초롬바탕"/>
        <family val="1"/>
        <charset val="129"/>
      </rPr>
      <t xml:space="preserve">. </t>
    </r>
  </si>
  <si>
    <t xml:space="preserve">주제에 맞게 구상을 잘 하며 끈기있게 미술활동을 하여 작품완성도가 높음. 모든 체육활동에 적극적으로 참여함. </t>
  </si>
  <si>
    <r>
      <rPr>
        <sz val="12"/>
        <color rgb="FF000000"/>
        <rFont val="맑은 고딕"/>
        <family val="3"/>
        <charset val="129"/>
      </rPr>
      <t>다른 친구들을 배려하고 생각해주는 따뜻한 마음을 가진다면 더 큰 사람이 될 수 있는 가능성을 지니고 있음</t>
    </r>
    <r>
      <rPr>
        <sz val="12"/>
        <color rgb="FF000000"/>
        <rFont val="함초롬바탕"/>
        <family val="1"/>
        <charset val="129"/>
      </rPr>
      <t xml:space="preserve">. </t>
    </r>
  </si>
  <si>
    <t xml:space="preserve">그리기, 꾸미기 등 미술활동에 소질이 많고 글씨를 예쁘게 잘 쓰며 기본적인 학습 습관이 잘 형성되어 있음. </t>
  </si>
  <si>
    <t xml:space="preserve">학습 계획 실천력과 집중력이 다소 낮지만, 자신의 부족한 부분을 개선하기 위한 노력을 꾸준히 해오고 있음. </t>
  </si>
  <si>
    <r>
      <rPr>
        <sz val="12"/>
        <color rgb="FF000000"/>
        <rFont val="맑은 고딕"/>
        <family val="3"/>
        <charset val="129"/>
      </rPr>
      <t>주어진 일을 끝까지 잘 해결하고</t>
    </r>
    <r>
      <rPr>
        <sz val="12"/>
        <color rgb="FF000000"/>
        <rFont val="함초롬바탕"/>
        <family val="1"/>
        <charset val="129"/>
      </rPr>
      <t xml:space="preserve">, </t>
    </r>
    <r>
      <rPr>
        <sz val="12"/>
        <color rgb="FF000000"/>
        <rFont val="맑은 고딕"/>
        <family val="3"/>
        <charset val="129"/>
      </rPr>
      <t>스스로 맡은 일을 잘 처리하며</t>
    </r>
    <r>
      <rPr>
        <sz val="12"/>
        <color rgb="FF000000"/>
        <rFont val="함초롬바탕"/>
        <family val="1"/>
        <charset val="129"/>
      </rPr>
      <t xml:space="preserve">, </t>
    </r>
    <r>
      <rPr>
        <sz val="12"/>
        <color rgb="FF000000"/>
        <rFont val="맑은 고딕"/>
        <family val="3"/>
        <charset val="129"/>
      </rPr>
      <t>무슨 일이든 열심히 하는 태도를 가졌음</t>
    </r>
    <r>
      <rPr>
        <sz val="12"/>
        <color rgb="FF000000"/>
        <rFont val="함초롬바탕"/>
        <family val="1"/>
        <charset val="129"/>
      </rPr>
      <t xml:space="preserve">. </t>
    </r>
  </si>
  <si>
    <r>
      <rPr>
        <sz val="12"/>
        <color rgb="FF000000"/>
        <rFont val="맑은 고딕"/>
        <family val="3"/>
        <charset val="129"/>
      </rPr>
      <t>본적인 학습규칙을 잘 이행하고 자기의 목표가 뚜렷한 학교생활을 하여 행동이 침착하고 주변 정리 정돈이 잘됨</t>
    </r>
    <r>
      <rPr>
        <sz val="12"/>
        <color rgb="FF000000"/>
        <rFont val="함초롬바탕"/>
        <family val="1"/>
        <charset val="129"/>
      </rPr>
      <t>.</t>
    </r>
  </si>
  <si>
    <r>
      <rPr>
        <sz val="12"/>
        <color rgb="FF000000"/>
        <rFont val="맑은 고딕"/>
        <family val="3"/>
        <charset val="129"/>
      </rPr>
      <t>자기 것만을 챙기지 않고 다른 사람을 먼저 생각하고 자신에 대한 많은 배려에 감사할 줄 아는 태도를 지님</t>
    </r>
    <r>
      <rPr>
        <sz val="12"/>
        <color rgb="FF000000"/>
        <rFont val="함초롬바탕"/>
        <family val="1"/>
        <charset val="129"/>
      </rPr>
      <t xml:space="preserve">. </t>
    </r>
  </si>
  <si>
    <r>
      <rPr>
        <sz val="12"/>
        <color rgb="FF000000"/>
        <rFont val="맑은 고딕"/>
        <family val="3"/>
        <charset val="129"/>
      </rPr>
      <t>대가를 바라지 않고 베풀고 나누는 자세가 몸에 배어 있으며 친구들의 잘못을 너그러이 받아들이는 아량이 있음</t>
    </r>
    <r>
      <rPr>
        <sz val="12"/>
        <color rgb="FF000000"/>
        <rFont val="함초롬바탕"/>
        <family val="1"/>
        <charset val="129"/>
      </rPr>
      <t xml:space="preserve">. </t>
    </r>
  </si>
  <si>
    <r>
      <rPr>
        <sz val="12"/>
        <color rgb="FF000000"/>
        <rFont val="맑은 고딕"/>
        <family val="3"/>
        <charset val="129"/>
      </rPr>
      <t>자신의 주장이 강하여 주변 친구들과 관계가 소원한 편이나 모둠활동을 통하여 합리적인 문제해결방법을 도출함</t>
    </r>
    <r>
      <rPr>
        <sz val="12"/>
        <color rgb="FF000000"/>
        <rFont val="함초롬바탕"/>
        <family val="1"/>
        <charset val="129"/>
      </rPr>
      <t xml:space="preserve">. </t>
    </r>
  </si>
  <si>
    <r>
      <rPr>
        <sz val="12"/>
        <color rgb="FF000000"/>
        <rFont val="맑은 고딕"/>
        <family val="3"/>
        <charset val="129"/>
      </rPr>
      <t>재치있는 말과 행동으로 주변을 즐겁게 하여 친구들의 호감을 받는 등 긍정적인 생활태도를 보이며</t>
    </r>
    <r>
      <rPr>
        <sz val="12"/>
        <color rgb="FF000000"/>
        <rFont val="함초롬바탕"/>
        <family val="1"/>
        <charset val="129"/>
      </rPr>
      <t xml:space="preserve">, </t>
    </r>
    <r>
      <rPr>
        <sz val="12"/>
        <color rgb="FF000000"/>
        <rFont val="맑은 고딕"/>
        <family val="3"/>
        <charset val="129"/>
      </rPr>
      <t xml:space="preserve">학급의 문제점과 개선방향에 대해 토의하는 자율활동 시간에 </t>
    </r>
    <r>
      <rPr>
        <sz val="12"/>
        <color rgb="FF000000"/>
        <rFont val="함초롬바탕"/>
        <family val="1"/>
        <charset val="129"/>
      </rPr>
      <t>‘</t>
    </r>
    <r>
      <rPr>
        <sz val="12"/>
        <color rgb="FF000000"/>
        <rFont val="맑은 고딕"/>
        <family val="3"/>
        <charset val="129"/>
      </rPr>
      <t>나와 다르다고 하여 멀리하는 것이 아니라 함께 살아가는 방법</t>
    </r>
    <r>
      <rPr>
        <sz val="12"/>
        <color rgb="FF000000"/>
        <rFont val="함초롬바탕"/>
        <family val="1"/>
        <charset val="129"/>
      </rPr>
      <t>’</t>
    </r>
    <r>
      <rPr>
        <sz val="12"/>
        <color rgb="FF000000"/>
        <rFont val="맑은 고딕"/>
        <family val="3"/>
        <charset val="129"/>
      </rPr>
      <t xml:space="preserve">에 대해 친구들에게 강조함으로써 호감을 받음 </t>
    </r>
  </si>
  <si>
    <r>
      <rPr>
        <sz val="12"/>
        <color rgb="FF000000"/>
        <rFont val="맑은 고딕"/>
        <family val="3"/>
        <charset val="129"/>
      </rPr>
      <t>평소 학급의 어려운 친구들을 도와주기보다는 자신의 주장만 내세워 이를 해결하는 갈등관리 능력이 부족하여 학교생활에 어려움을 겪고 있었음</t>
    </r>
    <r>
      <rPr>
        <sz val="12"/>
        <color rgb="FF000000"/>
        <rFont val="함초롬바탕"/>
        <family val="1"/>
        <charset val="129"/>
      </rPr>
      <t xml:space="preserve">. </t>
    </r>
    <r>
      <rPr>
        <sz val="12"/>
        <color rgb="FF000000"/>
        <rFont val="맑은 고딕"/>
        <family val="3"/>
        <charset val="129"/>
      </rPr>
      <t xml:space="preserve">이 후 </t>
    </r>
    <r>
      <rPr>
        <sz val="12"/>
        <color rgb="FF000000"/>
        <rFont val="함초롬바탕"/>
        <family val="1"/>
        <charset val="129"/>
      </rPr>
      <t>1</t>
    </r>
    <r>
      <rPr>
        <sz val="12"/>
        <color rgb="FF000000"/>
        <rFont val="맑은 고딕"/>
        <family val="3"/>
        <charset val="129"/>
      </rPr>
      <t xml:space="preserve">인 </t>
    </r>
    <r>
      <rPr>
        <sz val="12"/>
        <color rgb="FF000000"/>
        <rFont val="함초롬바탕"/>
        <family val="1"/>
        <charset val="129"/>
      </rPr>
      <t>1</t>
    </r>
    <r>
      <rPr>
        <sz val="12"/>
        <color rgb="FF000000"/>
        <rFont val="맑은 고딕"/>
        <family val="3"/>
        <charset val="129"/>
      </rPr>
      <t>역할 활동에 참여하고 친구들과 교실을 깨끗하게 가꾸면서 협력하는 방법을 배우게 되었음.</t>
    </r>
  </si>
  <si>
    <t>창의/감각/그리기/만들기/질문/노력</t>
  </si>
  <si>
    <r>
      <rPr>
        <sz val="12"/>
        <color rgb="FF000000"/>
        <rFont val="맑은 고딕"/>
        <family val="3"/>
        <charset val="129"/>
      </rPr>
      <t>친구들과 갈등을 겪은 후 자신의 잘못을 반성하고 친구를 배려하는 마음을 가지며 학급에서 잘 어울리지 못하는 친구를 도와주는 등 주변을 돌볼 수 있는 마음을 가지게 됨</t>
    </r>
    <r>
      <rPr>
        <sz val="12"/>
        <color rgb="FF000000"/>
        <rFont val="함초롬바탕"/>
        <family val="1"/>
        <charset val="129"/>
      </rPr>
      <t xml:space="preserve">. </t>
    </r>
  </si>
  <si>
    <r>
      <rPr>
        <sz val="12"/>
        <color rgb="FF000000"/>
        <rFont val="맑은 고딕"/>
        <family val="3"/>
        <charset val="129"/>
      </rPr>
      <t>모험심이 많고 성격이 활발하여 친구들이 좋아하고 이에 따라 즐거운 학교 생활을 하고 있으며 새로운 일에 관심과 호기심이 많아 질문도 잘하며 전반적으로 외향적인 성격임</t>
    </r>
    <r>
      <rPr>
        <sz val="12"/>
        <color rgb="FF000000"/>
        <rFont val="함초롬바탕"/>
        <family val="1"/>
        <charset val="129"/>
      </rPr>
      <t xml:space="preserve">. </t>
    </r>
  </si>
  <si>
    <r>
      <rPr>
        <sz val="12"/>
        <color rgb="FF000000"/>
        <rFont val="맑은 고딕"/>
        <family val="3"/>
        <charset val="129"/>
      </rPr>
      <t>서로의 다른 특성을 이해하고 함께 도우며 모둠활동을 열심히 하고 성격이 아주 부드러워 웬만한 일에는 다툼을 벌이지 않는 사랑스러운 모습을 지니고 있으며 줄넘기를 잘함</t>
    </r>
    <r>
      <rPr>
        <sz val="12"/>
        <color rgb="FF000000"/>
        <rFont val="함초롬바탕"/>
        <family val="1"/>
        <charset val="129"/>
      </rPr>
      <t xml:space="preserve">. </t>
    </r>
  </si>
  <si>
    <r>
      <rPr>
        <sz val="12"/>
        <color rgb="FF000000"/>
        <rFont val="맑은 고딕"/>
        <family val="3"/>
        <charset val="129"/>
      </rPr>
      <t>모둠 토의학습에 관심이 있어 모둠활동에 리더의 역할을 잘 하고 스스로 문제를 해결하려는 자세가 좋으며 모든 일에 진취적이고 자신감이 많아 학교생활을 매우 즐겁게 함</t>
    </r>
    <r>
      <rPr>
        <sz val="12"/>
        <color rgb="FF000000"/>
        <rFont val="함초롬바탕"/>
        <family val="1"/>
        <charset val="129"/>
      </rPr>
      <t xml:space="preserve">. </t>
    </r>
  </si>
  <si>
    <r>
      <rPr>
        <sz val="12"/>
        <color rgb="FF000000"/>
        <rFont val="맑은 고딕"/>
        <family val="3"/>
        <charset val="129"/>
      </rPr>
      <t>평소 자신의 주장이 강해 친구들과 자주 갈등을 겪지만 자신의 잘못은 반성할 줄 알고 친구와 대화를 통해 갈등을 해결해 나감</t>
    </r>
    <r>
      <rPr>
        <sz val="12"/>
        <color rgb="FF000000"/>
        <rFont val="함초롬바탕"/>
        <family val="1"/>
        <charset val="129"/>
      </rPr>
      <t xml:space="preserve">. </t>
    </r>
  </si>
  <si>
    <r>
      <rPr>
        <sz val="12"/>
        <color rgb="FF000000"/>
        <rFont val="맑은 고딕"/>
        <family val="3"/>
        <charset val="129"/>
      </rPr>
      <t>친구들과 잘 어울리지 못하는 수줍음이 많은 성격이었으나 방과 후 동아리 활동 등 다양한 학교 활동에 참여하여 적극성을 보임</t>
    </r>
    <r>
      <rPr>
        <sz val="12"/>
        <color rgb="FF000000"/>
        <rFont val="함초롬바탕"/>
        <family val="1"/>
        <charset val="129"/>
      </rPr>
      <t xml:space="preserve">. </t>
    </r>
  </si>
  <si>
    <r>
      <rPr>
        <sz val="12"/>
        <color rgb="FF000000"/>
        <rFont val="맑은 고딕"/>
        <family val="3"/>
        <charset val="129"/>
      </rPr>
      <t>해맑게 웃는 얼굴이 순수한 학생으로 반 친구들에게 친절하고 상냥하며 도와주기를 좋아하고 자신의 환경을 긍정적으로 이겨냄</t>
    </r>
    <r>
      <rPr>
        <sz val="12"/>
        <color rgb="FF000000"/>
        <rFont val="함초롬바탕"/>
        <family val="1"/>
        <charset val="129"/>
      </rPr>
      <t xml:space="preserve">. </t>
    </r>
  </si>
  <si>
    <r>
      <rPr>
        <sz val="12"/>
        <color rgb="FF000000"/>
        <rFont val="맑은 고딕"/>
        <family val="3"/>
        <charset val="129"/>
      </rPr>
      <t>말과 행동이 침착하고 사려가 깊으며 학급 청소 활동시 자신의 역할을 다하고 다른 친구의 역할을 도와주는 따뜻한 성품을 지님</t>
    </r>
    <r>
      <rPr>
        <sz val="12"/>
        <color rgb="FF000000"/>
        <rFont val="함초롬바탕"/>
        <family val="1"/>
        <charset val="129"/>
      </rPr>
      <t xml:space="preserve">. </t>
    </r>
  </si>
  <si>
    <t xml:space="preserve">학업성취에 대한 의지가 있으며 전 교과 성적이 양호하고, 주변 정리정돈에 관심이 가지며 시간을 효과적으로 활용하려고 노력함. </t>
  </si>
  <si>
    <t xml:space="preserve">다양한 예술 및 체육 활동에 최선을 다하며 달리기가 빠르고 피아노 연주를 잘 하여 음악시간에 반주자로서 역할을 잘 해냄. </t>
  </si>
  <si>
    <t>학교생활에 즐겁게 참여하고 어려운 문제에 부딪혔을 때 당황하지 않으며, 자료를 학습에 잘 이용하는 기본적인 학습 태도가 양호함.</t>
  </si>
  <si>
    <t xml:space="preserve">상식이 풍부하고 수학적 문제 해결력 있으며 기초적 학습기능이 바르게 정착되었으나, 집중력 향상과 학습장 정리에 노력이 필요함. </t>
  </si>
  <si>
    <t xml:space="preserve">역할 분담 활동을 성실히 수행하며 다른 사람의 입장을 이해하려고 힘쓰고, 학업성취에 대한 의지가 있어 전 교과 성적이 양호함. </t>
  </si>
  <si>
    <t xml:space="preserve">스스로 문제를 해결하려는 자세가 좋으며 학습활동에 자신감이 있고 꾸준히 노력하는 학습태도를 가져서 모든 교과 성적이 우수함. </t>
  </si>
  <si>
    <r>
      <rPr>
        <sz val="12"/>
        <color rgb="FF000000"/>
        <rFont val="맑은 고딕"/>
        <family val="3"/>
        <charset val="129"/>
      </rPr>
      <t>학급의 문제점과 개선 방향에 대해 토의하는 자치활동 시간에 나와 의견이 다르다고 멀리하는 것이 아니라 함께 이야기하여 설득함</t>
    </r>
    <r>
      <rPr>
        <sz val="12"/>
        <color rgb="FF000000"/>
        <rFont val="함초롬바탕"/>
        <family val="1"/>
        <charset val="129"/>
      </rPr>
      <t xml:space="preserve">. </t>
    </r>
  </si>
  <si>
    <t xml:space="preserve">학습내용에 대한 성취의욕이 있어 전 교과 성적이 조금씩 발전되어 가며, 학용품을 잘 다루며 물건을 아껴 쓰려는 태도가 양호함. </t>
  </si>
  <si>
    <t xml:space="preserve">기본적인 학습규칙을 잘 이행하고 자기의 목표가 뚜렷한 학교생활을 하며, 행동이 매우 침착하고 깔끔하여 주변 정리 정돈을 잘함. </t>
  </si>
  <si>
    <t xml:space="preserve">바른 생활 습관이 형성되어 있으며 교과 성적이 양호하고, 분단 토의학습에 잘 참여하며 주변 정리 정돈을 바르게 하려고 노력함. </t>
  </si>
  <si>
    <t>친구를 도우며 이해심이 있어 급우간 사이가 원만하고, 꾸준히 노력하는 학습 태도를 가져서 모든 교과 성적이 많이 발전됨 .</t>
  </si>
  <si>
    <t xml:space="preserve">말을 조리 있게 하며 좋은 인상을 주기 위해 항상 노력하고, 스스로 공부하는 태도가 양호하며 전 교과 성적이 고루 양호함. </t>
  </si>
  <si>
    <r>
      <rPr>
        <sz val="12"/>
        <color rgb="FF000000"/>
        <rFont val="맑은 고딕"/>
        <family val="3"/>
        <charset val="129"/>
      </rPr>
      <t>학습에 대한 열정이 있어 꾸미기를 좋아하나 단답형이 아닌 사고력을 요구하는 문제는 귀찮아하는 경향이 있어 이를 극복해야함</t>
    </r>
    <r>
      <rPr>
        <sz val="12"/>
        <color rgb="FF000000"/>
        <rFont val="함초롬바탕"/>
        <family val="1"/>
        <charset val="129"/>
      </rPr>
      <t xml:space="preserve">. </t>
    </r>
  </si>
  <si>
    <r>
      <rPr>
        <sz val="12"/>
        <color rgb="FF000000"/>
        <rFont val="맑은 고딕"/>
        <family val="3"/>
        <charset val="129"/>
      </rPr>
      <t>단계적으로 차근차근 해결해 나가는 꾸준함과 성실함이 있음</t>
    </r>
    <r>
      <rPr>
        <sz val="12"/>
        <color rgb="FF000000"/>
        <rFont val="함초롬바탕"/>
        <family val="1"/>
        <charset val="129"/>
      </rPr>
      <t xml:space="preserve">. </t>
    </r>
  </si>
  <si>
    <t xml:space="preserve">학습 태도가 좋으며 전 교과 학습 영역에 걸쳐 성적이 양호함. </t>
  </si>
  <si>
    <r>
      <rPr>
        <sz val="12"/>
        <color rgb="FF000000"/>
        <rFont val="맑은 고딕"/>
        <family val="3"/>
        <charset val="129"/>
      </rPr>
      <t>자신이 불리한 경우에도 거짓말을 하지 않고 말과 행동이 참됨</t>
    </r>
    <r>
      <rPr>
        <sz val="12"/>
        <color rgb="FF000000"/>
        <rFont val="함초롬바탕"/>
        <family val="1"/>
        <charset val="129"/>
      </rPr>
      <t xml:space="preserve">. </t>
    </r>
  </si>
  <si>
    <r>
      <rPr>
        <sz val="12"/>
        <color rgb="FF000000"/>
        <rFont val="맑은 고딕"/>
        <family val="3"/>
        <charset val="129"/>
      </rPr>
      <t>말과 행동이 침착하고 사려 깊어 시간을 유익하게 활용함</t>
    </r>
    <r>
      <rPr>
        <sz val="12"/>
        <color rgb="FF000000"/>
        <rFont val="함초롬바탕"/>
        <family val="1"/>
        <charset val="129"/>
      </rPr>
      <t xml:space="preserve">. </t>
    </r>
  </si>
  <si>
    <t xml:space="preserve">학업 성취에 대한 의지가 강하여 전 교과 성적이 우수함. </t>
  </si>
  <si>
    <t xml:space="preserve">꾸준히 노력하는 학습 태도를 가져 모든 교과 성적이 우수함. </t>
  </si>
  <si>
    <t xml:space="preserve">독서하는 습관이 바르게 형성되어 있으며 글쓰기를 즐겨함. </t>
  </si>
  <si>
    <t xml:space="preserve">자기의 주장을 논리적으로 잘 나타내며 글 짓는 능력이 뛰어남. </t>
  </si>
  <si>
    <t xml:space="preserve">자료를 학습에 잘 이용하며 자기의 주장을 논리적으로 나타냄. </t>
  </si>
  <si>
    <t xml:space="preserve">사물에 대한 호기심과 관찰력이 우수하며 말을 조리 있게 잘함. </t>
  </si>
  <si>
    <t xml:space="preserve">말씨가 차분하고 고운 마음씨를 가졌으며 학습태도가 양호하고, 자신의 생각을 잘 나타내며 단체 일에 잘 따르려고 노력함. </t>
  </si>
  <si>
    <t xml:space="preserve">학업성취에 대한 의지가 있으며 전 교과 성적이 양호하고, 집단생활에 적응하는 태도가 좋으며 용의가 깔끔하고 단정함. </t>
  </si>
  <si>
    <t xml:space="preserve">당번활동을 잘 하며 단체 활동에 부지런히 참여하고, 시간을 유익하게 활용하려고 애쓰며 목표 달성을 위해 열심히 노력함. </t>
  </si>
  <si>
    <t>주변 정리정돈에 관심이 있으며 시간을 효과적으로 활용하고 스스로 공부하는 태도가 양호하며 전 교과 성적이 고루 양호함.</t>
  </si>
  <si>
    <r>
      <rPr>
        <sz val="12"/>
        <color rgb="FF000000"/>
        <rFont val="맑은 고딕"/>
        <family val="3"/>
        <charset val="129"/>
      </rPr>
      <t>학습 태도가 바르고 언행이 고우며 명랑한 얼굴로 친구들에게 친절하게 대하는 타인을 위한 이해와 배려심을 가지고 있음</t>
    </r>
    <r>
      <rPr>
        <sz val="12"/>
        <color rgb="FF000000"/>
        <rFont val="함초롬바탕"/>
        <family val="1"/>
        <charset val="129"/>
      </rPr>
      <t xml:space="preserve">. </t>
    </r>
  </si>
  <si>
    <t xml:space="preserve">약속을 잘 지키고 행동이 매우 침착하며 조용한 성격의 소유자로 학업성취에 대한 의지가 있으며 전 교과 성적이 양호함. </t>
  </si>
  <si>
    <r>
      <rPr>
        <sz val="12"/>
        <color rgb="FF000000"/>
        <rFont val="맑은 고딕"/>
        <family val="3"/>
        <charset val="129"/>
      </rPr>
      <t>자신이 가지고 있는 것을 타인에게 잘 베풀며 도움이 필요한 친구를 자신의 일처럼 잘 도와주는 배려심이 있는 학생임</t>
    </r>
    <r>
      <rPr>
        <sz val="12"/>
        <color rgb="FF000000"/>
        <rFont val="함초롬바탕"/>
        <family val="1"/>
        <charset val="129"/>
      </rPr>
      <t xml:space="preserve">. </t>
    </r>
  </si>
  <si>
    <t xml:space="preserve">성실한 태도로 자신의 일을 잘 수행하는 학생으로 수업에 바른 자세로 임하고 성실히 노력하여 전 교과 성적이 우수함. </t>
  </si>
  <si>
    <r>
      <rPr>
        <sz val="12"/>
        <color rgb="FF000000"/>
        <rFont val="맑은 고딕"/>
        <family val="3"/>
        <charset val="129"/>
      </rPr>
      <t>스스로 문제를 해결하려는 자세가 좋</t>
    </r>
    <r>
      <rPr>
        <sz val="12"/>
        <color rgb="FF000000"/>
        <rFont val="함초롬바탕"/>
        <family val="1"/>
        <charset val="129"/>
      </rPr>
      <t>(</t>
    </r>
    <r>
      <rPr>
        <sz val="12"/>
        <color rgb="FF000000"/>
        <rFont val="맑은 고딕"/>
        <family val="3"/>
        <charset val="129"/>
      </rPr>
      <t>타인 존중</t>
    </r>
    <r>
      <rPr>
        <sz val="12"/>
        <color rgb="FF000000"/>
        <rFont val="함초롬바탕"/>
        <family val="1"/>
        <charset val="129"/>
      </rPr>
      <t xml:space="preserve">) </t>
    </r>
    <r>
      <rPr>
        <sz val="12"/>
        <color rgb="FF000000"/>
        <rFont val="맑은 고딕"/>
        <family val="3"/>
        <charset val="129"/>
      </rPr>
      <t>남의 의견을 존중할 줄 알고 단체 활동에 매우 적극적인 태도를 지녔음</t>
    </r>
    <r>
      <rPr>
        <sz val="12"/>
        <color rgb="FF000000"/>
        <rFont val="함초롬바탕"/>
        <family val="1"/>
        <charset val="129"/>
      </rPr>
      <t xml:space="preserve">. </t>
    </r>
  </si>
  <si>
    <r>
      <rPr>
        <sz val="12"/>
        <color rgb="FF000000"/>
        <rFont val="맑은 고딕"/>
        <family val="3"/>
        <charset val="129"/>
      </rPr>
      <t>매사에 의욕이 강하고 자신감이 넘치며 친구와 사귀고 함께 노는 것을 좋아하고 솔직하며 공동의 일에 적극적으로 참여함</t>
    </r>
    <r>
      <rPr>
        <sz val="12"/>
        <color rgb="FF000000"/>
        <rFont val="함초롬바탕"/>
        <family val="1"/>
        <charset val="129"/>
      </rPr>
      <t xml:space="preserve">. </t>
    </r>
  </si>
  <si>
    <r>
      <rPr>
        <sz val="12"/>
        <color rgb="FF000000"/>
        <rFont val="맑은 고딕"/>
        <family val="3"/>
        <charset val="129"/>
      </rPr>
      <t>학기 초</t>
    </r>
    <r>
      <rPr>
        <sz val="12"/>
        <color rgb="FF000000"/>
        <rFont val="함초롬바탕"/>
        <family val="1"/>
        <charset val="129"/>
      </rPr>
      <t xml:space="preserve">, </t>
    </r>
    <r>
      <rPr>
        <sz val="12"/>
        <color rgb="FF000000"/>
        <rFont val="맑은 고딕"/>
        <family val="3"/>
        <charset val="129"/>
      </rPr>
      <t>마음 가는 대로 행동하던 습관을 버리고</t>
    </r>
    <r>
      <rPr>
        <sz val="12"/>
        <color rgb="FF000000"/>
        <rFont val="함초롬바탕"/>
        <family val="1"/>
        <charset val="129"/>
      </rPr>
      <t xml:space="preserve">, </t>
    </r>
    <r>
      <rPr>
        <sz val="12"/>
        <color rgb="FF000000"/>
        <rFont val="맑은 고딕"/>
        <family val="3"/>
        <charset val="129"/>
      </rPr>
      <t>친구들의 장난을 유연하게 받아들이려고 노력하는 태도가 생김</t>
    </r>
    <r>
      <rPr>
        <sz val="12"/>
        <color rgb="FF000000"/>
        <rFont val="함초롬바탕"/>
        <family val="1"/>
        <charset val="129"/>
      </rPr>
      <t xml:space="preserve">.  </t>
    </r>
  </si>
  <si>
    <t xml:space="preserve">항상 긍정적인 생활태도를 가졌으며 이해심이 있고 주어진 일을 끈기 있게 해결하며 작은 일에도 성실하게 최선을 다함. </t>
  </si>
  <si>
    <r>
      <rPr>
        <sz val="12"/>
        <color rgb="FF000000"/>
        <rFont val="맑은 고딕"/>
        <family val="3"/>
        <charset val="129"/>
      </rPr>
      <t>학급 봉사위원으로서 맡은 바 역할을 성실하게 수행하면서도 도움이 필요한 친구들을 잘 돕는 등 책임감이 강한 학생임</t>
    </r>
    <r>
      <rPr>
        <sz val="12"/>
        <color rgb="FF000000"/>
        <rFont val="함초롬바탕"/>
        <family val="1"/>
        <charset val="129"/>
      </rPr>
      <t xml:space="preserve">. </t>
    </r>
  </si>
  <si>
    <r>
      <rPr>
        <sz val="12"/>
        <color rgb="FF000000"/>
        <rFont val="맑은 고딕"/>
        <family val="3"/>
        <charset val="129"/>
      </rPr>
      <t>친구들과 잘 어울리지 못하는 수줍음 많은 성격이었으나 토요 방과후 축구부 활동에 참여하여 적극성이 눈에 띄게 발전함</t>
    </r>
    <r>
      <rPr>
        <sz val="12"/>
        <color rgb="FF000000"/>
        <rFont val="함초롬바탕"/>
        <family val="1"/>
        <charset val="129"/>
      </rPr>
      <t xml:space="preserve">. </t>
    </r>
  </si>
  <si>
    <t xml:space="preserve">새로운 것에 대한 호기심이 왕성하여 수업시간에 질문을 많이 하고 언어 구사 능력이 뛰어나 자신의 주장을 곧잘 세움. </t>
  </si>
  <si>
    <r>
      <rPr>
        <sz val="12"/>
        <color rgb="FF000000"/>
        <rFont val="맑은 고딕"/>
        <family val="3"/>
        <charset val="129"/>
      </rPr>
      <t>밝은 성격으로 친구를 배려하고 급우들과 사이좋게 지내며 즐겁게 학교생활을 하고 자신이 잘못한 일에 대한 인정이 빠르고 바꾸려고 노력하는 모습을 보임</t>
    </r>
    <r>
      <rPr>
        <sz val="12"/>
        <color rgb="FF000000"/>
        <rFont val="함초롬바탕"/>
        <family val="1"/>
        <charset val="129"/>
      </rPr>
      <t xml:space="preserve">. </t>
    </r>
  </si>
  <si>
    <t xml:space="preserve">방학 기간에 자신의 체력 수준에 맞는 체력 증진 프로그램을 만들어 꾸준히 운동을 할 수 있도록 한다면 더 건강한 학교 생활을 할 수 있을 것이라 기대됨. </t>
  </si>
  <si>
    <t>스스로 문제를 해결하려는 자세가 좋으며 학습활동에 자신감이 있고, 자기의 주장을 논리적으로 잘 나타내고 사물에 대한 관찰력과 탐구력이 뛰어나며 발표도 잘함.</t>
  </si>
  <si>
    <r>
      <rPr>
        <sz val="12"/>
        <color rgb="FF000000"/>
        <rFont val="맑은 고딕"/>
        <family val="3"/>
        <charset val="129"/>
      </rPr>
      <t>거짓 없이 순수하고 수업 시간을 즐거운 분위기로 만드는 능력이 있으며 전 교과 성적이 우수하고 친구들과 사이좋게 지내 급우들 사이에서 인기가 있는 학생임</t>
    </r>
    <r>
      <rPr>
        <sz val="12"/>
        <color rgb="FF000000"/>
        <rFont val="함초롬바탕"/>
        <family val="1"/>
        <charset val="129"/>
      </rPr>
      <t xml:space="preserve">. </t>
    </r>
  </si>
  <si>
    <t xml:space="preserve">스스로 문제를 해결하려는 자세가 좋으며 학습활동에 자신감이 있고 자기의 주장을 논리적으로 잘 나타내고 사물에 대한 관찰력과 탐구력이 뛰어나며 발표도 잘함 </t>
  </si>
  <si>
    <r>
      <rPr>
        <sz val="12"/>
        <color rgb="FF000000"/>
        <rFont val="맑은 고딕"/>
        <family val="3"/>
        <charset val="129"/>
      </rPr>
      <t>자신이 가지고 있는 것을 타인에게 잘 베풀며 도움이 필요한 친구를 자신의 일처럼 잘 도와주는 배려심이 있고 바른 자세와 또박또박한 말로 발표를 잘함</t>
    </r>
    <r>
      <rPr>
        <sz val="12"/>
        <color rgb="FF000000"/>
        <rFont val="함초롬바탕"/>
        <family val="1"/>
        <charset val="129"/>
      </rPr>
      <t xml:space="preserve">. </t>
    </r>
  </si>
  <si>
    <r>
      <rPr>
        <sz val="12"/>
        <color rgb="FF000000"/>
        <rFont val="맑은 고딕"/>
        <family val="3"/>
        <charset val="129"/>
      </rPr>
      <t>주어진 일을 책임감을 가지고 끈기 있게 해결하며 매사에 준비하는 자세가 정착되어 있고 학습 성과물을 완성도 있게 처리하며 모둠활동에서 주도적인 역할을 함</t>
    </r>
    <r>
      <rPr>
        <sz val="12"/>
        <color rgb="FF000000"/>
        <rFont val="함초롬바탕"/>
        <family val="1"/>
        <charset val="129"/>
      </rPr>
      <t xml:space="preserve">. </t>
    </r>
  </si>
  <si>
    <t xml:space="preserve">밝고 순박하며 이해심 있어서 친구들과 사이좋게 지냄. 스스로 공부하는 태도가 형성되었으며 잘하려는 성취의욕이 높아 전 교과 성적이 고루 우수하게 발전함. </t>
  </si>
  <si>
    <t xml:space="preserve">기본적인 학습 규칙을 잘 지키고 사물에 대한 관찰력과 탐구력이 있으며, 자기의 목표를 세워 놓고 목표 달성을 위해 꾸준히 노력하는 학습 활동이 양호함. </t>
  </si>
  <si>
    <t xml:space="preserve">매사에 말씨와 행동에 붙임성 있으며 말을 조리 있게 하고 좋은 인상을 주기 위해 항상 노력하고, 학습 내용에 대한 이해력과 전이력이 높고 책을 즐겨 읽음. </t>
  </si>
  <si>
    <t xml:space="preserve">생활 주변 현상에 대해 관심을 가졌으며 조사 토의학습에 관심이 있고, 자신의 생각을 잘 나타내며 자료를 학습에 잘 이용하며 기본적인 학습 태도가 양호함. </t>
  </si>
  <si>
    <r>
      <rPr>
        <sz val="12"/>
        <color rgb="FF000000"/>
        <rFont val="맑은 고딕"/>
        <family val="3"/>
        <charset val="129"/>
      </rPr>
      <t>모둠활동</t>
    </r>
    <r>
      <rPr>
        <sz val="12"/>
        <color rgb="FF000000"/>
        <rFont val="함초롬바탕"/>
        <family val="1"/>
        <charset val="129"/>
      </rPr>
      <t xml:space="preserve">, </t>
    </r>
    <r>
      <rPr>
        <sz val="12"/>
        <color rgb="FF000000"/>
        <rFont val="맑은 고딕"/>
        <family val="3"/>
        <charset val="129"/>
      </rPr>
      <t>발표대회 등 다양한 활동에서 각자의 역할을 합리적인 방법으로 나누고 부진한 부분에 대해 솔선하여 이를 개선하는 등 친구들의 관계를 잘 조율함</t>
    </r>
    <r>
      <rPr>
        <sz val="12"/>
        <color rgb="FF000000"/>
        <rFont val="함초롬바탕"/>
        <family val="1"/>
        <charset val="129"/>
      </rPr>
      <t xml:space="preserve">. </t>
    </r>
  </si>
  <si>
    <r>
      <rPr>
        <sz val="12"/>
        <color rgb="FF000000"/>
        <rFont val="맑은 고딕"/>
        <family val="3"/>
        <charset val="129"/>
      </rPr>
      <t>사교성이 좋고 귀염성이 많아 친구들과 사이좋게 즐겁게 학교생활을 함</t>
    </r>
    <r>
      <rPr>
        <sz val="12"/>
        <color rgb="FF000000"/>
        <rFont val="함초롬바탕"/>
        <family val="1"/>
        <charset val="129"/>
      </rPr>
      <t xml:space="preserve">. </t>
    </r>
  </si>
  <si>
    <r>
      <rPr>
        <sz val="12"/>
        <color rgb="FF000000"/>
        <rFont val="맑은 고딕"/>
        <family val="3"/>
        <charset val="129"/>
      </rPr>
      <t>사교성이 좋고 인간적인 친화력이 뛰어나 주변에 친구들이 많은 학생임</t>
    </r>
    <r>
      <rPr>
        <sz val="12"/>
        <color rgb="FF000000"/>
        <rFont val="함초롬바탕"/>
        <family val="1"/>
        <charset val="129"/>
      </rPr>
      <t xml:space="preserve">. </t>
    </r>
  </si>
  <si>
    <r>
      <rPr>
        <sz val="12"/>
        <color rgb="FF000000"/>
        <rFont val="맑은 고딕"/>
        <family val="3"/>
        <charset val="129"/>
      </rPr>
      <t>책임감이 강하고 통솔력이 있어 학급 친구들 사이에서 인기가 많음</t>
    </r>
    <r>
      <rPr>
        <sz val="12"/>
        <color rgb="FF000000"/>
        <rFont val="함초롬바탕"/>
        <family val="1"/>
        <charset val="129"/>
      </rPr>
      <t xml:space="preserve">. </t>
    </r>
  </si>
  <si>
    <t xml:space="preserve">매사에 준비하는 자세가 정착되어 있으며 맡은 일의 끝맺음을 잘 함 </t>
  </si>
  <si>
    <r>
      <rPr>
        <sz val="12"/>
        <color rgb="FF000000"/>
        <rFont val="맑은 고딕"/>
        <family val="3"/>
        <charset val="129"/>
      </rPr>
      <t>신뢰를 받으며 특히 무슨 일이든 최선을 다해서 좋은 결과를 얻어냄</t>
    </r>
    <r>
      <rPr>
        <sz val="12"/>
        <color rgb="FF000000"/>
        <rFont val="함초롬바탕"/>
        <family val="1"/>
        <charset val="129"/>
      </rPr>
      <t xml:space="preserve">. </t>
    </r>
  </si>
  <si>
    <r>
      <rPr>
        <sz val="12"/>
        <color rgb="FF000000"/>
        <rFont val="맑은 고딕"/>
        <family val="3"/>
        <charset val="129"/>
      </rPr>
      <t>학기 초 친구들과 함께 정한 언어활동</t>
    </r>
    <r>
      <rPr>
        <sz val="12"/>
        <color rgb="FF000000"/>
        <rFont val="함초롬바탕"/>
        <family val="1"/>
        <charset val="129"/>
      </rPr>
      <t xml:space="preserve">, </t>
    </r>
    <r>
      <rPr>
        <sz val="12"/>
        <color rgb="FF000000"/>
        <rFont val="맑은 고딕"/>
        <family val="3"/>
        <charset val="129"/>
      </rPr>
      <t>친구 사이에 관용많이 베품.</t>
    </r>
  </si>
  <si>
    <r>
      <rPr>
        <sz val="12"/>
        <color rgb="FF000000"/>
        <rFont val="맑은 고딕"/>
        <family val="3"/>
        <charset val="129"/>
      </rPr>
      <t>학급 모둠 활동 중 기능이 부족한 친구를 위해 도와주고 이끌어감</t>
    </r>
    <r>
      <rPr>
        <sz val="12"/>
        <color rgb="FF000000"/>
        <rFont val="함초롬바탕"/>
        <family val="1"/>
        <charset val="129"/>
      </rPr>
      <t xml:space="preserve">. </t>
    </r>
  </si>
  <si>
    <r>
      <rPr>
        <sz val="12"/>
        <color rgb="FF000000"/>
        <rFont val="맑은 고딕"/>
        <family val="3"/>
        <charset val="129"/>
      </rPr>
      <t>힘든 일이 있어도 좌절하지 않고 항상 웃으며 먼저 다가서려고 노력함</t>
    </r>
    <r>
      <rPr>
        <sz val="12"/>
        <color rgb="FF000000"/>
        <rFont val="함초롬바탕"/>
        <family val="1"/>
        <charset val="129"/>
      </rPr>
      <t xml:space="preserve">. </t>
    </r>
  </si>
  <si>
    <t xml:space="preserve">차분하고 따뜻한 미소와 말로 도움이 필요한 친구를 조용히 도와줌 </t>
  </si>
  <si>
    <t xml:space="preserve">매사에 긍정적이며 늘 밝은 표정으로 즐겁게 학교생활을 하는 학생임. </t>
  </si>
  <si>
    <r>
      <rPr>
        <sz val="12"/>
        <color rgb="FF000000"/>
        <rFont val="맑은 고딕"/>
        <family val="3"/>
        <charset val="129"/>
      </rPr>
      <t>다른 사람의 감정과 상황에 대해 신중히 생각하고 주의를 기울임</t>
    </r>
    <r>
      <rPr>
        <sz val="12"/>
        <color rgb="FF000000"/>
        <rFont val="함초롬바탕"/>
        <family val="1"/>
        <charset val="129"/>
      </rPr>
      <t xml:space="preserve">. </t>
    </r>
  </si>
  <si>
    <r>
      <rPr>
        <sz val="12"/>
        <color rgb="FF000000"/>
        <rFont val="맑은 고딕"/>
        <family val="3"/>
        <charset val="129"/>
      </rPr>
      <t>차이를 있는 그대로 받아들이는 태도가 솔직하고 편견을 가지지 않음</t>
    </r>
    <r>
      <rPr>
        <sz val="12"/>
        <color rgb="FF000000"/>
        <rFont val="함초롬바탕"/>
        <family val="1"/>
        <charset val="129"/>
      </rPr>
      <t xml:space="preserve">. </t>
    </r>
  </si>
  <si>
    <r>
      <rPr>
        <sz val="12"/>
        <color rgb="FF000000"/>
        <rFont val="맑은 고딕"/>
        <family val="3"/>
        <charset val="129"/>
      </rPr>
      <t>학교의 규칙을 잘 지키지 않아 벌점이 다른 학생들보다 많은 편임</t>
    </r>
    <r>
      <rPr>
        <sz val="12"/>
        <color rgb="FF000000"/>
        <rFont val="함초롬바탕"/>
        <family val="1"/>
        <charset val="129"/>
      </rPr>
      <t xml:space="preserve">. </t>
    </r>
  </si>
  <si>
    <r>
      <rPr>
        <sz val="12"/>
        <color rgb="FF000000"/>
        <rFont val="맑은 고딕"/>
        <family val="3"/>
        <charset val="129"/>
      </rPr>
      <t>자신의 방식만을 고집하지 않고 다른 사람의 생각과 의견을 존중함</t>
    </r>
    <r>
      <rPr>
        <sz val="12"/>
        <color rgb="FF000000"/>
        <rFont val="함초롬바탕"/>
        <family val="1"/>
        <charset val="129"/>
      </rPr>
      <t xml:space="preserve">. </t>
    </r>
  </si>
  <si>
    <r>
      <rPr>
        <sz val="12"/>
        <color rgb="FF000000"/>
        <rFont val="맑은 고딕"/>
        <family val="3"/>
        <charset val="129"/>
      </rPr>
      <t>자신이 속한 집단의 규범을 존중하고 친구를 귀하게 여겨 보호해줌</t>
    </r>
    <r>
      <rPr>
        <sz val="12"/>
        <color rgb="FF000000"/>
        <rFont val="함초롬바탕"/>
        <family val="1"/>
        <charset val="129"/>
      </rPr>
      <t xml:space="preserve">. </t>
    </r>
  </si>
  <si>
    <r>
      <rPr>
        <sz val="12"/>
        <color rgb="FF000000"/>
        <rFont val="맑은 고딕"/>
        <family val="3"/>
        <charset val="129"/>
      </rPr>
      <t>학급의 규칙을 친구들과 함께 정하고 정해진 학급 규칙을 잘 준함</t>
    </r>
    <r>
      <rPr>
        <sz val="12"/>
        <color rgb="FF000000"/>
        <rFont val="함초롬바탕"/>
        <family val="1"/>
        <charset val="129"/>
      </rPr>
      <t xml:space="preserve">. </t>
    </r>
  </si>
  <si>
    <r>
      <rPr>
        <sz val="12"/>
        <color rgb="FF000000"/>
        <rFont val="맑은 고딕"/>
        <family val="3"/>
        <charset val="129"/>
      </rPr>
      <t>체험학습 활동 참여시 여러 친구들과 스스럼없이 잘 어울려 지냄</t>
    </r>
    <r>
      <rPr>
        <sz val="12"/>
        <color rgb="FF000000"/>
        <rFont val="함초롬바탕"/>
        <family val="1"/>
        <charset val="129"/>
      </rPr>
      <t xml:space="preserve">. </t>
    </r>
  </si>
  <si>
    <r>
      <rPr>
        <sz val="12"/>
        <color rgb="FF000000"/>
        <rFont val="맑은 고딕"/>
        <family val="3"/>
        <charset val="129"/>
      </rPr>
      <t>친구들과 사이좋게 지내고 친화력이 좋으며 리더쉽이 돋보이는 학생임</t>
    </r>
    <r>
      <rPr>
        <sz val="12"/>
        <color rgb="FF000000"/>
        <rFont val="함초롬바탕"/>
        <family val="1"/>
        <charset val="129"/>
      </rPr>
      <t xml:space="preserve">. </t>
    </r>
  </si>
  <si>
    <r>
      <rPr>
        <sz val="12"/>
        <color rgb="FF000000"/>
        <rFont val="맑은 고딕"/>
        <family val="3"/>
        <charset val="129"/>
      </rPr>
      <t>자신이 믿는 바를 한결같이 지키며 변함없는 마음으로 상대방을 대함</t>
    </r>
    <r>
      <rPr>
        <sz val="12"/>
        <color rgb="FF000000"/>
        <rFont val="함초롬바탕"/>
        <family val="1"/>
        <charset val="129"/>
      </rPr>
      <t xml:space="preserve">. </t>
    </r>
  </si>
  <si>
    <t xml:space="preserve">역할 분담 활동을 성실히 수행하며 다른 사람의 입장을 잘 이해해줌. </t>
  </si>
  <si>
    <t xml:space="preserve">자료를 학습에 잘 이용하며 자기의 주장을 논리적으로 잘 나타냄. </t>
  </si>
  <si>
    <r>
      <rPr>
        <sz val="12"/>
        <color rgb="FF000000"/>
        <rFont val="맑은 고딕"/>
        <family val="3"/>
        <charset val="129"/>
      </rPr>
      <t>학급에서 자신에게 주어진 역할을 성실하게 수행하는 믿음직한 학생임</t>
    </r>
    <r>
      <rPr>
        <sz val="12"/>
        <color rgb="FF000000"/>
        <rFont val="함초롬바탕"/>
        <family val="1"/>
        <charset val="129"/>
      </rPr>
      <t xml:space="preserve">. </t>
    </r>
  </si>
  <si>
    <t xml:space="preserve">독서습관이 바르고 학습 성취의욕이 높아 전 교과 성적 고루 발전함. </t>
  </si>
  <si>
    <t xml:space="preserve">자료를 학습에 잘 이용하며 기본적인 학습 습관이 잘 형성되어 있음. </t>
  </si>
  <si>
    <r>
      <rPr>
        <sz val="12"/>
        <color rgb="FF000000"/>
        <rFont val="맑은 고딕"/>
        <family val="3"/>
        <charset val="129"/>
      </rPr>
      <t>자기의 주장을 논리적으로 잘 나타내고 글짓기 능력이 매우 뛰어남</t>
    </r>
    <r>
      <rPr>
        <sz val="12"/>
        <color rgb="FF000000"/>
        <rFont val="함초롬바탕"/>
        <family val="1"/>
        <charset val="129"/>
      </rPr>
      <t>.</t>
    </r>
  </si>
  <si>
    <r>
      <rPr>
        <sz val="12"/>
        <color rgb="FF000000"/>
        <rFont val="맑은 고딕"/>
        <family val="3"/>
        <charset val="129"/>
      </rPr>
      <t>자신의 말을 지키고 최선을 다하여 믿고 맡길 수 있도록 행동함</t>
    </r>
    <r>
      <rPr>
        <sz val="12"/>
        <color rgb="FF000000"/>
        <rFont val="함초롬바탕"/>
        <family val="1"/>
        <charset val="129"/>
      </rPr>
      <t xml:space="preserve">. </t>
    </r>
  </si>
  <si>
    <t xml:space="preserve">스스로 공부하는 태도가 형성되어 있으며 전 교과 성적이 고루 우수함. </t>
  </si>
  <si>
    <t xml:space="preserve">여러 방면에 걸쳐 기능이 뛰어나고 특히 신체 표현 능력이 월등함. </t>
  </si>
  <si>
    <t xml:space="preserve">스스로 공부하는 태도가 형성되었으며 전 교과 성적이 고루 우수함. </t>
  </si>
  <si>
    <t xml:space="preserve">사물에 대한 관찰력과 탐구력이 있으며 여러 방면에 노력을 기울임. </t>
  </si>
  <si>
    <t xml:space="preserve">시간을 유익하게 잘 활용할 줄 알며 목표 달성을 위해 열심히 노력함. </t>
  </si>
  <si>
    <t xml:space="preserve">자기의 주장을 논리적으로 잘 나타내며 글짓는 능력이 매우 뛰어남. </t>
  </si>
  <si>
    <r>
      <rPr>
        <sz val="12"/>
        <color rgb="FF000000"/>
        <rFont val="맑은 고딕"/>
        <family val="3"/>
        <charset val="129"/>
      </rPr>
      <t>수업 중 자신의 의견을 적극적으로 발표하고 의욕이 넘치게 생활함</t>
    </r>
    <r>
      <rPr>
        <sz val="12"/>
        <color rgb="FF000000"/>
        <rFont val="함초롬바탕"/>
        <family val="1"/>
        <charset val="129"/>
      </rPr>
      <t xml:space="preserve">. </t>
    </r>
  </si>
  <si>
    <t xml:space="preserve">발표를 잘하려고 노력하며 독서하는 습관이 바르게 형성되어 있음. </t>
  </si>
  <si>
    <r>
      <rPr>
        <sz val="12"/>
        <color rgb="FF000000"/>
        <rFont val="맑은 고딕"/>
        <family val="3"/>
        <charset val="129"/>
      </rPr>
      <t>열정적으로 만들기나 마인드맵 꾸미기 등 학급활동에 적극적으로 참여함</t>
    </r>
    <r>
      <rPr>
        <sz val="12"/>
        <color rgb="FF000000"/>
        <rFont val="함초롬바탕"/>
        <family val="1"/>
        <charset val="129"/>
      </rPr>
      <t xml:space="preserve">. </t>
    </r>
  </si>
  <si>
    <t xml:space="preserve">자기의 주장을 논리적으로 잘 나타내며 글을 쓰는 능력이 매우 뛰어남. </t>
  </si>
  <si>
    <t xml:space="preserve">모든 일에 진취적이며 자신감이 많아 학교생활을 매우 즐겁게 함. </t>
  </si>
  <si>
    <t xml:space="preserve">생활 습관이 바르게 형성되어 있으며 꾸준히 노력하는 성품을 가졌음. </t>
  </si>
  <si>
    <t xml:space="preserve">스스로 문제를 해결하려는 자세가 좋으며 학습활동에 자신감이 있음. </t>
  </si>
  <si>
    <t xml:space="preserve">기본적인 학습규칙을 잘 이행하며 자기의 목표가 뚜렷한 학교생활을 함. </t>
  </si>
  <si>
    <r>
      <rPr>
        <sz val="12"/>
        <color rgb="FF000000"/>
        <rFont val="맑은 고딕"/>
        <family val="3"/>
        <charset val="129"/>
      </rPr>
      <t>어려운 문제에 부딪혔을 때 당황하지 않고 차분하게 생각하여 행동함</t>
    </r>
    <r>
      <rPr>
        <sz val="12"/>
        <color rgb="FF000000"/>
        <rFont val="함초롬바탕"/>
        <family val="1"/>
        <charset val="129"/>
      </rPr>
      <t xml:space="preserve">. </t>
    </r>
  </si>
  <si>
    <t xml:space="preserve">스스로 문제를 해결하려는 자세가 좋으며 학습 활동에 자신감이 있음. </t>
  </si>
  <si>
    <t>스스로 맡은 일을 잘 처리하며 무슨 일이든 열심히 하는 태도를 가졌음.</t>
  </si>
  <si>
    <t>주변의 일에 앞장서서 자발적으로 해결하기도 하며 유머감각이 있음.</t>
  </si>
  <si>
    <t xml:space="preserve">단체 활동에서 지도력이 뛰어나며 어려운 문제를 창의적으로 해결함. </t>
  </si>
  <si>
    <r>
      <rPr>
        <sz val="12"/>
        <color rgb="FF000000"/>
        <rFont val="맑은 고딕"/>
        <family val="3"/>
        <charset val="129"/>
      </rPr>
      <t>솔직하고 믿음직한 태도를 바탕으로 신뢰를 쌓는 행동을 많이 함</t>
    </r>
    <r>
      <rPr>
        <sz val="12"/>
        <color rgb="FF000000"/>
        <rFont val="함초롬바탕"/>
        <family val="1"/>
        <charset val="129"/>
      </rPr>
      <t xml:space="preserve">. </t>
    </r>
  </si>
  <si>
    <t xml:space="preserve">조사 토의학습에 관심이 깊으며 자신의 생각을 조리있게 잘 나타냄. </t>
  </si>
  <si>
    <r>
      <rPr>
        <sz val="12"/>
        <color rgb="FF000000"/>
        <rFont val="맑은 고딕"/>
        <family val="3"/>
        <charset val="129"/>
      </rPr>
      <t>자신이 정한 목표에 다다르기 위해 꾸준히 노력하는 태도가 돋보임</t>
    </r>
    <r>
      <rPr>
        <sz val="12"/>
        <color rgb="FF000000"/>
        <rFont val="함초롬바탕"/>
        <family val="1"/>
        <charset val="129"/>
      </rPr>
      <t xml:space="preserve">. </t>
    </r>
  </si>
  <si>
    <t xml:space="preserve">힘이 좋아 더 꾸준히 운동한다면 훌륭한 체력과 운동능력을 갖출 것임. </t>
  </si>
  <si>
    <t xml:space="preserve">피구 등 구기 종목에 능하고 던지고 받기를 잘하고 적극적으로 참여함. </t>
  </si>
  <si>
    <t xml:space="preserve">두뇌가 명석하고 진취적인 학습태도를 가져서 전교과 성적이 우수함. </t>
  </si>
  <si>
    <t xml:space="preserve">음악적 관심과 흥미가 높으며 수준급의 리코더 연주 실력을 갖고 있음. </t>
  </si>
  <si>
    <r>
      <rPr>
        <sz val="12"/>
        <color rgb="FF000000"/>
        <rFont val="맑은 고딕"/>
        <family val="3"/>
        <charset val="129"/>
      </rPr>
      <t>차분하게 자신에게 주어진 일에 최선을 다하는 태도를 가졌으나</t>
    </r>
    <r>
      <rPr>
        <sz val="12"/>
        <color rgb="FF000000"/>
        <rFont val="함초롬바탕"/>
        <family val="1"/>
        <charset val="129"/>
      </rPr>
      <t>(</t>
    </r>
    <r>
      <rPr>
        <sz val="12"/>
        <color rgb="FF000000"/>
        <rFont val="맑은 고딕"/>
        <family val="3"/>
        <charset val="129"/>
      </rPr>
      <t>관계지향성</t>
    </r>
    <r>
      <rPr>
        <sz val="12"/>
        <color rgb="FF000000"/>
        <rFont val="함초롬바탕"/>
        <family val="1"/>
        <charset val="129"/>
      </rPr>
      <t xml:space="preserve">) </t>
    </r>
    <r>
      <rPr>
        <sz val="12"/>
        <color rgb="FF000000"/>
        <rFont val="맑은 고딕"/>
        <family val="3"/>
        <charset val="129"/>
      </rPr>
      <t>사람들 앞에서 서는 것에 부끄러움이 많아 자신감을 가지고 발표하는 습관을 가진다면 더욱 성장할 것이라 기대됨</t>
    </r>
    <r>
      <rPr>
        <sz val="12"/>
        <color rgb="FF000000"/>
        <rFont val="함초롬바탕"/>
        <family val="1"/>
        <charset val="129"/>
      </rPr>
      <t xml:space="preserve">. </t>
    </r>
  </si>
  <si>
    <t xml:space="preserve">사리 분별력이 있고, 예의가 바르고 착한 마음씨를 가졌으며, 말을 조리 있게 하고 좋은 인상을 주기 위해 항상 노력하며, 학습태도가 바람직하고 과제학습을 잘 하려는 모습이 엿보임. </t>
  </si>
  <si>
    <t xml:space="preserve">그리기, 꾸미기 등 미술 활동에 소질이 많고 글씨를 예쁘게 잘 쓰며 기본적인 학습 습관이 잘 형성되어 있고, 역할 분담 활동을 성실히 수행하고 다른 사람의 입장을 잘 이해해 줌. </t>
  </si>
  <si>
    <t xml:space="preserve">말과 행동이 침착하고 사려 깊으며 시간을 유익하게 잘 활용하고, 학용품을 깨끗이 이용하며 주변 정리정돈을 잘하고, 독서하는 습관이 바르게 형성되어 있으며 그리기, 꾸미기에 소질이 많음 </t>
  </si>
  <si>
    <t xml:space="preserve">세심한 그림을 잘 그릴 줄 알고 미술 활동에 자신감을 가지고 적극적으로 참여함. </t>
  </si>
  <si>
    <r>
      <rPr>
        <sz val="12"/>
        <color rgb="FF000000"/>
        <rFont val="맑은 고딕"/>
        <family val="3"/>
        <charset val="129"/>
      </rPr>
      <t>밝고 긍정적인 사고를 많이 하고 친구들과의 관계에서도 언제나 잘 지내는 학생임</t>
    </r>
    <r>
      <rPr>
        <sz val="12"/>
        <color rgb="FF000000"/>
        <rFont val="함초롬바탕"/>
        <family val="1"/>
        <charset val="129"/>
      </rPr>
      <t xml:space="preserve">. </t>
    </r>
  </si>
  <si>
    <t xml:space="preserve">그리기와 체육, 음악 모든 방면에서 소질이 보이며 친구들에게 만능 스포츠걸로 불림. </t>
  </si>
  <si>
    <r>
      <rPr>
        <sz val="12"/>
        <color rgb="FF000000"/>
        <rFont val="맑은 고딕"/>
        <family val="3"/>
        <charset val="129"/>
      </rPr>
      <t>친구의 작은 부탁도 소홀히 여기지 않고 잘 들어주며 주변 사람들에게 친절하게 대함</t>
    </r>
    <r>
      <rPr>
        <sz val="12"/>
        <color rgb="FF000000"/>
        <rFont val="함초롬바탕"/>
        <family val="1"/>
        <charset val="129"/>
      </rPr>
      <t xml:space="preserve">. </t>
    </r>
  </si>
  <si>
    <r>
      <rPr>
        <sz val="12"/>
        <color rgb="FF000000"/>
        <rFont val="맑은 고딕"/>
        <family val="3"/>
        <charset val="129"/>
      </rPr>
      <t>어떤 일을 이룰 때까지 자신의 모든 노력을 집중하고 성취하려는 의지를 가지고 있음</t>
    </r>
    <r>
      <rPr>
        <sz val="12"/>
        <color rgb="FF000000"/>
        <rFont val="함초롬바탕"/>
        <family val="1"/>
        <charset val="129"/>
      </rPr>
      <t xml:space="preserve">. </t>
    </r>
  </si>
  <si>
    <r>
      <rPr>
        <sz val="12"/>
        <color rgb="FF000000"/>
        <rFont val="맑은 고딕"/>
        <family val="3"/>
        <charset val="129"/>
      </rPr>
      <t>자기의 행동에 책임을 지며 맡은 일에 최선을 다하여 잘 하려는 태도를 가졌음</t>
    </r>
    <r>
      <rPr>
        <sz val="12"/>
        <color rgb="FF000000"/>
        <rFont val="함초롬바탕"/>
        <family val="1"/>
        <charset val="129"/>
      </rPr>
      <t xml:space="preserve">. </t>
    </r>
  </si>
  <si>
    <r>
      <rPr>
        <sz val="12"/>
        <color rgb="FF000000"/>
        <rFont val="맑은 고딕"/>
        <family val="3"/>
        <charset val="129"/>
      </rPr>
      <t>자신에 대한 통제력을 토대로 자신이 어떻게 행동할 것인지 명확히 판단할 수 있음</t>
    </r>
    <r>
      <rPr>
        <sz val="12"/>
        <color rgb="FF000000"/>
        <rFont val="함초롬바탕"/>
        <family val="1"/>
        <charset val="129"/>
      </rPr>
      <t xml:space="preserve">. </t>
    </r>
  </si>
  <si>
    <t xml:space="preserve">사물에 대한 관찰력과 탐구력이 뛰어나며 여러 방면에 노력이 뒤따라 기능이 향상됨. </t>
  </si>
  <si>
    <t xml:space="preserve">표현력과 작품 구상 능력이 뛰어나고 구상한 것을 바탕으로 실제로 잘 만들어 냄. </t>
  </si>
  <si>
    <r>
      <rPr>
        <sz val="12"/>
        <color rgb="FF000000"/>
        <rFont val="맑은 고딕"/>
        <family val="3"/>
        <charset val="129"/>
      </rPr>
      <t>자신을 낮추면서도 다른 친구의 의견을 귀담아 듣고 수용할 수 이는 아량이 돋보임</t>
    </r>
    <r>
      <rPr>
        <sz val="12"/>
        <color rgb="FF000000"/>
        <rFont val="함초롬바탕"/>
        <family val="1"/>
        <charset val="129"/>
      </rPr>
      <t xml:space="preserve">. </t>
    </r>
  </si>
  <si>
    <t xml:space="preserve">미술, 체육, 음악 모두 잘 하며 늘 적극적인 태도로 훌륭한 결과물을 만들어 냄. </t>
  </si>
  <si>
    <r>
      <t>3</t>
    </r>
    <r>
      <rPr>
        <sz val="12"/>
        <color rgb="FF000000"/>
        <rFont val="맑은 고딕"/>
        <family val="3"/>
        <charset val="129"/>
      </rPr>
      <t>월초 보다 공책 정리가 발전되어 배운 내용을 잘 정리하여 학업성취도가 발전됨</t>
    </r>
    <r>
      <rPr>
        <sz val="12"/>
        <color rgb="FF000000"/>
        <rFont val="함초롬바탕"/>
        <family val="1"/>
        <charset val="129"/>
      </rPr>
      <t xml:space="preserve">. </t>
    </r>
  </si>
  <si>
    <r>
      <rPr>
        <sz val="12"/>
        <color rgb="FF000000"/>
        <rFont val="맑은 고딕"/>
        <family val="3"/>
        <charset val="129"/>
      </rPr>
      <t>진실을 말하되 상대방의 심정을 고려하여 친절하고 부드럽게 표현하는 능력이 뛰어남</t>
    </r>
    <r>
      <rPr>
        <sz val="12"/>
        <color rgb="FF000000"/>
        <rFont val="함초롬바탕"/>
        <family val="1"/>
        <charset val="129"/>
      </rPr>
      <t xml:space="preserve">. </t>
    </r>
  </si>
  <si>
    <r>
      <rPr>
        <sz val="12"/>
        <color rgb="FF000000"/>
        <rFont val="맑은 고딕"/>
        <family val="3"/>
        <charset val="129"/>
      </rPr>
      <t>학기초 친구들과 함께 정한 언어활동</t>
    </r>
    <r>
      <rPr>
        <sz val="12"/>
        <color rgb="FF000000"/>
        <rFont val="함초롬바탕"/>
        <family val="1"/>
        <charset val="129"/>
      </rPr>
      <t xml:space="preserve">, </t>
    </r>
    <r>
      <rPr>
        <sz val="12"/>
        <color rgb="FF000000"/>
        <rFont val="맑은 고딕"/>
        <family val="3"/>
        <charset val="129"/>
      </rPr>
      <t>수업활동</t>
    </r>
    <r>
      <rPr>
        <sz val="12"/>
        <color rgb="FF000000"/>
        <rFont val="함초롬바탕"/>
        <family val="1"/>
        <charset val="129"/>
      </rPr>
      <t xml:space="preserve">, </t>
    </r>
    <r>
      <rPr>
        <sz val="12"/>
        <color rgb="FF000000"/>
        <rFont val="맑은 고딕"/>
        <family val="3"/>
        <charset val="129"/>
      </rPr>
      <t>친구 사이의 예절을 잘 준수함</t>
    </r>
    <r>
      <rPr>
        <sz val="12"/>
        <color rgb="FF000000"/>
        <rFont val="함초롬바탕"/>
        <family val="1"/>
        <charset val="129"/>
      </rPr>
      <t xml:space="preserve">. </t>
    </r>
  </si>
  <si>
    <r>
      <rPr>
        <sz val="12"/>
        <color rgb="FF000000"/>
        <rFont val="맑은 고딕"/>
        <family val="3"/>
        <charset val="129"/>
      </rPr>
      <t>다른 사람의 입장에 공감하고 따뜻한 마음을 품어 타인을 배려하는 마음이 있음</t>
    </r>
    <r>
      <rPr>
        <sz val="12"/>
        <color rgb="FF000000"/>
        <rFont val="함초롬바탕"/>
        <family val="1"/>
        <charset val="129"/>
      </rPr>
      <t xml:space="preserve">. </t>
    </r>
  </si>
  <si>
    <r>
      <rPr>
        <sz val="12"/>
        <color rgb="FF000000"/>
        <rFont val="맑은 고딕"/>
        <family val="3"/>
        <charset val="129"/>
      </rPr>
      <t>자신에 대한 굳은 믿음을 바탕으로 어떤 어려움이 와도 잘 헤쳐 나가는 힘이 있음</t>
    </r>
    <r>
      <rPr>
        <sz val="12"/>
        <color rgb="FF000000"/>
        <rFont val="함초롬바탕"/>
        <family val="1"/>
        <charset val="129"/>
      </rPr>
      <t xml:space="preserve">. </t>
    </r>
  </si>
  <si>
    <r>
      <rPr>
        <sz val="12"/>
        <color rgb="FF000000"/>
        <rFont val="맑은 고딕"/>
        <family val="3"/>
        <charset val="129"/>
      </rPr>
      <t>모둠학습이나 체육활동에서 어려움이 있더라도 끝까지 해내려는 의지를 가지고 있음</t>
    </r>
    <r>
      <rPr>
        <sz val="12"/>
        <color rgb="FF000000"/>
        <rFont val="함초롬바탕"/>
        <family val="1"/>
        <charset val="129"/>
      </rPr>
      <t xml:space="preserve">. </t>
    </r>
  </si>
  <si>
    <r>
      <rPr>
        <sz val="12"/>
        <color rgb="FF000000"/>
        <rFont val="맑은 고딕"/>
        <family val="3"/>
        <charset val="129"/>
      </rPr>
      <t>학급의 어려운 일을 솔선수범하여 처리하고 나눔의 정신을 실천하는 모범적인 학생임</t>
    </r>
    <r>
      <rPr>
        <sz val="12"/>
        <color rgb="FF000000"/>
        <rFont val="함초롬바탕"/>
        <family val="1"/>
        <charset val="129"/>
      </rPr>
      <t xml:space="preserve">. </t>
    </r>
  </si>
  <si>
    <t xml:space="preserve">즐겁게 노래부르기에 참여하며 체육에 소질이 있어 피구와 축구활동에 두각을 보임. </t>
  </si>
  <si>
    <t xml:space="preserve">예체능 활동에 게을리 하지 않으며, 성실히 노력하고 참여하려는 의지가 돋보임. </t>
  </si>
  <si>
    <r>
      <rPr>
        <sz val="12"/>
        <color rgb="FF000000"/>
        <rFont val="맑은 고딕"/>
        <family val="3"/>
        <charset val="129"/>
      </rPr>
      <t>웃어른께 공손하고 예의 바르게 행동하며 어려운 친구를 도와주려는 마음이 아름다움</t>
    </r>
    <r>
      <rPr>
        <sz val="12"/>
        <color rgb="FF000000"/>
        <rFont val="함초롬바탕"/>
        <family val="1"/>
        <charset val="129"/>
      </rPr>
      <t xml:space="preserve">. </t>
    </r>
  </si>
  <si>
    <t xml:space="preserve">뛰어난 회화 실력과 꾸준한 노력으로 미술에서 다양하고 훌륭한 작품을 만들어 냄. </t>
  </si>
  <si>
    <r>
      <rPr>
        <sz val="12"/>
        <color rgb="FF000000"/>
        <rFont val="맑은 고딕"/>
        <family val="3"/>
        <charset val="129"/>
      </rPr>
      <t>어려운 상황에 있는 친구들을 세심하게 배려하고 도울 줄 아는 고운 마음을 지녔음</t>
    </r>
    <r>
      <rPr>
        <sz val="12"/>
        <color rgb="FF000000"/>
        <rFont val="함초롬바탕"/>
        <family val="1"/>
        <charset val="129"/>
      </rPr>
      <t xml:space="preserve">. </t>
    </r>
  </si>
  <si>
    <r>
      <rPr>
        <sz val="12"/>
        <color rgb="FF000000"/>
        <rFont val="맑은 고딕"/>
        <family val="3"/>
        <charset val="129"/>
      </rPr>
      <t>단체 생활의 규칙을 바르게 준수하고 주변 친구들과 원만하게 지내며 즐겁게 생활함</t>
    </r>
    <r>
      <rPr>
        <sz val="12"/>
        <color rgb="FF000000"/>
        <rFont val="함초롬바탕"/>
        <family val="1"/>
        <charset val="129"/>
      </rPr>
      <t xml:space="preserve">. </t>
    </r>
  </si>
  <si>
    <r>
      <rPr>
        <sz val="12"/>
        <color rgb="FF000000"/>
        <rFont val="맑은 고딕"/>
        <family val="3"/>
        <charset val="129"/>
      </rPr>
      <t>스스로 지켜야 할 규칙을 이해하고 잘 지키며 도우미 활동에 적극적으로 참여함</t>
    </r>
    <r>
      <rPr>
        <sz val="12"/>
        <color rgb="FF000000"/>
        <rFont val="함초롬바탕"/>
        <family val="1"/>
        <charset val="129"/>
      </rPr>
      <t xml:space="preserve">. </t>
    </r>
  </si>
  <si>
    <r>
      <rPr>
        <sz val="12"/>
        <color rgb="FF000000"/>
        <rFont val="맑은 고딕"/>
        <family val="3"/>
        <charset val="129"/>
      </rPr>
      <t>규칙을 잘 지키고 명랑 쾌활하며 자기 할 일에 책임감이 강한 믿음직스러운 학생임</t>
    </r>
    <r>
      <rPr>
        <sz val="12"/>
        <color rgb="FF000000"/>
        <rFont val="함초롬바탕"/>
        <family val="1"/>
        <charset val="129"/>
      </rPr>
      <t xml:space="preserve">. </t>
    </r>
  </si>
  <si>
    <r>
      <rPr>
        <sz val="12"/>
        <color rgb="FF000000"/>
        <rFont val="맑은 고딕"/>
        <family val="3"/>
        <charset val="129"/>
      </rPr>
      <t>친구에게 양보할 줄 알고 약한 친구를 도와주고 어려움을 함께 나누려고 노력함</t>
    </r>
    <r>
      <rPr>
        <sz val="12"/>
        <color rgb="FF000000"/>
        <rFont val="함초롬바탕"/>
        <family val="1"/>
        <charset val="129"/>
      </rPr>
      <t xml:space="preserve">. </t>
    </r>
  </si>
  <si>
    <t xml:space="preserve">침착하며 사려깊게 말하고 행동하는 학생로 순수한 성품으로 친구들과 사이좋게 지냄. </t>
  </si>
  <si>
    <r>
      <rPr>
        <sz val="12"/>
        <color rgb="FF000000"/>
        <rFont val="맑은 고딕"/>
        <family val="3"/>
        <charset val="129"/>
      </rPr>
      <t>마음이 순수하고 정이 많아 힘이 약한 친구나 소외된 사람들을 도우려는 마음이 큼</t>
    </r>
    <r>
      <rPr>
        <sz val="12"/>
        <color rgb="FF000000"/>
        <rFont val="함초롬바탕"/>
        <family val="1"/>
        <charset val="129"/>
      </rPr>
      <t xml:space="preserve">. </t>
    </r>
  </si>
  <si>
    <t>예체능</t>
  </si>
  <si>
    <t>협력</t>
  </si>
  <si>
    <t>학습</t>
  </si>
  <si>
    <t>미술</t>
  </si>
  <si>
    <t>체육</t>
  </si>
  <si>
    <t>신뢰</t>
  </si>
  <si>
    <t>진취성</t>
  </si>
  <si>
    <t>음악</t>
  </si>
  <si>
    <t>인성A</t>
  </si>
  <si>
    <t>창의성</t>
  </si>
  <si>
    <t>종합</t>
  </si>
  <si>
    <t>나눔</t>
  </si>
  <si>
    <t>책임</t>
  </si>
  <si>
    <t>존중</t>
  </si>
  <si>
    <t>친절</t>
  </si>
  <si>
    <t>약속</t>
  </si>
  <si>
    <t>계</t>
  </si>
  <si>
    <t>끈기</t>
  </si>
  <si>
    <t>인성C</t>
  </si>
  <si>
    <t>검색어</t>
  </si>
  <si>
    <t>인성a</t>
  </si>
  <si>
    <t>인성B</t>
  </si>
  <si>
    <t>열번호</t>
  </si>
  <si>
    <t>예시문</t>
  </si>
  <si>
    <t>소신</t>
  </si>
  <si>
    <t>예절</t>
  </si>
  <si>
    <t>관용</t>
  </si>
  <si>
    <t>배려</t>
  </si>
  <si>
    <t>성실</t>
  </si>
  <si>
    <t>번호</t>
  </si>
  <si>
    <t>열정</t>
  </si>
  <si>
    <t>코드</t>
  </si>
  <si>
    <t>이름</t>
  </si>
  <si>
    <t>봉사</t>
  </si>
  <si>
    <t xml:space="preserve">그림을 구상해내는 아이디어가 좋으며 악기를 차분하게 잘 다루고 연주하고 체육활동에 최선을 다함. </t>
  </si>
  <si>
    <t xml:space="preserve">바른 자세와 주법으로 다양한 악기들을 다룰 수 있으며 열정이 있어 체육활동에 적극적으로 임함. </t>
  </si>
  <si>
    <t xml:space="preserve">매사에 준비하는 자세가 정착되어 있으며 맡은 일의 끝맺음을 잘하며, 모든 일에 매우 성실함. </t>
  </si>
  <si>
    <t xml:space="preserve">독서습관이 바르게 정착되었으며 학습에 집중력이 있어 이해가 빨라 전 교과 성적이 고루 우수함. </t>
  </si>
  <si>
    <t xml:space="preserve">꾸준히 노력하는 학습 태도를 가져서 전 교과 성적이 우수하고, 다른 사람의 의견을 잘 존중함. </t>
  </si>
  <si>
    <t xml:space="preserve">바른 생활 습관이 잘 형성되어 있으며 교과 성적이 우수하고 주어진 학습과제를 성실하게 수행함. </t>
  </si>
  <si>
    <t xml:space="preserve">매사 이해심이 적어 교우관계가 원만하지 못하고, 발표를 논리적으로 하는 능력을 키우고 글씨를 바르게 쓰는 연습을 많이 해야 하겠음. </t>
  </si>
  <si>
    <t xml:space="preserve">학습의욕이 부족하고 자료를 학습에 잘 이용하지 못하고, 독서하는 습관이 바르게 형성되어 있지 못하며 학습장 정리를 잘 하지 못함. </t>
  </si>
  <si>
    <t xml:space="preserve">조사 토의학습에 관심이 깊으며 자신의 생각을 조리 있게 잘 나타내고, 학교생활을 매우 즐겁게 하며 주어진 일을 끝까지 잘 해결함. </t>
  </si>
  <si>
    <t>기본적인 학습 규칙을 잘 이행하며 자기의 목표가 뚜렷한 학교생활을 하고, 모든 일에 솔선수범하며 협력학습 활동에 적극적으로 참여함.</t>
  </si>
  <si>
    <t>밝고 쾌활한 성품을 가졌으며 맡은 일을 책임감 있게 잘 수행하고, 꾸미기와 만들기, 그리기에 소질이 많으며 글씨를 예쁘고 바르게 씀.</t>
  </si>
  <si>
    <t xml:space="preserve">스스로 문제를 해결하려는 자세가 좋으며 학습활동에 자신감이 있고, 꾸준히 노력하는 학습 태도를 가져서 모든 교과 성적이 우수함. </t>
  </si>
  <si>
    <t xml:space="preserve">과제학습을 잘 해오며 기본 학습 태도가 잘 형성되어 있고, 스스로 맡은 일을 잘 처리하며 무슨 일이든 열심히 하는 태도를 가졌음. </t>
  </si>
  <si>
    <t xml:space="preserve">학습내용에 대한 성취의욕이 있어 전 교과 성적이 많이 발전되었고 탐구능력이 있으며, 합리적인 생활 태도를 가지려고 열심히 노력함. </t>
  </si>
  <si>
    <t xml:space="preserve">매사에 준비하는 자세가 정착되어 있으며 맡은 일의 끝맺음을 잘하며, 모든 일에 매우 사려가 깊으며 다른 사람의 의견을 잘 존중함. </t>
  </si>
  <si>
    <t xml:space="preserve">맡은 일을 묵묵히 하며 협력학습 활동에 참여하고 남의 의견을 존중할 줄 알며 단체 활동에 참여하는 태도가 양호하고 교우관계가 원만함. </t>
  </si>
  <si>
    <t xml:space="preserve">공공물건을 소중히 다루고 과제학습을 잘 해오며 기본 학습 태도가 양호하며, 친구를 잘 도우며 이해심이 있어 급우간 사이가 원만함. </t>
  </si>
  <si>
    <t xml:space="preserve">역할 분담 활동을 잘 수행하며 다른 사람의 입장을 이해하려고 힘쓰고, 사물에 대한 호기심과 관찰력이 있으며 발표를 잘하려고 노력함. </t>
  </si>
  <si>
    <t xml:space="preserve">역할 분담 활동을 성실히 수행하며 다른 사람의 입장을 이해하려고 힘쓰며, 학습태도가 바람직하고 과제학습을 잘 하려는 모습이 엿보임. </t>
  </si>
  <si>
    <t xml:space="preserve">독서하는 습관이 바르게 형성되어 가고 학습내용에 대한 성취의욕이 있고 꾸준히 노력하는 학습 태도를 가져서 모든 교과 성적이 발전됨. </t>
  </si>
  <si>
    <t xml:space="preserve">매사에 말씨와 행동에 붙임성이 있어서 교우관계가 매우 좋으며, 기본적인 학습규칙을 잘 이행하고 자기의 목표가 뚜렷한 학교생활을 함. </t>
  </si>
  <si>
    <t xml:space="preserve">항상 긍정적인 생활태도를 가졌으며 이해심이 있고, 읽기, 말하기가 부진한 편이나 학습 성취 의욕이 높으므로 점차 향상될 것으로 보임. </t>
  </si>
  <si>
    <t xml:space="preserve">준비물이 미비하여 학습활동에 지장을 주며 스스로 문제를 해결하려는 자세가 아쉽고 모둠 활동 및 협력학습에 참여하는 활동이 소극적임. </t>
  </si>
  <si>
    <t>말씨와 행동이 다정다감하고 친절하여 급우 간에 인기가 많으며, 학습 활동과 주어진 일을 창의적으로 잘 해결하며 봉사정신이 뛰어남 .</t>
  </si>
  <si>
    <t xml:space="preserve">순박하고 명랑한 성품을 가졌으며 매사에 긍정적인 태도를 보이고, 독서습관이 바르고 학습 성취의욕이 높아 전 교과 성적 고루 발전함. </t>
  </si>
  <si>
    <t xml:space="preserve">자기 의사 표시를 할 줄 알고 성품이 매우 온순하며, 조사 토의학습에 관심이 있으며 자신의 생각을 잘 나타내고, 학습태도가 바람직하고 과제학습을 잘 하려는 모습이 엿보임. </t>
  </si>
  <si>
    <r>
      <rPr>
        <sz val="12"/>
        <color rgb="FF000000"/>
        <rFont val="맑은 고딕"/>
        <family val="3"/>
        <charset val="129"/>
      </rPr>
      <t>언어 행동에 관한 학습 규칙을 어긴 적이 있으나 정해진 규칙에 의한 벌을 받고 자신의 잘못을 뉘우치고 올바른 언어 습관을 가지기 위해 노력하는 모습이 다른 친구들의 모범이 됨</t>
    </r>
    <r>
      <rPr>
        <sz val="12"/>
        <color rgb="FF000000"/>
        <rFont val="함초롬바탕"/>
        <family val="1"/>
        <charset val="129"/>
      </rPr>
      <t xml:space="preserve">. </t>
    </r>
  </si>
  <si>
    <t xml:space="preserve">스스로 문제를 해결하려는 학습 자세가 많이 좋아졌으며 점점 학습활동에 자신감을 갖고 노력하나, 주위에서 일어나는 모든 일에나 협력학습에 참여하는 태도는 미약하고 소극적임. </t>
  </si>
  <si>
    <t xml:space="preserve">순박하고 명랑한 성품을 가졌으며 매사에 긍정적인 태도를 보이며, 주지교과에 대한 이해가 빠르며 학습 성취 의욕이 높으나 편식이 심하고 만들기, 그리기 등에 기능이 부진함. </t>
  </si>
  <si>
    <t>역할 분담 활동을 성실히 수행하고 다른 사람의 입장을 잘 이해해주고, 말을 조리 있게 잘 하며 좋은 인상을 주며, 생활 주변 현상에 대해 남다른 관심을 가졌으며 매사 진취적임.</t>
  </si>
  <si>
    <r>
      <rPr>
        <sz val="12"/>
        <color rgb="FF000000"/>
        <rFont val="맑은 고딕"/>
        <family val="3"/>
        <charset val="129"/>
      </rPr>
      <t>마음이 순수하고 정이 많아 힘이 약한 친구나 소외된 사람들을 도우려는 생각을 갖고 있으며 말과 행동이 일치하고 주어진 일에 성실히 임하여 친구들로부터 신뢰가 있는 학생임</t>
    </r>
    <r>
      <rPr>
        <sz val="12"/>
        <color rgb="FF000000"/>
        <rFont val="함초롬바탕"/>
        <family val="1"/>
        <charset val="129"/>
      </rPr>
      <t xml:space="preserve">. </t>
    </r>
  </si>
  <si>
    <t xml:space="preserve">집단생활에 잘 적응하며 용의가 단정하고 예의 바르고, 독서하는 습관이 잘 형성되어 있으며, 주어진 일을 끈기 있게 해결하고 작은 일에도 최선을 다하는 정직하고 성실한 학생임. </t>
  </si>
  <si>
    <t xml:space="preserve">언어 구사 능력이 있고 자기의 주장을 곧 잘 내세우며, 주변의 모든 일에 앞장서서 자발적으로 해결하기도 하며 유머감각이 있고, 전 교과 성적 양호하며 그리기에 소질이 많음. </t>
  </si>
  <si>
    <r>
      <rPr>
        <sz val="12"/>
        <color rgb="FF000000"/>
        <rFont val="맑은 고딕"/>
        <family val="3"/>
        <charset val="129"/>
      </rPr>
      <t>학습을 꾸준히 인내심을 갖고 하려는 태도가 부족하여 과제를 대강 해오거나 미치지 못하는 경우가 있으므로 꾸준한 과제해결태도를 기르도록 노력한다면 더욱 발전이 기대됨</t>
    </r>
    <r>
      <rPr>
        <sz val="12"/>
        <color rgb="FF000000"/>
        <rFont val="함초롬바탕"/>
        <family val="1"/>
        <charset val="129"/>
      </rPr>
      <t xml:space="preserve">. </t>
    </r>
  </si>
  <si>
    <t xml:space="preserve">수업시간에는 발표, 의견제시 등 적극적인 모습이 다소 부족하므로 방학기간에는 자신감있게 자신의 의견을 표현할 수 있도록 적극적인 연습을 한다면 많은 발전이 있을 것임. </t>
  </si>
  <si>
    <r>
      <rPr>
        <sz val="12"/>
        <color rgb="FF000000"/>
        <rFont val="맑은 고딕"/>
        <family val="3"/>
        <charset val="129"/>
      </rPr>
      <t>기본적인 학습규칙을 잘 이행하고 자기의 목표가 뚜렷한 학교생활을 하며 행동이 매우 침착하고 깔끔하여 주변 정리 정돈을 잘 하고 글씨를 바르게 쓰며 공책 정리를 잘함</t>
    </r>
    <r>
      <rPr>
        <sz val="12"/>
        <color rgb="FF000000"/>
        <rFont val="함초롬바탕"/>
        <family val="1"/>
        <charset val="129"/>
      </rPr>
      <t xml:space="preserve">. </t>
    </r>
  </si>
  <si>
    <t xml:space="preserve">자기의 잘못을 인정하고 수정하여 행동하는 착한 마음씨를 지녔으며, 수학적 문제 해결력이 우수하며 그리기, 만들기에 창의적이고 작업이 꼼꼼함. </t>
  </si>
  <si>
    <t>바른 생활 습관이 잘 형성되어 있으며 교과 성적이 우수하고 주어진 일을 성실하게 이행하고 매사에 명랑한 생활을 하며 급우 간에 인기가 높음.</t>
  </si>
  <si>
    <t xml:space="preserve">단체 활동에서 성실히 참여하며 어려운 문제에 부딪혔을 때 당황하지 않고, 주변 정리정돈에 관심이 있으며 시간을 효과적으로 활용하려고 노력함. </t>
  </si>
  <si>
    <t xml:space="preserve">스스로 맡은 일을 잘 처리하며 무슨 일이든 열심히 하는 태도를 가졌으며, 자료를 학습에 잘 이용하며 기본적인 학습 습관이 잘 형성되어 있음. </t>
  </si>
  <si>
    <t xml:space="preserve">자기의 주장을 잘 내세우며 책읽기 및 글짓기에 관심이 있으며, 기본적인 학습규칙을 잘 이행하며 자기의 목표 달성을 위해 성실히 노력함. </t>
  </si>
  <si>
    <r>
      <rPr>
        <sz val="12"/>
        <color rgb="FF000000"/>
        <rFont val="맑은 고딕"/>
        <family val="3"/>
        <charset val="129"/>
      </rPr>
      <t>공부하고자 하는 열의가 있어 지금의 바른 태도를 이어간다면 더 많은 향상을 보일것 임</t>
    </r>
    <r>
      <rPr>
        <sz val="12"/>
        <color rgb="FF000000"/>
        <rFont val="함초롬바탕"/>
        <family val="1"/>
        <charset val="129"/>
      </rPr>
      <t>.</t>
    </r>
  </si>
  <si>
    <r>
      <rPr>
        <sz val="12"/>
        <color rgb="FF000000"/>
        <rFont val="맑은 고딕"/>
        <family val="3"/>
        <charset val="129"/>
      </rPr>
      <t>친구에게 양보할 줄 알고 약한 친구를 도와주고 어려움을 함께 나누는 마음이 예쁜 학생임</t>
    </r>
    <r>
      <rPr>
        <sz val="12"/>
        <color rgb="FF000000"/>
        <rFont val="함초롬바탕"/>
        <family val="1"/>
        <charset val="129"/>
      </rPr>
      <t xml:space="preserve">. </t>
    </r>
  </si>
  <si>
    <r>
      <rPr>
        <sz val="12"/>
        <color rgb="FF000000"/>
        <rFont val="맑은 고딕"/>
        <family val="3"/>
        <charset val="129"/>
      </rPr>
      <t>꾸준히 노력하는 태도가 바람직하며 목표를 이루기 위해 부단히 애쓰는 면이 타의 모범이 됨</t>
    </r>
    <r>
      <rPr>
        <sz val="12"/>
        <color rgb="FF000000"/>
        <rFont val="함초롬바탕"/>
        <family val="1"/>
        <charset val="129"/>
      </rPr>
      <t xml:space="preserve">. </t>
    </r>
  </si>
  <si>
    <r>
      <rPr>
        <sz val="12"/>
        <color rgb="FF000000"/>
        <rFont val="맑은 고딕"/>
        <family val="3"/>
        <charset val="129"/>
      </rPr>
      <t>말과 행동이 일치하고 자신의 역할을 충실하게 수행하여 주위 친구들로부터 믿음을 받음</t>
    </r>
    <r>
      <rPr>
        <sz val="12"/>
        <color rgb="FF000000"/>
        <rFont val="함초롬바탕"/>
        <family val="1"/>
        <charset val="129"/>
      </rPr>
      <t xml:space="preserve">. </t>
    </r>
  </si>
  <si>
    <t xml:space="preserve">자연현상에 대해 관심이 많으며 스스로 문제를 해결하려는 끈기 있는 학습 태도가 좋음. </t>
  </si>
  <si>
    <t xml:space="preserve">독서하는 습관이 바르게 형성되어 있으며 글쓰기를 즐겨하고 그리기, 꾸미기에 소질이 많음. </t>
  </si>
  <si>
    <r>
      <rPr>
        <sz val="12"/>
        <color rgb="FF000000"/>
        <rFont val="맑은 고딕"/>
        <family val="3"/>
        <charset val="129"/>
      </rPr>
      <t>보다 적극적이고 진솔한 자세로 친구들에게 다가가 교우관계가 돈독해 지도록 노력하면 좋겠음</t>
    </r>
    <r>
      <rPr>
        <sz val="12"/>
        <color rgb="FF000000"/>
        <rFont val="함초롬바탕"/>
        <family val="1"/>
        <charset val="129"/>
      </rPr>
      <t xml:space="preserve">. </t>
    </r>
  </si>
  <si>
    <t>학급 회장으로 적극적인 성격으로 친구들과 사이좋게 어울리며 친구들 사이에서 믿음이 있음.</t>
  </si>
  <si>
    <r>
      <rPr>
        <sz val="12"/>
        <color rgb="FF000000"/>
        <rFont val="맑은 고딕"/>
        <family val="3"/>
        <charset val="129"/>
      </rPr>
      <t>집단이 결정한 사항에 잘 따르며 다른 사람에게 상처를 주거나 피해를 주는 일이 거의 없음</t>
    </r>
    <r>
      <rPr>
        <sz val="12"/>
        <color rgb="FF000000"/>
        <rFont val="함초롬바탕"/>
        <family val="1"/>
        <charset val="129"/>
      </rPr>
      <t xml:space="preserve">. </t>
    </r>
  </si>
  <si>
    <r>
      <rPr>
        <sz val="12"/>
        <color rgb="FF000000"/>
        <rFont val="맑은 고딕"/>
        <family val="3"/>
        <charset val="129"/>
      </rPr>
      <t>말과 행동이 사려가 깊어 친구와 사이좋게 지내고 다른 친구를 위해 솔선수범하는 학생임</t>
    </r>
    <r>
      <rPr>
        <sz val="12"/>
        <color rgb="FF000000"/>
        <rFont val="함초롬바탕"/>
        <family val="1"/>
        <charset val="129"/>
      </rPr>
      <t xml:space="preserve">. </t>
    </r>
  </si>
  <si>
    <r>
      <rPr>
        <sz val="12"/>
        <color rgb="FF000000"/>
        <rFont val="맑은 고딕"/>
        <family val="3"/>
        <charset val="129"/>
      </rPr>
      <t>재치있는 말과 행동으로 주변을 즐겁게 하여 친구들의 호감을 받는 긍정적인 생활태도를 보임</t>
    </r>
    <r>
      <rPr>
        <sz val="12"/>
        <color rgb="FF000000"/>
        <rFont val="함초롬바탕"/>
        <family val="1"/>
        <charset val="129"/>
      </rPr>
      <t xml:space="preserve">. </t>
    </r>
  </si>
  <si>
    <r>
      <rPr>
        <sz val="12"/>
        <color rgb="FF000000"/>
        <rFont val="맑은 고딕"/>
        <family val="3"/>
        <charset val="129"/>
      </rPr>
      <t>웃어른과 친구들에 대한 예절이 바르고 인사를 잘 하며 바른 말 고운 말 쓰기에 힘씀</t>
    </r>
    <r>
      <rPr>
        <sz val="12"/>
        <color rgb="FF000000"/>
        <rFont val="함초롬바탕"/>
        <family val="1"/>
        <charset val="129"/>
      </rPr>
      <t xml:space="preserve">. </t>
    </r>
  </si>
  <si>
    <r>
      <rPr>
        <sz val="12"/>
        <color rgb="FF000000"/>
        <rFont val="맑은 고딕"/>
        <family val="3"/>
        <charset val="129"/>
      </rPr>
      <t>매사에 의욕이 강하고 자신감이 넘치며 많은 친구와 사귀고 공동의 과제에 적극적으로 참여함</t>
    </r>
    <r>
      <rPr>
        <sz val="12"/>
        <color rgb="FF000000"/>
        <rFont val="함초롬바탕"/>
        <family val="1"/>
        <charset val="129"/>
      </rPr>
      <t xml:space="preserve">. </t>
    </r>
  </si>
  <si>
    <t xml:space="preserve">밝고 쾌활한 성격으로 즐겁게 학교생활을 하는 학생으로 이해심이 많아 친구들과 잘 어울림. </t>
  </si>
  <si>
    <r>
      <rPr>
        <sz val="12"/>
        <color rgb="FF000000"/>
        <rFont val="맑은 고딕"/>
        <family val="3"/>
        <charset val="129"/>
      </rPr>
      <t>학교의 여러가지 규칙을 성실히 수행하며 주변 친구들과 원만하게 지내며 즐겁게 생활함</t>
    </r>
    <r>
      <rPr>
        <sz val="12"/>
        <color rgb="FF000000"/>
        <rFont val="함초롬바탕"/>
        <family val="1"/>
        <charset val="129"/>
      </rPr>
      <t xml:space="preserve">. </t>
    </r>
  </si>
  <si>
    <r>
      <rPr>
        <sz val="12"/>
        <color rgb="FF000000"/>
        <rFont val="맑은 고딕"/>
        <family val="3"/>
        <charset val="129"/>
      </rPr>
      <t>자신이 한 약속을 지키고 주어진 일에 최선을 다하므로 무슨 일이든 믿고 맡길 수 있음</t>
    </r>
    <r>
      <rPr>
        <sz val="12"/>
        <color rgb="FF000000"/>
        <rFont val="함초롬바탕"/>
        <family val="1"/>
        <charset val="129"/>
      </rPr>
      <t xml:space="preserve">. </t>
    </r>
  </si>
  <si>
    <r>
      <rPr>
        <sz val="12"/>
        <color rgb="FF000000"/>
        <rFont val="맑은 고딕"/>
        <family val="3"/>
        <charset val="129"/>
      </rPr>
      <t>앞으로 규칙을 준수하는 태도를 함양하여 향후 모범적인 생활태도를 가진 학생으로 기대함</t>
    </r>
    <r>
      <rPr>
        <sz val="12"/>
        <color rgb="FF000000"/>
        <rFont val="함초롬바탕"/>
        <family val="1"/>
        <charset val="129"/>
      </rPr>
      <t xml:space="preserve">. </t>
    </r>
  </si>
  <si>
    <r>
      <rPr>
        <sz val="12"/>
        <color rgb="FF000000"/>
        <rFont val="맑은 고딕"/>
        <family val="3"/>
        <charset val="129"/>
      </rPr>
      <t>힘에 부치거나 장애물이 있더라도 옳은 일을 선택하며 쉽게 포기하지 않는 자세를 지님</t>
    </r>
    <r>
      <rPr>
        <sz val="12"/>
        <color rgb="FF000000"/>
        <rFont val="함초롬바탕"/>
        <family val="1"/>
        <charset val="129"/>
      </rPr>
      <t xml:space="preserve">. </t>
    </r>
  </si>
  <si>
    <r>
      <rPr>
        <sz val="12"/>
        <color rgb="FF000000"/>
        <rFont val="맑은 고딕"/>
        <family val="3"/>
        <charset val="129"/>
      </rPr>
      <t>언행이 곱고 명랑한 얼굴로 친구들에게 친절하게 대하는 타인을 위한 이해와 배려심이 많음</t>
    </r>
    <r>
      <rPr>
        <sz val="12"/>
        <color rgb="FF000000"/>
        <rFont val="함초롬바탕"/>
        <family val="1"/>
        <charset val="129"/>
      </rPr>
      <t xml:space="preserve">. </t>
    </r>
  </si>
  <si>
    <r>
      <rPr>
        <sz val="12"/>
        <color rgb="FF000000"/>
        <rFont val="맑은 고딕"/>
        <family val="3"/>
        <charset val="129"/>
      </rPr>
      <t>친구들이 하는 말을 끝까지 경청하고</t>
    </r>
    <r>
      <rPr>
        <sz val="12"/>
        <color rgb="FF000000"/>
        <rFont val="함초롬바탕"/>
        <family val="1"/>
        <charset val="129"/>
      </rPr>
      <t xml:space="preserve">, </t>
    </r>
    <r>
      <rPr>
        <sz val="12"/>
        <color rgb="FF000000"/>
        <rFont val="맑은 고딕"/>
        <family val="3"/>
        <charset val="129"/>
      </rPr>
      <t>그 의견의 좋은 점을 들어 동의하는 태도가 돋보임</t>
    </r>
    <r>
      <rPr>
        <sz val="12"/>
        <color rgb="FF000000"/>
        <rFont val="함초롬바탕"/>
        <family val="1"/>
        <charset val="129"/>
      </rPr>
      <t xml:space="preserve">. </t>
    </r>
  </si>
  <si>
    <r>
      <rPr>
        <sz val="12"/>
        <color rgb="FF000000"/>
        <rFont val="맑은 고딕"/>
        <family val="3"/>
        <charset val="129"/>
      </rPr>
      <t>매사에 의욕이 강하고 자신감이 넘치며 많은 친구와 사귀고 공동의 일에 적극적으로 참여함</t>
    </r>
    <r>
      <rPr>
        <sz val="12"/>
        <color rgb="FF000000"/>
        <rFont val="함초롬바탕"/>
        <family val="1"/>
        <charset val="129"/>
      </rPr>
      <t xml:space="preserve">. </t>
    </r>
  </si>
  <si>
    <r>
      <rPr>
        <sz val="12"/>
        <color rgb="FF000000"/>
        <rFont val="맑은 고딕"/>
        <family val="3"/>
        <charset val="129"/>
      </rPr>
      <t>자신의 생각을 조리 있게 잘 표현하며 다른사람의 의견을 듣고 설득하는 능력이 뛰어남</t>
    </r>
    <r>
      <rPr>
        <sz val="12"/>
        <color rgb="FF000000"/>
        <rFont val="함초롬바탕"/>
        <family val="1"/>
        <charset val="129"/>
      </rPr>
      <t xml:space="preserve">. </t>
    </r>
  </si>
  <si>
    <r>
      <rPr>
        <sz val="12"/>
        <color rgb="FF000000"/>
        <rFont val="맑은 고딕"/>
        <family val="3"/>
        <charset val="129"/>
      </rPr>
      <t>타인의 감정을 헤아리고 사회성 향상을 위해 좀 더 노력한다면 즐거운 학교생활이 될 것임</t>
    </r>
    <r>
      <rPr>
        <sz val="12"/>
        <color rgb="FF000000"/>
        <rFont val="함초롬바탕"/>
        <family val="1"/>
        <charset val="129"/>
      </rPr>
      <t xml:space="preserve">. </t>
    </r>
  </si>
  <si>
    <r>
      <rPr>
        <sz val="12"/>
        <color rgb="FF000000"/>
        <rFont val="맑은 고딕"/>
        <family val="3"/>
        <charset val="129"/>
      </rPr>
      <t>모둠 활동시 주도적으로 모둠 활동에 참여하여 모둠 문제를 해결해나가는 모습이 돋보임</t>
    </r>
    <r>
      <rPr>
        <sz val="12"/>
        <color rgb="FF000000"/>
        <rFont val="함초롬바탕"/>
        <family val="1"/>
        <charset val="129"/>
      </rPr>
      <t xml:space="preserve">. </t>
    </r>
  </si>
  <si>
    <t>인성
코드(B)</t>
  </si>
  <si>
    <t>인성
코드(A)</t>
  </si>
  <si>
    <t>인성
코드(C)</t>
  </si>
  <si>
    <t xml:space="preserve">맡은 일에 소극적이며 협력학습 활동에 참여하는 활동이 미약하나, 꾸준히 문제를 해결하려는 자세를 가지고 노력하여 전 교과 성적이 많이 향상 됨. </t>
  </si>
  <si>
    <t xml:space="preserve">맡은 일을 묵묵히 하며 협력학습 활동에 참여하는 태도는 양호하나, 학습에 대한 이해가 양호하나 자발적인 발표나 말하기에는 자신감을 길러야 하겠음. </t>
  </si>
  <si>
    <t xml:space="preserve">매사에 명랑한 생활을 하며 맡은 일을 책임감 있게 수행하나, 한글에 대한 읽기, 쓰기가 부진하여 학습에 어려움이 많으며 자신감도 부족한 편임. </t>
  </si>
  <si>
    <t xml:space="preserve">공공물건을 소중히 다루는 습관을 길러야 하며 단체 활동에 매우 소극적이고, 꾸준히 노력하는 학습 태도를 가져야겠으며 모든 교과 성적이 떨어짐. </t>
  </si>
  <si>
    <r>
      <rPr>
        <sz val="12"/>
        <color rgb="FF000000"/>
        <rFont val="맑은 고딕"/>
        <family val="3"/>
        <charset val="129"/>
      </rPr>
      <t>항상 긍정적인 생활태도를 가졌으며 이해심이 있고 주어진 일을 끈기 있게 해결하며 작은 일에도 성실하게 최선을 다하고 그림 그리는 것을 좋아함</t>
    </r>
    <r>
      <rPr>
        <sz val="12"/>
        <color rgb="FF000000"/>
        <rFont val="함초롬바탕"/>
        <family val="1"/>
        <charset val="129"/>
      </rPr>
      <t xml:space="preserve">. </t>
    </r>
  </si>
  <si>
    <r>
      <rPr>
        <sz val="12"/>
        <color rgb="FF000000"/>
        <rFont val="맑은 고딕"/>
        <family val="3"/>
        <charset val="129"/>
      </rPr>
      <t>맡은 일에 소극적이며 협력학습 활동에 참여하는 활동이 미약하나</t>
    </r>
    <r>
      <rPr>
        <sz val="12"/>
        <color rgb="FF000000"/>
        <rFont val="함초롬바탕"/>
        <family val="1"/>
        <charset val="129"/>
      </rPr>
      <t xml:space="preserve">, </t>
    </r>
    <r>
      <rPr>
        <sz val="12"/>
        <color rgb="FF000000"/>
        <rFont val="맑은 고딕"/>
        <family val="3"/>
        <charset val="129"/>
      </rPr>
      <t>꾸준히 문제를 해결하려는 자세를 가지고 노력하여 전 교과 성적이 많이 향상 됨</t>
    </r>
    <r>
      <rPr>
        <sz val="12"/>
        <color rgb="FF000000"/>
        <rFont val="함초롬바탕"/>
        <family val="1"/>
        <charset val="129"/>
      </rPr>
      <t xml:space="preserve">. </t>
    </r>
  </si>
  <si>
    <r>
      <rPr>
        <sz val="12"/>
        <color rgb="FF000000"/>
        <rFont val="맑은 고딕"/>
        <family val="3"/>
        <charset val="129"/>
      </rPr>
      <t>무슨 일이든 조금 느리기는 하지만 끝까지 최선을 다하여 훌륭하게 마무리하는 태도를 가지며</t>
    </r>
    <r>
      <rPr>
        <sz val="12"/>
        <color rgb="FF000000"/>
        <rFont val="함초롬바탕"/>
        <family val="1"/>
        <charset val="129"/>
      </rPr>
      <t>(</t>
    </r>
    <r>
      <rPr>
        <sz val="12"/>
        <color rgb="FF000000"/>
        <rFont val="맑은 고딕"/>
        <family val="3"/>
        <charset val="129"/>
      </rPr>
      <t>협력</t>
    </r>
    <r>
      <rPr>
        <sz val="12"/>
        <color rgb="FF000000"/>
        <rFont val="함초롬바탕"/>
        <family val="1"/>
        <charset val="129"/>
      </rPr>
      <t xml:space="preserve">) </t>
    </r>
    <r>
      <rPr>
        <sz val="12"/>
        <color rgb="FF000000"/>
        <rFont val="맑은 고딕"/>
        <family val="3"/>
        <charset val="129"/>
      </rPr>
      <t>성격이 긍정적이고 차분하여 친구들과 잘 어울림</t>
    </r>
    <r>
      <rPr>
        <sz val="12"/>
        <color rgb="FF000000"/>
        <rFont val="함초롬바탕"/>
        <family val="1"/>
        <charset val="129"/>
      </rPr>
      <t xml:space="preserve">. </t>
    </r>
  </si>
  <si>
    <t>남의 의견을 존중할 줄 알며 단체 활동에 매우 적극적인 태도를 지녔으며, 독서습관이 바르게 정착되었으며 학습에 집중력 있고 이해가 빨라 고루 우수함.</t>
  </si>
  <si>
    <t xml:space="preserve">과제학습을 잘 해오지 않고 기본 학습 태도가 형성되어 있지 않으며, 사물에 대한 호기심과 관찰력이 낮으며 말을 조리 있게 하는 노력이 필요함. </t>
  </si>
  <si>
    <r>
      <t>3</t>
    </r>
    <r>
      <rPr>
        <sz val="12"/>
        <color rgb="FF000000"/>
        <rFont val="맑은 고딕"/>
        <family val="3"/>
        <charset val="129"/>
      </rPr>
      <t>월에 비해 과제를 챙겨오는 열의를 보이고 있으나 수업시간 집중을 하지 못하는 모습이 보여 자신감과 집중력을 키우는 활동이 있다면 발전이 기대됨</t>
    </r>
    <r>
      <rPr>
        <sz val="12"/>
        <color rgb="FF000000"/>
        <rFont val="함초롬바탕"/>
        <family val="1"/>
        <charset val="129"/>
      </rPr>
      <t xml:space="preserve">. </t>
    </r>
  </si>
  <si>
    <t xml:space="preserve">항상 용모가 단정하고 차분한 성격으로 조용히 자신의 할 일을 마무리하는 학생으로 수업 태도가 항상 바르며 그리기 및 악기 연주에 재능이 돋보임. </t>
  </si>
  <si>
    <t xml:space="preserve">창의성이 돋보이고 회화, 조형능력이 뛰어나 미술 과목에서 월등한 실력을 보임. 체욱 활동, 음악 활동에도 적극적으로 참여하여 좋은 결과를 얻음. </t>
  </si>
  <si>
    <t xml:space="preserve">학습태도가 양호하며 꾸준히 노력하는 성품을 가졌으며, 무슨 일이든 열심히 하려고 노력하고 자료를 학습에 잘 이용하며 기본적인 학습 태도가 양호함. </t>
  </si>
  <si>
    <t>갈등/주장/합리적/문제해결</t>
  </si>
  <si>
    <t>그리기/꾸미기/습관/기본</t>
  </si>
  <si>
    <t>호기심/진취/태도/참여</t>
  </si>
  <si>
    <t>음악/리코더/체육/종합</t>
  </si>
  <si>
    <t>갈등/주장/대화/교우/모둠</t>
  </si>
  <si>
    <t>학습규칙/목표/성실/노력</t>
  </si>
  <si>
    <t>종합/체육/음악/피아노</t>
  </si>
  <si>
    <t>관계지향성/순박/친구/어울림</t>
  </si>
  <si>
    <t>개인별 종합의견 예시문</t>
  </si>
  <si>
    <t>관계지향성/명랑/급우/협조</t>
  </si>
  <si>
    <t>개인별 종합의견 일람표</t>
  </si>
  <si>
    <t>관계/교우/학급규칙/목표</t>
  </si>
  <si>
    <t>감정조절/습관/교우/친구</t>
  </si>
  <si>
    <t>관계지향성/모험/호기심/외향</t>
  </si>
  <si>
    <r>
      <rPr>
        <sz val="12"/>
        <color rgb="FF000000"/>
        <rFont val="맑은 고딕"/>
        <family val="3"/>
        <charset val="129"/>
      </rPr>
      <t>친구들과 잘 어울리지 못하는 수줍음 많은 성격이었으나 방과 후 기타 동아리활동에 참여함으로써 적극성을 띄게 되었음</t>
    </r>
    <r>
      <rPr>
        <sz val="12"/>
        <color rgb="FF000000"/>
        <rFont val="함초롬바탕"/>
        <family val="1"/>
        <charset val="129"/>
      </rPr>
      <t xml:space="preserve">. </t>
    </r>
    <r>
      <rPr>
        <sz val="12"/>
        <color rgb="FF000000"/>
        <rFont val="맑은 고딕"/>
        <family val="3"/>
        <charset val="129"/>
      </rPr>
      <t xml:space="preserve">이후 동아리 담당 지도교사와 학생들이 함께 소외된 이웃을 위한 사제동행 봉사활동에 참여하는 등 다양한 봉사활동을 통해 나눔의 소중한 가치를 깨닫고 적극적으로 나눔을 실천함 </t>
    </r>
  </si>
  <si>
    <t xml:space="preserve">주변의 일에 앞장서서 자발적으로 해결하며 지도력이 뛰어남. </t>
  </si>
  <si>
    <t xml:space="preserve">전 영역에 걸쳐 성적이 우수하고 자기의 행동에 책임을 잘 짐. </t>
  </si>
  <si>
    <t xml:space="preserve">발표를 논리적으로 잘 하며 독서하는 습관이 잘 형성되어 있음. </t>
  </si>
  <si>
    <t xml:space="preserve">분단 토의 학습에 관심이 높으며 모든 일에 성실히 임함. </t>
  </si>
  <si>
    <t xml:space="preserve">학급 미화 활동에 남다른 관심이 있으며 당번활동을 잘 함. </t>
  </si>
  <si>
    <t xml:space="preserve">주어진 일을 끈기있게 해결하며 작은 일에도 최선을 다함. </t>
  </si>
  <si>
    <t xml:space="preserve">예체능 다양한 활동에 적극적으로 참여하며 좋은 태도를 보임. </t>
  </si>
  <si>
    <t xml:space="preserve">단체활동에 통솔력이 뛰어나고 주어진 일의 끝마무리를 잘 함. </t>
  </si>
  <si>
    <t xml:space="preserve">학습 내용에 대한 이해력과 전이력이 높고 책을 즐겨 읽음. </t>
  </si>
  <si>
    <t xml:space="preserve">체육 활동에 열심히 참여하며 꾸준히 노력하는 자세를 지님. </t>
  </si>
  <si>
    <r>
      <rPr>
        <sz val="12"/>
        <color rgb="FF000000"/>
        <rFont val="맑은 고딕"/>
        <family val="3"/>
        <charset val="129"/>
      </rPr>
      <t>유머가 있어 학습 분위기를 재미있게 만드는 소질을 가짐</t>
    </r>
    <r>
      <rPr>
        <sz val="12"/>
        <color rgb="FF000000"/>
        <rFont val="함초롬바탕"/>
        <family val="1"/>
        <charset val="129"/>
      </rPr>
      <t xml:space="preserve">. </t>
    </r>
  </si>
  <si>
    <r>
      <rPr>
        <sz val="12"/>
        <color rgb="FF000000"/>
        <rFont val="맑은 고딕"/>
        <family val="3"/>
        <charset val="129"/>
      </rPr>
      <t>용모가 단정하고 주위를 깨끗하게 정돈하여 생활 태도가 바름</t>
    </r>
    <r>
      <rPr>
        <sz val="12"/>
        <color rgb="FF000000"/>
        <rFont val="함초롬바탕"/>
        <family val="1"/>
        <charset val="129"/>
      </rPr>
      <t xml:space="preserve">. </t>
    </r>
  </si>
  <si>
    <r>
      <rPr>
        <sz val="12"/>
        <color rgb="FF000000"/>
        <rFont val="맑은 고딕"/>
        <family val="3"/>
        <charset val="129"/>
      </rPr>
      <t>차분하게 자신에게 주어진 일에 최선을 다하는 태도를 가졌음</t>
    </r>
    <r>
      <rPr>
        <sz val="12"/>
        <color rgb="FF000000"/>
        <rFont val="함초롬바탕"/>
        <family val="1"/>
        <charset val="129"/>
      </rPr>
      <t xml:space="preserve">. </t>
    </r>
  </si>
  <si>
    <r>
      <rPr>
        <sz val="12"/>
        <color rgb="FF000000"/>
        <rFont val="맑은 고딕"/>
        <family val="3"/>
        <charset val="129"/>
      </rPr>
      <t>학교 규칙을 잘 준수하고 맡은 일에 성실히 최선을 다함</t>
    </r>
    <r>
      <rPr>
        <sz val="12"/>
        <color rgb="FF000000"/>
        <rFont val="함초롬바탕"/>
        <family val="1"/>
        <charset val="129"/>
      </rPr>
      <t xml:space="preserve">. </t>
    </r>
  </si>
  <si>
    <r>
      <rPr>
        <sz val="12"/>
        <color rgb="FF000000"/>
        <rFont val="맑은 고딕"/>
        <family val="3"/>
        <charset val="129"/>
      </rPr>
      <t>학규 규칙 선정 활동시 협력하여 규칙 선정에 주된 역할을 함</t>
    </r>
    <r>
      <rPr>
        <sz val="12"/>
        <color rgb="FF000000"/>
        <rFont val="함초롬바탕"/>
        <family val="1"/>
        <charset val="129"/>
      </rPr>
      <t xml:space="preserve">. </t>
    </r>
  </si>
  <si>
    <t>학습내용에 대한 성취의욕이 있어 전 교과 성적이 많이 발전함.</t>
  </si>
  <si>
    <r>
      <rPr>
        <sz val="12"/>
        <color rgb="FF000000"/>
        <rFont val="맑은 고딕"/>
        <family val="3"/>
        <charset val="129"/>
      </rPr>
      <t>주어진 일을 끈기 있게 해결하고 작은 일에도 최선을 다함</t>
    </r>
    <r>
      <rPr>
        <sz val="12"/>
        <color rgb="FF000000"/>
        <rFont val="함초롬바탕"/>
        <family val="1"/>
        <charset val="129"/>
      </rPr>
      <t xml:space="preserve">. </t>
    </r>
  </si>
  <si>
    <r>
      <rPr>
        <sz val="12"/>
        <color rgb="FF000000"/>
        <rFont val="맑은 고딕"/>
        <family val="3"/>
        <charset val="129"/>
      </rPr>
      <t>주위 사람이나 사물에 관심과 애정을 기울이는 자세가 돋보임</t>
    </r>
    <r>
      <rPr>
        <sz val="12"/>
        <color rgb="FF000000"/>
        <rFont val="함초롬바탕"/>
        <family val="1"/>
        <charset val="129"/>
      </rPr>
      <t xml:space="preserve">. </t>
    </r>
  </si>
  <si>
    <t xml:space="preserve">활동적이고 사귐성과 신의가 있어 급우간에 신임이 두터움. </t>
  </si>
  <si>
    <r>
      <rPr>
        <sz val="12"/>
        <color rgb="FF000000"/>
        <rFont val="맑은 고딕"/>
        <family val="3"/>
        <charset val="129"/>
      </rPr>
      <t>주어진 과제를 항상 열심히 해내려고 노력하는 모습이 모범적임</t>
    </r>
    <r>
      <rPr>
        <sz val="12"/>
        <color rgb="FF000000"/>
        <rFont val="함초롬바탕"/>
        <family val="1"/>
        <charset val="129"/>
      </rPr>
      <t xml:space="preserve">. </t>
    </r>
  </si>
  <si>
    <t xml:space="preserve">스스로 문제를 해결하려는 자세를 가졌으며 학습 활동이 양호함. </t>
  </si>
  <si>
    <r>
      <rPr>
        <sz val="12"/>
        <color rgb="FF000000"/>
        <rFont val="맑은 고딕"/>
        <family val="3"/>
        <charset val="129"/>
      </rPr>
      <t>학급의 부회장으로서 학급 일에 솔선수범하며 지도력이 뛰어남</t>
    </r>
    <r>
      <rPr>
        <sz val="12"/>
        <color rgb="FF000000"/>
        <rFont val="함초롬바탕"/>
        <family val="1"/>
        <charset val="129"/>
      </rPr>
      <t xml:space="preserve">. </t>
    </r>
  </si>
  <si>
    <r>
      <rPr>
        <sz val="12"/>
        <color rgb="FF000000"/>
        <rFont val="맑은 고딕"/>
        <family val="3"/>
        <charset val="129"/>
      </rPr>
      <t>모둠 친구들이 잘 할 수 있도록 옆에서 응원하고 도와줌</t>
    </r>
    <r>
      <rPr>
        <sz val="12"/>
        <color rgb="FF000000"/>
        <rFont val="함초롬바탕"/>
        <family val="1"/>
        <charset val="129"/>
      </rPr>
      <t xml:space="preserve">. </t>
    </r>
  </si>
  <si>
    <r>
      <rPr>
        <sz val="12"/>
        <color rgb="FF000000"/>
        <rFont val="맑은 고딕"/>
        <family val="3"/>
        <charset val="129"/>
      </rPr>
      <t>서로 힘을 합쳐 어려운 일도 함께 해내는 태도가 바람직함</t>
    </r>
    <r>
      <rPr>
        <sz val="12"/>
        <color rgb="FF000000"/>
        <rFont val="함초롬바탕"/>
        <family val="1"/>
        <charset val="129"/>
      </rPr>
      <t xml:space="preserve">. </t>
    </r>
  </si>
  <si>
    <t xml:space="preserve">과제학습을 잘 해오며 기본 학습 태도가 잘 형성되어 있음 </t>
  </si>
  <si>
    <r>
      <rPr>
        <sz val="12"/>
        <color rgb="FF000000"/>
        <rFont val="맑은 고딕"/>
        <family val="3"/>
        <charset val="129"/>
      </rPr>
      <t>친구들에게 친절을 베풀고 친구들에게 도움이 되는 일을 잘 함</t>
    </r>
    <r>
      <rPr>
        <sz val="12"/>
        <color rgb="FF000000"/>
        <rFont val="함초롬바탕"/>
        <family val="1"/>
        <charset val="129"/>
      </rPr>
      <t xml:space="preserve">. </t>
    </r>
  </si>
  <si>
    <r>
      <rPr>
        <sz val="12"/>
        <color rgb="FF000000"/>
        <rFont val="맑은 고딕"/>
        <family val="3"/>
        <charset val="129"/>
      </rPr>
      <t>맡은 일을 책임감 있게 잘 수행하고 모든 일에 모범을 보임</t>
    </r>
    <r>
      <rPr>
        <sz val="12"/>
        <color rgb="FF000000"/>
        <rFont val="함초롬바탕"/>
        <family val="1"/>
        <charset val="129"/>
      </rPr>
      <t xml:space="preserve">. </t>
    </r>
  </si>
  <si>
    <r>
      <rPr>
        <sz val="12"/>
        <color rgb="FF000000"/>
        <rFont val="맑은 고딕"/>
        <family val="3"/>
        <charset val="129"/>
      </rPr>
      <t>용의 복장이 단정하고 주위를 깨끗하게 정돈하고 깔끔한 성격임</t>
    </r>
    <r>
      <rPr>
        <sz val="12"/>
        <color rgb="FF000000"/>
        <rFont val="함초롬바탕"/>
        <family val="1"/>
        <charset val="129"/>
      </rPr>
      <t xml:space="preserve">. </t>
    </r>
  </si>
  <si>
    <t xml:space="preserve">바른 생활 습관이 잘 형성되어 있고 매사에 성실하며, 읽기, 쓰기, 셈하기의 기초기능은 바르게 정착되었으나 자신의 생각을 분명하고 또박또박 말하기에는 노력이 필요함 </t>
  </si>
  <si>
    <t xml:space="preserve">자료를 학습에 잘 이용하고 기본적인 학습 습관이 잘 형성되어 있으며, 생활 습관도 바르게 형성되어 있어 모든 일에 진취적이며 자신감이 많아 학교생활을 매우 즐겁게 함. </t>
  </si>
  <si>
    <t>발표를 잘 하려고 노력하며 독서하는 습관이 바르게 형성되어 있고, 자연현상에 대해 관심이 많으며, 학습에 필요한 자료를 잘 수집하여 활용하는 학습태도가 매우 진취적임 .</t>
  </si>
  <si>
    <t>관계/호기심/의사표현/주장/능동적</t>
  </si>
  <si>
    <t>스스로 공부하는 태도가 양호함.</t>
  </si>
  <si>
    <t>갈등/자존심/직설적/신망/교우관계</t>
  </si>
  <si>
    <t>관계지향성/교우/사교/적극/리더쉽</t>
  </si>
  <si>
    <t xml:space="preserve">용의가 단정하고 인사성이 밝음. </t>
  </si>
  <si>
    <t>일/끈기/노력/태도/성적/우수</t>
  </si>
  <si>
    <t>사소한 일에도 고마운 표현을 잘함.</t>
  </si>
  <si>
    <t xml:space="preserve">매사에 말씨와 행동에 붙임성이 있어서 교우관계가 매우 좋음. </t>
  </si>
  <si>
    <t xml:space="preserve">분단 토의학습에 매우 적극적이며 모든 일에 모범을 보임. </t>
  </si>
  <si>
    <t xml:space="preserve">사물에 대한 호기심과 관찰력이 있으며 발표를 잘하려고 노력함. </t>
  </si>
  <si>
    <t xml:space="preserve">자신의 목표를 뚜렷이 세우고 이의 달성을 위해 열심히 노력함. </t>
  </si>
  <si>
    <t xml:space="preserve">순박하고 명랑한 성품을 가졌으며 매사에 긍정적인 태도를 보임. </t>
  </si>
  <si>
    <t xml:space="preserve">사물에 대한 호기심과 관찰력이 우수하며 말을 조리있게 잘 함. </t>
  </si>
  <si>
    <t xml:space="preserve">꾸준히 노력하는 학습 태도를 가져서 모든 교과 성적이 발전됨. </t>
  </si>
  <si>
    <t xml:space="preserve">독서하는 습관이 바르게 형성되어가며 글쓰기에 관심이 있음. </t>
  </si>
  <si>
    <t xml:space="preserve">모든 일에 매우 사려가 깊으며 다른 사람의 의견을 잘 존중함. </t>
  </si>
  <si>
    <t xml:space="preserve">자기의 목표를 확실히 세우고 목표 달성을 위해 꾸준히 노력함. </t>
  </si>
  <si>
    <t>꾸준히 노력하는 학습 태도를 가져서 모든 교과 성적이 우수함.</t>
  </si>
  <si>
    <t xml:space="preserve">사회과의 조사학습 태도가 좋으며 모든 활동에 자신감이 있음. </t>
  </si>
  <si>
    <t xml:space="preserve">말과 행동이 침착하고 사려 깊으며 시간을 유익하게 잘 활용함. </t>
  </si>
  <si>
    <t xml:space="preserve">자기의 주장을 잘 내세우며 책 읽기 및 글짓기에 관심이 있음. </t>
  </si>
  <si>
    <t xml:space="preserve">모든 일에 솔선수범하며 협력학습 활동에 적극적으로 참여함. </t>
  </si>
  <si>
    <t xml:space="preserve">학습 태도가 바람직하고 과제 학습을 잘하려는 모습이 엿보임. </t>
  </si>
  <si>
    <t xml:space="preserve">밝고 쾌활한 성품을 가졌으며 맡은 일을 책임감있게 잘 수행함. </t>
  </si>
  <si>
    <t xml:space="preserve">학교생활을 매우 즐겁게 하며 주어진 일을 끝까지 잘 해결함. </t>
  </si>
  <si>
    <t xml:space="preserve">주변 정리 정돈을 잘 하며 행동이 매우 침착하고 사려가 깊음. </t>
  </si>
  <si>
    <t xml:space="preserve">순박한 성품을 가져서 급우간에 인기가 있고 이해심이 많음. </t>
  </si>
  <si>
    <t xml:space="preserve">자기 의사 표시를 분명히 할 줄 알며 성품이 매우 강직함. </t>
  </si>
  <si>
    <t xml:space="preserve">생활 주변 현상에 대해 남다른 관심을 가졌으며 매사 진취적임. </t>
  </si>
  <si>
    <t>갈등/이기적/관계</t>
  </si>
  <si>
    <t>갈등/청결/협력</t>
  </si>
  <si>
    <t>갈등/대화/주장</t>
  </si>
  <si>
    <t>갈등/1인/교우/청결</t>
  </si>
  <si>
    <t>관계지향성/학습/명랑</t>
  </si>
  <si>
    <t>공정/균형/판단</t>
  </si>
  <si>
    <t>겸손/발전/칭찬</t>
  </si>
  <si>
    <t>공정/친구/바름</t>
  </si>
  <si>
    <t>감정조절/자기조절</t>
  </si>
  <si>
    <t>겸손/실수/배움</t>
  </si>
  <si>
    <t>공정/판단/욕심</t>
  </si>
  <si>
    <t>겸손/교만/신중</t>
  </si>
  <si>
    <t>관계지향성/적극/진솔</t>
  </si>
  <si>
    <t>협력/학급/분위기</t>
  </si>
  <si>
    <t>관계지향성/명랑/학교</t>
  </si>
  <si>
    <t>협력/태도/명랑/배려</t>
  </si>
  <si>
    <t>관계지향성/사교/친구</t>
  </si>
  <si>
    <t xml:space="preserve">예술 및 체육 활동에 고루 관심을 보이며 흥이 있어 체육과 음악 수업에 적극적으로 참여함. </t>
  </si>
  <si>
    <t xml:space="preserve">피아노 연주에 소질이 있으며 음악적 감각이 있고 미술 만들기 활동에 흥미를 가지고 참여함. </t>
  </si>
  <si>
    <t xml:space="preserve">주어진 일을 끈기있게 해결하고 꾸준히 노력하는 학습태도를 가져서 모든 교과 성적이 우수함. </t>
  </si>
  <si>
    <t xml:space="preserve">순발력이 좋고 민첩성이 높아 체육 활동에 적극적으로 참여하며 스포츠 예절을 잘 지킴. </t>
  </si>
  <si>
    <t xml:space="preserve">사물에 대한 깊은 관찰과 생각을 바탕으로 창의성 있게 새로운 작품을 만들고 그리는데 능함. </t>
  </si>
  <si>
    <r>
      <t>1</t>
    </r>
    <r>
      <rPr>
        <sz val="12"/>
        <color rgb="FF000000"/>
        <rFont val="맑은 고딕"/>
        <family val="3"/>
        <charset val="129"/>
      </rPr>
      <t>인</t>
    </r>
    <r>
      <rPr>
        <sz val="12"/>
        <color rgb="FF000000"/>
        <rFont val="함초롬바탕"/>
        <family val="1"/>
        <charset val="129"/>
      </rPr>
      <t>1</t>
    </r>
    <r>
      <rPr>
        <sz val="12"/>
        <color rgb="FF000000"/>
        <rFont val="맑은 고딕"/>
        <family val="3"/>
        <charset val="129"/>
      </rPr>
      <t>역할 활동에 참여하고 친구들과 교실을 깨끗하게 가꾸면서 협력하는 방법을 배우게 됨</t>
    </r>
    <r>
      <rPr>
        <sz val="12"/>
        <color rgb="FF000000"/>
        <rFont val="함초롬바탕"/>
        <family val="1"/>
        <charset val="129"/>
      </rPr>
      <t xml:space="preserve">. </t>
    </r>
  </si>
  <si>
    <t xml:space="preserve">축구에 관심과 소질이 있고 방과후 축구반에서 활동하여 협동심을 키우고 체력도 증진됨. </t>
  </si>
  <si>
    <t xml:space="preserve">차분하게 리코더 연주를 잘하며 성실함을 바탕으로 미술 작품 구상 및 완성도가 높은 친구임. </t>
  </si>
  <si>
    <t xml:space="preserve">드리블을 잘 하고 피아노 치기에 소질이 있으며 친구들을 위해 반주를 연습해 오기도 함. </t>
  </si>
  <si>
    <t xml:space="preserve">적극적이고 바른 태도로 체육 활동에 임하며 배드민턴, 핸드볼 등 다양한 종목을 잘함. </t>
  </si>
  <si>
    <t>학생16</t>
  </si>
  <si>
    <t>학생17</t>
  </si>
  <si>
    <t>학생06</t>
  </si>
  <si>
    <t>종합의견</t>
  </si>
  <si>
    <t>학생36</t>
  </si>
  <si>
    <t>시작
번호</t>
  </si>
  <si>
    <t>학생20</t>
  </si>
  <si>
    <t>학생40</t>
  </si>
  <si>
    <t>학생11</t>
  </si>
  <si>
    <t>학생31</t>
  </si>
  <si>
    <t>학생08</t>
  </si>
  <si>
    <t>정리정돈</t>
  </si>
  <si>
    <t>학생18</t>
  </si>
  <si>
    <t>학습
코드</t>
  </si>
  <si>
    <t>학생02</t>
  </si>
  <si>
    <t>학생07</t>
  </si>
  <si>
    <t>학생03</t>
  </si>
  <si>
    <t>학생25</t>
  </si>
  <si>
    <t>긍정적사고</t>
  </si>
  <si>
    <t>학생32</t>
  </si>
  <si>
    <t>학생04</t>
  </si>
  <si>
    <t>학생29</t>
  </si>
  <si>
    <t>학생39</t>
  </si>
  <si>
    <t>학생33</t>
  </si>
  <si>
    <t>학생28</t>
  </si>
  <si>
    <t>학생24</t>
  </si>
  <si>
    <t>학생15</t>
  </si>
  <si>
    <t>학생22</t>
  </si>
  <si>
    <t>학생13</t>
  </si>
  <si>
    <t>학생23</t>
  </si>
  <si>
    <t>타인존중</t>
  </si>
  <si>
    <t>학생35</t>
  </si>
  <si>
    <t>규칙준수</t>
  </si>
  <si>
    <t>학생09</t>
  </si>
  <si>
    <t>의사결정능력</t>
  </si>
  <si>
    <t>끝
번호</t>
  </si>
  <si>
    <t>학생37</t>
  </si>
  <si>
    <t>학생21</t>
  </si>
  <si>
    <t>학생27</t>
  </si>
  <si>
    <t>학생38</t>
  </si>
  <si>
    <t>학생 이름</t>
  </si>
  <si>
    <t>갈등/감정</t>
  </si>
  <si>
    <t>갈등/교우관계</t>
  </si>
  <si>
    <t>학생14</t>
  </si>
  <si>
    <t>학생12</t>
  </si>
  <si>
    <t>학생26</t>
  </si>
  <si>
    <t>학생34</t>
  </si>
  <si>
    <t>학생05</t>
  </si>
  <si>
    <t>학생10</t>
  </si>
  <si>
    <t>갈등/문제해결</t>
  </si>
  <si>
    <t>학생30</t>
  </si>
  <si>
    <t>학생19</t>
  </si>
  <si>
    <t>시트이름</t>
  </si>
  <si>
    <t>감정조절/사회</t>
  </si>
  <si>
    <t>체육/티볼</t>
  </si>
  <si>
    <t>학생01</t>
  </si>
  <si>
    <t>발표/논리</t>
  </si>
  <si>
    <t>새로운 코드</t>
  </si>
  <si>
    <t>갈등/대화</t>
  </si>
  <si>
    <t>우수/책임</t>
  </si>
  <si>
    <t>예체능 예시문</t>
  </si>
  <si>
    <t>창의적/활동</t>
  </si>
  <si>
    <t>화합/협동</t>
  </si>
  <si>
    <t>체육/축구</t>
  </si>
  <si>
    <t>규칙/목표</t>
  </si>
  <si>
    <t>체육/피구</t>
  </si>
  <si>
    <t>기능/우수</t>
  </si>
  <si>
    <t>공정/문제</t>
  </si>
  <si>
    <t>언어/주장</t>
  </si>
  <si>
    <t>체육/배드민턴</t>
  </si>
  <si>
    <t>감사/긍정</t>
  </si>
  <si>
    <t>감사/고마움</t>
  </si>
  <si>
    <t>기존 코드</t>
  </si>
  <si>
    <t>미술/구성</t>
  </si>
  <si>
    <t>학습규칙/진취</t>
  </si>
  <si>
    <t>갈등/중재</t>
  </si>
  <si>
    <t>미술/표현</t>
  </si>
  <si>
    <t>창의적/우수</t>
  </si>
  <si>
    <t>감사/배려</t>
  </si>
  <si>
    <t>종합/예체능</t>
  </si>
  <si>
    <t>학습규칙/목표</t>
  </si>
  <si>
    <t>이해/우수</t>
  </si>
  <si>
    <t>노력/우수</t>
  </si>
  <si>
    <t>태도/모범</t>
  </si>
  <si>
    <t>문제/해결</t>
  </si>
  <si>
    <t>우수/성실</t>
  </si>
  <si>
    <t>문제/성실</t>
  </si>
  <si>
    <t>의욕/자료</t>
  </si>
  <si>
    <t>관찰/탐구</t>
  </si>
  <si>
    <t>독서/글쓰기</t>
  </si>
  <si>
    <t>목표/시간</t>
  </si>
  <si>
    <t>이애/독서</t>
  </si>
  <si>
    <t>목표/노력</t>
  </si>
  <si>
    <t>하/노력</t>
  </si>
  <si>
    <t>성취/우수</t>
  </si>
  <si>
    <t>자세/노력</t>
  </si>
  <si>
    <t>자연/자료</t>
  </si>
  <si>
    <r>
      <rPr>
        <sz val="12"/>
        <color rgb="FF000000"/>
        <rFont val="맑은 고딕"/>
        <family val="3"/>
        <charset val="129"/>
      </rPr>
      <t>서로의 다른 특성을 이해하고 함께 도우며 활동함</t>
    </r>
    <r>
      <rPr>
        <sz val="12"/>
        <color rgb="FF000000"/>
        <rFont val="함초롬바탕"/>
        <family val="1"/>
        <charset val="129"/>
      </rPr>
      <t>.</t>
    </r>
  </si>
  <si>
    <t xml:space="preserve">항상 긍정정인 생활태도를 가졌으며 이해심이 많음 </t>
  </si>
  <si>
    <t>명랑 쾌활하고 급우들간에 협조적이며 믿음직스러움.</t>
  </si>
  <si>
    <r>
      <rPr>
        <sz val="12"/>
        <color rgb="FF000000"/>
        <rFont val="맑은 고딕"/>
        <family val="3"/>
        <charset val="129"/>
      </rPr>
      <t>사교성이 좋으며 인간적인 친화력이 뛰어남</t>
    </r>
    <r>
      <rPr>
        <sz val="12"/>
        <color rgb="FF000000"/>
        <rFont val="함초롬바탕"/>
        <family val="1"/>
        <charset val="129"/>
      </rPr>
      <t xml:space="preserve">. </t>
    </r>
  </si>
  <si>
    <r>
      <rPr>
        <sz val="12"/>
        <color rgb="FF000000"/>
        <rFont val="맑은 고딕"/>
        <family val="3"/>
        <charset val="129"/>
      </rPr>
      <t>친구간에 의리가 있고 급우간에 리더 역할을 함</t>
    </r>
    <r>
      <rPr>
        <sz val="12"/>
        <color rgb="FF000000"/>
        <rFont val="함초롬바탕"/>
        <family val="1"/>
        <charset val="129"/>
      </rPr>
      <t xml:space="preserve">. </t>
    </r>
  </si>
  <si>
    <r>
      <rPr>
        <sz val="12"/>
        <color rgb="FF000000"/>
        <rFont val="맑은 고딕"/>
        <family val="3"/>
        <charset val="129"/>
      </rPr>
      <t>주변 친구들이 잘 할 수 있도록 잘 도와줌</t>
    </r>
    <r>
      <rPr>
        <sz val="12"/>
        <color rgb="FF000000"/>
        <rFont val="함초롬바탕"/>
        <family val="1"/>
        <charset val="129"/>
      </rPr>
      <t xml:space="preserve">. </t>
    </r>
  </si>
  <si>
    <t>생활 규칙을 잘 지키고 급우들에게 신임을 받음.</t>
  </si>
  <si>
    <t>의지가 굳고 책임감이 강하며 모든 일에 적극적임.</t>
  </si>
  <si>
    <r>
      <rPr>
        <sz val="12"/>
        <color rgb="FF000000"/>
        <rFont val="맑은 고딕"/>
        <family val="3"/>
        <charset val="129"/>
      </rPr>
      <t>정직</t>
    </r>
    <r>
      <rPr>
        <sz val="12"/>
        <color rgb="FF000000"/>
        <rFont val="함초롬바탕"/>
        <family val="1"/>
        <charset val="129"/>
      </rPr>
      <t xml:space="preserve">, </t>
    </r>
    <r>
      <rPr>
        <sz val="12"/>
        <color rgb="FF000000"/>
        <rFont val="맑은 고딕"/>
        <family val="3"/>
        <charset val="129"/>
      </rPr>
      <t xml:space="preserve">온순하며 주어진 일은 책임있게 처리함. </t>
    </r>
  </si>
  <si>
    <r>
      <rPr>
        <sz val="12"/>
        <color rgb="FF000000"/>
        <rFont val="맑은 고딕"/>
        <family val="3"/>
        <charset val="129"/>
      </rPr>
      <t>서로 다른 특성을 이해하고 함께 도우며 활동함</t>
    </r>
    <r>
      <rPr>
        <sz val="12"/>
        <color rgb="FF000000"/>
        <rFont val="함초롬바탕"/>
        <family val="1"/>
        <charset val="129"/>
      </rPr>
      <t xml:space="preserve">. </t>
    </r>
  </si>
  <si>
    <t xml:space="preserve">학습 활동과 주어진 일을 창의적으로 잘 해결함. </t>
  </si>
  <si>
    <t>꾸준히 노력하여 전 교과 성적이 많이 향상되었음.</t>
  </si>
  <si>
    <t xml:space="preserve">발표를 논리적으로 잘 하며 글씨를 바르게 씀. </t>
  </si>
  <si>
    <t xml:space="preserve">학습 태도가 바람직하고 과제 학습을 잘 해결함. </t>
  </si>
  <si>
    <t xml:space="preserve">학습 의욕이 왕성하고 자료를 학습에 잘 이용함. </t>
  </si>
  <si>
    <t xml:space="preserve">스스로 문제를 해결하려고 노력하며 매사 성실함. </t>
  </si>
  <si>
    <t xml:space="preserve">발표를 논리적으로 잘 하며 말과 행동이 의젓함. </t>
  </si>
  <si>
    <t xml:space="preserve">성격이 강직하고 정직하며 어려운 일에 앞장섬. </t>
  </si>
  <si>
    <t xml:space="preserve">모든 일에 매우 침착한 태도로 임하며 성실함. </t>
  </si>
  <si>
    <t>정직하고 예의가 바르며 매사에 매우 침착함.</t>
  </si>
  <si>
    <t>어려운 일에 앞장을 잘 서며 봉사정신이 뛰어남 .</t>
  </si>
  <si>
    <t>친구들과 잘 어울려 지내며 항상 용의가 단정함.</t>
  </si>
  <si>
    <t xml:space="preserve">이해심이 많아 급우간 인기가 많고 예의 바름. </t>
  </si>
  <si>
    <t xml:space="preserve">학습태도가 바람직하고 과제학습을 잘 해결함. </t>
  </si>
  <si>
    <t xml:space="preserve">학습의욕이 왕성하고 자료를 학습에 잘 이용함. </t>
  </si>
  <si>
    <t>학용품을 깨끗이 이용하며 주변 정리정돈을 잘 함.</t>
  </si>
  <si>
    <t xml:space="preserve">친구를 잘 도와 주며 학교생활을 흥미있게 함. </t>
  </si>
  <si>
    <t xml:space="preserve">학습장 정리를 잘 하며 책읽기를 즐겨 함. </t>
  </si>
  <si>
    <t xml:space="preserve">생활을 규칙적으로 하며 언행이 매우 침착함. </t>
  </si>
  <si>
    <t xml:space="preserve">공공물건을 소중히 다루며 단체활동에 매우 적극적임. </t>
  </si>
  <si>
    <t xml:space="preserve">바른 생활 습관이 잘 형성되어 있으며 매사에 성실함. </t>
  </si>
  <si>
    <t xml:space="preserve">주변 정리정돈을 잘 하며 시간을 효과적으로 잘 활용함. </t>
  </si>
  <si>
    <t xml:space="preserve">자기의 목표가 뚜렷하며 학교생활이 매우 계획적임. </t>
  </si>
  <si>
    <t xml:space="preserve">예습과 복습을 철저히 하며 학습장 정리를 잘 함. </t>
  </si>
  <si>
    <t xml:space="preserve">학업성취에 대한 의지가 강하여 전교과 성적이 우수함. </t>
  </si>
  <si>
    <t xml:space="preserve">남의 의견을 존중할 줄 알며 학습태도가 모범적임. </t>
  </si>
  <si>
    <t xml:space="preserve">생각이나 행동이 매우 사려 깊고 분별력이 뛰어남. </t>
  </si>
  <si>
    <t xml:space="preserve">집단생활에 잘 적응하며 용의가 단정하고 예의 바름. </t>
  </si>
  <si>
    <t xml:space="preserve">주어진 일을 창의적으로 잘 해결하며 봉사정신이 뛰어남. </t>
  </si>
  <si>
    <t xml:space="preserve">궂은 일에 솔선하여 앞장을 서며 봉사정신이 뛰어남. </t>
  </si>
  <si>
    <t xml:space="preserve">학습내용에 대한 이해가 빨라서 전교과 성적이 우수함. </t>
  </si>
  <si>
    <t xml:space="preserve">예체능 모든 활동에 적극적으로 참여하며 열심히 노력함. </t>
  </si>
  <si>
    <t>음악적으로 뛰어난 청음력과 훌륭한 성대를 가지고 있음.</t>
  </si>
  <si>
    <t xml:space="preserve">매사 긍정적이며 이해심이 많아 교우관계가 원만함. </t>
  </si>
  <si>
    <t xml:space="preserve">기본 체력과 힘이 좋아 다양한 체육 활동에 능함. </t>
  </si>
  <si>
    <t xml:space="preserve">어려운 일에 가끔씩 기발한 생각을 내어 잘 해결함. </t>
  </si>
  <si>
    <t xml:space="preserve">자신의 생각을 논리적으로 잘 나타내며 통솔력이 뛰어남. </t>
  </si>
  <si>
    <t xml:space="preserve">맡은 일을 빈틈없이 처리하며 다른 사람을 잘 도와줌. </t>
  </si>
  <si>
    <t>모든 일에 적극적으로 참여하며 일의 끝마무리를 잘 함.</t>
  </si>
  <si>
    <t xml:space="preserve">친구를 잘 도우며 이해심이 많아 급우간에 인기가 높음. </t>
  </si>
  <si>
    <t xml:space="preserve">매사에 명랑한 생활을 하며 급우간에 인기가 높음. </t>
  </si>
  <si>
    <t xml:space="preserve">약속을 잘 지키며 행동이 매우 침착하고 사려깊음. </t>
  </si>
  <si>
    <t xml:space="preserve">도움이 필요한 친구를 따뜻하게 도와줌. </t>
  </si>
  <si>
    <t>제작 2015. 12. 28. 배만병</t>
  </si>
  <si>
    <t>사리 분별력이 명확하고 예의가 바름.</t>
  </si>
  <si>
    <t>학급의 갈등을 중재하는 능력이 뛰어남.</t>
  </si>
  <si>
    <t>스스로 문제를 해결하려는 자세가 좋음.</t>
  </si>
  <si>
    <t xml:space="preserve">약속을 잘 지키며 정직한 성품을 가졌음. </t>
  </si>
  <si>
    <t xml:space="preserve">학습태도가 모범적이며 예의가 바름. </t>
  </si>
  <si>
    <t xml:space="preserve">학습 태도가 모범적이며 예의가 바름. </t>
  </si>
  <si>
    <t>바른 생활 습관이 잘 형성되어 있음.</t>
  </si>
  <si>
    <t xml:space="preserve">말씨가 차분하며 고운 마음씨를 가졌음. </t>
  </si>
  <si>
    <t xml:space="preserve">당번활동을 잘 하며 단체활동에 적극적임 </t>
  </si>
  <si>
    <t xml:space="preserve">행동이 매우 민첩하고 순발력이 뛰어남. </t>
  </si>
  <si>
    <t>정리정돈/성과물</t>
  </si>
  <si>
    <t>독서/성적/발전</t>
  </si>
  <si>
    <t>문제/자신감</t>
  </si>
  <si>
    <t>인내심/태도/과제/노력</t>
  </si>
  <si>
    <t>표현/생각/능동적/노력/향상</t>
  </si>
  <si>
    <t>계획/실천/집중력/노력</t>
  </si>
  <si>
    <t>호기심/질문/언어/주장</t>
  </si>
  <si>
    <t>독서/집중력/성적/우수</t>
  </si>
  <si>
    <t>독서/성적</t>
  </si>
  <si>
    <t>생활/태도</t>
  </si>
  <si>
    <t>준비/성실</t>
  </si>
  <si>
    <t>생활/목표/솔선수범/적극</t>
  </si>
  <si>
    <t>집중/인내/노력</t>
  </si>
  <si>
    <t>발표/의견/부족/자신감/노력</t>
  </si>
  <si>
    <t>특성[1] 예시문</t>
    <phoneticPr fontId="18" type="noConversion"/>
  </si>
  <si>
    <t>특성[2] 예시문</t>
    <phoneticPr fontId="18" type="noConversion"/>
  </si>
  <si>
    <t>특성[3] 예시문</t>
    <phoneticPr fontId="18" type="noConversion"/>
  </si>
  <si>
    <t>기본적인 학습 규칙을 잘 이행하고 자기의 목표가 뚜렷한 학교생활을 함.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즐겁게 노래부르기에 참여하며 체육에 소질이 있어 피구와 축구활동에 두각을 보임.</t>
    <phoneticPr fontId="18" type="noConversion"/>
  </si>
  <si>
    <t>미술에 소질이 있으며 색감과 작품 구상 능력이 뛰어나고 표현력이 돋보임.</t>
    <phoneticPr fontId="18" type="noConversion"/>
  </si>
  <si>
    <t>관계지향성/자신가미발표</t>
  </si>
  <si>
    <t>관계지향성/자신가미발표</t>
    <phoneticPr fontId="18" type="noConversion"/>
  </si>
  <si>
    <t>관계지향성/칭찬/친구</t>
  </si>
  <si>
    <t>관계지향성/칭찬/친구</t>
    <phoneticPr fontId="18" type="noConversion"/>
  </si>
  <si>
    <t>관계지향성/친구/쾌활</t>
  </si>
  <si>
    <t>관계지향성/친구/쾌활</t>
    <phoneticPr fontId="18" type="noConversion"/>
  </si>
  <si>
    <t>관계지향성/성품/모범/신망</t>
  </si>
  <si>
    <t>관계지향성/성품/모범/신망</t>
    <phoneticPr fontId="18" type="noConversion"/>
  </si>
  <si>
    <t>성품이 착실하고 따뜻하며 친구들 사이에 추천으로 학생날 기념 모범학생표창을 받음.신망이 두터워 친구들의 신뢰를 받음.</t>
  </si>
  <si>
    <t>성품이 착실하고 따뜻하며 친구들 사이에 추천으로 학생날 기념 모범학생표창을 받음.신망이 두터워 친구들의 신뢰를 받음.</t>
    <phoneticPr fontId="18" type="noConversion"/>
  </si>
  <si>
    <t>관계지향성/소극적/노력</t>
  </si>
  <si>
    <t>관계지향성/소극적/노력</t>
    <phoneticPr fontId="18" type="noConversion"/>
  </si>
  <si>
    <t>관계지향성/유머</t>
  </si>
  <si>
    <t>관계지향성/유머</t>
    <phoneticPr fontId="18" type="noConversion"/>
  </si>
  <si>
    <t>관계지향성/소신/논리적</t>
  </si>
  <si>
    <t>관계지향성/소신/논리적</t>
    <phoneticPr fontId="18" type="noConversion"/>
  </si>
  <si>
    <t>관계지향성/지도력/리더십</t>
  </si>
  <si>
    <t>관계지향성/지도력/리더십</t>
    <phoneticPr fontId="18" type="noConversion"/>
  </si>
  <si>
    <t>관계지향성/책임/인기</t>
  </si>
  <si>
    <t>관계지향성/책임/인기</t>
    <phoneticPr fontId="18" type="noConversion"/>
  </si>
  <si>
    <t>관계지향성/체험활동</t>
  </si>
  <si>
    <t>관계지향성/체험활동</t>
    <phoneticPr fontId="18" type="noConversion"/>
  </si>
  <si>
    <t>관계지향성/친화력</t>
  </si>
  <si>
    <t>관계지향성/친화력</t>
    <phoneticPr fontId="18" type="noConversion"/>
  </si>
  <si>
    <t>관계지향성/통솔/신망</t>
  </si>
  <si>
    <t>관계지향성/통솔/신망</t>
    <phoneticPr fontId="18" type="noConversion"/>
  </si>
  <si>
    <t>관계지향성/명랑/신망/신뢰</t>
  </si>
  <si>
    <t>관계지향성/명랑/신망/신뢰</t>
    <phoneticPr fontId="18" type="noConversion"/>
  </si>
  <si>
    <t>관계지향성/부회장/솔선수범</t>
  </si>
  <si>
    <t>관계지향성/부회장/솔선수범</t>
    <phoneticPr fontId="18" type="noConversion"/>
  </si>
  <si>
    <t>관계지향성/신뢰/신망</t>
  </si>
  <si>
    <t>관계지향성/신뢰/신망</t>
    <phoneticPr fontId="18" type="noConversion"/>
  </si>
  <si>
    <t xml:space="preserve">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t>
  </si>
  <si>
    <t xml:space="preserve">1인1역할 활동에 참여하고 친구들과 교실을 깨끗하게 가꾸면서 협력하는 방법을 배우게 됨. </t>
  </si>
  <si>
    <t xml:space="preserve">갈등 상황에서 자신의 생각을 표현하기 보다 혼자만의 시간을 갖는 경우가 많아 자신의 감정을 효과적으로 표현하는 능력을 기를 필요가 있음. </t>
  </si>
  <si>
    <t xml:space="preserve">모둠 활동시 주도적으로 모둠 활동에 참여하여 모둠 문제를 해결해나가는 모습이 돋보임. </t>
  </si>
  <si>
    <t xml:space="preserve">싫은 소리를 하지 않고 묵묵히 챙겨주는 스타일로 긍정적인 성격이라 교우관계에서 선호도가 높음. </t>
  </si>
  <si>
    <t xml:space="preserve">자신의 주장이 강하여 주변 친구들과 관계가 소원한 편이나 모둠활동을 통하여 합리적인 문제해결방법을 도출함. </t>
  </si>
  <si>
    <t xml:space="preserve">자신이 화가 나고 짜증낼 때 친구와 슬기롭게 대화하는 방법을 연습하고 있음. </t>
  </si>
  <si>
    <t xml:space="preserve">자존심이 강하고 표현이 다소 직설적으로 사소한 문제로 친구들과 갈등상황이 발생할 때가 있으니 자신의 생각을 좀 더 부드럽게 표현하여 친구들에게 다가간다면 교우관계에 있어 신망이 두터워질 것임. </t>
  </si>
  <si>
    <t xml:space="preserve">평소 자신의 주장이 강해 친구들과 자주 갈등을 겪지만 자신의 잘못은 반성할 줄 알고 친구와 대화를 통해 갈등을 해결해 나감. </t>
  </si>
  <si>
    <t xml:space="preserve">평소 자신의 주장이 강해 친구들과 자주 갈등을 겪지만, 자신의 잘못은 반성할 줄 알고 친구와 대화를 통하여 갈등을 해결해 나가며 모둠 활동시 주도적으로 모둠 활동에 참여하여 모둠 문제를 해결해나가는 모습이 돋보임. </t>
  </si>
  <si>
    <t>평소 학급의 어려운 친구들을 도와주기보다는 자신의 주장만 내세워 이를 해결하는 갈등관리 능력이 부족하여 학교생활에 어려움을 겪고 있었음. 이 후 1인 1역할 활동에 참여하고 친구들과 교실을 깨끗하게 가꾸면서 협력하는 방법을 배우게 되었음.</t>
  </si>
  <si>
    <t xml:space="preserve">자기 것만을 챙기지 않고 다른 사람을 먼저 생각하고 자신에 대한 많은 배려에 감사할 줄 아는 태도를 지님. </t>
  </si>
  <si>
    <t xml:space="preserve">주변에서 일어나는 작은 일에 대하여 감사하는 마음을 갖고 매사에 긍정적으로 생각함. </t>
  </si>
  <si>
    <t xml:space="preserve">타인의 감정을 이해하는 노력(심리상담, 가족상담)을 통해 자기조절능력을 키움. </t>
  </si>
  <si>
    <t xml:space="preserve">타인의 감정을 헤아리고 사회성 향상을 위해 좀 더 노력한다면 즐거운 학교생활이 될 것임. </t>
  </si>
  <si>
    <t xml:space="preserve">학기 초, 마음 가는 대로 행동하던 습관을 버리고, 친구들의 장난을 유연하게 받아들이려고 노력하는 태도가 생김.  </t>
  </si>
  <si>
    <t>교만하지 않고 매사에 신중하면서도 자신을 낮추는 태도에서 겸손함을 엿볼 수 있음.</t>
  </si>
  <si>
    <t xml:space="preserve">실수를 배움의 기회로 여기고 일을 성취했을 때도 우쭐대지 않는 태도가 돋보임. </t>
  </si>
  <si>
    <t xml:space="preserve">선입견 없이 모든 사람을 공정하고 공평하게 대우하며 문제를 잘 해결함. </t>
  </si>
  <si>
    <t xml:space="preserve">자신을 되돌아보고 욕심이 없이 내면의 여유를 가지고 있으며 사사로운 정에 얽매여 판단을 흐리지 않음. </t>
  </si>
  <si>
    <t xml:space="preserve">자신이 좋아하는 일만 하거나 한 가지에 쏠리지 않고 균형 있게 판단하고 행동함. </t>
  </si>
  <si>
    <t>친구들이 하는 것이 옳지 않으면 언제든 확실하게 이야기해주어 바르게 함.</t>
  </si>
  <si>
    <t xml:space="preserve">매사에 말씨와 행동에 붙임성이 있어서 교우관계가 매우 좋으며 기본적인 학급규칙을 잘 이행하고 자기의 목표가 뚜렷한 학교생활을 함. </t>
  </si>
  <si>
    <t xml:space="preserve">밝고 명랑한 성격으로 친구들과 즐겁게 학교생활을 하지만 수업시간에 지나친 행동으로 학습을 방해하는 경우가 있어 주의를 기울이는 노력을 함. </t>
  </si>
  <si>
    <t xml:space="preserve">교우관계가 원만하고 사교성이 좋으나 보다 적극적인 자세로 친구들을 배려하고 리더쉽을 키우는 노력을 한다면 더욱 즐거운 학교생활을 할 수 있을 것임. </t>
  </si>
  <si>
    <t xml:space="preserve">마음이 순박하여, 친구들의 말을 잘 따르고 친구들과 함께 어울리는 것을 좋아함. </t>
  </si>
  <si>
    <t xml:space="preserve">모험심이 많고 성격이 활발하여 친구들이 좋아하고 이에 따라 즐거운 학교 생활을 하고 있으며 새로운 일에 관심과 호기심이 많아 질문도 잘하며 전반적으로 외향적인 성격임. </t>
  </si>
  <si>
    <t xml:space="preserve">보다 적극적이고 진솔한 자세로 친구들에게 다가가 교우관계가 돈독해 지도록 노력하면 좋겠음. </t>
  </si>
  <si>
    <t xml:space="preserve">사교성이 좋고 귀염성이 많아 친구들과 사이좋게 즐겁게 학교생활을 함. </t>
  </si>
  <si>
    <t xml:space="preserve">사교성이 좋고 인간적인 친화력이 뛰어나 주변에 친구들이 많은 학생임. </t>
  </si>
  <si>
    <t xml:space="preserve">사교성이 좋으며 인간적인 친화력이 뛰어남. </t>
  </si>
  <si>
    <t xml:space="preserve">사람들 앞에서는 것에 부끄러움이 많아 자신감을 가지고 발표하는 습관을 가지려는 노력이 필요함. </t>
  </si>
  <si>
    <t xml:space="preserve">상큼한 표정과 행동으로 친구들에게 즐거움을 주고 친구들의 좋은 점을 칭찬해주는 멋진 학생임. </t>
  </si>
  <si>
    <t xml:space="preserve">성격이 밝고 쾌활하며 사교적이어서 친구들과 잘 어울림. </t>
  </si>
  <si>
    <t xml:space="preserve">소극적이고 자기만의 생각이 있어 다른 친구들과 쉽게 어울리지 못하지만 따뜻한 마음씨로 주변 친구들과 점점 좋은 관계를 만들어감. </t>
  </si>
  <si>
    <t xml:space="preserve">유머가 있어 학습 분위기를 재미있게 만드는 소질을 가짐. </t>
  </si>
  <si>
    <t xml:space="preserve">자기 의사를 강하게 표현하여 주변 친구들과 마찰이 있으나 관심있는 분야에 대해 깊이 있게 생각하고 논리적으로 따지는 훌륭한 의견을 가지고 있음. </t>
  </si>
  <si>
    <t xml:space="preserve">책임감이 강하고 통솔력이 있어 학급 친구들 사이에서 인기가 많음. </t>
  </si>
  <si>
    <t xml:space="preserve">체험학습 활동 참여시 여러 친구들과 스스럼없이 잘 어울려 지냄. </t>
  </si>
  <si>
    <t xml:space="preserve">친구들과 사이좋게 지내고 친화력이 좋으며 리더쉽이 돋보이는 학생임. </t>
  </si>
  <si>
    <t xml:space="preserve">평소 명랑하고 쾌할한 성격으로 학교생활을 매우 즐겁게 하고 모둠 활동시 친구의 의견을 잘 조절하고 모둠 문제를 해결하여 친구들의 믿음이 두터움. </t>
  </si>
  <si>
    <t xml:space="preserve">학급의 부회장으로서 학급 일에 솔선수범하며 지도력이 뛰어남. </t>
  </si>
  <si>
    <t xml:space="preserve">학기 초 소극적인 태도로 친구관계 형성에 어려움이 있었으나 학급전체 게임활동 등 다양한 활동을 통해 친구들과 어울리는 모습을 자주 볼 수 있음. </t>
  </si>
  <si>
    <t xml:space="preserve">대가를 바라지 않고 베풀고 나누는 자세가 몸에 배어 있으며 친구들의 잘못을 너그러이 받아들이는 아량이 있음. </t>
  </si>
  <si>
    <t>베푸는 자세가 몸에 배어 있으며 다른 사람의 입장을 공감하는 능력이 뛰어남.</t>
  </si>
  <si>
    <t xml:space="preserve">자신의 기대에 어긋나는 일이 일어나도 인내심과 유연성을 갖고 받아들임. </t>
  </si>
  <si>
    <t xml:space="preserve">차이를 있는 그대로 받아들이는 태도가 솔직하고 편견을 가지지 않음. </t>
  </si>
  <si>
    <t xml:space="preserve">친구가 자신에게 잘못을 저질렀을 때 너그럽게 이해하고 포용하는 대범함이 있음. </t>
  </si>
  <si>
    <t xml:space="preserve">규칙과 질서를 잘 지키고 자기가 할 일을 묵묵히 실천하며 모든 일을 성실히 마무리하려 노력하고 자신이 한 약속을 잘 지키며 독서를 열심히 하여 독서량이 많음. </t>
  </si>
  <si>
    <t xml:space="preserve">규칙을 잘 지키고 해야 할 일을 끝까지 처리하며 자신의 생각을 솔직하게 드러낼 줄 알고 밝고 건강한 모습으로 즐겁게 학교생활을 함. </t>
  </si>
  <si>
    <t xml:space="preserve">기본적인 학습규칙을 잘 이행하고 자기의 목표가 뚜렷한 학교생활을 하며 행동이 매우 침착하고 깔끔하여 주변 정리 정돈을 잘 하고 글씨를 바르게 쓰며 공책 정리를 잘함. </t>
  </si>
  <si>
    <t xml:space="preserve">단체 생활의 규칙을 바르게 준수하고 주변 친구들과 원만하게 지내며 즐겁게 생활함. </t>
  </si>
  <si>
    <t xml:space="preserve">스스로 지켜야 할 규칙을 이해하고 잘 지키며 도우미 활동에 적극적으로 참여함. </t>
  </si>
  <si>
    <t xml:space="preserve">자기 자신을 포함하여 모든 사람을 똑같이 존중하고 사회가 정한 규범을 존중하는 태도가 바람직며 생활 주변 현상에 대해 관심이 많고 매사 진취적임. </t>
  </si>
  <si>
    <t xml:space="preserve">집단이 결정한 사항에 잘 따르며 다른 사람에게 상처를 주거나 피해를 주는 일이 거의 없음. </t>
  </si>
  <si>
    <t xml:space="preserve">학급내에서 아주 사소한 규칙도 잘 지키면서 타인과 정정 당당하게 경쟁하는 건전한 정신을 지니고 있음. </t>
  </si>
  <si>
    <t xml:space="preserve">규칙을 잘 지키고 명랑 쾌활하며 자기 할 일에 책임감이 강한 믿음직스러운 학생임. </t>
  </si>
  <si>
    <t xml:space="preserve">앞으로 규칙을 준수하는 태도를 함양하여 향후 모범적인 생활태도를 가진 학생으로 기대함. </t>
  </si>
  <si>
    <t xml:space="preserve">언어 행동에 관한 학습 규칙을 어긴 적이 있으나 정해진 규칙에 의한 벌을 받고 자신의 잘못을 뉘우치고 올바른 언어 습관을 가지기 위해 노력하는 모습이 다른 친구들의 모범이 됨. </t>
  </si>
  <si>
    <t xml:space="preserve">자기자신을 포함하여 모든 사람을 똑같이 존중하고 사회가 정한 규범을 존중하는 태도가 바람직함. </t>
  </si>
  <si>
    <t xml:space="preserve">정직, 온순하며 주어진 일은 책임있게 처리함. </t>
  </si>
  <si>
    <t xml:space="preserve">체험학습시 지켜야 할 규칙들을 잘 이해하고 지킴. </t>
  </si>
  <si>
    <t xml:space="preserve">평소 학습 준비물 및 학급에서 지켜야할 규칙을 지키지 않아 주의 받는 편이었으나 학기말에 학급의 규칙을 스스로 지키려는 태도가 눈에 띄게 발전함. 앞으로 조금만 더 규칙을 준수하는 태도를 함양한다면 모범적인 태도를 가진 학생으로서의 변화가 기대되는 학생임. </t>
  </si>
  <si>
    <t xml:space="preserve">학교 규칙을 잘 준수하고 맡은 일에 성실히 최선을 다함. </t>
  </si>
  <si>
    <t xml:space="preserve">학교의 규칙을 잘 지키지 않아 벌점이 다른 학생들보다 많은 편임. </t>
  </si>
  <si>
    <t xml:space="preserve">학교의 여러가지 규칙을 성실히 수행하며 주변 친구들과 원만하게 지내며 즐겁게 생활함. </t>
  </si>
  <si>
    <t xml:space="preserve">학급의 규칙을 친구들과 함께 정하고 정해진 학급 규칙을 잘 준함. </t>
  </si>
  <si>
    <t>학기 초 친구들과 함께 정한 언어활동, 친구 사이에 관용많이 베품.</t>
  </si>
  <si>
    <t xml:space="preserve">학기초 소극적인 태도로 인해 친구관계 형성에 어려움이 있었으나 다양한 학급 활동으로 친구관계 형성에 성공함. 보다 적극적이고 진솔한 자세로 친구들에게 다가간다면 교우관계가 두터워질 것임. </t>
  </si>
  <si>
    <t xml:space="preserve">학기초 친구들과 함께 정한 언어활동, 수업활동, 친구 사이의 예절을 잘 준수함. </t>
  </si>
  <si>
    <t xml:space="preserve">학기초 친구들과 함께 학급의 규칙을 정하는 활동에 적극적으로 참여하며 함께 정한 언어활동을 준수함. </t>
  </si>
  <si>
    <t xml:space="preserve">힘든 일이 있어도 좌절하지 않고 항상 웃으며 먼저 다가서려고 노력함. </t>
  </si>
  <si>
    <t xml:space="preserve">밝고 긍정적인 사고를 많이 하고 친구들과의 관계에서도 언제나 잘 지내는 학생임. </t>
  </si>
  <si>
    <t xml:space="preserve">자신에 대한 통제력을 토대로 하여 자신이 어떻게 행동할 것인지에 대해 자유롭게 선택할 줄 앎. </t>
  </si>
  <si>
    <t xml:space="preserve">자신을 되돌아보고 힘에 대한 애착을 하지 않아 내면의 평화를 가지고 있음. </t>
  </si>
  <si>
    <t xml:space="preserve">어떤 일을 이룰 때까지 자신의 모든 노력을 집중하고 성취하려는 의지를 가지고 있음. </t>
  </si>
  <si>
    <t xml:space="preserve">자신에 대한 굳은 믿음을 바탕으로 어떤 어려움이 와도 잘 헤쳐 나가는 힘이 있음. </t>
  </si>
  <si>
    <t xml:space="preserve">자신이 세운 목표에 전념하여 초지 일관 꾸준한 믿음을 바탕으로 어떤 어려움이 와도 잘 헤쳐 나가는 힘이 있음. </t>
  </si>
  <si>
    <t xml:space="preserve">한번 정한 목표를 이루기 위해 부단히 노력하는 모습이 타의 모범이 됨. </t>
  </si>
  <si>
    <t xml:space="preserve">힘에 부치거나 장애물이 있더라도 옳은 일을 선택하며 쉽게 포기하지 않는 자세를 지님. </t>
  </si>
  <si>
    <t xml:space="preserve">마음이 순수하고 정이 많아 힘이 약한 친구나 소외된 사람들을 도우려는 마음을 갖고 있어 다른 친구들에게 좋은 본보기가 되고 있음. </t>
  </si>
  <si>
    <t xml:space="preserve">마음이 순수하고 정이 많아 힘이 약한 친구나 소외된 사람들을 도우려는 생각을 갖고 있으며 말과 행동이 일치하고 주어진 일에 성실히 임하여 친구들로부터 신뢰가 있는 학생임. </t>
  </si>
  <si>
    <t xml:space="preserve">마음이 순수하고 정이 많아 힘이 약한 친구나 소외된 사람들을 도우려는 마음이 큼. </t>
  </si>
  <si>
    <t xml:space="preserve">자원봉사센터에서의 정기적인 봉사활동(56시간)을 통해 체득한 여러 가지 방법으로 같은 학급 자폐학생의 학습도우미 역할을 수행하였으며, 학급의 어려운 일을 솔선수범하여 처리하는 등 나눔의 정신을 실천하는 모범적인 학생임 </t>
  </si>
  <si>
    <t xml:space="preserve">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t>
  </si>
  <si>
    <t xml:space="preserve">친구들과 잘 어울리지 못하는 수줍음이 많은 성격이었으나 방과 후 동아리 활동 등 다양한 학교 활동에 참여하여 적극성을 보임. </t>
  </si>
  <si>
    <t xml:space="preserve">친구에게 양보할 줄 알고 약한 친구를 도와주고 어려움을 함께 나누는 마음이 예쁜 학생임. </t>
  </si>
  <si>
    <t xml:space="preserve">친구에게 양보할 줄 알고 약한 친구를 도와주고 어려움을 함께 나누려고 노력함. </t>
  </si>
  <si>
    <t xml:space="preserve">학급의 학습 활동시 부족한 친구들을 도와주어 친구의 학업 능력을 향상시킴. </t>
  </si>
  <si>
    <t xml:space="preserve">학습 준비물을 친구들과 함께 나누어 쓰고, 학급의 어려운 일을 솔선수범하여 처리하는 실천함. </t>
  </si>
  <si>
    <t xml:space="preserve">해맑게 웃는 얼굴이 순수한 학생으로 반 친구들에게 친절하고 상냥하며 도와주기를 좋아하고 자신의 환경을 긍정적으로 이겨냄. </t>
  </si>
  <si>
    <t xml:space="preserve">말과 행동이 차분하며 교실에서 생활하는 모습이 사려 깊고 이해심이 많아 친구들에게 인기가 좋음. </t>
  </si>
  <si>
    <t xml:space="preserve">밝은 성격으로 친구를 배려하고 급우들과 사이좋게 지내며 즐겁게 학교생활을 하고 자신이 잘못한 일에 대한 인정이 빠르고 바꾸려고 노력하는 모습을 보임. </t>
  </si>
  <si>
    <t xml:space="preserve">웃어른을 존경할 줄 알며 인사성이 바르고 성품이 너그러워 친구의 잘못이나 아픔을 따뜻하게 이해해 주는 진지하고 따뜻한 품성을 지닌 학생임. </t>
  </si>
  <si>
    <t xml:space="preserve">웃어른을 존경할 줄 알며 인사성이 바르고 성품이 너그러워 친구의 잘못이나 아픔을 따뜻하게 이해해 주는 진지한 품성을 지닌 학생임. </t>
  </si>
  <si>
    <t xml:space="preserve">다른 사람의 감정과 상황에 대해 신중히 생각하고 주의를 기울임. </t>
  </si>
  <si>
    <t xml:space="preserve">다른 사람의 입장에 공감하고 따뜻한 마음을 품어 타인을 배려하는 마음이 있음. </t>
  </si>
  <si>
    <t xml:space="preserve">다른 사람의 입장을 생각할 줄 아는 고운 성품을 지녔고 목표의식을 바탕으로 진지한 모습으로 노력함. </t>
  </si>
  <si>
    <t xml:space="preserve">다른 사람의 입장을 생각할 줄 아는 고운 성품을 지님. </t>
  </si>
  <si>
    <t xml:space="preserve">다른 친구들을 배려하고 생각해주는 따뜻한 마음을 가진다면 더 큰 사람이 될 수 있는 가능성을 지니고 있음. </t>
  </si>
  <si>
    <t xml:space="preserve">말과 행동이 사려가 깊어 친구와 사이좋게 지내고 다른 친구를 위해 솔선수범하는 학생임. </t>
  </si>
  <si>
    <t xml:space="preserve">말과 행동이 차분하며 교실에서 생활하는 모습이 사려 깊고 이해심이 많으며 친구들에게 인기가 좋음. </t>
  </si>
  <si>
    <t xml:space="preserve">말과 행동이 침착하고 사려가 깊으며 교실 및 학교 주변 청결에 솔선수범하여 타의 모범이 되는 학생임. </t>
  </si>
  <si>
    <t xml:space="preserve">말과 행동이 침착하고 사려가 깊으며 학급 부회장으로 남들이 싫어하는 학급 쓰레기 분리수거를 나서서 하는 친구를 배려할 줄 아는 학생임. </t>
  </si>
  <si>
    <t xml:space="preserve">말과 행동이 침착하고 사려가 깊으며 학급 청소 활동시 자신의 역할을 다하고 다른 친구의 역할을 도와주는 따뜻한 성품을 지님. </t>
  </si>
  <si>
    <t xml:space="preserve">매사에 긍정적이며 힘든 일에 대한 불만보다는 해결 방안을 먼저 생각하고 친구를 챙겨주는 태도가 바람직함. </t>
  </si>
  <si>
    <t xml:space="preserve">모둠 활동이나 단체 활동을 할 때 독단적으로 하기 보단 다른 친구들을 배려하고 함께 헤쳐나갈 수 있도록 리더쉽을 보여 교우관계가 돈독함. </t>
  </si>
  <si>
    <t xml:space="preserve">몸가짐이 신중하고 말씨가 공손하며 생각이 사려 깊음. </t>
  </si>
  <si>
    <t xml:space="preserve">어려운 상황에 있는 친구들을 세심하게 배려하고 도울 줄 아는 고운 마음을 지녔음. </t>
  </si>
  <si>
    <t xml:space="preserve">웃어른을 존경할 줄 알며 인사성이 바르고 성품이 너그러워 친구의 잘못이나 아픔을 따뜻하게 이해해주는 진지한 성품을 지닌 학생임. </t>
  </si>
  <si>
    <t xml:space="preserve">자신의 방식만을 고집하지 않고 다른 사람의 생각과 의견을 존중함. </t>
  </si>
  <si>
    <t xml:space="preserve">주위 사람이나 사물에 관심과 애정을 기울이는 자세가 돋보임. </t>
  </si>
  <si>
    <t xml:space="preserve">친구가 어려움에 처했을 때 친구의 상황과 아픔을 이해하여 따뜻하게 대해 줌. </t>
  </si>
  <si>
    <t xml:space="preserve">친구를 보살펴주고 스스럼없이 친구와 사이좋게 지내면서 학습활동을 잘 도와줌. </t>
  </si>
  <si>
    <t xml:space="preserve">학급 쓰레기 분리수거와 같이 남들이 기피하는 일을 도맡아 하는 이타 정신이 강하고 학급의 궃은 일이나 남을 돕는 일에 솔선수범함. </t>
  </si>
  <si>
    <t xml:space="preserve">자신이 가지고 있는 것을 타인에게 잘 베풀며 도움이 필요한 친구를 자신의 일처럼 잘 도와주는 배려심이 있고 바른 자세와 또박또박한 말로 발표를 잘함. </t>
  </si>
  <si>
    <t>가치있다고 여기는 대상에 대하여 몸과 마음을 다해 돌보는 태도가 바람직함.</t>
  </si>
  <si>
    <t xml:space="preserve">도움이 필요한 친구들을 잘 돕고, 학급 내에서 봉사정신이 투철하여 모든 일에 솔선수범하는 학생임. </t>
  </si>
  <si>
    <t xml:space="preserve">자신이 가지고 있는 것을 타인에게 잘 베풀며 도움이 필요한 친구를 자신의 일처럼 잘 도와주는 배려심이 있는 학생임. </t>
  </si>
  <si>
    <t xml:space="preserve">학급의 어려운 일을 솔선수범하여 처리하고 나눔의 정신을 실천하는 모범적인 학생임. </t>
  </si>
  <si>
    <t xml:space="preserve">항상 긍정적인 생활태도를 가졌으며 이해심이 있고 주어진 일을 끈기 있게 해결하며 작은 일에도 성실하게 최선을 다하고 그림 그리는 것을 좋아함. </t>
  </si>
  <si>
    <t xml:space="preserve">3월초 보다 공책 정리가 발전되어 배운 내용을 잘 정리하여 학업성취도가 발전됨. </t>
  </si>
  <si>
    <t>공부하고자 하는 열의가 있어 지금의 바른 태도를 이어간다면 더 많은 향상을 보일것 임.</t>
  </si>
  <si>
    <t xml:space="preserve">꾸준히 노력하는 태도가 바람직하며 목표를 이루기 위해 부단히 애쓰는 면이 타의 모범이 됨. </t>
  </si>
  <si>
    <t xml:space="preserve">단계적으로 차근차근 해결해 나가는 꾸준함과 성실함이 있음. </t>
  </si>
  <si>
    <t xml:space="preserve">자신이 정한 목표에 다다르기 위해 꾸준히 노력하는 태도가 돋보임. </t>
  </si>
  <si>
    <t xml:space="preserve">학급에서 자신에게 주어진 역할을 성실하게 수행하는 믿음직한 학생임. </t>
  </si>
  <si>
    <t xml:space="preserve">가치있다고 여기는 대상에 대하여 몸과 마음을 다해 돌보는 태도가 바람직함. </t>
  </si>
  <si>
    <t>말과 행동이 일치하며 가장 가치있는 것이 무엇인지를 알고 그에 따라 행동함.</t>
  </si>
  <si>
    <t xml:space="preserve">무엇이 옳고 무엇이 옳지 않은지를 판단할 수 있고 옳은 일에 대해서 자신의 생각을 굽히지 않는 결단력이 있음. </t>
  </si>
  <si>
    <t xml:space="preserve">이루고자 하는 일에 집중하고 관심의 초점이 분명함. </t>
  </si>
  <si>
    <t xml:space="preserve">자신에 대한 통제력을 토대로 자신이 어떻게 행동할 것인지 명확히 판단할 수 있음. </t>
  </si>
  <si>
    <t xml:space="preserve">자신이 믿는 바를 한결같이 지키며 변함없는 마음으로 상대방을 대함. </t>
  </si>
  <si>
    <t xml:space="preserve">자신이 원하는 것을 하기 위해 수동적으로 반응하기 보다 스스로 자신의 행동을 선택하여 통제함. </t>
  </si>
  <si>
    <t xml:space="preserve">주위 환경에 쉽게 휩쓸리지 않고 나의 주관에 따라 판단하고 신중하게 행동하는 결단력이 돋보이며, 한번 정한 목표에 도달하기 위해 끊임없이 노력하는 뚝심이 있음. </t>
  </si>
  <si>
    <t xml:space="preserve">거짓 없이 순수하고 수업 시간을 즐거운 분위기로 만드는 능력이 있으며 전 교과 성적이 우수하고 친구들과 사이좋게 지내 급우들 사이에서 인기가 있는 학생임. </t>
  </si>
  <si>
    <t xml:space="preserve">맡은 일을 성실하게 수행해서 다른 사람으로 하여금 믿음이 깊어지게 하고 성격이 아주 부드러워 웬만한 일에는 다툼을 벌이지 않는 어른스러운 모습을 지니고 있음. </t>
  </si>
  <si>
    <t>본적인 학습규칙을 잘 이행하고 자기의 목표가 뚜렷한 학교생활을 하여 행동이 침착하고 주변 정리 정돈이 잘됨.</t>
  </si>
  <si>
    <t xml:space="preserve">말과 행동이 일치하고 자신의 역할을 충실하게 수행하여 주위 친구들로부터 믿음을 받음. </t>
  </si>
  <si>
    <t xml:space="preserve">말과 행동이 일치하며 가장 가치있는 것이 무엇인지를 알고 그에 따라 행동함. </t>
  </si>
  <si>
    <t xml:space="preserve">말과 행동이 침착하고 사려 깊어 시간을 유익하게 활용함. </t>
  </si>
  <si>
    <t xml:space="preserve">솔직하고 믿음직한 태도를 바탕으로 신뢰를 쌓는 행동을 많이 함. </t>
  </si>
  <si>
    <t xml:space="preserve">자신의 말을 지키고 최선을 다하여 믿고 맡길 수 있도록 행동함. </t>
  </si>
  <si>
    <t xml:space="preserve">자신이 믿는 바를 지키기 위해 노력하며 한결같은 마음으로 상대방을 대함. </t>
  </si>
  <si>
    <t xml:space="preserve">자신이 불리한 경우에도 거짓말을 하지 않고 말과 행동이 참됨. </t>
  </si>
  <si>
    <t xml:space="preserve">자신이 한 약속을 지키고 주어진 일에 최선을 다하므로 무슨 일이든 믿고 맡길 수 있음. </t>
  </si>
  <si>
    <t xml:space="preserve">주변 정리정돈을 잘하고 행동이 매우 침착하고 사려깊음. </t>
  </si>
  <si>
    <t>기본적인 학교 규칙을 잘 지키며, 모든 일에 성실하게 자기의 목표를 세워 놓고 목표 달성을 위해 꾸준히 노력함.</t>
  </si>
  <si>
    <t xml:space="preserve">기본적인 학습규칙을 잘 이행하고 자기의 목표가 뚜렷한 학교 생활을 함. </t>
  </si>
  <si>
    <t xml:space="preserve">기본적인 학습규칙을 잘 이행하며 자기의 목표 달성을 위해 성실히 노력함. </t>
  </si>
  <si>
    <t xml:space="preserve">발표를 논리적으로 잘 하며 글씨를 바르게 쓰고 약속을 잘 지키며 사물에 대한 호기심과 관찰력이 우수하고 책 읽기를 즐겨하여 독서량이 많으며 교과 성적도 우수함. </t>
  </si>
  <si>
    <t xml:space="preserve">매사에 의욕이 강하고 자신감이 넘치며 친구와 사귀고 함께 노는 것을 좋아하고 솔직하며 공동의 일에 적극적으로 참여함. </t>
  </si>
  <si>
    <t xml:space="preserve">3월에 비해 과제를 챙겨오는 열의를 보이고 있으나 수업시간 집중을 하지 못하는 모습이 보여 자신감과 집중력을 키우는 활동이 있다면 발전이 기대됨. </t>
  </si>
  <si>
    <t xml:space="preserve">매사에 의욕이 강하고 자신감이 넘치며 많은 친구와 사귀고 공동의 과제에 적극적으로 참여함. </t>
  </si>
  <si>
    <t xml:space="preserve">매사에 의욕이 강하고 자신감이 넘치며 많은 친구와 사이좋게 지내고 학급 활동에 참여하는 것이 발전됨. </t>
  </si>
  <si>
    <t xml:space="preserve">모둠학습이나 체육활동에서 어려움이 있더라도 끝까지 해내려는 의지를 가지고 있음. </t>
  </si>
  <si>
    <t xml:space="preserve">수업 중 자신의 의견을 적극적으로 발표하고 의욕이 넘치게 생활함. </t>
  </si>
  <si>
    <t xml:space="preserve">열정적으로 만들기나 마인드맵 꾸미기 등 학급활동에 적극적으로 참여함. </t>
  </si>
  <si>
    <t xml:space="preserve">온 마음과 힘을 쏟아 일을 해결하며 목표를 달성할 때 느끼는 성취감을 즐김. </t>
  </si>
  <si>
    <t xml:space="preserve">학습에 대한 열정이 있어 꾸미기를 좋아하나 단답형이 아닌 사고력을 요구하는 문제는 귀찮아하는 경향이 있어 이를 극복해야함. </t>
  </si>
  <si>
    <t xml:space="preserve">웃어른과 친구들에 대한 예절이 바르고 인사를 잘 하며 바른 말 고운 말 쓰기에 힘씀. </t>
  </si>
  <si>
    <t xml:space="preserve">웃어른께 공손하고 예의 바르게 행동하며 어려운 친구를 도와주려는 마음이 아름다움. </t>
  </si>
  <si>
    <t xml:space="preserve">어려운 문제에 부딪혔을 때 당황하지 않고 차분하게 생각하여 행동함. </t>
  </si>
  <si>
    <t>자기의 주장을 논리적으로 잘 나타내고 글짓기 능력이 매우 뛰어남.</t>
  </si>
  <si>
    <t>자기의 주장을 논리적으로 잘 나타내고 정이 많아 힘이 약한 친구나 소외된 사람들을 도우려는 마음을 가지고 있음.</t>
  </si>
  <si>
    <t xml:space="preserve">자신의 생각을 조리 있게 잘 표현하며 다른사람의 의견을 듣고 설득하는 능력이 뛰어남. </t>
  </si>
  <si>
    <t xml:space="preserve">스스로 문제를 해결하려는 자세가 좋(타인 존중) 남의 의견을 존중할 줄 알고 단체 활동에 매우 적극적인 태도를 지녔음. </t>
  </si>
  <si>
    <t xml:space="preserve">용모가 단정하고 주위를 깨끗하게 정돈하여 생활 태도가 바름. </t>
  </si>
  <si>
    <t xml:space="preserve">용의 복장이 단정하고 주위를 깨끗하게 정돈하고 깔끔한 성격임. </t>
  </si>
  <si>
    <t xml:space="preserve">자기 물건에 이름표를 잘 붙이고, 학습지를 파일에 잘 정리하는 태도가 좋음. </t>
  </si>
  <si>
    <t xml:space="preserve">자신의 주변을 잘 정리하여 조화롭고 가지런하게 유지함. </t>
  </si>
  <si>
    <t xml:space="preserve">자신의 주위가 체계적으로 정리되도록 주변을 조화롭고 가지런하게 유지함. </t>
  </si>
  <si>
    <t>용의 단정하고 주위를 깨끗하게 정돈하고 간수할 줄 암.</t>
  </si>
  <si>
    <t xml:space="preserve">자신을 낮추면서도 다른 친구의 의견을 귀담아 듣고 수용할 수 이는 아량이 돋보임. </t>
  </si>
  <si>
    <t xml:space="preserve">자신이 속한 집단의 규범을 존중하고 친구를 귀하게 여겨 보호해줌. </t>
  </si>
  <si>
    <t xml:space="preserve">재치있는 말과 행동으로 주변을 즐겁게 하여 친구들의 호감을 받는 긍정적인 생활태도를 보임. </t>
  </si>
  <si>
    <t xml:space="preserve">타인에게 대하는 태도가 상냥하고 몸가짐이 공손함. </t>
  </si>
  <si>
    <t xml:space="preserve">토의 활동을 할 때 다른 사람의 입장에서 생각하고 말하며 소수의 의견도 존중하는 태도를 지니고 있음. </t>
  </si>
  <si>
    <t xml:space="preserve">학급의 문제점과 개선 방향에 대해 토의하는 자치활동 시간에 나와 의견이 다르다고 멀리하는 것이 아니라 함께 이야기하여 설득함. </t>
  </si>
  <si>
    <t>무엇이든 관심을 가지고 열심히 하려는 태도로 성취감이 강하여 발전이 기대됨.</t>
  </si>
  <si>
    <t xml:space="preserve">무엇이든 욕심을 가지고 열심히 하려는 태도가 바람직하며 성취욕구가 강하여 앞으로의 발전이 기대됨. </t>
  </si>
  <si>
    <t xml:space="preserve">친구들과 잘 어울리지 못하는 수줍음 많은 성격이었으나 토요 방과후 축구부 활동에 참여하여 적극성이 눈에 띄게 발전함. </t>
  </si>
  <si>
    <t xml:space="preserve">문제 상황에 부딪쳤을 때 기지를 발휘해서 이를 해결하는 재치가 돋보임. </t>
  </si>
  <si>
    <t xml:space="preserve">새로운 것을 상상하고 고안하는 힘이 뛰어나 문제를 새로운 시각에서 해석하고 풀어내는 능력이 돋보임. </t>
  </si>
  <si>
    <t>제시된 방법이 아닌 자신만의 독창적인 방법으로 문제를 해결하는 능력이 탁월함.</t>
  </si>
  <si>
    <t xml:space="preserve">진실을 말하되 상대방의 심정을 고려하여 친절하고 부드럽게 표현하는 능력이 뛰어남. </t>
  </si>
  <si>
    <t xml:space="preserve">과제학습을 잘 해오며 기본 학습 태도가 잘 형성되어 있고 학교생활을 즐겁게 긍정적으로 하는 모습이 기특하며 서로 힘을 합쳐 어려운 일도 함께 해내는 태도가 바람직하고 순수한 마음이 돋보임. </t>
  </si>
  <si>
    <t xml:space="preserve">만화 그리기를 좋아하고 주제에 맞게 그림을 잘 표현하며 전반적인 문제를 해결하는 속도가 다소 늦은 편으로 끝까지 마무리하는 자세가 필요함. </t>
  </si>
  <si>
    <t xml:space="preserve">맡은 일을 책임감 있게 잘 수행하고 모든 일에 모범을 보임. </t>
  </si>
  <si>
    <t xml:space="preserve">무슨 일이든 조금 느리기는 하지만 끝까지 최선을 다하여 훌륭하게 마무리하는 태도를 가지며(협력) 성격이 긍정적이고 차분하여 친구들과 잘 어울림. </t>
  </si>
  <si>
    <t xml:space="preserve">자기가 해야 할 일을 성실히 수행하고(협력) 모둠 친구들이 잘 할 수 있도록 옆에서 독려함. </t>
  </si>
  <si>
    <t xml:space="preserve">자기의 행동에 책임을 지며 맡은 일에 최선을 다하여 잘 하려는 태도를 가졌음. </t>
  </si>
  <si>
    <t xml:space="preserve">주어진 과제를 항상 열심히 해내려고 노력하는 모습이 모범적임. </t>
  </si>
  <si>
    <t xml:space="preserve">주어진 일을 끈기 있게 해결하고 작은 일에도 최선을 다함. </t>
  </si>
  <si>
    <t xml:space="preserve">주어진 일을 끝까지 잘 해결하고, 스스로 맡은 일을 잘 처리하며, 무슨 일이든 열심히 하는 태도를 가졌음. </t>
  </si>
  <si>
    <t xml:space="preserve">주어진 일을 책임감을 가지고 끈기 있게 해결하며 매사에 준비하는 자세가 정착되어 있고 학습 성과물을 완성도 있게 처리하며 모둠활동에서 주도적인 역할을 함. </t>
  </si>
  <si>
    <t xml:space="preserve">차분하게 자신에게 주어진 일에 최선을 다하는 태도를 가졌으나(관계지향성) 사람들 앞에서 서는 것에 부끄러움이 많아 자신감을 가지고 발표하는 습관을 가진다면 더욱 성장할 것이라 기대됨. </t>
  </si>
  <si>
    <t xml:space="preserve">학습을 꾸준히 인내심을 갖고 하려는 태도가 부족하여 과제를 대강 해오거나 마치지 못하는 경우가 있으므로 꾸준한 과제해결태도가 필요함. </t>
  </si>
  <si>
    <t xml:space="preserve">무슨일이든 맡은 일을 훌륭하게 해냄으로써 타인으로부터 신뢰를 얻고 있음. </t>
  </si>
  <si>
    <t>자기의 행동에 책임을 지며 맡은 일에 최선을 다하여 잘하려는 태도를 지녔음.</t>
  </si>
  <si>
    <t xml:space="preserve">차분하게 자신에게 주어진 일에 최선을 다하는 태도를 가졌음. </t>
  </si>
  <si>
    <t xml:space="preserve">차분한 성격으로 조용히 자신의 할 일을 마무리함. </t>
  </si>
  <si>
    <t xml:space="preserve">학급 봉사위원으로서 맡은 바 역할을 성실하게 수행하면서도 도움이 필요한 친구들을 잘 돕는 등 책임감이 강한 학생임. </t>
  </si>
  <si>
    <t xml:space="preserve">학습을 꾸준히 인내심을 갖고 하려는 태도가 부족하여 과제를 대강 해오거나 미치지 못하는 경우가 있으므로 꾸준한 과제해결태도를 기르도록 노력한다면 더욱 발전이 기대됨. </t>
  </si>
  <si>
    <t xml:space="preserve">무슨 일이든 맡은 일을 훌륭하게 해냄으로써 타인으로부터 신뢰를 얻고 있음. </t>
  </si>
  <si>
    <t xml:space="preserve">항상 사람들에게 상냥하고 부드럽게 대하고 즐겁게 학교생활을 하며 묵묵히 자신이 맡은 일을 열심히 하고 친구들을 배려할 줄 아는 넓은 마음을 가진 순수한 학생임. </t>
  </si>
  <si>
    <t>댓가를 바라지 않고 무조건적으로 자신이 도와줄 수 있는 친구가 있으면 언제든지 기꺼이 도와줌.</t>
  </si>
  <si>
    <t xml:space="preserve">친구들에게 친절을 베풀고 친구들에게 도움이 되는 일을 잘 함. </t>
  </si>
  <si>
    <t xml:space="preserve">친구의 작은 부탁도 소홀이 여기지 않고 잘 들어주며 급우들과는 밝은 모습으로 즐겁게 학교생활을 하고 어른에 대한 예의가 바른 순수한 학생임. </t>
  </si>
  <si>
    <t xml:space="preserve">친구의 작은 부탁도 소홀히 여기지 않고 잘 들어주며 주변 사람들에게 친절하게 대함. </t>
  </si>
  <si>
    <t xml:space="preserve">항상 사람들에게 상냥하고 부드럽게 대하며 친구와 마찰이 생겼을 때 나의 주장보다 상대방의 말을 수용해주고 받아들이는 아량이 있어 큰 다툼 없이 원만히 해결함. </t>
  </si>
  <si>
    <t xml:space="preserve">내성적인 성격으로 참을성이 있고 다른 친구의 어려움을 먼저 나서서 도와줄 수 있는 착한 마음씨를 가지고 있으며 남의 의견을 존중할 줄 알고 학습태도가 양호함. </t>
  </si>
  <si>
    <t xml:space="preserve">매사에 준비하는 자세가 정착되어 있고 맡은 일의 끝맺음을 잘하며 다른 사람의 의견을 존중하고 독서습관이 잘 형성되어 독서량이 많으며 교과 성적도 매우 우수함. </t>
  </si>
  <si>
    <t xml:space="preserve">토의활동을 할 때 다른 사람의 입장에서 생각하고 말하며 소수의 의견도 존중하는 태도를 지니고 있으며 교우관계가 원만하여 학교생활을 즐겁게 함. </t>
  </si>
  <si>
    <t xml:space="preserve">남의 의견을 존중할 줄 알고 단체활동에 매우 적극적인 태도를 지녔으며 학습에 집중력을 가지고 이해가 빠름. </t>
  </si>
  <si>
    <t xml:space="preserve">재치있는 말과 행동으로 주변을 즐겁게 하여 친구들의 호감을 받는 등 긍정적인 생활태도를 보이며, 학급의 문제점과 개선방향에 대해 토의하는 자율활동 시간에 ‘나와 다르다고 하여 멀리하는 것이 아니라 함께 살아가는 방법’에 대해 친구들에게 강조함으로써 호감을 받음 </t>
  </si>
  <si>
    <t xml:space="preserve">차분하고 다정다감한 성품으로 언제나 작은 미소로 모두에게 친절하게 대하여 친구들에게 신망이 두터운 학생으로 수업 시간에 바른 자세로 참여함. </t>
  </si>
  <si>
    <t xml:space="preserve">친구들과 갈등을 겪은 후 자신의 잘못을 반성하고 친구를 배려하는 마음을 가지며 학급에서 잘 어울리지 못하는 친구를 도와주는 등 주변을 돌볼 수 있는 마음을 가지게 됨. </t>
  </si>
  <si>
    <t xml:space="preserve">친구들이 하는 말을 끝까지 경청하고, 그 의견의 좋은 점을 들어 동의하는 태도가 돋보임. </t>
  </si>
  <si>
    <t xml:space="preserve">모둠 토의학습에 관심이 있어 모둠활동에 리더의 역할을 잘 하고 스스로 문제를 해결하려는 자세가 좋으며 모든 일에 진취적이고 자신감이 많아 학교생활을 매우 즐겁게 함. </t>
  </si>
  <si>
    <t xml:space="preserve">서로 힘을 합쳐 어려운 일도 함께 해내는 태도가 바람직하고 체육 활동에 적극적으로 참여하여 건강하고 활동적이며 사교성이 좋아 친구가 많음. </t>
  </si>
  <si>
    <t xml:space="preserve">언행이 곱고 명랑한 얼굴로 친구들에게 친절하게 대하는 타인을 위한 이해와 배려심이 많음. </t>
  </si>
  <si>
    <t xml:space="preserve">다른 사람들을 도울 줄 아는 착한 마음씨와 웃어른을 진심으로 따르는 모습이 칭찬 받을 만함. </t>
  </si>
  <si>
    <t xml:space="preserve">매사에 의욕이 강하고 자신감이 넘치며 많은 친구와 사귀고 공동의 일에 적극적으로 참여함. </t>
  </si>
  <si>
    <t xml:space="preserve">모둠 친구들이 잘 할 수 있도록 옆에서 응원하고 도와줌. </t>
  </si>
  <si>
    <t xml:space="preserve">모둠 활동에서 친구들과 함께 도와가며 적극적으로 참여하고 친구들을 배려하며 협동하는 마음가짐이 바람직함. </t>
  </si>
  <si>
    <t xml:space="preserve">모둠활동, 발표대회 등 다양한 활동에서 각자의 역할을 합리적인 방법으로 나누고 부진한 부분에 대해 솔선하여 이를 개선하는 등 친구들의 관계를 잘 조율함. </t>
  </si>
  <si>
    <t xml:space="preserve">서로 다른 특성을 이해하고 함께 도우며 활동함. </t>
  </si>
  <si>
    <t xml:space="preserve">서로 힘을 합쳐 어려운 일도 함께 해내는 태도가 바람직함. </t>
  </si>
  <si>
    <t xml:space="preserve">신뢰를 받으며 특히 무슨 일이든 최선을 다해서 좋은 결과를 얻어냄. </t>
  </si>
  <si>
    <t xml:space="preserve">주변 친구들이 잘 할 수 있도록 잘 도와줌. </t>
  </si>
  <si>
    <t xml:space="preserve">친구간에 의리가 있고 급우간에 리더 역할을 함. </t>
  </si>
  <si>
    <t xml:space="preserve">학규 규칙 선정 활동시 협력하여 규칙 선정에 주된 역할을 함. </t>
  </si>
  <si>
    <t xml:space="preserve">학급 모둠 활동 중 기능이 부족한 친구를 위해 도와주고 이끌어감. </t>
  </si>
  <si>
    <t xml:space="preserve">학급의 모둠 연극 활동시 친구들과 협력하여 모둠 연극을 훌륭하게 해냄. </t>
  </si>
  <si>
    <t xml:space="preserve">학급의 학습 부원으로 활동하며 학습 준비물 준비와 친구와 협력을 도움. </t>
  </si>
  <si>
    <t xml:space="preserve">학습 태도가 바르고 언행이 고우며 명랑한 얼굴로 급우들에게 친절하게 대하는 등 타인을 위한 이해와 배려하는 마음을 가지고 있음. </t>
  </si>
  <si>
    <t xml:space="preserve">학습 태도가 바르고 언행이 고우며 명랑한 얼굴로 친구들에게 친절하게 대하는 타인을 위한 이해와 배려심을 가지고 있음. </t>
  </si>
  <si>
    <t xml:space="preserve">환하게 웃는 모습과 친구들을 챙기는 태도로 학급의 분위기를 밝게 만드는 학생임. </t>
  </si>
  <si>
    <t xml:space="preserve">환하게 웃는 모습으로 친구들을 챙기고 학급 분위기를 밝게 만드는 학생임. </t>
  </si>
  <si>
    <t xml:space="preserve">서로의 다른 특성을 이해하고 함께 도우며 모둠활동을 열심히 하고 성격이 아주 부드러워 웬만한 일에는 다툼을 벌이지 않는 사랑스러운 모습을 지니고 있으며 줄넘기를 잘함. </t>
  </si>
  <si>
    <t>서로의 다른 특성을 이해하고 함께 도우며 활동함.</t>
  </si>
  <si>
    <t>보통/중</t>
    <phoneticPr fontId="18" type="noConversion"/>
  </si>
  <si>
    <t>우수/상</t>
    <phoneticPr fontId="18" type="noConversion"/>
  </si>
  <si>
    <t>학교생활을 매우 즐겁게 하며 주어진 일을 끝까지 잘 해결하고, 스스로 맡은 일을 잘 처리하며, 무슨 일이든 열심히 하는 태도를 가졌으며 친구들과도 매우 잘 지냄.  친구들과 잘 어울리지 못하는 수줍음이 많은 성격이었으나 방과 후 동아리 활동 등 다양한 학교 활동에 참여하여 적극성을 보임.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예체능 활동에 게을리 하지 않으며, 성실히 노력하고 참여하려는 의지가 돋보임.</t>
    <phoneticPr fontId="18" type="noConversion"/>
  </si>
  <si>
    <t>학습에 적극 참여하여 많이 향상되었고, 학급 미화 활동에 관심이 있으며 당번활동을 성실히 하고, 발표를 잘 하려고 노력하며 독서하는 습관이 바르게 형성되어 있음 .  마음이 순수하고 정이 많아 힘이 약한 친구나 소외된 사람들을 도우려는 마음이 큼.  마음이 순수하고 정이 많아 힘이 약한 친구나 소외된 사람들을 도우려는 마음이 큼.  마음이 순수하고 정이 많아 힘이 약한 친구나 소외된 사람들을 도우려는 마음이 큼.  축구에 관심과 소질이 있고 방과후 축구반에서 활동하여 협동심을 키우고 체력도 증진됨.</t>
    <phoneticPr fontId="18" type="noConversion"/>
  </si>
  <si>
    <t>생활 주변 현상에 대해 남다른 관심을 가졌으며 매사 진취적인 태도로 학습 활동에 참여함.  친구에게 양보할 줄 알고 약한 친구를 도와주고 어려움을 함께 나누려고 노력함.  티볼, 발야구 등 여러 가지 체육 활동에 적극적으로 참여하고 열심히 노력함.</t>
    <phoneticPr fontId="18" type="noConversion"/>
  </si>
  <si>
    <t>조사 토의학습에 관심이 깊으며 자신의 생각을 조리 있게 잘 나타내고, 학교생활을 매우 즐겁게 하며 주어진 일을 끝까지 잘 해결함.  웃어른을 존경할 줄 알며 인사성이 바르고 성품이 너그러워 친구의 잘못이나 아픔을 따뜻하게 이해해 주는 진지하고 따뜻한 품성을 지닌 학생임.  체육 활동에 적극적으로 참여하며 도전 활동과 다양한 체육 활동을 잘함.</t>
    <phoneticPr fontId="18" type="noConversion"/>
  </si>
  <si>
    <t>자기의 주장을 논리적으로 잘 나타내며 글 짓는 능력이 뛰어남.  웃어른을 존경할 줄 알며 인사성이 바르고 성품이 너그러워 친구의 잘못이나 아픔을 따뜻하게 이해해 주는 진지하고 따뜻한 품성을 지닌 학생임.  창의성이 돋보이고 회화, 조형능력이 뛰어나 미술 과목에서 월등한 실력을 보임. 체욱 활동, 음악 활동에도 적극적으로 참여하여 좋은 결과를 얻음.</t>
    <phoneticPr fontId="18" type="noConversion"/>
  </si>
  <si>
    <t>조사 토의학습에 관심이 깊으며 자신의 생각을 조리 있게 잘 나타내고, 학교생활을 매우 즐겁게 하며 주어진 일을 끝까지 잘 해결함.  해맑게 웃는 얼굴이 순수한 학생으로 반 친구들에게 친절하고 상냥하며 도와주기를 좋아하고 자신의 환경을 긍정적으로 이겨냄.  창의성이 돋보이고 회화, 조형능력이 뛰어나 미술 과목에서 월등한 실력을 보임. 체욱 활동, 음악 활동에도 적극적으로 참여하여 좋은 결과를 얻음.</t>
    <phoneticPr fontId="18" type="noConversion"/>
  </si>
  <si>
    <t>학습 내용에 대한 이해력이 높고 책을 즐겨 읽음.  궂은 일이어도 남보다 앞장서기를 좋아하고 친구들과 사이좋게 지내며 친구를 도울 줄 아는 착한 학생임.  힘이 좋아 더 꾸준히 운동한다면 훌륭한 체력과 운동능력을 갖출 것임.</t>
    <phoneticPr fontId="18" type="noConversion"/>
  </si>
  <si>
    <t>학습 의욕이 왕성하고 자료를 학습에 잘 이용함.  말과 행동이 차분하며 교실에서 생활하는 모습이 사려 깊고 이해심이 많아 친구들에게 인기가 좋음.  기본 체력과 힘이 좋아 다양한 체육 활동에 능함.</t>
    <phoneticPr fontId="18" type="noConversion"/>
  </si>
  <si>
    <t>독서하는 습관이 바르게 형성되어 있으며 글쓰기를 즐겨함.  밝은 성격으로 친구를 배려하고 급우들과 사이좋게 지내며 즐겁게 학교생활을 하고 자신이 잘못한 일에 대한 인정이 빠르고 바꾸려고 노력하는 모습을 보임.  순발력이 좋고 민첩성이 높아 체육 활동에 적극적으로 참여하며 스포츠 예절을 잘 지킴.</t>
    <phoneticPr fontId="18" type="noConversion"/>
  </si>
  <si>
    <t>학습내용에 대한 이해가 빨라서 전 교과 성적이 우수함.  웃어른을 존경할 줄 알며 인사성이 바르고 성품이 너그러워 친구의 잘못이나 아픔을 따뜻하게 이해해 주는 진지하고 따뜻한 품성을 지닌 학생임.  창의성이 돋보이고 회화, 조형능력이 뛰어나 미술 과목에서 월등한 실력을 보임. 체욱 활동, 음악 활동에도 적극적으로 참여하여 좋은 결과를 얻음.</t>
    <phoneticPr fontId="18" type="noConversion"/>
  </si>
  <si>
    <t>학교생활을 매우 즐겁게 하며 주어진 일을 끝까지 잘 해결하고, 스스로 맡은 일을 잘 처리하며, 무슨 일이든 열심히 하는 태도를 가졌으며 친구들과도 매우 잘 지냄.  다른 사람의 감정과 상황에 대해 신중히 생각하고 주의를 기울임.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그리기, 꾸미기 등 미술 활동에 소질이 많고 시각적, 공간적 표현을 잘 함</t>
    <phoneticPr fontId="18" type="noConversion"/>
  </si>
  <si>
    <t>자연현상에 대해 관심이 많으며 학습에 필요한 자료를 잘 수집하여 활용함.  다른 사람의 입장에 공감하고 따뜻한 마음을 품어 타인을 배려하는 마음이 있음.  사물에 대한 깊은 관찰과 생각을 바탕으로 창의성 있게 새로운 작품을 만들고 그리는데 능함.</t>
    <phoneticPr fontId="18" type="noConversion"/>
  </si>
  <si>
    <t>학교생활을 매우 즐겁게 하며 주어진 일을 끝까지 잘 해결하고, 스스로 맡은 일을 잘 처리하며, 무슨 일이든 열심히 하는 태도를 가졌으며 친구들과도 매우 잘 지냄.  다른 사람의 입장을 생각할 줄 아는 고운 성품을 지녔고 목표의식을 바탕으로 진지한 모습으로 노력함.  창의성이 돋보이고 회화, 조형능력이 뛰어나 미술 과목에서 월등한 실력을 보임. 체욱 활동, 음악 활동에도 적극적으로 참여하여 좋은 결과를 얻음.</t>
    <phoneticPr fontId="18" type="noConversion"/>
  </si>
  <si>
    <t>발표를 논리적으로 잘하며 독서하는 습관이 잘 형성되어 있음.  다른 사람의 입장을 생각할 줄 아는 고운 성품을 지님.  즐겁게 노래부르기에 참여하며 체육에 소질이 있어 피구와 축구활동에 두각을 보임.</t>
    <phoneticPr fontId="18" type="noConversion"/>
  </si>
  <si>
    <t>자신의 목표를 세우고 시간을 유익하게 잘 활용함.  다른 친구들을 배려하고 생각해주는 따뜻한 마음을 가진다면 더 큰 사람이 될 수 있는 가능성을 지니고 있음.  노래를 음정에 맞게 잘 부르고 달리기를 잘 하며 다양한 체육활동에 흥미를 가지고 적극적으로 참여함.</t>
    <phoneticPr fontId="18" type="noConversion"/>
  </si>
  <si>
    <t>진취적인 학습 태도를 가져서 전 교과 성적이 우수함.  또래 친구들보다 성장한 겉모습에 비해 학생 다운 순진함과 상처에 약한 마음씨를 가진 순수한 학생임.  드리블을 잘 하고 피아노 치기에 소질이 있으며 친구들을 위해 반주를 연습해 오기도 함.</t>
    <phoneticPr fontId="18" type="noConversion"/>
  </si>
  <si>
    <t>스스로 문제를 해결하려는 자세를 가졌으며 학습 활동이 양호함.  말과 행동이 사려가 깊어 친구와 사이좋게 지내고 다른 친구를 위해 솔선수범하는 학생임.  축구에 관심과 소질이 있고 방과후 축구반에서 활동하여 협동심을 키우고 체력도 증진됨.</t>
    <phoneticPr fontId="18" type="noConversion"/>
  </si>
  <si>
    <t>자기의 주장을 잘 내세우며 책 읽기 및 글짓기에 관심이 있음.  말과 행동이 차분하며 교실에서 생활하는 모습이 사려 깊고 이해심이 많으며 친구들에게 인기가 좋음.  그림을 구상해내는 아이디어가 좋으며 악기를 차분하게 잘 다루고 연주하고 체육활동에 최선을 다함.</t>
    <phoneticPr fontId="18" type="noConversion"/>
  </si>
  <si>
    <t>기본적인 학습 규칙을 잘 이행하며 자기의 목표 달성을 위해 성실히 노력함.  말과 행동이 침착하고 사려가 깊으며 교실 및 학교 주변 청결에 솔선수범하여 타의 모범이 되는 학생임.  노래를 음정에 맞게 잘 부르고 달리기를 잘 하며 다양한 체육활동에 흥미를 가지고 적극적으로 참여함.</t>
    <phoneticPr fontId="18" type="noConversion"/>
  </si>
  <si>
    <t>사물에 대한 관찰력과 탐구력이 있으며 여러 방면에 노력을 기울임.  말과 행동이 침착하고 사려가 깊으며 학급 부회장으로 남들이 싫어하는 학급 쓰레기 분리수거를 나서서 하는 친구를 배려할 줄 아는 학생임.  드럼에 흥미를 가지고 연주하며 체육 활동에 관심이 많고 활동적으로 참여함.</t>
    <phoneticPr fontId="18" type="noConversion"/>
  </si>
  <si>
    <t>기본적인 학습 규칙을 잘 지키며 모든 일에 성실함.  말과 행동이 침착하고 사려가 깊으며 학급 청소 활동시 자신의 역할을 다하고 다른 친구의 역할을 도와주는 따뜻한 성품을 지님.  음악적 감각이 있으며 리코더 연주를 박자와 음정에 맞게 잘 하고 축구 드리블에 흥미와 소질이 있음.</t>
    <phoneticPr fontId="18" type="noConversion"/>
  </si>
  <si>
    <t>자연현상에 대해 관심이 많으며 스스로 문제를 해결하려는 끈기 있는 학습 태도가 좋음.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갈등 상황에서 자신의 생각을 표현하기 보다 혼자만의 시간을 갖는 경우가 많아 자신의 감정을 효과적으로 표현하는 능력을 기를 필요가 있음.  모둠 활동시 주도적으로 모둠 활동에 참여하여 모둠 문제를 해결해나가는 모습이 돋보임.  그림을 구상해내는 아이디어가 좋으며 악기를 차분하게 잘 다루고 연주하고 체육활동에 최선을 다함.</t>
    <phoneticPr fontId="18" type="noConversion"/>
  </si>
  <si>
    <t>자연현상에 대해 관심이 많으며 스스로 문제를 해결하려는 끈기 있는 학습 태도가 좋음.  차분하고 따뜻한 미소와 말로 도움이 필요한 친구를 조용히 도와줌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그림을 구상해내는 아이디어가 좋으며 악기를 차분하게 잘 다루고 연주하고 체육활동에 최선을 다함.</t>
    <phoneticPr fontId="18" type="noConversion"/>
  </si>
  <si>
    <t>여러 방면에 걸쳐 기능이 뛰어나고 특히 신체 표현 능력이 월등함.  웃어른을 존경할 줄 알며 인사성이 바르고 성품이 너그러워 친구의 잘못이나 아픔을 따뜻하게 이해해 주는 진지하고 따뜻한 품성을 지닌 학생임.  갈등 상황에서 자신의 생각을 표현하기 보다 혼자만의 시간을 갖는 경우가 많아 자신의 감정을 효과적으로 표현하는 능력을 기를 필요가 있음.  자신이 화가 나고 짜증낼 때 친구와 슬기롭게 대화하는 방법을 연습하고 있음.  노래를 음정에 맞게 잘 부르고 달리기를 잘 하며 다양한 체육활동에 흥미를 가지고 적극적으로 참여함.</t>
    <phoneticPr fontId="18" type="noConversion"/>
  </si>
  <si>
    <t>기본적인 학습 규칙을 잘 이행하고 자기의 목표가 뚜렷한 학교생활을 함.  성격이 밝고 쾌활하며 사교적이어서 친구들과 잘 어울림.  성품이 착실하고 따뜻하며 친구들 사이에 추천으로 학생날 기념 모범학생표창을 받음.신망이 두터워 친구들의 신뢰를 받음.  지도력이 뛰어나며 적극적이고 행동이 매우 모범적임  노래를 음정에 맞게 잘 부르고 달리기를 잘 하며 다양한 체육활동에 흥미를 가지고 적극적으로 참여함.</t>
    <phoneticPr fontId="18" type="noConversion"/>
  </si>
  <si>
    <t>탐구능력이 뛰어나고 합리적인 생활 태도를 가졌음.  친구들과 잘 어울리지 못하는 수줍음이 많은 성격이었으나 방과 후 동아리 활동 등 다양한 학교 활동에 참여하여 적극성을 보임.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뛰어난 회화 실력과 꾸준한 노력으로 미술에서 다양하고 훌륭한 작품을 만들어 냄.</t>
    <phoneticPr fontId="18" type="noConversion"/>
  </si>
  <si>
    <t xml:space="preserve">학습에 필요한 자료를 잘 수집하여 활용하는 학습 태도가 매우 진취적임. </t>
    <phoneticPr fontId="18" type="noConversion"/>
  </si>
  <si>
    <t xml:space="preserve">과제 학습을 잘 해오며 기본 학습 태도가 바르게 형성되어 있음. </t>
    <phoneticPr fontId="18" type="noConversion"/>
  </si>
  <si>
    <t xml:space="preserve">학습에 임하는 자세가 바르게 정착되어 있으며 꾸준히 노력하는 성품을 가졌음. </t>
    <phoneticPr fontId="18" type="noConversion"/>
  </si>
  <si>
    <t xml:space="preserve">생활 주변 현상에 대해 남다른 관심을 가졌으며 매사 진취적인 태도로 학습 활동에 참여함. </t>
    <phoneticPr fontId="18" type="noConversion"/>
  </si>
  <si>
    <t xml:space="preserve">스스로 문제를 해결하려는 자세가 좋으며 학습 활동에 자신감이 있음. </t>
    <phoneticPr fontId="18" type="noConversion"/>
  </si>
  <si>
    <t xml:space="preserve">스스로 문제를 해결하려는 자세를 좋으며 매사 성실함. </t>
    <phoneticPr fontId="18" type="noConversion"/>
  </si>
  <si>
    <t xml:space="preserve">발표를 논리적으로 잘하며 독서하는 습관이 잘 형성되어 있음. </t>
    <phoneticPr fontId="18" type="noConversion"/>
  </si>
  <si>
    <t xml:space="preserve">기본적인 학습 규칙을 잘 이행하며 자기의 목표 달성을 위해 성실히 노력함. </t>
    <phoneticPr fontId="18" type="noConversion"/>
  </si>
  <si>
    <t xml:space="preserve">탐구 능력이 있으며 합리적인 생활 태도를 가지려고 노력함. </t>
    <phoneticPr fontId="18" type="noConversion"/>
  </si>
  <si>
    <r>
      <rPr>
        <sz val="12"/>
        <color rgb="FF000000"/>
        <rFont val="맑은 고딕"/>
        <family val="3"/>
        <charset val="129"/>
      </rPr>
      <t>새로운 것을 상상하고 고안하는 힘이 뛰어나 문제를 새로운 시각에서 해석하고 풀어내는 능력이 돋보임</t>
    </r>
    <r>
      <rPr>
        <sz val="12"/>
        <color rgb="FF000000"/>
        <rFont val="함초롬바탕"/>
        <family val="1"/>
        <charset val="129"/>
      </rPr>
      <t xml:space="preserve">. </t>
    </r>
    <phoneticPr fontId="18" type="noConversion"/>
  </si>
  <si>
    <r>
      <rPr>
        <sz val="12"/>
        <color rgb="FF000000"/>
        <rFont val="맑은 고딕"/>
        <family val="3"/>
        <charset val="129"/>
      </rPr>
      <t>문제 상황에 부딪쳤을 때 기지를 발휘해서 이를 해결하는 재치가 돋보임</t>
    </r>
    <r>
      <rPr>
        <sz val="12"/>
        <color rgb="FF000000"/>
        <rFont val="함초롬바탕"/>
        <family val="1"/>
        <charset val="129"/>
      </rPr>
      <t xml:space="preserve">. </t>
    </r>
    <phoneticPr fontId="18" type="noConversion"/>
  </si>
  <si>
    <t xml:space="preserve">진실을 말하되 상대방의 심정을 고려하여 친절하고 부드럽게 표현하는 능력이 뛰어남. </t>
    <phoneticPr fontId="18" type="noConversion"/>
  </si>
  <si>
    <t xml:space="preserve">기본적인 학습 규칙을 잘 이행하고 자기의 목표가 뚜렷한 학교생활을 함.  성격이 밝고 쾌활하며 사교적이어서 친구들과 잘 어울림.  성품이 착실하고 따뜻하며 친구들 사이에 추천으로 학생날 기념 모범학생표창을 받음.신망이 두터워 친구들의 신뢰를 받음.  지도력이 뛰어나며 적극적이고 행동이 매우 모범적임  </t>
    <phoneticPr fontId="18" type="noConversion"/>
  </si>
  <si>
    <t xml:space="preserve">꾸준히 노력하는 학습 태도를 가져 모든 교과 성적이 우수함.  자신을 되돌아보고 욕심이 없이 내면의 여유를 가지고 있으며 사사로운 정에 얽매여 판단을 흐리지 않음.  자신을 되돌아보고 욕심이 없이 내면의 여유를 가지고 있으며 사사로운 정에 얽매여 판단을 흐리지 않음.  자신을 되돌아보고 욕심이 없이 내면의 여유를 가지고 있으며 사사로운 정에 얽매여 판단을 흐리지 않음.  </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</si>
</sst>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20" x14ac:knownFonts="1">
    <font>
      <sz val="11"/>
      <color rgb="FF000000"/>
      <name val="맑은 고딕"/>
    </font>
    <font>
      <sz val="24"/>
      <color rgb="FF000000"/>
      <name val="HY헤드라인M"/>
      <family val="1"/>
      <charset val="129"/>
    </font>
    <font>
      <sz val="36"/>
      <color rgb="FF000000"/>
      <name val="HY헤드라인M"/>
      <family val="1"/>
      <charset val="129"/>
    </font>
    <font>
      <sz val="12"/>
      <color rgb="FF000000"/>
      <name val="맑은 고딕"/>
      <family val="3"/>
      <charset val="129"/>
    </font>
    <font>
      <sz val="12"/>
      <color rgb="FF000000"/>
      <name val="HY울릉도M"/>
      <family val="1"/>
      <charset val="129"/>
    </font>
    <font>
      <sz val="11"/>
      <color rgb="FFD9D9D9"/>
      <name val="맑은 고딕"/>
      <family val="3"/>
      <charset val="129"/>
    </font>
    <font>
      <sz val="9"/>
      <color rgb="FF000000"/>
      <name val="맑은 고딕"/>
      <family val="3"/>
      <charset val="129"/>
    </font>
    <font>
      <sz val="11"/>
      <color rgb="FF000000"/>
      <name val="굴림"/>
      <family val="3"/>
      <charset val="129"/>
    </font>
    <font>
      <b/>
      <sz val="12"/>
      <color rgb="FF000000"/>
      <name val="굴림"/>
      <family val="3"/>
      <charset val="129"/>
    </font>
    <font>
      <sz val="12"/>
      <color rgb="FF000000"/>
      <name val="함초롬바탕"/>
      <family val="1"/>
      <charset val="129"/>
    </font>
    <font>
      <b/>
      <sz val="12"/>
      <color rgb="FF000000"/>
      <name val="맑은 고딕"/>
      <family val="3"/>
      <charset val="129"/>
    </font>
    <font>
      <sz val="13"/>
      <color rgb="FF000000"/>
      <name val="HY헤드라인M"/>
      <family val="1"/>
      <charset val="129"/>
    </font>
    <font>
      <sz val="8"/>
      <color rgb="FF000000"/>
      <name val="맑은 고딕"/>
      <family val="3"/>
      <charset val="129"/>
    </font>
    <font>
      <sz val="12"/>
      <color rgb="FF000000"/>
      <name val="HY헤드라인M"/>
      <family val="1"/>
      <charset val="129"/>
    </font>
    <font>
      <sz val="11"/>
      <color rgb="FFD9D9D9"/>
      <name val="굴림"/>
      <family val="3"/>
      <charset val="129"/>
    </font>
    <font>
      <sz val="14"/>
      <color rgb="FF000000"/>
      <name val="맑은 고딕"/>
      <family val="3"/>
      <charset val="129"/>
    </font>
    <font>
      <sz val="28"/>
      <color rgb="FF000000"/>
      <name val="HY헤드라인M"/>
      <family val="1"/>
      <charset val="129"/>
    </font>
    <font>
      <sz val="11"/>
      <color rgb="FFFF0000"/>
      <name val="맑은 고딕"/>
      <family val="3"/>
      <charset val="129"/>
    </font>
    <font>
      <sz val="8"/>
      <name val="돋움"/>
      <family val="3"/>
      <charset val="129"/>
    </font>
    <font>
      <sz val="12"/>
      <color rgb="FF000000"/>
      <name val="맑은 고딕"/>
      <family val="3"/>
      <charset val="129"/>
      <scheme val="major"/>
    </font>
  </fonts>
  <fills count="5">
    <fill>
      <patternFill patternType="none"/>
    </fill>
    <fill>
      <patternFill patternType="gray125"/>
    </fill>
    <fill>
      <patternFill patternType="solid">
        <fgColor rgb="FFB7DEE8"/>
        <bgColor indexed="64"/>
      </patternFill>
    </fill>
    <fill>
      <patternFill patternType="solid">
        <fgColor rgb="FFD9D9D9"/>
        <bgColor indexed="64"/>
      </patternFill>
    </fill>
    <fill>
      <patternFill patternType="solid">
        <fgColor rgb="FFF2F2F2"/>
        <bgColor indexed="64"/>
      </patternFill>
    </fill>
  </fills>
  <borders count="31">
    <border>
      <left/>
      <right/>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ashed">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F0000"/>
      </left>
      <right style="thin">
        <color indexed="64"/>
      </right>
      <top style="medium">
        <color rgb="FFFF0000"/>
      </top>
      <bottom style="thin">
        <color indexed="64"/>
      </bottom>
      <diagonal/>
    </border>
    <border>
      <left style="thin">
        <color indexed="64"/>
      </left>
      <right style="thin">
        <color indexed="64"/>
      </right>
      <top style="medium">
        <color rgb="FFFF0000"/>
      </top>
      <bottom style="thin">
        <color indexed="64"/>
      </bottom>
      <diagonal/>
    </border>
    <border>
      <left style="thin">
        <color indexed="64"/>
      </left>
      <right style="medium">
        <color rgb="FFFF0000"/>
      </right>
      <top style="medium">
        <color rgb="FFFF0000"/>
      </top>
      <bottom style="thin">
        <color indexed="64"/>
      </bottom>
      <diagonal/>
    </border>
    <border>
      <left style="medium">
        <color rgb="FFFF0000"/>
      </left>
      <right style="thin">
        <color indexed="64"/>
      </right>
      <top style="thin">
        <color indexed="64"/>
      </top>
      <bottom style="thin">
        <color indexed="64"/>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style="medium">
        <color indexed="64"/>
      </left>
      <right style="dashed">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alignment vertical="center"/>
    </xf>
  </cellStyleXfs>
  <cellXfs count="92">
    <xf numFmtId="0" fontId="0" fillId="0" borderId="0" xfId="0" applyNumberFormat="1">
      <alignment vertical="center"/>
    </xf>
    <xf numFmtId="0" fontId="1" fillId="0" borderId="0" xfId="0" applyNumberFormat="1" applyFont="1" applyAlignment="1">
      <alignment horizontal="center" vertical="center"/>
    </xf>
    <xf numFmtId="0" fontId="2" fillId="0" borderId="0" xfId="0" applyNumberFormat="1" applyFont="1" applyAlignment="1" applyProtection="1">
      <alignment horizontal="center" vertical="top"/>
    </xf>
    <xf numFmtId="0" fontId="3"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wrapText="1"/>
    </xf>
    <xf numFmtId="0" fontId="4" fillId="2" borderId="3" xfId="0" applyNumberFormat="1" applyFont="1" applyFill="1" applyBorder="1" applyAlignment="1">
      <alignment horizontal="center" vertical="center" wrapText="1"/>
    </xf>
    <xf numFmtId="0" fontId="4" fillId="2" borderId="4" xfId="0" applyNumberFormat="1" applyFont="1" applyFill="1" applyBorder="1" applyAlignment="1">
      <alignment horizontal="center" vertical="center" wrapText="1"/>
    </xf>
    <xf numFmtId="0" fontId="4" fillId="2" borderId="5" xfId="0" applyNumberFormat="1" applyFont="1" applyFill="1" applyBorder="1" applyAlignment="1">
      <alignment horizontal="center" vertical="center" wrapText="1"/>
    </xf>
    <xf numFmtId="0" fontId="0" fillId="0" borderId="0" xfId="0" applyNumberFormat="1" applyAlignment="1" applyProtection="1">
      <alignment horizontal="center" vertical="center"/>
      <protection locked="0"/>
    </xf>
    <xf numFmtId="0" fontId="0" fillId="0" borderId="0" xfId="0" applyNumberFormat="1" applyProtection="1">
      <alignment vertical="center"/>
      <protection locked="0"/>
    </xf>
    <xf numFmtId="0" fontId="0" fillId="0" borderId="0" xfId="0" applyNumberFormat="1" applyAlignment="1">
      <alignment vertical="center" wrapText="1"/>
    </xf>
    <xf numFmtId="0" fontId="0" fillId="2" borderId="6" xfId="0" applyNumberFormat="1" applyFill="1" applyBorder="1" applyAlignment="1">
      <alignment vertical="center" wrapText="1"/>
    </xf>
    <xf numFmtId="0" fontId="3" fillId="0" borderId="7" xfId="0" applyNumberFormat="1" applyFont="1" applyBorder="1" applyAlignment="1" applyProtection="1">
      <alignment horizontal="center" vertical="center"/>
    </xf>
    <xf numFmtId="0" fontId="3" fillId="0" borderId="8" xfId="0" applyNumberFormat="1" applyFont="1" applyBorder="1" applyAlignment="1" applyProtection="1">
      <alignment horizontal="center" vertical="center"/>
    </xf>
    <xf numFmtId="0" fontId="0" fillId="0" borderId="0" xfId="0" applyNumberFormat="1" applyProtection="1">
      <alignment vertical="center"/>
    </xf>
    <xf numFmtId="0" fontId="0" fillId="0" borderId="0" xfId="0" applyNumberFormat="1" applyAlignment="1" applyProtection="1">
      <alignment vertical="center" wrapText="1"/>
    </xf>
    <xf numFmtId="0" fontId="0" fillId="0" borderId="0" xfId="0" applyNumberFormat="1" applyAlignment="1" applyProtection="1">
      <alignment horizontal="center" vertical="center"/>
    </xf>
    <xf numFmtId="0" fontId="5" fillId="0" borderId="0" xfId="0" applyNumberFormat="1" applyFont="1" applyAlignment="1" applyProtection="1">
      <alignment horizontal="right" vertical="center"/>
    </xf>
    <xf numFmtId="0" fontId="6" fillId="0" borderId="0" xfId="0" applyNumberFormat="1" applyFont="1" applyProtection="1">
      <alignment vertical="center"/>
      <protection locked="0"/>
    </xf>
    <xf numFmtId="0" fontId="6" fillId="0" borderId="0" xfId="0" applyNumberFormat="1" applyFont="1" applyAlignment="1" applyProtection="1">
      <alignment horizontal="justify" vertical="center" wrapText="1"/>
      <protection locked="0"/>
    </xf>
    <xf numFmtId="0" fontId="7" fillId="0" borderId="0" xfId="0" applyNumberFormat="1" applyFont="1" applyProtection="1">
      <alignment vertical="center"/>
    </xf>
    <xf numFmtId="0" fontId="8" fillId="0" borderId="9" xfId="0" applyNumberFormat="1" applyFont="1" applyBorder="1" applyAlignment="1" applyProtection="1">
      <alignment horizontal="center" vertical="center" shrinkToFit="1"/>
      <protection locked="0"/>
    </xf>
    <xf numFmtId="0" fontId="8" fillId="0" borderId="10" xfId="0" applyNumberFormat="1" applyFont="1" applyBorder="1" applyAlignment="1" applyProtection="1">
      <alignment horizontal="center" vertical="center" shrinkToFit="1"/>
      <protection locked="0"/>
    </xf>
    <xf numFmtId="0" fontId="8" fillId="0" borderId="0" xfId="0" applyNumberFormat="1" applyFont="1" applyBorder="1" applyAlignment="1" applyProtection="1">
      <alignment horizontal="center" vertical="center" shrinkToFit="1"/>
      <protection locked="0"/>
    </xf>
    <xf numFmtId="0" fontId="0" fillId="0" borderId="0" xfId="0" applyNumberFormat="1" applyProtection="1">
      <alignment vertical="center"/>
      <protection locked="0" hidden="1"/>
    </xf>
    <xf numFmtId="0" fontId="6" fillId="2" borderId="11" xfId="0" applyNumberFormat="1" applyFont="1" applyFill="1" applyBorder="1" applyAlignment="1" applyProtection="1">
      <alignment vertical="center" wrapText="1"/>
    </xf>
    <xf numFmtId="0" fontId="0" fillId="3" borderId="6" xfId="0" applyNumberFormat="1" applyFill="1" applyBorder="1" applyAlignment="1" applyProtection="1">
      <alignment vertical="center" wrapText="1"/>
    </xf>
    <xf numFmtId="0" fontId="3" fillId="0" borderId="8" xfId="0" applyNumberFormat="1" applyFont="1" applyBorder="1" applyAlignment="1" applyProtection="1">
      <alignment horizontal="justify" vertical="center" wrapText="1"/>
      <protection locked="0"/>
    </xf>
    <xf numFmtId="0" fontId="3" fillId="0" borderId="8" xfId="0" applyNumberFormat="1" applyFont="1" applyBorder="1" applyProtection="1">
      <alignment vertical="center"/>
      <protection locked="0"/>
    </xf>
    <xf numFmtId="0" fontId="9" fillId="0" borderId="8" xfId="0" applyNumberFormat="1" applyFont="1" applyBorder="1" applyAlignment="1" applyProtection="1">
      <alignment horizontal="justify" vertical="center" wrapText="1"/>
      <protection locked="0"/>
    </xf>
    <xf numFmtId="0" fontId="0" fillId="0" borderId="0" xfId="0" applyNumberFormat="1" applyAlignment="1" applyProtection="1">
      <alignment horizontal="center" vertical="center" wrapText="1" shrinkToFit="1"/>
    </xf>
    <xf numFmtId="0" fontId="3" fillId="0" borderId="8" xfId="0" applyNumberFormat="1" applyFont="1" applyBorder="1" applyAlignment="1" applyProtection="1">
      <alignment horizontal="center" vertical="center" wrapText="1" shrinkToFit="1"/>
      <protection locked="0"/>
    </xf>
    <xf numFmtId="0" fontId="0" fillId="0" borderId="0" xfId="0" applyNumberFormat="1" applyAlignment="1" applyProtection="1">
      <alignment horizontal="center" vertical="center" wrapText="1" shrinkToFit="1"/>
      <protection locked="0"/>
    </xf>
    <xf numFmtId="0" fontId="10" fillId="4" borderId="8" xfId="0" applyNumberFormat="1" applyFont="1" applyFill="1" applyBorder="1" applyAlignment="1" applyProtection="1">
      <alignment horizontal="left" vertical="center" indent="3"/>
    </xf>
    <xf numFmtId="176" fontId="3" fillId="0" borderId="8"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9" fillId="0" borderId="8" xfId="0" applyNumberFormat="1" applyFont="1" applyBorder="1" applyAlignment="1" applyProtection="1">
      <alignment horizontal="justify" vertical="center" wrapText="1"/>
      <protection locked="0"/>
    </xf>
    <xf numFmtId="0" fontId="0" fillId="3" borderId="8" xfId="0" applyNumberFormat="1" applyFont="1" applyFill="1" applyBorder="1" applyAlignment="1" applyProtection="1">
      <alignment horizontal="center" vertical="center" wrapText="1"/>
    </xf>
    <xf numFmtId="0" fontId="0" fillId="0" borderId="8" xfId="0" applyNumberFormat="1" applyBorder="1" applyAlignment="1" applyProtection="1">
      <alignment horizontal="center" vertical="center"/>
    </xf>
    <xf numFmtId="0" fontId="0" fillId="3" borderId="12" xfId="0" applyNumberFormat="1" applyFont="1" applyFill="1" applyBorder="1" applyAlignment="1" applyProtection="1">
      <alignment horizontal="center" vertical="center" wrapText="1"/>
    </xf>
    <xf numFmtId="0" fontId="0" fillId="3" borderId="13" xfId="0" applyNumberFormat="1" applyFont="1" applyFill="1" applyBorder="1" applyAlignment="1" applyProtection="1">
      <alignment horizontal="center" vertical="center" wrapText="1"/>
    </xf>
    <xf numFmtId="0" fontId="0" fillId="0" borderId="8" xfId="0" applyNumberFormat="1" applyFont="1" applyBorder="1" applyAlignment="1">
      <alignment horizontal="center" vertical="center"/>
    </xf>
    <xf numFmtId="0" fontId="0" fillId="0" borderId="8" xfId="0" applyNumberFormat="1" applyBorder="1" applyAlignment="1">
      <alignment horizontal="center" vertical="center"/>
    </xf>
    <xf numFmtId="0" fontId="0" fillId="3" borderId="8" xfId="0" applyNumberFormat="1" applyFont="1" applyFill="1" applyBorder="1" applyAlignment="1" applyProtection="1">
      <alignment horizontal="center" vertical="center" wrapText="1"/>
    </xf>
    <xf numFmtId="0" fontId="0" fillId="3" borderId="8" xfId="0" applyNumberFormat="1" applyFont="1" applyFill="1" applyBorder="1" applyAlignment="1">
      <alignment horizontal="center" vertical="center"/>
    </xf>
    <xf numFmtId="0" fontId="0" fillId="3" borderId="8" xfId="0" applyNumberFormat="1" applyFont="1" applyFill="1" applyBorder="1" applyAlignment="1">
      <alignment horizontal="center" vertical="center" wrapText="1"/>
    </xf>
    <xf numFmtId="0" fontId="11" fillId="3" borderId="8" xfId="0" applyNumberFormat="1" applyFont="1" applyFill="1" applyBorder="1" applyAlignment="1" applyProtection="1">
      <alignment horizontal="center" vertical="center"/>
    </xf>
    <xf numFmtId="0" fontId="11" fillId="3" borderId="8" xfId="0" applyNumberFormat="1" applyFont="1" applyFill="1" applyBorder="1" applyAlignment="1" applyProtection="1">
      <alignment horizontal="center" vertical="center" wrapText="1" shrinkToFit="1"/>
    </xf>
    <xf numFmtId="176" fontId="3" fillId="0" borderId="8" xfId="0" applyNumberFormat="1" applyFont="1" applyBorder="1" applyAlignment="1" applyProtection="1">
      <alignment horizontal="center" vertical="center" wrapText="1"/>
      <protection locked="0"/>
    </xf>
    <xf numFmtId="0" fontId="3" fillId="0" borderId="8" xfId="0" applyNumberFormat="1" applyFont="1" applyBorder="1" applyAlignment="1" applyProtection="1">
      <alignment horizontal="center" vertical="center" wrapText="1" shrinkToFit="1"/>
      <protection locked="0"/>
    </xf>
    <xf numFmtId="0" fontId="3" fillId="0" borderId="8" xfId="0" applyNumberFormat="1" applyFont="1" applyBorder="1" applyAlignment="1" applyProtection="1">
      <alignment horizontal="justify" vertical="center" wrapText="1"/>
      <protection locked="0"/>
    </xf>
    <xf numFmtId="0" fontId="3" fillId="0" borderId="8" xfId="0" applyNumberFormat="1" applyFont="1" applyBorder="1" applyAlignment="1" applyProtection="1">
      <alignment vertical="center" wrapText="1"/>
      <protection locked="0"/>
    </xf>
    <xf numFmtId="176" fontId="3" fillId="0" borderId="8" xfId="0" applyNumberFormat="1" applyFont="1" applyBorder="1" applyAlignment="1" applyProtection="1">
      <alignment horizontal="center" vertical="center"/>
      <protection locked="0"/>
    </xf>
    <xf numFmtId="0" fontId="3" fillId="0" borderId="8" xfId="0" applyNumberFormat="1" applyFont="1" applyBorder="1" applyProtection="1">
      <alignment vertical="center"/>
      <protection locked="0"/>
    </xf>
    <xf numFmtId="0" fontId="10" fillId="3" borderId="14" xfId="0" applyNumberFormat="1" applyFont="1" applyFill="1" applyBorder="1" applyAlignment="1" applyProtection="1">
      <alignment horizontal="center" vertical="center"/>
    </xf>
    <xf numFmtId="0" fontId="10" fillId="3" borderId="16" xfId="0" applyNumberFormat="1" applyFont="1" applyFill="1" applyBorder="1" applyAlignment="1" applyProtection="1">
      <alignment horizontal="center" vertical="center"/>
    </xf>
    <xf numFmtId="0" fontId="10" fillId="3" borderId="17" xfId="0" applyNumberFormat="1" applyFont="1" applyFill="1" applyBorder="1" applyAlignment="1" applyProtection="1">
      <alignment horizontal="center" vertical="center"/>
    </xf>
    <xf numFmtId="0" fontId="12" fillId="4" borderId="18" xfId="0" applyNumberFormat="1" applyFont="1" applyFill="1" applyBorder="1" applyAlignment="1" applyProtection="1">
      <alignment horizontal="left" vertical="center" wrapText="1"/>
    </xf>
    <xf numFmtId="0" fontId="10" fillId="3" borderId="19" xfId="0" applyNumberFormat="1" applyFont="1" applyFill="1" applyBorder="1" applyAlignment="1" applyProtection="1">
      <alignment horizontal="center" vertical="center"/>
    </xf>
    <xf numFmtId="0" fontId="12" fillId="4" borderId="21" xfId="0" applyNumberFormat="1" applyFont="1" applyFill="1" applyBorder="1" applyAlignment="1" applyProtection="1">
      <alignment vertical="center" wrapText="1"/>
    </xf>
    <xf numFmtId="0" fontId="13" fillId="3" borderId="2" xfId="0" applyNumberFormat="1" applyFont="1" applyFill="1" applyBorder="1" applyAlignment="1" applyProtection="1">
      <alignment horizontal="center" vertical="center" shrinkToFit="1"/>
    </xf>
    <xf numFmtId="0" fontId="13" fillId="3" borderId="3" xfId="0" applyNumberFormat="1" applyFont="1" applyFill="1" applyBorder="1" applyAlignment="1" applyProtection="1">
      <alignment horizontal="center" vertical="center" shrinkToFit="1"/>
    </xf>
    <xf numFmtId="0" fontId="13" fillId="3" borderId="5" xfId="0" applyNumberFormat="1" applyFont="1" applyFill="1" applyBorder="1" applyAlignment="1" applyProtection="1">
      <alignment horizontal="center" vertical="center" shrinkToFit="1"/>
    </xf>
    <xf numFmtId="0" fontId="10" fillId="3" borderId="22" xfId="0" applyNumberFormat="1" applyFont="1" applyFill="1" applyBorder="1" applyAlignment="1" applyProtection="1">
      <alignment horizontal="center" vertical="center" wrapText="1" shrinkToFit="1"/>
    </xf>
    <xf numFmtId="0" fontId="14" fillId="0" borderId="0" xfId="0" applyNumberFormat="1" applyFont="1" applyFill="1" applyAlignment="1" applyProtection="1">
      <alignment horizontal="right" vertical="center" wrapText="1"/>
    </xf>
    <xf numFmtId="49" fontId="15" fillId="4" borderId="7" xfId="0" applyNumberFormat="1" applyFont="1" applyFill="1" applyBorder="1" applyAlignment="1" applyProtection="1">
      <alignment horizontal="center" vertical="center"/>
    </xf>
    <xf numFmtId="0" fontId="3" fillId="4" borderId="11" xfId="0" applyNumberFormat="1" applyFont="1" applyFill="1" applyBorder="1" applyAlignment="1" applyProtection="1">
      <alignment vertical="center" wrapText="1"/>
      <protection locked="0"/>
    </xf>
    <xf numFmtId="0" fontId="0" fillId="3" borderId="13" xfId="0" applyNumberFormat="1" applyFont="1" applyFill="1" applyBorder="1" applyAlignment="1" applyProtection="1">
      <alignment horizontal="center" vertical="center" wrapText="1"/>
    </xf>
    <xf numFmtId="0" fontId="10" fillId="0" borderId="15" xfId="0" applyNumberFormat="1" applyFont="1" applyFill="1" applyBorder="1" applyAlignment="1" applyProtection="1">
      <alignment horizontal="center" vertical="center"/>
      <protection locked="0"/>
    </xf>
    <xf numFmtId="0" fontId="10" fillId="0" borderId="20" xfId="0" applyNumberFormat="1" applyFont="1" applyFill="1" applyBorder="1" applyAlignment="1" applyProtection="1">
      <alignment horizontal="left" vertical="center" indent="3"/>
      <protection locked="0"/>
    </xf>
    <xf numFmtId="0" fontId="15" fillId="0" borderId="8" xfId="0" applyNumberFormat="1" applyFont="1" applyBorder="1" applyAlignment="1" applyProtection="1">
      <alignment horizontal="center" vertical="center" shrinkToFit="1"/>
      <protection locked="0"/>
    </xf>
    <xf numFmtId="176" fontId="15" fillId="0" borderId="8" xfId="0" applyNumberFormat="1" applyFont="1" applyBorder="1" applyAlignment="1" applyProtection="1">
      <alignment horizontal="center" vertical="center" shrinkToFit="1"/>
      <protection locked="0"/>
    </xf>
    <xf numFmtId="0" fontId="15" fillId="3" borderId="23" xfId="0" applyNumberFormat="1" applyFont="1" applyFill="1" applyBorder="1" applyAlignment="1" applyProtection="1">
      <alignment horizontal="center" vertical="center" shrinkToFit="1"/>
    </xf>
    <xf numFmtId="0" fontId="19" fillId="0" borderId="8" xfId="0" applyNumberFormat="1" applyFont="1" applyBorder="1" applyAlignment="1" applyProtection="1">
      <alignment horizontal="justify" vertical="center" wrapText="1"/>
      <protection locked="0"/>
    </xf>
    <xf numFmtId="176" fontId="19" fillId="0" borderId="8" xfId="0" applyNumberFormat="1" applyFont="1" applyBorder="1" applyAlignment="1" applyProtection="1">
      <alignment horizontal="center" vertical="center"/>
      <protection locked="0"/>
    </xf>
    <xf numFmtId="0" fontId="19" fillId="0" borderId="8" xfId="0" applyNumberFormat="1" applyFont="1" applyBorder="1" applyAlignment="1" applyProtection="1">
      <alignment horizontal="center" vertical="center" wrapText="1" shrinkToFit="1"/>
      <protection locked="0"/>
    </xf>
    <xf numFmtId="0" fontId="19" fillId="0" borderId="8" xfId="0" applyNumberFormat="1" applyFont="1" applyBorder="1" applyProtection="1">
      <alignment vertical="center"/>
      <protection locked="0"/>
    </xf>
    <xf numFmtId="0" fontId="15" fillId="3" borderId="24" xfId="0" applyNumberFormat="1" applyFont="1" applyFill="1" applyBorder="1" applyAlignment="1" applyProtection="1">
      <alignment horizontal="center" vertical="center"/>
    </xf>
    <xf numFmtId="0" fontId="15" fillId="3" borderId="23" xfId="0" applyNumberFormat="1" applyFont="1" applyFill="1" applyBorder="1" applyAlignment="1" applyProtection="1">
      <alignment horizontal="center" vertical="center"/>
    </xf>
    <xf numFmtId="0" fontId="16" fillId="0" borderId="0" xfId="0" applyNumberFormat="1" applyFont="1" applyAlignment="1" applyProtection="1">
      <alignment horizontal="center" vertical="top"/>
    </xf>
    <xf numFmtId="0" fontId="0" fillId="0" borderId="25" xfId="0" applyNumberFormat="1" applyFont="1" applyFill="1" applyBorder="1" applyAlignment="1" applyProtection="1">
      <alignment horizontal="left" vertical="center" wrapText="1"/>
    </xf>
    <xf numFmtId="0" fontId="0" fillId="0" borderId="26" xfId="0" applyNumberFormat="1" applyFont="1" applyFill="1" applyBorder="1" applyAlignment="1" applyProtection="1">
      <alignment horizontal="left" vertical="center"/>
    </xf>
    <xf numFmtId="0" fontId="0" fillId="0" borderId="27" xfId="0" applyNumberFormat="1" applyFont="1" applyFill="1" applyBorder="1" applyAlignment="1" applyProtection="1">
      <alignment horizontal="left" vertical="center" wrapText="1"/>
    </xf>
    <xf numFmtId="0" fontId="0" fillId="0" borderId="28" xfId="0" applyNumberFormat="1" applyFont="1" applyFill="1" applyBorder="1" applyAlignment="1" applyProtection="1">
      <alignment horizontal="left" vertical="center"/>
    </xf>
    <xf numFmtId="0" fontId="0" fillId="0" borderId="29" xfId="0" applyNumberFormat="1" applyFont="1" applyFill="1" applyBorder="1" applyAlignment="1" applyProtection="1">
      <alignment horizontal="left" vertical="center" wrapText="1"/>
    </xf>
    <xf numFmtId="0" fontId="0" fillId="0" borderId="30" xfId="0" applyNumberFormat="1" applyFont="1" applyFill="1" applyBorder="1" applyAlignment="1" applyProtection="1">
      <alignment horizontal="left" vertical="center"/>
    </xf>
    <xf numFmtId="0" fontId="16" fillId="0" borderId="0" xfId="0" applyNumberFormat="1" applyFont="1" applyAlignment="1" applyProtection="1">
      <alignment horizontal="center" vertical="center"/>
    </xf>
    <xf numFmtId="0" fontId="1" fillId="0" borderId="0" xfId="0" applyNumberFormat="1" applyFont="1" applyAlignment="1">
      <alignment horizontal="center" vertical="center"/>
    </xf>
    <xf numFmtId="0" fontId="3" fillId="2" borderId="24" xfId="0" applyNumberFormat="1" applyFont="1" applyFill="1" applyBorder="1" applyAlignment="1">
      <alignment horizontal="center" vertical="center"/>
    </xf>
    <xf numFmtId="0" fontId="3" fillId="2" borderId="23" xfId="0" applyNumberFormat="1" applyFont="1" applyFill="1" applyBorder="1" applyAlignment="1">
      <alignment horizontal="center" vertical="center"/>
    </xf>
    <xf numFmtId="0" fontId="0" fillId="3" borderId="12" xfId="0" applyNumberFormat="1" applyFont="1" applyFill="1" applyBorder="1" applyAlignment="1" applyProtection="1">
      <alignment horizontal="center" vertical="center" wrapText="1"/>
    </xf>
    <xf numFmtId="0" fontId="0" fillId="3" borderId="13" xfId="0" applyNumberFormat="1" applyFont="1" applyFill="1" applyBorder="1" applyAlignment="1" applyProtection="1">
      <alignment horizontal="center" vertical="center"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4019549</xdr:colOff>
      <xdr:row>9</xdr:row>
      <xdr:rowOff>828675</xdr:rowOff>
    </xdr:to>
    <xdr:pic>
      <xdr:nvPicPr>
        <xdr:cNvPr id="1030" name="Object 6" hidden="1">
          <a:extLst>
            <a:ext uri="{FF2B5EF4-FFF2-40B4-BE49-F238E27FC236}">
              <a16:creationId xmlns:a16="http://schemas.microsoft.com/office/drawing/2014/main" id="{00000000-0008-0000-0000-00000604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8150678" cy="6395357"/>
        </a:xfrm>
        <a:prstGeom prst="rect">
          <a:avLst/>
        </a:prstGeom>
        <a:noFill/>
        <a:ln>
          <a:noFill/>
        </a:ln>
      </xdr:spPr>
    </xdr:pic>
    <xdr:clientData/>
  </xdr:twoCellAnchor>
  <xdr:twoCellAnchor>
    <xdr:from>
      <xdr:col>0</xdr:col>
      <xdr:colOff>0</xdr:colOff>
      <xdr:row>0</xdr:row>
      <xdr:rowOff>0</xdr:rowOff>
    </xdr:from>
    <xdr:to>
      <xdr:col>6</xdr:col>
      <xdr:colOff>523875</xdr:colOff>
      <xdr:row>9</xdr:row>
      <xdr:rowOff>828675</xdr:rowOff>
    </xdr:to>
    <xdr:sp macro="" textlink="">
      <xdr:nvSpPr>
        <xdr:cNvPr id="2" name="AutoShape 6">
          <a:extLst>
            <a:ext uri="{FF2B5EF4-FFF2-40B4-BE49-F238E27FC236}">
              <a16:creationId xmlns:a16="http://schemas.microsoft.com/office/drawing/2014/main" id="{00000000-0008-0000-0000-000002000000}"/>
            </a:ext>
          </a:extLst>
        </xdr:cNvPr>
        <xdr:cNvSpPr>
          <a:spLocks noChangeArrowheads="1"/>
        </xdr:cNvSpPr>
      </xdr:nvSpPr>
      <xdr:spPr>
        <a:xfrm>
          <a:off x="0" y="0"/>
          <a:ext cx="3592285" cy="6395357"/>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6</xdr:col>
      <xdr:colOff>523875</xdr:colOff>
      <xdr:row>9</xdr:row>
      <xdr:rowOff>828675</xdr:rowOff>
    </xdr:to>
    <xdr:sp macro="" textlink="">
      <xdr:nvSpPr>
        <xdr:cNvPr id="3" name="AutoShape 6">
          <a:extLst>
            <a:ext uri="{FF2B5EF4-FFF2-40B4-BE49-F238E27FC236}">
              <a16:creationId xmlns:a16="http://schemas.microsoft.com/office/drawing/2014/main" id="{00000000-0008-0000-0000-000003000000}"/>
            </a:ext>
          </a:extLst>
        </xdr:cNvPr>
        <xdr:cNvSpPr>
          <a:spLocks noChangeArrowheads="1"/>
        </xdr:cNvSpPr>
      </xdr:nvSpPr>
      <xdr:spPr>
        <a:xfrm>
          <a:off x="0" y="0"/>
          <a:ext cx="3592285" cy="6395357"/>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editAs="absolute">
    <xdr:from>
      <xdr:col>1</xdr:col>
      <xdr:colOff>28575</xdr:colOff>
      <xdr:row>0</xdr:row>
      <xdr:rowOff>257175</xdr:rowOff>
    </xdr:from>
    <xdr:to>
      <xdr:col>2</xdr:col>
      <xdr:colOff>800100</xdr:colOff>
      <xdr:row>1</xdr:row>
      <xdr:rowOff>200025</xdr:rowOff>
    </xdr:to>
    <xdr:sp macro="종합의견가져오기" textlink="">
      <xdr:nvSpPr>
        <xdr:cNvPr id="8" name="직사각형 7">
          <a:extLst>
            <a:ext uri="{FF2B5EF4-FFF2-40B4-BE49-F238E27FC236}">
              <a16:creationId xmlns:a16="http://schemas.microsoft.com/office/drawing/2014/main" id="{00000000-0008-0000-0000-000008000000}"/>
            </a:ext>
          </a:extLst>
        </xdr:cNvPr>
        <xdr:cNvSpPr>
          <a:spLocks noRot="1"/>
        </xdr:cNvSpPr>
      </xdr:nvSpPr>
      <xdr:spPr>
        <a:xfrm>
          <a:off x="108857" y="258535"/>
          <a:ext cx="1319892" cy="462642"/>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초안 만들기</a:t>
          </a:r>
        </a:p>
      </xdr:txBody>
    </xdr:sp>
    <xdr:clientData fPrintsWithSheet="0"/>
  </xdr:twoCellAnchor>
  <xdr:twoCellAnchor editAs="absolute">
    <xdr:from>
      <xdr:col>10</xdr:col>
      <xdr:colOff>47625</xdr:colOff>
      <xdr:row>0</xdr:row>
      <xdr:rowOff>47625</xdr:rowOff>
    </xdr:from>
    <xdr:to>
      <xdr:col>11</xdr:col>
      <xdr:colOff>581025</xdr:colOff>
      <xdr:row>3</xdr:row>
      <xdr:rowOff>352425</xdr:rowOff>
    </xdr:to>
    <xdr:sp macro="" textlink="">
      <xdr:nvSpPr>
        <xdr:cNvPr id="9" name="직사각형 8">
          <a:extLst>
            <a:ext uri="{FF2B5EF4-FFF2-40B4-BE49-F238E27FC236}">
              <a16:creationId xmlns:a16="http://schemas.microsoft.com/office/drawing/2014/main" id="{00000000-0008-0000-0000-000009000000}"/>
            </a:ext>
          </a:extLst>
        </xdr:cNvPr>
        <xdr:cNvSpPr>
          <a:spLocks noRot="1"/>
        </xdr:cNvSpPr>
      </xdr:nvSpPr>
      <xdr:spPr>
        <a:xfrm>
          <a:off x="12586607" y="40821"/>
          <a:ext cx="4762500" cy="159203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학생별 학습, 인성, 예체능 예시문 코드를 입력합니다.</a:t>
          </a:r>
        </a:p>
        <a:p>
          <a:pPr algn="l">
            <a:lnSpc>
              <a:spcPct val="100000"/>
            </a:lnSpc>
          </a:pPr>
          <a:r>
            <a:rPr sz="1100">
              <a:solidFill>
                <a:srgbClr val="000000"/>
              </a:solidFill>
              <a:latin typeface="Calibri"/>
              <a:ea typeface="Calibri"/>
            </a:rPr>
            <a:t>2. 상단에 있는 종합의견을 작성할 학생의 시작번호와 끝번호를 입력한 후 초안만들기 버튼을 끌릭하면 초안이 만들어 집니다.</a:t>
          </a:r>
        </a:p>
        <a:p>
          <a:pPr algn="l">
            <a:lnSpc>
              <a:spcPct val="100000"/>
            </a:lnSpc>
          </a:pPr>
          <a:r>
            <a:rPr sz="1100">
              <a:solidFill>
                <a:srgbClr val="000000"/>
              </a:solidFill>
              <a:latin typeface="Calibri"/>
              <a:ea typeface="Calibri"/>
            </a:rPr>
            <a:t>3. 초안작성 후 적당히 수정한 후 학생부에 붙여 넣기를 하면 됩니다.</a:t>
          </a:r>
        </a:p>
        <a:p>
          <a:pPr algn="l">
            <a:lnSpc>
              <a:spcPct val="100000"/>
            </a:lnSpc>
          </a:pPr>
          <a:r>
            <a:rPr sz="1100">
              <a:solidFill>
                <a:srgbClr val="000000"/>
              </a:solidFill>
              <a:latin typeface="Calibri"/>
              <a:ea typeface="Calibri"/>
            </a:rPr>
            <a:t># 주의 : 초안을 수정한 후 다시 만들기를 하면 수정된 내용이 초기화 됩니다.</a:t>
          </a: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6019800</xdr:colOff>
      <xdr:row>18</xdr:row>
      <xdr:rowOff>0</xdr:rowOff>
    </xdr:to>
    <xdr:sp macro="" textlink="">
      <xdr:nvSpPr>
        <xdr:cNvPr id="2" name="AutoShape 11">
          <a:extLst>
            <a:ext uri="{FF2B5EF4-FFF2-40B4-BE49-F238E27FC236}">
              <a16:creationId xmlns:a16="http://schemas.microsoft.com/office/drawing/2014/main" id="{00000000-0008-0000-0100-000002000000}"/>
            </a:ext>
          </a:extLst>
        </xdr:cNvPr>
        <xdr:cNvSpPr>
          <a:spLocks noChangeArrowheads="1"/>
        </xdr:cNvSpPr>
      </xdr:nvSpPr>
      <xdr:spPr>
        <a:xfrm>
          <a:off x="0" y="0"/>
          <a:ext cx="8822531" cy="523875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18</xdr:row>
      <xdr:rowOff>0</xdr:rowOff>
    </xdr:to>
    <xdr:sp macro="" textlink="">
      <xdr:nvSpPr>
        <xdr:cNvPr id="3" name="AutoShape 11">
          <a:extLst>
            <a:ext uri="{FF2B5EF4-FFF2-40B4-BE49-F238E27FC236}">
              <a16:creationId xmlns:a16="http://schemas.microsoft.com/office/drawing/2014/main" id="{00000000-0008-0000-0100-000003000000}"/>
            </a:ext>
          </a:extLst>
        </xdr:cNvPr>
        <xdr:cNvSpPr>
          <a:spLocks noChangeArrowheads="1"/>
        </xdr:cNvSpPr>
      </xdr:nvSpPr>
      <xdr:spPr>
        <a:xfrm>
          <a:off x="0" y="0"/>
          <a:ext cx="8822531" cy="5238750"/>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18</xdr:row>
      <xdr:rowOff>0</xdr:rowOff>
    </xdr:to>
    <xdr:sp macro="" textlink="">
      <xdr:nvSpPr>
        <xdr:cNvPr id="4" name="AutoShape 11">
          <a:extLst>
            <a:ext uri="{FF2B5EF4-FFF2-40B4-BE49-F238E27FC236}">
              <a16:creationId xmlns:a16="http://schemas.microsoft.com/office/drawing/2014/main" id="{00000000-0008-0000-0100-000004000000}"/>
            </a:ext>
          </a:extLst>
        </xdr:cNvPr>
        <xdr:cNvSpPr>
          <a:spLocks noChangeArrowheads="1"/>
        </xdr:cNvSpPr>
      </xdr:nvSpPr>
      <xdr:spPr>
        <a:xfrm>
          <a:off x="0" y="0"/>
          <a:ext cx="8822531" cy="523875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18</xdr:row>
      <xdr:rowOff>0</xdr:rowOff>
    </xdr:to>
    <xdr:sp macro="" textlink="">
      <xdr:nvSpPr>
        <xdr:cNvPr id="5" name="AutoShape 11">
          <a:extLst>
            <a:ext uri="{FF2B5EF4-FFF2-40B4-BE49-F238E27FC236}">
              <a16:creationId xmlns:a16="http://schemas.microsoft.com/office/drawing/2014/main" id="{00000000-0008-0000-0100-000005000000}"/>
            </a:ext>
          </a:extLst>
        </xdr:cNvPr>
        <xdr:cNvSpPr>
          <a:spLocks noChangeArrowheads="1"/>
        </xdr:cNvSpPr>
      </xdr:nvSpPr>
      <xdr:spPr>
        <a:xfrm>
          <a:off x="0" y="0"/>
          <a:ext cx="8822531" cy="523875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21</xdr:row>
      <xdr:rowOff>219075</xdr:rowOff>
    </xdr:to>
    <xdr:sp macro="" textlink="">
      <xdr:nvSpPr>
        <xdr:cNvPr id="6" name="AutoShape 14">
          <a:extLst>
            <a:ext uri="{FF2B5EF4-FFF2-40B4-BE49-F238E27FC236}">
              <a16:creationId xmlns:a16="http://schemas.microsoft.com/office/drawing/2014/main" id="{00000000-0008-0000-0100-000006000000}"/>
            </a:ext>
          </a:extLst>
        </xdr:cNvPr>
        <xdr:cNvSpPr>
          <a:spLocks noChangeArrowheads="1"/>
        </xdr:cNvSpPr>
      </xdr:nvSpPr>
      <xdr:spPr>
        <a:xfrm>
          <a:off x="0" y="0"/>
          <a:ext cx="9763125" cy="613171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21</xdr:row>
      <xdr:rowOff>219075</xdr:rowOff>
    </xdr:to>
    <xdr:sp macro="" textlink="">
      <xdr:nvSpPr>
        <xdr:cNvPr id="7" name="AutoShape 14">
          <a:extLst>
            <a:ext uri="{FF2B5EF4-FFF2-40B4-BE49-F238E27FC236}">
              <a16:creationId xmlns:a16="http://schemas.microsoft.com/office/drawing/2014/main" id="{00000000-0008-0000-0100-000007000000}"/>
            </a:ext>
          </a:extLst>
        </xdr:cNvPr>
        <xdr:cNvSpPr>
          <a:spLocks noChangeArrowheads="1"/>
        </xdr:cNvSpPr>
      </xdr:nvSpPr>
      <xdr:spPr>
        <a:xfrm>
          <a:off x="0" y="0"/>
          <a:ext cx="9763125" cy="613171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1</xdr:col>
      <xdr:colOff>1019175</xdr:colOff>
      <xdr:row>3</xdr:row>
      <xdr:rowOff>66675</xdr:rowOff>
    </xdr:from>
    <xdr:to>
      <xdr:col>1</xdr:col>
      <xdr:colOff>1885950</xdr:colOff>
      <xdr:row>3</xdr:row>
      <xdr:rowOff>381000</xdr:rowOff>
    </xdr:to>
    <xdr:sp macro="코드수정1" textlink="">
      <xdr:nvSpPr>
        <xdr:cNvPr id="8" name="직사각형 7">
          <a:extLst>
            <a:ext uri="{FF2B5EF4-FFF2-40B4-BE49-F238E27FC236}">
              <a16:creationId xmlns:a16="http://schemas.microsoft.com/office/drawing/2014/main" id="{00000000-0008-0000-0100-000008000000}"/>
            </a:ext>
          </a:extLst>
        </xdr:cNvPr>
        <xdr:cNvSpPr>
          <a:spLocks noRot="1"/>
        </xdr:cNvSpPr>
      </xdr:nvSpPr>
      <xdr:spPr>
        <a:xfrm>
          <a:off x="1905000" y="1464468"/>
          <a:ext cx="869156" cy="309562"/>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0</xdr:col>
      <xdr:colOff>28575</xdr:colOff>
      <xdr:row>0</xdr:row>
      <xdr:rowOff>57150</xdr:rowOff>
    </xdr:from>
    <xdr:to>
      <xdr:col>1</xdr:col>
      <xdr:colOff>628650</xdr:colOff>
      <xdr:row>0</xdr:row>
      <xdr:rowOff>514350</xdr:rowOff>
    </xdr:to>
    <xdr:sp macro="코드검색" textlink="">
      <xdr:nvSpPr>
        <xdr:cNvPr id="9" name="직사각형 8">
          <a:extLst>
            <a:ext uri="{FF2B5EF4-FFF2-40B4-BE49-F238E27FC236}">
              <a16:creationId xmlns:a16="http://schemas.microsoft.com/office/drawing/2014/main" id="{00000000-0008-0000-0100-000009000000}"/>
            </a:ext>
          </a:extLst>
        </xdr:cNvPr>
        <xdr:cNvSpPr>
          <a:spLocks noRot="1"/>
        </xdr:cNvSpPr>
      </xdr:nvSpPr>
      <xdr:spPr>
        <a:xfrm>
          <a:off x="23812" y="59531"/>
          <a:ext cx="1488281" cy="452437"/>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중심어 검색</a:t>
          </a:r>
        </a:p>
      </xdr:txBody>
    </xdr:sp>
    <xdr:clientData fPrintsWithSheet="0"/>
  </xdr:twoCellAnchor>
  <xdr:twoCellAnchor editAs="absolute">
    <xdr:from>
      <xdr:col>1</xdr:col>
      <xdr:colOff>790575</xdr:colOff>
      <xdr:row>0</xdr:row>
      <xdr:rowOff>57150</xdr:rowOff>
    </xdr:from>
    <xdr:to>
      <xdr:col>1</xdr:col>
      <xdr:colOff>1914525</xdr:colOff>
      <xdr:row>0</xdr:row>
      <xdr:rowOff>514350</xdr:rowOff>
    </xdr:to>
    <xdr:sp macro="검색취소" textlink="">
      <xdr:nvSpPr>
        <xdr:cNvPr id="10" name="직사각형 9">
          <a:extLst>
            <a:ext uri="{FF2B5EF4-FFF2-40B4-BE49-F238E27FC236}">
              <a16:creationId xmlns:a16="http://schemas.microsoft.com/office/drawing/2014/main" id="{00000000-0008-0000-0100-00000A000000}"/>
            </a:ext>
          </a:extLst>
        </xdr:cNvPr>
        <xdr:cNvSpPr>
          <a:spLocks noRot="1"/>
        </xdr:cNvSpPr>
      </xdr:nvSpPr>
      <xdr:spPr>
        <a:xfrm>
          <a:off x="1678781" y="59531"/>
          <a:ext cx="1119187" cy="452437"/>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fPrintsWithSheet="0"/>
  </xdr:twoCellAnchor>
  <xdr:twoCellAnchor editAs="absolute">
    <xdr:from>
      <xdr:col>3</xdr:col>
      <xdr:colOff>123824</xdr:colOff>
      <xdr:row>0</xdr:row>
      <xdr:rowOff>47625</xdr:rowOff>
    </xdr:from>
    <xdr:to>
      <xdr:col>10</xdr:col>
      <xdr:colOff>190500</xdr:colOff>
      <xdr:row>5</xdr:row>
      <xdr:rowOff>333375</xdr:rowOff>
    </xdr:to>
    <xdr:sp macro="" textlink="">
      <xdr:nvSpPr>
        <xdr:cNvPr id="12" name="직사각형 11">
          <a:extLst>
            <a:ext uri="{FF2B5EF4-FFF2-40B4-BE49-F238E27FC236}">
              <a16:creationId xmlns:a16="http://schemas.microsoft.com/office/drawing/2014/main" id="{00000000-0008-0000-0100-00000C000000}"/>
            </a:ext>
          </a:extLst>
        </xdr:cNvPr>
        <xdr:cNvSpPr>
          <a:spLocks noRot="1"/>
        </xdr:cNvSpPr>
      </xdr:nvSpPr>
      <xdr:spPr>
        <a:xfrm>
          <a:off x="9882187" y="47625"/>
          <a:ext cx="4738687" cy="221456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중심어 </a:t>
          </a:r>
          <a:r>
            <a:rPr sz="1100">
              <a:solidFill>
                <a:srgbClr val="000000"/>
              </a:solidFill>
              <a:latin typeface="맑은 고딕"/>
              <a:ea typeface="맑은 고딕"/>
            </a:rPr>
            <a:t>검색 </a:t>
          </a:r>
          <a:r>
            <a:rPr sz="1100">
              <a:solidFill>
                <a:srgbClr val="000000"/>
              </a:solidFill>
              <a:latin typeface="Calibri"/>
              <a:ea typeface="Calibri"/>
            </a:rPr>
            <a:t>: 중심어를 </a:t>
          </a:r>
          <a:r>
            <a:rPr sz="1100">
              <a:solidFill>
                <a:srgbClr val="000000"/>
              </a:solidFill>
              <a:latin typeface="맑은 고딕"/>
              <a:ea typeface="맑은 고딕"/>
            </a:rPr>
            <a:t>입력하여 관련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검색취소 : </a:t>
          </a:r>
          <a:r>
            <a:rPr sz="1100">
              <a:solidFill>
                <a:srgbClr val="000000"/>
              </a:solidFill>
              <a:latin typeface="맑은 고딕"/>
              <a:ea typeface="맑은 고딕"/>
            </a:rPr>
            <a:t>검색내용을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 변경하기 :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변경하기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개인별 예시문 코드가 새로운 코드로 변경되며 종합의견 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 삭제가 가능합니다</a:t>
          </a:r>
          <a:r>
            <a:rPr sz="1100">
              <a:solidFill>
                <a:srgbClr val="000000"/>
              </a:solidFill>
              <a:latin typeface="Calibri"/>
              <a:ea typeface="Calibri"/>
            </a:rPr>
            <a:t>.</a:t>
          </a: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6019800</xdr:colOff>
      <xdr:row>20</xdr:row>
      <xdr:rowOff>152400</xdr:rowOff>
    </xdr:to>
    <xdr:pic>
      <xdr:nvPicPr>
        <xdr:cNvPr id="3083" name="Object 11" hidden="1">
          <a:extLst>
            <a:ext uri="{FF2B5EF4-FFF2-40B4-BE49-F238E27FC236}">
              <a16:creationId xmlns:a16="http://schemas.microsoft.com/office/drawing/2014/main" id="{00000000-0008-0000-0200-00000B0C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8822531" cy="8322468"/>
        </a:xfrm>
        <a:prstGeom prst="rect">
          <a:avLst/>
        </a:prstGeom>
        <a:noFill/>
        <a:ln>
          <a:noFill/>
        </a:ln>
      </xdr:spPr>
    </xdr:pic>
    <xdr:clientData/>
  </xdr:twoCellAnchor>
  <xdr:twoCellAnchor>
    <xdr:from>
      <xdr:col>0</xdr:col>
      <xdr:colOff>0</xdr:colOff>
      <xdr:row>0</xdr:row>
      <xdr:rowOff>0</xdr:rowOff>
    </xdr:from>
    <xdr:to>
      <xdr:col>2</xdr:col>
      <xdr:colOff>6019800</xdr:colOff>
      <xdr:row>20</xdr:row>
      <xdr:rowOff>152400</xdr:rowOff>
    </xdr:to>
    <xdr:sp macro="" textlink="">
      <xdr:nvSpPr>
        <xdr:cNvPr id="2" name="AutoShape 11">
          <a:extLst>
            <a:ext uri="{FF2B5EF4-FFF2-40B4-BE49-F238E27FC236}">
              <a16:creationId xmlns:a16="http://schemas.microsoft.com/office/drawing/2014/main" id="{00000000-0008-0000-0200-000002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3" name="AutoShape 11">
          <a:extLst>
            <a:ext uri="{FF2B5EF4-FFF2-40B4-BE49-F238E27FC236}">
              <a16:creationId xmlns:a16="http://schemas.microsoft.com/office/drawing/2014/main" id="{00000000-0008-0000-0200-000003000000}"/>
            </a:ext>
          </a:extLst>
        </xdr:cNvPr>
        <xdr:cNvSpPr>
          <a:spLocks noChangeArrowheads="1"/>
        </xdr:cNvSpPr>
      </xdr:nvSpPr>
      <xdr:spPr>
        <a:xfrm>
          <a:off x="0" y="0"/>
          <a:ext cx="8822531" cy="8322468"/>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4" name="AutoShape 11">
          <a:extLst>
            <a:ext uri="{FF2B5EF4-FFF2-40B4-BE49-F238E27FC236}">
              <a16:creationId xmlns:a16="http://schemas.microsoft.com/office/drawing/2014/main" id="{00000000-0008-0000-0200-000004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5" name="AutoShape 11">
          <a:extLst>
            <a:ext uri="{FF2B5EF4-FFF2-40B4-BE49-F238E27FC236}">
              <a16:creationId xmlns:a16="http://schemas.microsoft.com/office/drawing/2014/main" id="{00000000-0008-0000-0200-000005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pic>
      <xdr:nvPicPr>
        <xdr:cNvPr id="3086" name="Object 14" hidden="1">
          <a:extLst>
            <a:ext uri="{FF2B5EF4-FFF2-40B4-BE49-F238E27FC236}">
              <a16:creationId xmlns:a16="http://schemas.microsoft.com/office/drawing/2014/main" id="{00000000-0008-0000-0200-00000E0C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9763125" cy="9525000"/>
        </a:xfrm>
        <a:prstGeom prst="rect">
          <a:avLst/>
        </a:prstGeom>
        <a:noFill/>
        <a:ln>
          <a:noFill/>
        </a:ln>
      </xdr:spPr>
    </xdr:pic>
    <xdr:clientData/>
  </xdr:twoCellAnchor>
  <xdr:twoCellAnchor>
    <xdr:from>
      <xdr:col>0</xdr:col>
      <xdr:colOff>0</xdr:colOff>
      <xdr:row>0</xdr:row>
      <xdr:rowOff>0</xdr:rowOff>
    </xdr:from>
    <xdr:to>
      <xdr:col>3</xdr:col>
      <xdr:colOff>0</xdr:colOff>
      <xdr:row>24</xdr:row>
      <xdr:rowOff>219075</xdr:rowOff>
    </xdr:to>
    <xdr:pic>
      <xdr:nvPicPr>
        <xdr:cNvPr id="6" name="Object 14" hidden="1">
          <a:extLst>
            <a:ext uri="{FF2B5EF4-FFF2-40B4-BE49-F238E27FC236}">
              <a16:creationId xmlns:a16="http://schemas.microsoft.com/office/drawing/2014/main" id="{00000000-0008-0000-0200-00000600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9763125" cy="9525000"/>
        </a:xfrm>
        <a:prstGeom prst="rect">
          <a:avLst/>
        </a:prstGeom>
        <a:noFill/>
        <a:ln>
          <a:noFill/>
        </a:ln>
      </xdr:spPr>
    </xdr:pic>
    <xdr:clientData/>
  </xdr:twoCellAnchor>
  <xdr:twoCellAnchor>
    <xdr:from>
      <xdr:col>0</xdr:col>
      <xdr:colOff>0</xdr:colOff>
      <xdr:row>0</xdr:row>
      <xdr:rowOff>0</xdr:rowOff>
    </xdr:from>
    <xdr:to>
      <xdr:col>3</xdr:col>
      <xdr:colOff>0</xdr:colOff>
      <xdr:row>24</xdr:row>
      <xdr:rowOff>219075</xdr:rowOff>
    </xdr:to>
    <xdr:sp macro="" textlink="">
      <xdr:nvSpPr>
        <xdr:cNvPr id="7" name="AutoShape 14">
          <a:extLst>
            <a:ext uri="{FF2B5EF4-FFF2-40B4-BE49-F238E27FC236}">
              <a16:creationId xmlns:a16="http://schemas.microsoft.com/office/drawing/2014/main" id="{00000000-0008-0000-0200-000007000000}"/>
            </a:ext>
          </a:extLst>
        </xdr:cNvPr>
        <xdr:cNvSpPr>
          <a:spLocks noChangeArrowheads="1"/>
        </xdr:cNvSpPr>
      </xdr:nvSpPr>
      <xdr:spPr>
        <a:xfrm>
          <a:off x="0" y="0"/>
          <a:ext cx="9763125" cy="952500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sp macro="" textlink="">
      <xdr:nvSpPr>
        <xdr:cNvPr id="9" name="AutoShape 14">
          <a:extLst>
            <a:ext uri="{FF2B5EF4-FFF2-40B4-BE49-F238E27FC236}">
              <a16:creationId xmlns:a16="http://schemas.microsoft.com/office/drawing/2014/main" id="{00000000-0008-0000-0200-000009000000}"/>
            </a:ext>
          </a:extLst>
        </xdr:cNvPr>
        <xdr:cNvSpPr>
          <a:spLocks noChangeArrowheads="1"/>
        </xdr:cNvSpPr>
      </xdr:nvSpPr>
      <xdr:spPr>
        <a:xfrm>
          <a:off x="0" y="0"/>
          <a:ext cx="9763125" cy="952500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1</xdr:col>
      <xdr:colOff>1019175</xdr:colOff>
      <xdr:row>3</xdr:row>
      <xdr:rowOff>66675</xdr:rowOff>
    </xdr:from>
    <xdr:to>
      <xdr:col>1</xdr:col>
      <xdr:colOff>1885950</xdr:colOff>
      <xdr:row>3</xdr:row>
      <xdr:rowOff>381000</xdr:rowOff>
    </xdr:to>
    <xdr:sp macro="코드수정2" textlink="">
      <xdr:nvSpPr>
        <xdr:cNvPr id="17" name="직사각형 16">
          <a:extLst>
            <a:ext uri="{FF2B5EF4-FFF2-40B4-BE49-F238E27FC236}">
              <a16:creationId xmlns:a16="http://schemas.microsoft.com/office/drawing/2014/main" id="{00000000-0008-0000-0200-000011000000}"/>
            </a:ext>
          </a:extLst>
        </xdr:cNvPr>
        <xdr:cNvSpPr>
          <a:spLocks noRot="1"/>
        </xdr:cNvSpPr>
      </xdr:nvSpPr>
      <xdr:spPr>
        <a:xfrm>
          <a:off x="1905000" y="1464468"/>
          <a:ext cx="869156" cy="309562"/>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0</xdr:col>
      <xdr:colOff>26670</xdr:colOff>
      <xdr:row>0</xdr:row>
      <xdr:rowOff>53340</xdr:rowOff>
    </xdr:from>
    <xdr:to>
      <xdr:col>1</xdr:col>
      <xdr:colOff>624840</xdr:colOff>
      <xdr:row>0</xdr:row>
      <xdr:rowOff>510540</xdr:rowOff>
    </xdr:to>
    <xdr:sp macro="코드검색" textlink="">
      <xdr:nvSpPr>
        <xdr:cNvPr id="18" name="직사각형 17">
          <a:extLst>
            <a:ext uri="{FF2B5EF4-FFF2-40B4-BE49-F238E27FC236}">
              <a16:creationId xmlns:a16="http://schemas.microsoft.com/office/drawing/2014/main" id="{00000000-0008-0000-0200-000012000000}"/>
            </a:ext>
          </a:extLst>
        </xdr:cNvPr>
        <xdr:cNvSpPr>
          <a:spLocks noRot="1"/>
        </xdr:cNvSpPr>
      </xdr:nvSpPr>
      <xdr:spPr>
        <a:xfrm>
          <a:off x="23812" y="59531"/>
          <a:ext cx="1488281" cy="452437"/>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중심어 검색</a:t>
          </a:r>
        </a:p>
      </xdr:txBody>
    </xdr:sp>
    <xdr:clientData fPrintsWithSheet="0"/>
  </xdr:twoCellAnchor>
  <xdr:twoCellAnchor editAs="absolute">
    <xdr:from>
      <xdr:col>1</xdr:col>
      <xdr:colOff>788670</xdr:colOff>
      <xdr:row>0</xdr:row>
      <xdr:rowOff>53340</xdr:rowOff>
    </xdr:from>
    <xdr:to>
      <xdr:col>1</xdr:col>
      <xdr:colOff>1916430</xdr:colOff>
      <xdr:row>0</xdr:row>
      <xdr:rowOff>510540</xdr:rowOff>
    </xdr:to>
    <xdr:sp macro="검색취소" textlink="">
      <xdr:nvSpPr>
        <xdr:cNvPr id="19" name="직사각형 18">
          <a:extLst>
            <a:ext uri="{FF2B5EF4-FFF2-40B4-BE49-F238E27FC236}">
              <a16:creationId xmlns:a16="http://schemas.microsoft.com/office/drawing/2014/main" id="{00000000-0008-0000-0200-000013000000}"/>
            </a:ext>
          </a:extLst>
        </xdr:cNvPr>
        <xdr:cNvSpPr>
          <a:spLocks noRot="1"/>
        </xdr:cNvSpPr>
      </xdr:nvSpPr>
      <xdr:spPr>
        <a:xfrm>
          <a:off x="1678781" y="59531"/>
          <a:ext cx="1119187" cy="452437"/>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fPrintsWithSheet="0"/>
  </xdr:twoCellAnchor>
  <xdr:twoCellAnchor editAs="absolute">
    <xdr:from>
      <xdr:col>3</xdr:col>
      <xdr:colOff>140970</xdr:colOff>
      <xdr:row>0</xdr:row>
      <xdr:rowOff>76200</xdr:rowOff>
    </xdr:from>
    <xdr:to>
      <xdr:col>10</xdr:col>
      <xdr:colOff>205740</xdr:colOff>
      <xdr:row>5</xdr:row>
      <xdr:rowOff>358140</xdr:rowOff>
    </xdr:to>
    <xdr:sp macro="" textlink="">
      <xdr:nvSpPr>
        <xdr:cNvPr id="20" name="직사각형 19">
          <a:extLst>
            <a:ext uri="{FF2B5EF4-FFF2-40B4-BE49-F238E27FC236}">
              <a16:creationId xmlns:a16="http://schemas.microsoft.com/office/drawing/2014/main" id="{00000000-0008-0000-0200-000014000000}"/>
            </a:ext>
          </a:extLst>
        </xdr:cNvPr>
        <xdr:cNvSpPr>
          <a:spLocks noRot="1"/>
        </xdr:cNvSpPr>
      </xdr:nvSpPr>
      <xdr:spPr>
        <a:xfrm>
          <a:off x="9906000" y="71437"/>
          <a:ext cx="4738687" cy="221456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중심어 </a:t>
          </a:r>
          <a:r>
            <a:rPr sz="1100">
              <a:solidFill>
                <a:srgbClr val="000000"/>
              </a:solidFill>
              <a:latin typeface="맑은 고딕"/>
              <a:ea typeface="맑은 고딕"/>
            </a:rPr>
            <a:t>검색 </a:t>
          </a:r>
          <a:r>
            <a:rPr sz="1100">
              <a:solidFill>
                <a:srgbClr val="000000"/>
              </a:solidFill>
              <a:latin typeface="Calibri"/>
              <a:ea typeface="Calibri"/>
            </a:rPr>
            <a:t>: 중심어를 </a:t>
          </a:r>
          <a:r>
            <a:rPr sz="1100">
              <a:solidFill>
                <a:srgbClr val="000000"/>
              </a:solidFill>
              <a:latin typeface="맑은 고딕"/>
              <a:ea typeface="맑은 고딕"/>
            </a:rPr>
            <a:t>입력하여 관련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검색취소 : </a:t>
          </a:r>
          <a:r>
            <a:rPr sz="1100">
              <a:solidFill>
                <a:srgbClr val="000000"/>
              </a:solidFill>
              <a:latin typeface="맑은 고딕"/>
              <a:ea typeface="맑은 고딕"/>
            </a:rPr>
            <a:t>검색내용을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 변경하기 :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변경하기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개인별 예시문 코드가 새로운 코드로 변경되며 종합의견 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 삭제가 가능합니다</a:t>
          </a:r>
          <a:r>
            <a:rPr sz="1100">
              <a:solidFill>
                <a:srgbClr val="000000"/>
              </a:solidFill>
              <a:latin typeface="Calibri"/>
              <a:ea typeface="Calibri"/>
            </a:rPr>
            <a:t>.</a:t>
          </a: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6019800</xdr:colOff>
      <xdr:row>20</xdr:row>
      <xdr:rowOff>152400</xdr:rowOff>
    </xdr:to>
    <xdr:sp macro="" textlink="">
      <xdr:nvSpPr>
        <xdr:cNvPr id="2" name="AutoShape 11">
          <a:extLst>
            <a:ext uri="{FF2B5EF4-FFF2-40B4-BE49-F238E27FC236}">
              <a16:creationId xmlns:a16="http://schemas.microsoft.com/office/drawing/2014/main" id="{00000000-0008-0000-0300-000002000000}"/>
            </a:ext>
          </a:extLst>
        </xdr:cNvPr>
        <xdr:cNvSpPr>
          <a:spLocks noChangeArrowheads="1"/>
        </xdr:cNvSpPr>
      </xdr:nvSpPr>
      <xdr:spPr>
        <a:xfrm>
          <a:off x="0" y="0"/>
          <a:ext cx="8822531" cy="8310562"/>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3" name="AutoShape 11">
          <a:extLst>
            <a:ext uri="{FF2B5EF4-FFF2-40B4-BE49-F238E27FC236}">
              <a16:creationId xmlns:a16="http://schemas.microsoft.com/office/drawing/2014/main" id="{00000000-0008-0000-0300-000003000000}"/>
            </a:ext>
          </a:extLst>
        </xdr:cNvPr>
        <xdr:cNvSpPr>
          <a:spLocks noChangeArrowheads="1"/>
        </xdr:cNvSpPr>
      </xdr:nvSpPr>
      <xdr:spPr>
        <a:xfrm>
          <a:off x="0" y="0"/>
          <a:ext cx="8822531" cy="8310562"/>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4" name="AutoShape 11">
          <a:extLst>
            <a:ext uri="{FF2B5EF4-FFF2-40B4-BE49-F238E27FC236}">
              <a16:creationId xmlns:a16="http://schemas.microsoft.com/office/drawing/2014/main" id="{00000000-0008-0000-0300-000004000000}"/>
            </a:ext>
          </a:extLst>
        </xdr:cNvPr>
        <xdr:cNvSpPr>
          <a:spLocks noChangeArrowheads="1"/>
        </xdr:cNvSpPr>
      </xdr:nvSpPr>
      <xdr:spPr>
        <a:xfrm>
          <a:off x="0" y="0"/>
          <a:ext cx="8822531" cy="8310562"/>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5" name="AutoShape 11">
          <a:extLst>
            <a:ext uri="{FF2B5EF4-FFF2-40B4-BE49-F238E27FC236}">
              <a16:creationId xmlns:a16="http://schemas.microsoft.com/office/drawing/2014/main" id="{00000000-0008-0000-0300-000005000000}"/>
            </a:ext>
          </a:extLst>
        </xdr:cNvPr>
        <xdr:cNvSpPr>
          <a:spLocks noChangeArrowheads="1"/>
        </xdr:cNvSpPr>
      </xdr:nvSpPr>
      <xdr:spPr>
        <a:xfrm>
          <a:off x="0" y="0"/>
          <a:ext cx="8822531" cy="8310562"/>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sp macro="" textlink="">
      <xdr:nvSpPr>
        <xdr:cNvPr id="6" name="AutoShape 14">
          <a:extLst>
            <a:ext uri="{FF2B5EF4-FFF2-40B4-BE49-F238E27FC236}">
              <a16:creationId xmlns:a16="http://schemas.microsoft.com/office/drawing/2014/main" id="{00000000-0008-0000-0300-000006000000}"/>
            </a:ext>
          </a:extLst>
        </xdr:cNvPr>
        <xdr:cNvSpPr>
          <a:spLocks noChangeArrowheads="1"/>
        </xdr:cNvSpPr>
      </xdr:nvSpPr>
      <xdr:spPr>
        <a:xfrm>
          <a:off x="0" y="0"/>
          <a:ext cx="9763125" cy="9513094"/>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sp macro="" textlink="">
      <xdr:nvSpPr>
        <xdr:cNvPr id="7" name="AutoShape 14">
          <a:extLst>
            <a:ext uri="{FF2B5EF4-FFF2-40B4-BE49-F238E27FC236}">
              <a16:creationId xmlns:a16="http://schemas.microsoft.com/office/drawing/2014/main" id="{00000000-0008-0000-0300-000007000000}"/>
            </a:ext>
          </a:extLst>
        </xdr:cNvPr>
        <xdr:cNvSpPr>
          <a:spLocks noChangeArrowheads="1"/>
        </xdr:cNvSpPr>
      </xdr:nvSpPr>
      <xdr:spPr>
        <a:xfrm>
          <a:off x="0" y="0"/>
          <a:ext cx="9763125" cy="9513094"/>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1</xdr:col>
      <xdr:colOff>1019175</xdr:colOff>
      <xdr:row>3</xdr:row>
      <xdr:rowOff>66675</xdr:rowOff>
    </xdr:from>
    <xdr:to>
      <xdr:col>1</xdr:col>
      <xdr:colOff>1885950</xdr:colOff>
      <xdr:row>3</xdr:row>
      <xdr:rowOff>381000</xdr:rowOff>
    </xdr:to>
    <xdr:sp macro="코드수정3" textlink="">
      <xdr:nvSpPr>
        <xdr:cNvPr id="8" name="직사각형 7">
          <a:extLst>
            <a:ext uri="{FF2B5EF4-FFF2-40B4-BE49-F238E27FC236}">
              <a16:creationId xmlns:a16="http://schemas.microsoft.com/office/drawing/2014/main" id="{00000000-0008-0000-0300-000008000000}"/>
            </a:ext>
          </a:extLst>
        </xdr:cNvPr>
        <xdr:cNvSpPr>
          <a:spLocks noRot="1"/>
        </xdr:cNvSpPr>
      </xdr:nvSpPr>
      <xdr:spPr>
        <a:xfrm>
          <a:off x="1905000" y="1464468"/>
          <a:ext cx="869156" cy="309562"/>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0</xdr:col>
      <xdr:colOff>26670</xdr:colOff>
      <xdr:row>0</xdr:row>
      <xdr:rowOff>53340</xdr:rowOff>
    </xdr:from>
    <xdr:to>
      <xdr:col>1</xdr:col>
      <xdr:colOff>624840</xdr:colOff>
      <xdr:row>0</xdr:row>
      <xdr:rowOff>510540</xdr:rowOff>
    </xdr:to>
    <xdr:sp macro="코드검색" textlink="">
      <xdr:nvSpPr>
        <xdr:cNvPr id="9" name="직사각형 8">
          <a:extLst>
            <a:ext uri="{FF2B5EF4-FFF2-40B4-BE49-F238E27FC236}">
              <a16:creationId xmlns:a16="http://schemas.microsoft.com/office/drawing/2014/main" id="{00000000-0008-0000-0300-000009000000}"/>
            </a:ext>
          </a:extLst>
        </xdr:cNvPr>
        <xdr:cNvSpPr>
          <a:spLocks noRot="1"/>
        </xdr:cNvSpPr>
      </xdr:nvSpPr>
      <xdr:spPr>
        <a:xfrm>
          <a:off x="23812" y="59531"/>
          <a:ext cx="1488281" cy="452437"/>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중심어 검색</a:t>
          </a:r>
        </a:p>
      </xdr:txBody>
    </xdr:sp>
    <xdr:clientData fPrintsWithSheet="0"/>
  </xdr:twoCellAnchor>
  <xdr:twoCellAnchor editAs="absolute">
    <xdr:from>
      <xdr:col>1</xdr:col>
      <xdr:colOff>788670</xdr:colOff>
      <xdr:row>0</xdr:row>
      <xdr:rowOff>53340</xdr:rowOff>
    </xdr:from>
    <xdr:to>
      <xdr:col>1</xdr:col>
      <xdr:colOff>1916430</xdr:colOff>
      <xdr:row>0</xdr:row>
      <xdr:rowOff>510540</xdr:rowOff>
    </xdr:to>
    <xdr:sp macro="검색취소" textlink="">
      <xdr:nvSpPr>
        <xdr:cNvPr id="10" name="직사각형 9">
          <a:extLst>
            <a:ext uri="{FF2B5EF4-FFF2-40B4-BE49-F238E27FC236}">
              <a16:creationId xmlns:a16="http://schemas.microsoft.com/office/drawing/2014/main" id="{00000000-0008-0000-0300-00000A000000}"/>
            </a:ext>
          </a:extLst>
        </xdr:cNvPr>
        <xdr:cNvSpPr>
          <a:spLocks noRot="1"/>
        </xdr:cNvSpPr>
      </xdr:nvSpPr>
      <xdr:spPr>
        <a:xfrm>
          <a:off x="1678781" y="59531"/>
          <a:ext cx="1119187" cy="452437"/>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fPrintsWithSheet="0"/>
  </xdr:twoCellAnchor>
  <xdr:twoCellAnchor editAs="absolute">
    <xdr:from>
      <xdr:col>3</xdr:col>
      <xdr:colOff>140970</xdr:colOff>
      <xdr:row>0</xdr:row>
      <xdr:rowOff>76200</xdr:rowOff>
    </xdr:from>
    <xdr:to>
      <xdr:col>10</xdr:col>
      <xdr:colOff>205740</xdr:colOff>
      <xdr:row>6</xdr:row>
      <xdr:rowOff>953</xdr:rowOff>
    </xdr:to>
    <xdr:sp macro="" textlink="">
      <xdr:nvSpPr>
        <xdr:cNvPr id="11" name="직사각형 10">
          <a:extLst>
            <a:ext uri="{FF2B5EF4-FFF2-40B4-BE49-F238E27FC236}">
              <a16:creationId xmlns:a16="http://schemas.microsoft.com/office/drawing/2014/main" id="{00000000-0008-0000-0300-00000B000000}"/>
            </a:ext>
          </a:extLst>
        </xdr:cNvPr>
        <xdr:cNvSpPr>
          <a:spLocks noRot="1"/>
        </xdr:cNvSpPr>
      </xdr:nvSpPr>
      <xdr:spPr>
        <a:xfrm>
          <a:off x="9906000" y="71437"/>
          <a:ext cx="4738687" cy="221456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중심어 </a:t>
          </a:r>
          <a:r>
            <a:rPr sz="1100">
              <a:solidFill>
                <a:srgbClr val="000000"/>
              </a:solidFill>
              <a:latin typeface="맑은 고딕"/>
              <a:ea typeface="맑은 고딕"/>
            </a:rPr>
            <a:t>검색 </a:t>
          </a:r>
          <a:r>
            <a:rPr sz="1100">
              <a:solidFill>
                <a:srgbClr val="000000"/>
              </a:solidFill>
              <a:latin typeface="Calibri"/>
              <a:ea typeface="Calibri"/>
            </a:rPr>
            <a:t>: 중심어를 </a:t>
          </a:r>
          <a:r>
            <a:rPr sz="1100">
              <a:solidFill>
                <a:srgbClr val="000000"/>
              </a:solidFill>
              <a:latin typeface="맑은 고딕"/>
              <a:ea typeface="맑은 고딕"/>
            </a:rPr>
            <a:t>입력하여 관련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검색취소 : </a:t>
          </a:r>
          <a:r>
            <a:rPr sz="1100">
              <a:solidFill>
                <a:srgbClr val="000000"/>
              </a:solidFill>
              <a:latin typeface="맑은 고딕"/>
              <a:ea typeface="맑은 고딕"/>
            </a:rPr>
            <a:t>검색내용을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 변경하기 :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변경하기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개인별 예시문 코드가 새로운 코드로 변경되며 종합의견 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 삭제가 가능합니다</a:t>
          </a:r>
          <a:r>
            <a:rPr sz="1100">
              <a:solidFill>
                <a:srgbClr val="000000"/>
              </a:solidFill>
              <a:latin typeface="Calibri"/>
              <a:ea typeface="Calibri"/>
            </a:rPr>
            <a:t>.</a:t>
          </a: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6019800</xdr:colOff>
      <xdr:row>20</xdr:row>
      <xdr:rowOff>152400</xdr:rowOff>
    </xdr:to>
    <xdr:sp macro="" textlink="">
      <xdr:nvSpPr>
        <xdr:cNvPr id="2" name="AutoShape 11">
          <a:extLst>
            <a:ext uri="{FF2B5EF4-FFF2-40B4-BE49-F238E27FC236}">
              <a16:creationId xmlns:a16="http://schemas.microsoft.com/office/drawing/2014/main" id="{00000000-0008-0000-0400-000002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3" name="AutoShape 11">
          <a:extLst>
            <a:ext uri="{FF2B5EF4-FFF2-40B4-BE49-F238E27FC236}">
              <a16:creationId xmlns:a16="http://schemas.microsoft.com/office/drawing/2014/main" id="{00000000-0008-0000-0400-000003000000}"/>
            </a:ext>
          </a:extLst>
        </xdr:cNvPr>
        <xdr:cNvSpPr>
          <a:spLocks noChangeArrowheads="1"/>
        </xdr:cNvSpPr>
      </xdr:nvSpPr>
      <xdr:spPr>
        <a:xfrm>
          <a:off x="0" y="0"/>
          <a:ext cx="8822531" cy="8322468"/>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4" name="AutoShape 11">
          <a:extLst>
            <a:ext uri="{FF2B5EF4-FFF2-40B4-BE49-F238E27FC236}">
              <a16:creationId xmlns:a16="http://schemas.microsoft.com/office/drawing/2014/main" id="{00000000-0008-0000-0400-000004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5" name="AutoShape 11">
          <a:extLst>
            <a:ext uri="{FF2B5EF4-FFF2-40B4-BE49-F238E27FC236}">
              <a16:creationId xmlns:a16="http://schemas.microsoft.com/office/drawing/2014/main" id="{00000000-0008-0000-0400-000005000000}"/>
            </a:ext>
          </a:extLst>
        </xdr:cNvPr>
        <xdr:cNvSpPr>
          <a:spLocks noChangeArrowheads="1"/>
        </xdr:cNvSpPr>
      </xdr:nvSpPr>
      <xdr:spPr>
        <a:xfrm>
          <a:off x="0" y="0"/>
          <a:ext cx="8822531" cy="8322468"/>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sp macro="" textlink="">
      <xdr:nvSpPr>
        <xdr:cNvPr id="6" name="AutoShape 14">
          <a:extLst>
            <a:ext uri="{FF2B5EF4-FFF2-40B4-BE49-F238E27FC236}">
              <a16:creationId xmlns:a16="http://schemas.microsoft.com/office/drawing/2014/main" id="{00000000-0008-0000-0400-000006000000}"/>
            </a:ext>
          </a:extLst>
        </xdr:cNvPr>
        <xdr:cNvSpPr>
          <a:spLocks noChangeArrowheads="1"/>
        </xdr:cNvSpPr>
      </xdr:nvSpPr>
      <xdr:spPr>
        <a:xfrm>
          <a:off x="0" y="0"/>
          <a:ext cx="9763125" cy="952500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219075</xdr:rowOff>
    </xdr:to>
    <xdr:sp macro="" textlink="">
      <xdr:nvSpPr>
        <xdr:cNvPr id="7" name="AutoShape 14">
          <a:extLst>
            <a:ext uri="{FF2B5EF4-FFF2-40B4-BE49-F238E27FC236}">
              <a16:creationId xmlns:a16="http://schemas.microsoft.com/office/drawing/2014/main" id="{00000000-0008-0000-0400-000007000000}"/>
            </a:ext>
          </a:extLst>
        </xdr:cNvPr>
        <xdr:cNvSpPr>
          <a:spLocks noChangeArrowheads="1"/>
        </xdr:cNvSpPr>
      </xdr:nvSpPr>
      <xdr:spPr>
        <a:xfrm>
          <a:off x="0" y="0"/>
          <a:ext cx="9763125" cy="952500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1</xdr:col>
      <xdr:colOff>1019175</xdr:colOff>
      <xdr:row>3</xdr:row>
      <xdr:rowOff>66675</xdr:rowOff>
    </xdr:from>
    <xdr:to>
      <xdr:col>1</xdr:col>
      <xdr:colOff>1885950</xdr:colOff>
      <xdr:row>3</xdr:row>
      <xdr:rowOff>381000</xdr:rowOff>
    </xdr:to>
    <xdr:sp macro="코드수정4" textlink="">
      <xdr:nvSpPr>
        <xdr:cNvPr id="8" name="직사각형 7">
          <a:extLst>
            <a:ext uri="{FF2B5EF4-FFF2-40B4-BE49-F238E27FC236}">
              <a16:creationId xmlns:a16="http://schemas.microsoft.com/office/drawing/2014/main" id="{00000000-0008-0000-0400-000008000000}"/>
            </a:ext>
          </a:extLst>
        </xdr:cNvPr>
        <xdr:cNvSpPr>
          <a:spLocks noRot="1"/>
        </xdr:cNvSpPr>
      </xdr:nvSpPr>
      <xdr:spPr>
        <a:xfrm>
          <a:off x="1905000" y="1464468"/>
          <a:ext cx="869156" cy="309562"/>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0</xdr:col>
      <xdr:colOff>26670</xdr:colOff>
      <xdr:row>0</xdr:row>
      <xdr:rowOff>53340</xdr:rowOff>
    </xdr:from>
    <xdr:to>
      <xdr:col>1</xdr:col>
      <xdr:colOff>624840</xdr:colOff>
      <xdr:row>0</xdr:row>
      <xdr:rowOff>510540</xdr:rowOff>
    </xdr:to>
    <xdr:sp macro="코드검색" textlink="">
      <xdr:nvSpPr>
        <xdr:cNvPr id="9" name="직사각형 8">
          <a:extLst>
            <a:ext uri="{FF2B5EF4-FFF2-40B4-BE49-F238E27FC236}">
              <a16:creationId xmlns:a16="http://schemas.microsoft.com/office/drawing/2014/main" id="{00000000-0008-0000-0400-000009000000}"/>
            </a:ext>
          </a:extLst>
        </xdr:cNvPr>
        <xdr:cNvSpPr>
          <a:spLocks noRot="1"/>
        </xdr:cNvSpPr>
      </xdr:nvSpPr>
      <xdr:spPr>
        <a:xfrm>
          <a:off x="23812" y="59531"/>
          <a:ext cx="1488281" cy="452437"/>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중심어 검색</a:t>
          </a:r>
        </a:p>
      </xdr:txBody>
    </xdr:sp>
    <xdr:clientData fPrintsWithSheet="0"/>
  </xdr:twoCellAnchor>
  <xdr:twoCellAnchor editAs="absolute">
    <xdr:from>
      <xdr:col>1</xdr:col>
      <xdr:colOff>788670</xdr:colOff>
      <xdr:row>0</xdr:row>
      <xdr:rowOff>53340</xdr:rowOff>
    </xdr:from>
    <xdr:to>
      <xdr:col>1</xdr:col>
      <xdr:colOff>1916430</xdr:colOff>
      <xdr:row>0</xdr:row>
      <xdr:rowOff>510540</xdr:rowOff>
    </xdr:to>
    <xdr:sp macro="검색취소" textlink="">
      <xdr:nvSpPr>
        <xdr:cNvPr id="10" name="직사각형 9">
          <a:extLst>
            <a:ext uri="{FF2B5EF4-FFF2-40B4-BE49-F238E27FC236}">
              <a16:creationId xmlns:a16="http://schemas.microsoft.com/office/drawing/2014/main" id="{00000000-0008-0000-0400-00000A000000}"/>
            </a:ext>
          </a:extLst>
        </xdr:cNvPr>
        <xdr:cNvSpPr>
          <a:spLocks noRot="1"/>
        </xdr:cNvSpPr>
      </xdr:nvSpPr>
      <xdr:spPr>
        <a:xfrm>
          <a:off x="1678781" y="59531"/>
          <a:ext cx="1119187" cy="452437"/>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fPrintsWithSheet="0"/>
  </xdr:twoCellAnchor>
  <xdr:twoCellAnchor editAs="absolute">
    <xdr:from>
      <xdr:col>3</xdr:col>
      <xdr:colOff>140970</xdr:colOff>
      <xdr:row>0</xdr:row>
      <xdr:rowOff>76200</xdr:rowOff>
    </xdr:from>
    <xdr:to>
      <xdr:col>10</xdr:col>
      <xdr:colOff>205740</xdr:colOff>
      <xdr:row>6</xdr:row>
      <xdr:rowOff>953</xdr:rowOff>
    </xdr:to>
    <xdr:sp macro="" textlink="">
      <xdr:nvSpPr>
        <xdr:cNvPr id="11" name="직사각형 10">
          <a:extLst>
            <a:ext uri="{FF2B5EF4-FFF2-40B4-BE49-F238E27FC236}">
              <a16:creationId xmlns:a16="http://schemas.microsoft.com/office/drawing/2014/main" id="{00000000-0008-0000-0400-00000B000000}"/>
            </a:ext>
          </a:extLst>
        </xdr:cNvPr>
        <xdr:cNvSpPr>
          <a:spLocks noRot="1"/>
        </xdr:cNvSpPr>
      </xdr:nvSpPr>
      <xdr:spPr>
        <a:xfrm>
          <a:off x="9906000" y="71437"/>
          <a:ext cx="4738687" cy="221456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중심어 </a:t>
          </a:r>
          <a:r>
            <a:rPr sz="1100">
              <a:solidFill>
                <a:srgbClr val="000000"/>
              </a:solidFill>
              <a:latin typeface="맑은 고딕"/>
              <a:ea typeface="맑은 고딕"/>
            </a:rPr>
            <a:t>검색 </a:t>
          </a:r>
          <a:r>
            <a:rPr sz="1100">
              <a:solidFill>
                <a:srgbClr val="000000"/>
              </a:solidFill>
              <a:latin typeface="Calibri"/>
              <a:ea typeface="Calibri"/>
            </a:rPr>
            <a:t>: 중심어를 </a:t>
          </a:r>
          <a:r>
            <a:rPr sz="1100">
              <a:solidFill>
                <a:srgbClr val="000000"/>
              </a:solidFill>
              <a:latin typeface="맑은 고딕"/>
              <a:ea typeface="맑은 고딕"/>
            </a:rPr>
            <a:t>입력하여 관련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검색취소 : </a:t>
          </a:r>
          <a:r>
            <a:rPr sz="1100">
              <a:solidFill>
                <a:srgbClr val="000000"/>
              </a:solidFill>
              <a:latin typeface="맑은 고딕"/>
              <a:ea typeface="맑은 고딕"/>
            </a:rPr>
            <a:t>검색내용을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 변경하기 :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변경하기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개인별 예시문 코드가 새로운 코드로 변경되며 종합의견 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 삭제가 가능합니다</a:t>
          </a:r>
          <a:r>
            <a:rPr sz="1100">
              <a:solidFill>
                <a:srgbClr val="000000"/>
              </a:solidFill>
              <a:latin typeface="Calibri"/>
              <a:ea typeface="Calibri"/>
            </a:rPr>
            <a:t>.</a:t>
          </a: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6019800</xdr:colOff>
      <xdr:row>20</xdr:row>
      <xdr:rowOff>152400</xdr:rowOff>
    </xdr:to>
    <xdr:sp macro="" textlink="">
      <xdr:nvSpPr>
        <xdr:cNvPr id="2" name="AutoShape 11">
          <a:extLst>
            <a:ext uri="{FF2B5EF4-FFF2-40B4-BE49-F238E27FC236}">
              <a16:creationId xmlns:a16="http://schemas.microsoft.com/office/drawing/2014/main" id="{00000000-0008-0000-0500-000002000000}"/>
            </a:ext>
          </a:extLst>
        </xdr:cNvPr>
        <xdr:cNvSpPr>
          <a:spLocks noChangeArrowheads="1"/>
        </xdr:cNvSpPr>
      </xdr:nvSpPr>
      <xdr:spPr>
        <a:xfrm>
          <a:off x="0" y="0"/>
          <a:ext cx="8822531" cy="6738937"/>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3" name="AutoShape 11">
          <a:extLst>
            <a:ext uri="{FF2B5EF4-FFF2-40B4-BE49-F238E27FC236}">
              <a16:creationId xmlns:a16="http://schemas.microsoft.com/office/drawing/2014/main" id="{00000000-0008-0000-0500-000003000000}"/>
            </a:ext>
          </a:extLst>
        </xdr:cNvPr>
        <xdr:cNvSpPr>
          <a:spLocks noChangeArrowheads="1"/>
        </xdr:cNvSpPr>
      </xdr:nvSpPr>
      <xdr:spPr>
        <a:xfrm>
          <a:off x="0" y="0"/>
          <a:ext cx="8822531" cy="6738937"/>
        </a:xfrm>
        <a:custGeom>
          <a:avLst/>
          <a:gdLst/>
          <a:ahLst/>
          <a:cxnLst/>
          <a:rect l="0" t="0" r="r" b="b"/>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4" name="AutoShape 11">
          <a:extLst>
            <a:ext uri="{FF2B5EF4-FFF2-40B4-BE49-F238E27FC236}">
              <a16:creationId xmlns:a16="http://schemas.microsoft.com/office/drawing/2014/main" id="{00000000-0008-0000-0500-000004000000}"/>
            </a:ext>
          </a:extLst>
        </xdr:cNvPr>
        <xdr:cNvSpPr>
          <a:spLocks noChangeArrowheads="1"/>
        </xdr:cNvSpPr>
      </xdr:nvSpPr>
      <xdr:spPr>
        <a:xfrm>
          <a:off x="0" y="0"/>
          <a:ext cx="8822531" cy="6738937"/>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2</xdr:col>
      <xdr:colOff>6019800</xdr:colOff>
      <xdr:row>20</xdr:row>
      <xdr:rowOff>152400</xdr:rowOff>
    </xdr:to>
    <xdr:sp macro="" textlink="">
      <xdr:nvSpPr>
        <xdr:cNvPr id="5" name="AutoShape 11">
          <a:extLst>
            <a:ext uri="{FF2B5EF4-FFF2-40B4-BE49-F238E27FC236}">
              <a16:creationId xmlns:a16="http://schemas.microsoft.com/office/drawing/2014/main" id="{00000000-0008-0000-0500-000005000000}"/>
            </a:ext>
          </a:extLst>
        </xdr:cNvPr>
        <xdr:cNvSpPr>
          <a:spLocks noChangeArrowheads="1"/>
        </xdr:cNvSpPr>
      </xdr:nvSpPr>
      <xdr:spPr>
        <a:xfrm>
          <a:off x="0" y="0"/>
          <a:ext cx="8822531" cy="6738937"/>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333375</xdr:rowOff>
    </xdr:to>
    <xdr:sp macro="" textlink="">
      <xdr:nvSpPr>
        <xdr:cNvPr id="6" name="AutoShape 14">
          <a:extLst>
            <a:ext uri="{FF2B5EF4-FFF2-40B4-BE49-F238E27FC236}">
              <a16:creationId xmlns:a16="http://schemas.microsoft.com/office/drawing/2014/main" id="{00000000-0008-0000-0500-000006000000}"/>
            </a:ext>
          </a:extLst>
        </xdr:cNvPr>
        <xdr:cNvSpPr>
          <a:spLocks noChangeArrowheads="1"/>
        </xdr:cNvSpPr>
      </xdr:nvSpPr>
      <xdr:spPr>
        <a:xfrm>
          <a:off x="0" y="0"/>
          <a:ext cx="9763125" cy="8060531"/>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0</xdr:col>
      <xdr:colOff>0</xdr:colOff>
      <xdr:row>0</xdr:row>
      <xdr:rowOff>0</xdr:rowOff>
    </xdr:from>
    <xdr:to>
      <xdr:col>3</xdr:col>
      <xdr:colOff>0</xdr:colOff>
      <xdr:row>24</xdr:row>
      <xdr:rowOff>333375</xdr:rowOff>
    </xdr:to>
    <xdr:sp macro="" textlink="">
      <xdr:nvSpPr>
        <xdr:cNvPr id="7" name="AutoShape 14">
          <a:extLst>
            <a:ext uri="{FF2B5EF4-FFF2-40B4-BE49-F238E27FC236}">
              <a16:creationId xmlns:a16="http://schemas.microsoft.com/office/drawing/2014/main" id="{00000000-0008-0000-0500-000007000000}"/>
            </a:ext>
          </a:extLst>
        </xdr:cNvPr>
        <xdr:cNvSpPr>
          <a:spLocks noChangeArrowheads="1"/>
        </xdr:cNvSpPr>
      </xdr:nvSpPr>
      <xdr:spPr>
        <a:xfrm>
          <a:off x="0" y="0"/>
          <a:ext cx="9763125" cy="8060531"/>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twoCellAnchor>
    <xdr:from>
      <xdr:col>1</xdr:col>
      <xdr:colOff>1019175</xdr:colOff>
      <xdr:row>3</xdr:row>
      <xdr:rowOff>66675</xdr:rowOff>
    </xdr:from>
    <xdr:to>
      <xdr:col>1</xdr:col>
      <xdr:colOff>1885950</xdr:colOff>
      <xdr:row>3</xdr:row>
      <xdr:rowOff>381000</xdr:rowOff>
    </xdr:to>
    <xdr:sp macro="코드수정5" textlink="">
      <xdr:nvSpPr>
        <xdr:cNvPr id="8" name="직사각형 7">
          <a:extLst>
            <a:ext uri="{FF2B5EF4-FFF2-40B4-BE49-F238E27FC236}">
              <a16:creationId xmlns:a16="http://schemas.microsoft.com/office/drawing/2014/main" id="{00000000-0008-0000-0500-000008000000}"/>
            </a:ext>
          </a:extLst>
        </xdr:cNvPr>
        <xdr:cNvSpPr>
          <a:spLocks noRot="1"/>
        </xdr:cNvSpPr>
      </xdr:nvSpPr>
      <xdr:spPr>
        <a:xfrm>
          <a:off x="1905000" y="1464468"/>
          <a:ext cx="869156" cy="309562"/>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0</xdr:col>
      <xdr:colOff>28575</xdr:colOff>
      <xdr:row>0</xdr:row>
      <xdr:rowOff>57150</xdr:rowOff>
    </xdr:from>
    <xdr:to>
      <xdr:col>1</xdr:col>
      <xdr:colOff>628650</xdr:colOff>
      <xdr:row>0</xdr:row>
      <xdr:rowOff>514350</xdr:rowOff>
    </xdr:to>
    <xdr:sp macro="코드검색" textlink="">
      <xdr:nvSpPr>
        <xdr:cNvPr id="9" name="직사각형 8">
          <a:extLst>
            <a:ext uri="{FF2B5EF4-FFF2-40B4-BE49-F238E27FC236}">
              <a16:creationId xmlns:a16="http://schemas.microsoft.com/office/drawing/2014/main" id="{00000000-0008-0000-0500-000009000000}"/>
            </a:ext>
          </a:extLst>
        </xdr:cNvPr>
        <xdr:cNvSpPr>
          <a:spLocks noRot="1"/>
        </xdr:cNvSpPr>
      </xdr:nvSpPr>
      <xdr:spPr>
        <a:xfrm>
          <a:off x="23812" y="59531"/>
          <a:ext cx="1488281" cy="452437"/>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중심어 검색</a:t>
          </a:r>
        </a:p>
      </xdr:txBody>
    </xdr:sp>
    <xdr:clientData fPrintsWithSheet="0"/>
  </xdr:twoCellAnchor>
  <xdr:twoCellAnchor editAs="absolute">
    <xdr:from>
      <xdr:col>1</xdr:col>
      <xdr:colOff>790575</xdr:colOff>
      <xdr:row>0</xdr:row>
      <xdr:rowOff>57150</xdr:rowOff>
    </xdr:from>
    <xdr:to>
      <xdr:col>1</xdr:col>
      <xdr:colOff>1914525</xdr:colOff>
      <xdr:row>0</xdr:row>
      <xdr:rowOff>514350</xdr:rowOff>
    </xdr:to>
    <xdr:sp macro="검색취소" textlink="">
      <xdr:nvSpPr>
        <xdr:cNvPr id="10" name="직사각형 9">
          <a:extLst>
            <a:ext uri="{FF2B5EF4-FFF2-40B4-BE49-F238E27FC236}">
              <a16:creationId xmlns:a16="http://schemas.microsoft.com/office/drawing/2014/main" id="{00000000-0008-0000-0500-00000A000000}"/>
            </a:ext>
          </a:extLst>
        </xdr:cNvPr>
        <xdr:cNvSpPr>
          <a:spLocks noRot="1"/>
        </xdr:cNvSpPr>
      </xdr:nvSpPr>
      <xdr:spPr>
        <a:xfrm>
          <a:off x="1678781" y="59531"/>
          <a:ext cx="1119187" cy="452437"/>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fPrintsWithSheet="0"/>
  </xdr:twoCellAnchor>
  <xdr:twoCellAnchor editAs="absolute">
    <xdr:from>
      <xdr:col>3</xdr:col>
      <xdr:colOff>123824</xdr:colOff>
      <xdr:row>0</xdr:row>
      <xdr:rowOff>47625</xdr:rowOff>
    </xdr:from>
    <xdr:to>
      <xdr:col>10</xdr:col>
      <xdr:colOff>190500</xdr:colOff>
      <xdr:row>5</xdr:row>
      <xdr:rowOff>333375</xdr:rowOff>
    </xdr:to>
    <xdr:sp macro="" textlink="">
      <xdr:nvSpPr>
        <xdr:cNvPr id="11" name="직사각형 10">
          <a:extLst>
            <a:ext uri="{FF2B5EF4-FFF2-40B4-BE49-F238E27FC236}">
              <a16:creationId xmlns:a16="http://schemas.microsoft.com/office/drawing/2014/main" id="{00000000-0008-0000-0500-00000B000000}"/>
            </a:ext>
          </a:extLst>
        </xdr:cNvPr>
        <xdr:cNvSpPr>
          <a:spLocks noRot="1"/>
        </xdr:cNvSpPr>
      </xdr:nvSpPr>
      <xdr:spPr>
        <a:xfrm>
          <a:off x="9882187" y="47625"/>
          <a:ext cx="4738687" cy="221456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중심어 </a:t>
          </a:r>
          <a:r>
            <a:rPr sz="1100">
              <a:solidFill>
                <a:srgbClr val="000000"/>
              </a:solidFill>
              <a:latin typeface="맑은 고딕"/>
              <a:ea typeface="맑은 고딕"/>
            </a:rPr>
            <a:t>검색 </a:t>
          </a:r>
          <a:r>
            <a:rPr sz="1100">
              <a:solidFill>
                <a:srgbClr val="000000"/>
              </a:solidFill>
              <a:latin typeface="Calibri"/>
              <a:ea typeface="Calibri"/>
            </a:rPr>
            <a:t>: 중심어를 </a:t>
          </a:r>
          <a:r>
            <a:rPr sz="1100">
              <a:solidFill>
                <a:srgbClr val="000000"/>
              </a:solidFill>
              <a:latin typeface="맑은 고딕"/>
              <a:ea typeface="맑은 고딕"/>
            </a:rPr>
            <a:t>입력하여 관련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검색취소 : </a:t>
          </a:r>
          <a:r>
            <a:rPr sz="1100">
              <a:solidFill>
                <a:srgbClr val="000000"/>
              </a:solidFill>
              <a:latin typeface="맑은 고딕"/>
              <a:ea typeface="맑은 고딕"/>
            </a:rPr>
            <a:t>검색내용을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 변경하기 :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변경하기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개인별 예시문 코드가 새로운 코드로 변경되며 종합의견 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 삭제가 가능합니다</a:t>
          </a:r>
          <a:r>
            <a:rPr sz="1100">
              <a:solidFill>
                <a:srgbClr val="000000"/>
              </a:solidFill>
              <a:latin typeface="Calibri"/>
              <a:ea typeface="Calibri"/>
            </a:rPr>
            <a:t>.</a:t>
          </a: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147483647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147483647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pageSetUpPr fitToPage="1"/>
  </sheetPr>
  <dimension ref="B1:L45"/>
  <sheetViews>
    <sheetView showGridLines="0" showRowColHeaders="0" tabSelected="1" view="pageBreakPreview" zoomScaleNormal="100" zoomScaleSheetLayoutView="100" workbookViewId="0">
      <pane xSplit="3" ySplit="4" topLeftCell="D5" activePane="bottomRight" state="frozen"/>
      <selection pane="topRight"/>
      <selection pane="bottomLeft"/>
      <selection pane="bottomRight" activeCell="I40" sqref="I40"/>
    </sheetView>
  </sheetViews>
  <sheetFormatPr defaultColWidth="9" defaultRowHeight="16.5" x14ac:dyDescent="0.3"/>
  <cols>
    <col min="1" max="1" width="1" style="14" customWidth="1"/>
    <col min="2" max="2" width="7.125" style="14" customWidth="1"/>
    <col min="3" max="3" width="11.125" style="14" customWidth="1"/>
    <col min="4" max="8" width="7" style="14" customWidth="1"/>
    <col min="9" max="9" width="109.5" style="15" customWidth="1"/>
    <col min="10" max="10" width="1" style="14" customWidth="1"/>
    <col min="11" max="11" width="55.375" style="14" customWidth="1"/>
    <col min="12" max="16384" width="9" style="14"/>
  </cols>
  <sheetData>
    <row r="1" spans="2:12" ht="40.5" customHeight="1" x14ac:dyDescent="0.3">
      <c r="B1" s="79" t="s">
        <v>533</v>
      </c>
      <c r="C1" s="79"/>
      <c r="D1" s="79"/>
      <c r="E1" s="79"/>
      <c r="F1" s="79"/>
      <c r="G1" s="79"/>
      <c r="H1" s="79"/>
      <c r="I1" s="79"/>
      <c r="K1" s="80"/>
      <c r="L1" s="81"/>
    </row>
    <row r="2" spans="2:12" ht="23.25" customHeight="1" x14ac:dyDescent="0.3">
      <c r="B2" s="2"/>
      <c r="C2" s="2"/>
      <c r="D2" s="2"/>
      <c r="E2" s="2"/>
      <c r="F2" s="2"/>
      <c r="G2" s="2"/>
      <c r="H2" s="2"/>
      <c r="I2" s="2"/>
      <c r="K2" s="82"/>
      <c r="L2" s="83"/>
    </row>
    <row r="3" spans="2:12" ht="36.75" customHeight="1" x14ac:dyDescent="0.3">
      <c r="B3" s="63" t="s">
        <v>632</v>
      </c>
      <c r="C3" s="21">
        <v>1</v>
      </c>
      <c r="D3" s="63" t="s">
        <v>662</v>
      </c>
      <c r="E3" s="22">
        <v>40</v>
      </c>
      <c r="F3" s="23"/>
      <c r="G3" s="23"/>
      <c r="H3" s="20"/>
      <c r="I3" s="64" t="s">
        <v>777</v>
      </c>
      <c r="K3" s="82"/>
      <c r="L3" s="83"/>
    </row>
    <row r="4" spans="2:12" ht="30.75" customHeight="1" x14ac:dyDescent="0.3">
      <c r="B4" s="60" t="s">
        <v>439</v>
      </c>
      <c r="C4" s="61" t="s">
        <v>442</v>
      </c>
      <c r="D4" s="61" t="s">
        <v>412</v>
      </c>
      <c r="E4" s="61" t="s">
        <v>418</v>
      </c>
      <c r="F4" s="61" t="s">
        <v>431</v>
      </c>
      <c r="G4" s="61" t="s">
        <v>428</v>
      </c>
      <c r="H4" s="61" t="s">
        <v>410</v>
      </c>
      <c r="I4" s="62" t="s">
        <v>630</v>
      </c>
      <c r="K4" s="84"/>
      <c r="L4" s="85"/>
    </row>
    <row r="5" spans="2:12" ht="51.75" x14ac:dyDescent="0.3">
      <c r="B5" s="65">
        <v>1</v>
      </c>
      <c r="C5" s="70" t="s">
        <v>682</v>
      </c>
      <c r="D5" s="71">
        <v>101</v>
      </c>
      <c r="E5" s="71">
        <v>140</v>
      </c>
      <c r="F5" s="71">
        <v>141</v>
      </c>
      <c r="G5" s="71">
        <v>145</v>
      </c>
      <c r="H5" s="71"/>
      <c r="I5" s="66" t="s">
        <v>1121</v>
      </c>
    </row>
    <row r="6" spans="2:12" ht="103.5" x14ac:dyDescent="0.3">
      <c r="B6" s="65">
        <v>2</v>
      </c>
      <c r="C6" s="70" t="s">
        <v>641</v>
      </c>
      <c r="D6" s="71">
        <v>102</v>
      </c>
      <c r="E6" s="71">
        <v>101</v>
      </c>
      <c r="F6" s="71">
        <v>103</v>
      </c>
      <c r="G6" s="71">
        <v>104</v>
      </c>
      <c r="H6" s="71">
        <v>105</v>
      </c>
      <c r="I6" s="66" t="s">
        <v>1104</v>
      </c>
    </row>
    <row r="7" spans="2:12" ht="69" x14ac:dyDescent="0.3">
      <c r="B7" s="65">
        <v>3</v>
      </c>
      <c r="C7" s="70" t="s">
        <v>643</v>
      </c>
      <c r="D7" s="71">
        <v>101</v>
      </c>
      <c r="E7" s="71">
        <v>140</v>
      </c>
      <c r="F7" s="71">
        <v>141</v>
      </c>
      <c r="G7" s="71">
        <v>145</v>
      </c>
      <c r="H7" s="71">
        <v>106</v>
      </c>
      <c r="I7" s="66" t="s">
        <v>1107</v>
      </c>
    </row>
    <row r="8" spans="2:12" ht="86.25" x14ac:dyDescent="0.3">
      <c r="B8" s="65">
        <v>4</v>
      </c>
      <c r="C8" s="70" t="s">
        <v>647</v>
      </c>
      <c r="D8" s="71">
        <v>300</v>
      </c>
      <c r="E8" s="71">
        <v>213</v>
      </c>
      <c r="F8" s="71">
        <v>103</v>
      </c>
      <c r="G8" s="71">
        <v>107</v>
      </c>
      <c r="H8" s="71">
        <v>106</v>
      </c>
      <c r="I8" s="66" t="s">
        <v>1106</v>
      </c>
    </row>
    <row r="9" spans="2:12" ht="103.5" x14ac:dyDescent="0.3">
      <c r="B9" s="65">
        <v>5</v>
      </c>
      <c r="C9" s="70" t="s">
        <v>674</v>
      </c>
      <c r="D9" s="71">
        <v>102</v>
      </c>
      <c r="E9" s="71">
        <v>202</v>
      </c>
      <c r="F9" s="71">
        <v>203</v>
      </c>
      <c r="G9" s="71">
        <v>107</v>
      </c>
      <c r="H9" s="71">
        <v>105</v>
      </c>
      <c r="I9" s="66" t="s">
        <v>1105</v>
      </c>
    </row>
    <row r="10" spans="2:12" ht="155.25" x14ac:dyDescent="0.3">
      <c r="B10" s="65">
        <v>6</v>
      </c>
      <c r="C10" s="70" t="s">
        <v>629</v>
      </c>
      <c r="D10" s="71">
        <v>101</v>
      </c>
      <c r="E10" s="71">
        <v>101</v>
      </c>
      <c r="F10" s="71">
        <v>101</v>
      </c>
      <c r="G10" s="71">
        <v>101</v>
      </c>
      <c r="H10" s="71">
        <v>101</v>
      </c>
      <c r="I10" s="66" t="s">
        <v>805</v>
      </c>
    </row>
    <row r="11" spans="2:12" ht="103.5" x14ac:dyDescent="0.3">
      <c r="B11" s="65">
        <v>7</v>
      </c>
      <c r="C11" s="70" t="s">
        <v>642</v>
      </c>
      <c r="D11" s="71">
        <v>203</v>
      </c>
      <c r="E11" s="71">
        <v>204</v>
      </c>
      <c r="F11" s="71"/>
      <c r="G11" s="71">
        <v>101</v>
      </c>
      <c r="H11" s="71">
        <v>127</v>
      </c>
      <c r="I11" s="66" t="s">
        <v>1083</v>
      </c>
    </row>
    <row r="12" spans="2:12" ht="86.25" x14ac:dyDescent="0.3">
      <c r="B12" s="65">
        <v>8</v>
      </c>
      <c r="C12" s="70" t="s">
        <v>637</v>
      </c>
      <c r="D12" s="71">
        <v>200</v>
      </c>
      <c r="E12" s="71">
        <v>200</v>
      </c>
      <c r="F12" s="71">
        <v>200</v>
      </c>
      <c r="G12" s="71">
        <v>200</v>
      </c>
      <c r="H12" s="71">
        <v>104</v>
      </c>
      <c r="I12" s="66" t="s">
        <v>1084</v>
      </c>
    </row>
    <row r="13" spans="2:12" ht="51.75" x14ac:dyDescent="0.3">
      <c r="B13" s="65">
        <v>9</v>
      </c>
      <c r="C13" s="70" t="s">
        <v>660</v>
      </c>
      <c r="D13" s="71">
        <v>128</v>
      </c>
      <c r="E13" s="71">
        <v>206</v>
      </c>
      <c r="F13" s="71"/>
      <c r="G13" s="71"/>
      <c r="H13" s="71">
        <v>129</v>
      </c>
      <c r="I13" s="66" t="s">
        <v>1085</v>
      </c>
    </row>
    <row r="14" spans="2:12" ht="51.75" x14ac:dyDescent="0.3">
      <c r="B14" s="65">
        <v>10</v>
      </c>
      <c r="C14" s="70" t="s">
        <v>675</v>
      </c>
      <c r="D14" s="71">
        <v>212</v>
      </c>
      <c r="E14" s="71">
        <v>213</v>
      </c>
      <c r="F14" s="71"/>
      <c r="G14" s="71"/>
      <c r="H14" s="71">
        <v>130</v>
      </c>
      <c r="I14" s="66" t="s">
        <v>1086</v>
      </c>
    </row>
    <row r="15" spans="2:12" ht="51.75" x14ac:dyDescent="0.3">
      <c r="B15" s="65">
        <v>11</v>
      </c>
      <c r="C15" s="70" t="s">
        <v>635</v>
      </c>
      <c r="D15" s="71">
        <v>130</v>
      </c>
      <c r="E15" s="71">
        <v>213</v>
      </c>
      <c r="F15" s="71"/>
      <c r="G15" s="71"/>
      <c r="H15" s="71">
        <v>140</v>
      </c>
      <c r="I15" s="66" t="s">
        <v>1087</v>
      </c>
    </row>
    <row r="16" spans="2:12" ht="69" x14ac:dyDescent="0.3">
      <c r="B16" s="65">
        <v>12</v>
      </c>
      <c r="C16" s="70" t="s">
        <v>671</v>
      </c>
      <c r="D16" s="71">
        <v>212</v>
      </c>
      <c r="E16" s="71">
        <v>209</v>
      </c>
      <c r="F16" s="71"/>
      <c r="G16" s="71"/>
      <c r="H16" s="71">
        <v>140</v>
      </c>
      <c r="I16" s="66" t="s">
        <v>1088</v>
      </c>
    </row>
    <row r="17" spans="2:9" ht="34.5" x14ac:dyDescent="0.3">
      <c r="B17" s="65">
        <v>13</v>
      </c>
      <c r="C17" s="70" t="s">
        <v>655</v>
      </c>
      <c r="D17" s="71">
        <v>132</v>
      </c>
      <c r="E17" s="71">
        <v>210</v>
      </c>
      <c r="F17" s="71"/>
      <c r="G17" s="71"/>
      <c r="H17" s="71">
        <v>133</v>
      </c>
      <c r="I17" s="66" t="s">
        <v>1089</v>
      </c>
    </row>
    <row r="18" spans="2:9" ht="34.5" x14ac:dyDescent="0.3">
      <c r="B18" s="65">
        <v>14</v>
      </c>
      <c r="C18" s="70" t="s">
        <v>670</v>
      </c>
      <c r="D18" s="71">
        <v>133</v>
      </c>
      <c r="E18" s="71">
        <v>211</v>
      </c>
      <c r="F18" s="71"/>
      <c r="G18" s="71"/>
      <c r="H18" s="71">
        <v>134</v>
      </c>
      <c r="I18" s="66" t="s">
        <v>1090</v>
      </c>
    </row>
    <row r="19" spans="2:9" ht="51.75" x14ac:dyDescent="0.3">
      <c r="B19" s="65">
        <v>15</v>
      </c>
      <c r="C19" s="70" t="s">
        <v>653</v>
      </c>
      <c r="D19" s="71">
        <v>134</v>
      </c>
      <c r="E19" s="71">
        <v>212</v>
      </c>
      <c r="F19" s="71"/>
      <c r="G19" s="71"/>
      <c r="H19" s="71">
        <v>135</v>
      </c>
      <c r="I19" s="66" t="s">
        <v>1091</v>
      </c>
    </row>
    <row r="20" spans="2:9" ht="51.75" x14ac:dyDescent="0.3">
      <c r="B20" s="65">
        <v>16</v>
      </c>
      <c r="C20" s="70" t="s">
        <v>627</v>
      </c>
      <c r="D20" s="71">
        <v>135</v>
      </c>
      <c r="E20" s="71">
        <v>213</v>
      </c>
      <c r="F20" s="71"/>
      <c r="G20" s="71"/>
      <c r="H20" s="71">
        <v>140</v>
      </c>
      <c r="I20" s="66" t="s">
        <v>1092</v>
      </c>
    </row>
    <row r="21" spans="2:9" ht="103.5" x14ac:dyDescent="0.3">
      <c r="B21" s="65">
        <v>17</v>
      </c>
      <c r="C21" s="70" t="s">
        <v>628</v>
      </c>
      <c r="D21" s="71">
        <v>136</v>
      </c>
      <c r="E21" s="71">
        <v>204</v>
      </c>
      <c r="F21" s="71">
        <v>203</v>
      </c>
      <c r="G21" s="71">
        <v>107</v>
      </c>
      <c r="H21" s="71">
        <v>137</v>
      </c>
      <c r="I21" s="66" t="s">
        <v>1108</v>
      </c>
    </row>
    <row r="22" spans="2:9" ht="103.5" x14ac:dyDescent="0.3">
      <c r="B22" s="65">
        <v>18</v>
      </c>
      <c r="C22" s="70" t="s">
        <v>639</v>
      </c>
      <c r="D22" s="71">
        <v>203</v>
      </c>
      <c r="E22" s="71">
        <v>215</v>
      </c>
      <c r="F22" s="71">
        <v>203</v>
      </c>
      <c r="G22" s="71">
        <v>107</v>
      </c>
      <c r="H22" s="71">
        <v>120</v>
      </c>
      <c r="I22" s="66" t="s">
        <v>1093</v>
      </c>
    </row>
    <row r="23" spans="2:9" ht="51.75" x14ac:dyDescent="0.3">
      <c r="B23" s="65">
        <v>19</v>
      </c>
      <c r="C23" s="70" t="s">
        <v>678</v>
      </c>
      <c r="D23" s="71">
        <v>138</v>
      </c>
      <c r="E23" s="71">
        <v>216</v>
      </c>
      <c r="F23" s="71"/>
      <c r="G23" s="71"/>
      <c r="H23" s="71">
        <v>139</v>
      </c>
      <c r="I23" s="66" t="s">
        <v>1094</v>
      </c>
    </row>
    <row r="24" spans="2:9" ht="69" x14ac:dyDescent="0.3">
      <c r="B24" s="65">
        <v>20</v>
      </c>
      <c r="C24" s="70" t="s">
        <v>633</v>
      </c>
      <c r="D24" s="71">
        <v>203</v>
      </c>
      <c r="E24" s="71">
        <v>217</v>
      </c>
      <c r="F24" s="71"/>
      <c r="G24" s="71"/>
      <c r="H24" s="71">
        <v>140</v>
      </c>
      <c r="I24" s="66" t="s">
        <v>1095</v>
      </c>
    </row>
    <row r="25" spans="2:9" ht="34.5" x14ac:dyDescent="0.3">
      <c r="B25" s="65">
        <v>21</v>
      </c>
      <c r="C25" s="70" t="s">
        <v>664</v>
      </c>
      <c r="D25" s="71">
        <v>140</v>
      </c>
      <c r="E25" s="71">
        <v>218</v>
      </c>
      <c r="F25" s="71"/>
      <c r="G25" s="71"/>
      <c r="H25" s="71">
        <v>101</v>
      </c>
      <c r="I25" s="66" t="s">
        <v>1096</v>
      </c>
    </row>
    <row r="26" spans="2:9" ht="51.75" x14ac:dyDescent="0.3">
      <c r="B26" s="65">
        <v>22</v>
      </c>
      <c r="C26" s="70" t="s">
        <v>654</v>
      </c>
      <c r="D26" s="71">
        <v>141</v>
      </c>
      <c r="E26" s="71">
        <v>219</v>
      </c>
      <c r="F26" s="71"/>
      <c r="G26" s="71"/>
      <c r="H26" s="71">
        <v>106</v>
      </c>
      <c r="I26" s="66" t="s">
        <v>1097</v>
      </c>
    </row>
    <row r="27" spans="2:9" ht="51.75" x14ac:dyDescent="0.3">
      <c r="B27" s="65">
        <v>23</v>
      </c>
      <c r="C27" s="70" t="s">
        <v>656</v>
      </c>
      <c r="D27" s="71">
        <v>142</v>
      </c>
      <c r="E27" s="71">
        <v>220</v>
      </c>
      <c r="F27" s="71"/>
      <c r="G27" s="71"/>
      <c r="H27" s="71">
        <v>103</v>
      </c>
      <c r="I27" s="66" t="s">
        <v>1098</v>
      </c>
    </row>
    <row r="28" spans="2:9" ht="51.75" x14ac:dyDescent="0.3">
      <c r="B28" s="65">
        <v>24</v>
      </c>
      <c r="C28" s="70" t="s">
        <v>652</v>
      </c>
      <c r="D28" s="71">
        <v>143</v>
      </c>
      <c r="E28" s="71">
        <v>221</v>
      </c>
      <c r="F28" s="71"/>
      <c r="G28" s="71"/>
      <c r="H28" s="71">
        <v>104</v>
      </c>
      <c r="I28" s="66" t="s">
        <v>1099</v>
      </c>
    </row>
    <row r="29" spans="2:9" ht="51.75" x14ac:dyDescent="0.3">
      <c r="B29" s="65">
        <v>25</v>
      </c>
      <c r="C29" s="70" t="s">
        <v>644</v>
      </c>
      <c r="D29" s="71">
        <v>144</v>
      </c>
      <c r="E29" s="71">
        <v>222</v>
      </c>
      <c r="F29" s="71"/>
      <c r="G29" s="71"/>
      <c r="H29" s="71">
        <v>105</v>
      </c>
      <c r="I29" s="66" t="s">
        <v>1100</v>
      </c>
    </row>
    <row r="30" spans="2:9" ht="51.75" x14ac:dyDescent="0.3">
      <c r="B30" s="65">
        <v>26</v>
      </c>
      <c r="C30" s="70" t="s">
        <v>672</v>
      </c>
      <c r="D30" s="71">
        <v>145</v>
      </c>
      <c r="E30" s="71">
        <v>223</v>
      </c>
      <c r="F30" s="71"/>
      <c r="G30" s="71"/>
      <c r="H30" s="71">
        <v>106</v>
      </c>
      <c r="I30" s="66" t="s">
        <v>1101</v>
      </c>
    </row>
    <row r="31" spans="2:9" ht="51.75" x14ac:dyDescent="0.3">
      <c r="B31" s="65">
        <v>27</v>
      </c>
      <c r="C31" s="70" t="s">
        <v>665</v>
      </c>
      <c r="D31" s="71">
        <v>146</v>
      </c>
      <c r="E31" s="71">
        <v>224</v>
      </c>
      <c r="F31" s="71"/>
      <c r="G31" s="71"/>
      <c r="H31" s="71">
        <v>107</v>
      </c>
      <c r="I31" s="66" t="s">
        <v>1102</v>
      </c>
    </row>
    <row r="32" spans="2:9" ht="51.75" x14ac:dyDescent="0.3">
      <c r="B32" s="65">
        <v>28</v>
      </c>
      <c r="C32" s="70" t="s">
        <v>651</v>
      </c>
      <c r="D32" s="71">
        <v>147</v>
      </c>
      <c r="E32" s="71">
        <v>225</v>
      </c>
      <c r="F32" s="71"/>
      <c r="G32" s="71"/>
      <c r="H32" s="71">
        <v>108</v>
      </c>
      <c r="I32" s="66" t="s">
        <v>1103</v>
      </c>
    </row>
    <row r="33" spans="2:9" ht="20.25" x14ac:dyDescent="0.3">
      <c r="B33" s="65">
        <v>29</v>
      </c>
      <c r="C33" s="70" t="s">
        <v>648</v>
      </c>
      <c r="D33" s="71"/>
      <c r="E33" s="71"/>
      <c r="F33" s="71"/>
      <c r="G33" s="71"/>
      <c r="H33" s="71">
        <v>109</v>
      </c>
      <c r="I33" s="66" t="s">
        <v>806</v>
      </c>
    </row>
    <row r="34" spans="2:9" ht="69" x14ac:dyDescent="0.3">
      <c r="B34" s="65">
        <v>30</v>
      </c>
      <c r="C34" s="70" t="s">
        <v>677</v>
      </c>
      <c r="D34" s="71">
        <v>123</v>
      </c>
      <c r="E34" s="71">
        <v>123</v>
      </c>
      <c r="F34" s="71">
        <v>123</v>
      </c>
      <c r="G34" s="71">
        <v>123</v>
      </c>
      <c r="H34" s="71"/>
      <c r="I34" s="66" t="s">
        <v>1122</v>
      </c>
    </row>
    <row r="35" spans="2:9" ht="20.25" x14ac:dyDescent="0.3">
      <c r="B35" s="65">
        <v>31</v>
      </c>
      <c r="C35" s="70" t="s">
        <v>636</v>
      </c>
      <c r="D35" s="71"/>
      <c r="E35" s="71"/>
      <c r="F35" s="71"/>
      <c r="G35" s="71"/>
      <c r="H35" s="71"/>
      <c r="I35" s="66"/>
    </row>
    <row r="36" spans="2:9" ht="20.25" x14ac:dyDescent="0.3">
      <c r="B36" s="65">
        <v>32</v>
      </c>
      <c r="C36" s="70" t="s">
        <v>646</v>
      </c>
      <c r="D36" s="71"/>
      <c r="E36" s="71"/>
      <c r="F36" s="71"/>
      <c r="G36" s="71"/>
      <c r="H36" s="71"/>
      <c r="I36" s="66"/>
    </row>
    <row r="37" spans="2:9" ht="20.25" x14ac:dyDescent="0.3">
      <c r="B37" s="65">
        <v>33</v>
      </c>
      <c r="C37" s="70" t="s">
        <v>650</v>
      </c>
      <c r="D37" s="71"/>
      <c r="E37" s="71"/>
      <c r="F37" s="71"/>
      <c r="G37" s="71"/>
      <c r="H37" s="71"/>
      <c r="I37" s="66"/>
    </row>
    <row r="38" spans="2:9" ht="20.25" x14ac:dyDescent="0.3">
      <c r="B38" s="65">
        <v>34</v>
      </c>
      <c r="C38" s="70" t="s">
        <v>673</v>
      </c>
      <c r="D38" s="71"/>
      <c r="E38" s="71"/>
      <c r="F38" s="71"/>
      <c r="G38" s="71"/>
      <c r="H38" s="71"/>
      <c r="I38" s="66"/>
    </row>
    <row r="39" spans="2:9" ht="20.25" x14ac:dyDescent="0.3">
      <c r="B39" s="65">
        <v>35</v>
      </c>
      <c r="C39" s="70" t="s">
        <v>658</v>
      </c>
      <c r="D39" s="71"/>
      <c r="E39" s="71"/>
      <c r="F39" s="71"/>
      <c r="G39" s="71"/>
      <c r="H39" s="71"/>
      <c r="I39" s="66"/>
    </row>
    <row r="40" spans="2:9" ht="20.25" x14ac:dyDescent="0.3">
      <c r="B40" s="65">
        <v>36</v>
      </c>
      <c r="C40" s="70" t="s">
        <v>631</v>
      </c>
      <c r="D40" s="71"/>
      <c r="E40" s="71"/>
      <c r="F40" s="71"/>
      <c r="G40" s="71"/>
      <c r="H40" s="71"/>
      <c r="I40" s="66"/>
    </row>
    <row r="41" spans="2:9" ht="20.25" x14ac:dyDescent="0.3">
      <c r="B41" s="65">
        <v>37</v>
      </c>
      <c r="C41" s="70" t="s">
        <v>663</v>
      </c>
      <c r="D41" s="71"/>
      <c r="E41" s="71"/>
      <c r="F41" s="71"/>
      <c r="G41" s="71"/>
      <c r="H41" s="71"/>
      <c r="I41" s="66"/>
    </row>
    <row r="42" spans="2:9" ht="20.25" x14ac:dyDescent="0.3">
      <c r="B42" s="65">
        <v>38</v>
      </c>
      <c r="C42" s="70" t="s">
        <v>666</v>
      </c>
      <c r="D42" s="71"/>
      <c r="E42" s="71"/>
      <c r="F42" s="71"/>
      <c r="G42" s="71"/>
      <c r="H42" s="71"/>
      <c r="I42" s="66"/>
    </row>
    <row r="43" spans="2:9" ht="20.25" x14ac:dyDescent="0.3">
      <c r="B43" s="65">
        <v>39</v>
      </c>
      <c r="C43" s="70" t="s">
        <v>649</v>
      </c>
      <c r="D43" s="71"/>
      <c r="E43" s="71"/>
      <c r="F43" s="71"/>
      <c r="G43" s="71"/>
      <c r="H43" s="71"/>
      <c r="I43" s="66"/>
    </row>
    <row r="44" spans="2:9" ht="20.25" x14ac:dyDescent="0.3">
      <c r="B44" s="65">
        <v>40</v>
      </c>
      <c r="C44" s="70" t="s">
        <v>634</v>
      </c>
      <c r="D44" s="71"/>
      <c r="E44" s="71"/>
      <c r="F44" s="71"/>
      <c r="G44" s="71"/>
      <c r="H44" s="71"/>
      <c r="I44" s="66"/>
    </row>
    <row r="45" spans="2:9" ht="20.25" x14ac:dyDescent="0.3">
      <c r="B45" s="77" t="s">
        <v>426</v>
      </c>
      <c r="C45" s="78"/>
      <c r="D45" s="72">
        <f>COUNT(D5:D44)</f>
        <v>29</v>
      </c>
      <c r="E45" s="72">
        <f>COUNT(E5:E44)</f>
        <v>29</v>
      </c>
      <c r="F45" s="72">
        <f>COUNT(F5:F44)</f>
        <v>10</v>
      </c>
      <c r="G45" s="72">
        <f>COUNT(G5:G44)</f>
        <v>11</v>
      </c>
      <c r="H45" s="72">
        <f>COUNT(H5:H44)</f>
        <v>28</v>
      </c>
      <c r="I45" s="26"/>
    </row>
  </sheetData>
  <sheetProtection algorithmName="SHA-512" hashValue="mW12ViVFbJKeZRGzDjtSwfqE8r2HmhZ2yEjttAvu2GoLM62dzncDCDN0dYNCAVMN1FDsmJL0fPSjnRLIQiWOnQ==" saltValue="hc7Hl7Mibq8D0CPLD4dGag==" spinCount="100000" sheet="1" objects="1" scenarios="1" formatCells="0"/>
  <mergeCells count="3">
    <mergeCell ref="B45:C45"/>
    <mergeCell ref="B1:I1"/>
    <mergeCell ref="K1:L4"/>
  </mergeCells>
  <phoneticPr fontId="18" type="noConversion"/>
  <dataValidations count="2">
    <dataValidation type="list" allowBlank="1" showInputMessage="1" showErrorMessage="1" sqref="C3 E3:F3">
      <formula1>$B$5:$B$44</formula1>
    </dataValidation>
    <dataValidation type="whole" allowBlank="1" showInputMessage="1" showErrorMessage="1" sqref="D5:H44">
      <formula1>101</formula1>
      <formula2>1000</formula2>
    </dataValidation>
  </dataValidations>
  <printOptions horizontalCentered="1"/>
  <pageMargins left="0.51138889789581299" right="0.51138889789581299" top="0.74750000238418579" bottom="0.35430556535720825" header="0" footer="0"/>
  <pageSetup paperSize="9" scale="51" fitToHeight="0" orientation="portrait" horizontalDpi="4294967292"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C987"/>
  <sheetViews>
    <sheetView showGridLines="0" zoomScaleNormal="100" zoomScaleSheetLayoutView="80" workbookViewId="0">
      <pane ySplit="6" topLeftCell="A49" activePane="bottomLeft" state="frozen"/>
      <selection pane="bottomLeft" activeCell="C60" sqref="C60"/>
    </sheetView>
  </sheetViews>
  <sheetFormatPr defaultColWidth="8.75" defaultRowHeight="16.5" x14ac:dyDescent="0.3"/>
  <cols>
    <col min="1" max="1" width="11.5" style="8" customWidth="1"/>
    <col min="2" max="2" width="25.375" style="32" customWidth="1"/>
    <col min="3" max="3" width="91.25" style="9" customWidth="1"/>
    <col min="4" max="16384" width="8.75" style="9"/>
  </cols>
  <sheetData>
    <row r="1" spans="1:3" s="14" customFormat="1" ht="45" customHeight="1" x14ac:dyDescent="0.3">
      <c r="A1" s="86" t="s">
        <v>188</v>
      </c>
      <c r="B1" s="86"/>
      <c r="C1" s="86"/>
    </row>
    <row r="2" spans="1:3" s="14" customFormat="1" ht="30" customHeight="1" x14ac:dyDescent="0.3">
      <c r="A2" s="54" t="s">
        <v>667</v>
      </c>
      <c r="B2" s="68" t="s">
        <v>674</v>
      </c>
      <c r="C2" s="55" t="s">
        <v>433</v>
      </c>
    </row>
    <row r="3" spans="1:3" s="14" customFormat="1" ht="34.5" customHeight="1" x14ac:dyDescent="0.3">
      <c r="A3" s="56" t="s">
        <v>699</v>
      </c>
      <c r="B3" s="33">
        <f>VLOOKUP(B2,코드테이블,2,0)</f>
        <v>102</v>
      </c>
      <c r="C3" s="57" t="str">
        <f>VLOOKUP(B3,학습코드,3)</f>
        <v xml:space="preserve">자연현상에 대해 관심이 많으며 스스로 문제를 해결하려는 끈기 있는 학습 태도가 좋음. </v>
      </c>
    </row>
    <row r="4" spans="1:3" s="14" customFormat="1" ht="34.5" customHeight="1" x14ac:dyDescent="0.3">
      <c r="A4" s="58" t="s">
        <v>684</v>
      </c>
      <c r="B4" s="69">
        <v>102</v>
      </c>
      <c r="C4" s="59" t="str">
        <f>VLOOKUP(B4,학습코드,3,0)</f>
        <v xml:space="preserve">자연현상에 대해 관심이 많으며 스스로 문제를 해결하려는 끈기 있는 학습 태도가 좋음. </v>
      </c>
    </row>
    <row r="5" spans="1:3" s="14" customFormat="1" ht="7.5" customHeight="1" x14ac:dyDescent="0.3">
      <c r="A5" s="16"/>
      <c r="B5" s="30"/>
      <c r="C5" s="17"/>
    </row>
    <row r="6" spans="1:3" s="14" customFormat="1" ht="29.25" customHeight="1" x14ac:dyDescent="0.3">
      <c r="A6" s="46" t="s">
        <v>441</v>
      </c>
      <c r="B6" s="47" t="s">
        <v>429</v>
      </c>
      <c r="C6" s="46" t="s">
        <v>433</v>
      </c>
    </row>
    <row r="7" spans="1:3" ht="17.25" x14ac:dyDescent="0.3">
      <c r="A7" s="48">
        <v>101</v>
      </c>
      <c r="B7" s="49" t="s">
        <v>707</v>
      </c>
      <c r="C7" s="50" t="s">
        <v>60</v>
      </c>
    </row>
    <row r="8" spans="1:3" ht="17.25" x14ac:dyDescent="0.3">
      <c r="A8" s="48">
        <v>102</v>
      </c>
      <c r="B8" s="49" t="s">
        <v>203</v>
      </c>
      <c r="C8" s="50" t="s">
        <v>489</v>
      </c>
    </row>
    <row r="9" spans="1:3" ht="17.25" x14ac:dyDescent="0.3">
      <c r="A9" s="48">
        <v>103</v>
      </c>
      <c r="B9" s="49" t="s">
        <v>208</v>
      </c>
      <c r="C9" s="50" t="s">
        <v>735</v>
      </c>
    </row>
    <row r="10" spans="1:3" ht="17.25" x14ac:dyDescent="0.3">
      <c r="A10" s="48">
        <v>104</v>
      </c>
      <c r="B10" s="49" t="s">
        <v>201</v>
      </c>
      <c r="C10" s="50" t="s">
        <v>289</v>
      </c>
    </row>
    <row r="11" spans="1:3" ht="17.25" x14ac:dyDescent="0.3">
      <c r="A11" s="48">
        <v>105</v>
      </c>
      <c r="B11" s="49" t="s">
        <v>704</v>
      </c>
      <c r="C11" s="50" t="s">
        <v>734</v>
      </c>
    </row>
    <row r="12" spans="1:3" ht="17.25" x14ac:dyDescent="0.3">
      <c r="A12" s="48">
        <v>106</v>
      </c>
      <c r="B12" s="49" t="s">
        <v>200</v>
      </c>
      <c r="C12" s="50" t="s">
        <v>247</v>
      </c>
    </row>
    <row r="13" spans="1:3" ht="17.25" x14ac:dyDescent="0.3">
      <c r="A13" s="48">
        <v>107</v>
      </c>
      <c r="B13" s="49" t="s">
        <v>204</v>
      </c>
      <c r="C13" s="50" t="s">
        <v>1109</v>
      </c>
    </row>
    <row r="14" spans="1:3" ht="17.25" x14ac:dyDescent="0.3">
      <c r="A14" s="48">
        <v>108</v>
      </c>
      <c r="B14" s="49" t="s">
        <v>688</v>
      </c>
      <c r="C14" s="50" t="s">
        <v>734</v>
      </c>
    </row>
    <row r="15" spans="1:3" ht="17.25" x14ac:dyDescent="0.3">
      <c r="A15" s="48">
        <v>109</v>
      </c>
      <c r="B15" s="49" t="s">
        <v>691</v>
      </c>
      <c r="C15" s="50" t="s">
        <v>60</v>
      </c>
    </row>
    <row r="16" spans="1:3" ht="17.25" x14ac:dyDescent="0.3">
      <c r="A16" s="48">
        <v>110</v>
      </c>
      <c r="B16" s="49" t="s">
        <v>638</v>
      </c>
      <c r="C16" s="50" t="s">
        <v>180</v>
      </c>
    </row>
    <row r="17" spans="1:3" ht="17.25" x14ac:dyDescent="0.3">
      <c r="A17" s="48">
        <v>111</v>
      </c>
      <c r="B17" s="49" t="s">
        <v>202</v>
      </c>
      <c r="C17" s="50" t="s">
        <v>490</v>
      </c>
    </row>
    <row r="18" spans="1:3" ht="34.5" x14ac:dyDescent="0.3">
      <c r="A18" s="48">
        <v>112</v>
      </c>
      <c r="B18" s="49" t="s">
        <v>526</v>
      </c>
      <c r="C18" s="50" t="s">
        <v>257</v>
      </c>
    </row>
    <row r="19" spans="1:3" ht="17.25" x14ac:dyDescent="0.3">
      <c r="A19" s="48">
        <v>113</v>
      </c>
      <c r="B19" s="49" t="s">
        <v>205</v>
      </c>
      <c r="C19" s="50" t="s">
        <v>351</v>
      </c>
    </row>
    <row r="20" spans="1:3" ht="17.25" x14ac:dyDescent="0.3">
      <c r="A20" s="48">
        <v>114</v>
      </c>
      <c r="B20" s="49" t="s">
        <v>686</v>
      </c>
      <c r="C20" s="50" t="s">
        <v>170</v>
      </c>
    </row>
    <row r="21" spans="1:3" ht="17.25" x14ac:dyDescent="0.3">
      <c r="A21" s="48">
        <v>115</v>
      </c>
      <c r="B21" s="49" t="s">
        <v>206</v>
      </c>
      <c r="C21" s="50" t="s">
        <v>296</v>
      </c>
    </row>
    <row r="22" spans="1:3" ht="17.25" x14ac:dyDescent="0.3">
      <c r="A22" s="48">
        <v>116</v>
      </c>
      <c r="B22" s="49" t="s">
        <v>693</v>
      </c>
      <c r="C22" s="50" t="s">
        <v>352</v>
      </c>
    </row>
    <row r="23" spans="1:3" ht="17.25" x14ac:dyDescent="0.3">
      <c r="A23" s="48">
        <v>117</v>
      </c>
      <c r="B23" s="49" t="s">
        <v>683</v>
      </c>
      <c r="C23" s="50" t="s">
        <v>736</v>
      </c>
    </row>
    <row r="24" spans="1:3" ht="17.25" x14ac:dyDescent="0.3">
      <c r="A24" s="48">
        <v>118</v>
      </c>
      <c r="B24" s="49" t="s">
        <v>214</v>
      </c>
      <c r="C24" s="50" t="s">
        <v>737</v>
      </c>
    </row>
    <row r="25" spans="1:3" ht="17.25" x14ac:dyDescent="0.3">
      <c r="A25" s="48">
        <v>119</v>
      </c>
      <c r="B25" s="49" t="s">
        <v>695</v>
      </c>
      <c r="C25" s="50" t="s">
        <v>165</v>
      </c>
    </row>
    <row r="26" spans="1:3" ht="17.25" x14ac:dyDescent="0.3">
      <c r="A26" s="48">
        <v>120</v>
      </c>
      <c r="B26" s="49" t="s">
        <v>213</v>
      </c>
      <c r="C26" s="50" t="s">
        <v>171</v>
      </c>
    </row>
    <row r="27" spans="1:3" ht="17.25" x14ac:dyDescent="0.3">
      <c r="A27" s="48">
        <v>121</v>
      </c>
      <c r="B27" s="49" t="s">
        <v>701</v>
      </c>
      <c r="C27" s="50" t="s">
        <v>159</v>
      </c>
    </row>
    <row r="28" spans="1:3" ht="17.25" x14ac:dyDescent="0.3">
      <c r="A28" s="48">
        <v>122</v>
      </c>
      <c r="B28" s="49" t="s">
        <v>721</v>
      </c>
      <c r="C28" s="50" t="s">
        <v>292</v>
      </c>
    </row>
    <row r="29" spans="1:3" ht="17.25" x14ac:dyDescent="0.3">
      <c r="A29" s="48">
        <v>123</v>
      </c>
      <c r="B29" s="49" t="s">
        <v>709</v>
      </c>
      <c r="C29" s="50" t="s">
        <v>293</v>
      </c>
    </row>
    <row r="30" spans="1:3" ht="17.25" x14ac:dyDescent="0.3">
      <c r="A30" s="48">
        <v>124</v>
      </c>
      <c r="B30" s="49" t="s">
        <v>719</v>
      </c>
      <c r="C30" s="50" t="s">
        <v>183</v>
      </c>
    </row>
    <row r="31" spans="1:3" ht="17.25" x14ac:dyDescent="0.3">
      <c r="A31" s="48">
        <v>125</v>
      </c>
      <c r="B31" s="49" t="s">
        <v>211</v>
      </c>
      <c r="C31" s="50" t="s">
        <v>297</v>
      </c>
    </row>
    <row r="32" spans="1:3" ht="17.25" x14ac:dyDescent="0.3">
      <c r="A32" s="48">
        <v>126</v>
      </c>
      <c r="B32" s="49" t="s">
        <v>210</v>
      </c>
      <c r="C32" s="50" t="s">
        <v>1110</v>
      </c>
    </row>
    <row r="33" spans="1:3" ht="17.25" x14ac:dyDescent="0.3">
      <c r="A33" s="48">
        <v>127</v>
      </c>
      <c r="B33" s="49" t="s">
        <v>722</v>
      </c>
      <c r="C33" s="50" t="s">
        <v>1111</v>
      </c>
    </row>
    <row r="34" spans="1:3" ht="17.25" x14ac:dyDescent="0.3">
      <c r="A34" s="48">
        <v>128</v>
      </c>
      <c r="B34" s="49" t="s">
        <v>527</v>
      </c>
      <c r="C34" s="50" t="s">
        <v>1112</v>
      </c>
    </row>
    <row r="35" spans="1:3" ht="17.25" x14ac:dyDescent="0.3">
      <c r="A35" s="48">
        <v>129</v>
      </c>
      <c r="B35" s="49" t="s">
        <v>212</v>
      </c>
      <c r="C35" s="50" t="s">
        <v>1113</v>
      </c>
    </row>
    <row r="36" spans="1:3" ht="17.25" x14ac:dyDescent="0.3">
      <c r="A36" s="48">
        <v>130</v>
      </c>
      <c r="B36" s="49" t="s">
        <v>209</v>
      </c>
      <c r="C36" s="50" t="s">
        <v>295</v>
      </c>
    </row>
    <row r="37" spans="1:3" ht="17.25" x14ac:dyDescent="0.3">
      <c r="A37" s="48">
        <v>131</v>
      </c>
      <c r="B37" s="49" t="s">
        <v>712</v>
      </c>
      <c r="C37" s="50" t="s">
        <v>160</v>
      </c>
    </row>
    <row r="38" spans="1:3" ht="17.25" x14ac:dyDescent="0.3">
      <c r="A38" s="48">
        <v>132</v>
      </c>
      <c r="B38" s="49" t="s">
        <v>718</v>
      </c>
      <c r="C38" s="50" t="s">
        <v>162</v>
      </c>
    </row>
    <row r="39" spans="1:3" ht="17.25" x14ac:dyDescent="0.3">
      <c r="A39" s="48">
        <v>133</v>
      </c>
      <c r="B39" s="49" t="s">
        <v>714</v>
      </c>
      <c r="C39" s="50" t="s">
        <v>738</v>
      </c>
    </row>
    <row r="40" spans="1:3" ht="17.25" x14ac:dyDescent="0.3">
      <c r="A40" s="48">
        <v>134</v>
      </c>
      <c r="B40" s="49" t="s">
        <v>716</v>
      </c>
      <c r="C40" s="50" t="s">
        <v>294</v>
      </c>
    </row>
    <row r="41" spans="1:3" ht="17.25" x14ac:dyDescent="0.3">
      <c r="A41" s="48">
        <v>135</v>
      </c>
      <c r="B41" s="49" t="s">
        <v>708</v>
      </c>
      <c r="C41" s="50" t="s">
        <v>163</v>
      </c>
    </row>
    <row r="42" spans="1:3" ht="17.25" x14ac:dyDescent="0.3">
      <c r="A42" s="48">
        <v>136</v>
      </c>
      <c r="B42" s="49" t="s">
        <v>207</v>
      </c>
      <c r="C42" s="50" t="s">
        <v>89</v>
      </c>
    </row>
    <row r="43" spans="1:3" ht="17.25" x14ac:dyDescent="0.3">
      <c r="A43" s="48">
        <v>137</v>
      </c>
      <c r="B43" s="49" t="s">
        <v>710</v>
      </c>
      <c r="C43" s="50" t="s">
        <v>783</v>
      </c>
    </row>
    <row r="44" spans="1:3" ht="17.25" x14ac:dyDescent="0.3">
      <c r="A44" s="48">
        <v>138</v>
      </c>
      <c r="B44" s="49" t="s">
        <v>723</v>
      </c>
      <c r="C44" s="50" t="s">
        <v>72</v>
      </c>
    </row>
    <row r="45" spans="1:3" ht="17.25" x14ac:dyDescent="0.3">
      <c r="A45" s="48">
        <v>139</v>
      </c>
      <c r="B45" s="49" t="s">
        <v>713</v>
      </c>
      <c r="C45" s="50" t="s">
        <v>1114</v>
      </c>
    </row>
    <row r="46" spans="1:3" ht="17.25" x14ac:dyDescent="0.3">
      <c r="A46" s="48">
        <v>140</v>
      </c>
      <c r="B46" s="49" t="s">
        <v>222</v>
      </c>
      <c r="C46" s="50" t="s">
        <v>1115</v>
      </c>
    </row>
    <row r="47" spans="1:3" ht="17.25" x14ac:dyDescent="0.3">
      <c r="A47" s="48">
        <v>141</v>
      </c>
      <c r="B47" s="49" t="s">
        <v>717</v>
      </c>
      <c r="C47" s="50" t="s">
        <v>90</v>
      </c>
    </row>
    <row r="48" spans="1:3" ht="17.25" x14ac:dyDescent="0.3">
      <c r="A48" s="48">
        <v>142</v>
      </c>
      <c r="B48" s="49" t="s">
        <v>216</v>
      </c>
      <c r="C48" s="50" t="s">
        <v>91</v>
      </c>
    </row>
    <row r="49" spans="1:3" ht="17.25" x14ac:dyDescent="0.3">
      <c r="A49" s="48">
        <v>143</v>
      </c>
      <c r="B49" s="49" t="s">
        <v>711</v>
      </c>
      <c r="C49" s="50" t="s">
        <v>560</v>
      </c>
    </row>
    <row r="50" spans="1:3" ht="17.25" x14ac:dyDescent="0.3">
      <c r="A50" s="48">
        <v>144</v>
      </c>
      <c r="B50" s="49" t="s">
        <v>217</v>
      </c>
      <c r="C50" s="50" t="s">
        <v>591</v>
      </c>
    </row>
    <row r="51" spans="1:3" ht="17.25" x14ac:dyDescent="0.3">
      <c r="A51" s="48">
        <v>145</v>
      </c>
      <c r="B51" s="49" t="s">
        <v>530</v>
      </c>
      <c r="C51" s="50" t="s">
        <v>1116</v>
      </c>
    </row>
    <row r="52" spans="1:3" ht="17.25" x14ac:dyDescent="0.3">
      <c r="A52" s="48">
        <v>146</v>
      </c>
      <c r="B52" s="49" t="s">
        <v>715</v>
      </c>
      <c r="C52" s="50" t="s">
        <v>354</v>
      </c>
    </row>
    <row r="53" spans="1:3" ht="17.25" x14ac:dyDescent="0.3">
      <c r="A53" s="48">
        <v>147</v>
      </c>
      <c r="B53" s="49" t="s">
        <v>218</v>
      </c>
      <c r="C53" s="50" t="s">
        <v>92</v>
      </c>
    </row>
    <row r="54" spans="1:3" ht="17.25" x14ac:dyDescent="0.3">
      <c r="A54" s="48">
        <v>148</v>
      </c>
      <c r="B54" s="49" t="s">
        <v>223</v>
      </c>
      <c r="C54" s="50" t="s">
        <v>584</v>
      </c>
    </row>
    <row r="55" spans="1:3" ht="17.25" x14ac:dyDescent="0.3">
      <c r="A55" s="48">
        <v>149</v>
      </c>
      <c r="B55" s="49" t="s">
        <v>220</v>
      </c>
      <c r="C55" s="50" t="s">
        <v>580</v>
      </c>
    </row>
    <row r="56" spans="1:3" ht="17.25" x14ac:dyDescent="0.3">
      <c r="A56" s="48">
        <v>150</v>
      </c>
      <c r="B56" s="49" t="s">
        <v>219</v>
      </c>
      <c r="C56" s="50" t="s">
        <v>88</v>
      </c>
    </row>
    <row r="57" spans="1:3" ht="17.25" x14ac:dyDescent="0.3">
      <c r="A57" s="48">
        <v>151</v>
      </c>
      <c r="B57" s="49" t="s">
        <v>219</v>
      </c>
      <c r="C57" s="50" t="s">
        <v>593</v>
      </c>
    </row>
    <row r="58" spans="1:3" ht="17.25" x14ac:dyDescent="0.3">
      <c r="A58" s="48">
        <v>152</v>
      </c>
      <c r="B58" s="49" t="s">
        <v>215</v>
      </c>
      <c r="C58" s="50" t="s">
        <v>585</v>
      </c>
    </row>
    <row r="59" spans="1:3" ht="17.25" x14ac:dyDescent="0.3">
      <c r="A59" s="48">
        <v>153</v>
      </c>
      <c r="B59" s="49" t="s">
        <v>221</v>
      </c>
      <c r="C59" s="50" t="s">
        <v>58</v>
      </c>
    </row>
    <row r="60" spans="1:3" ht="17.25" x14ac:dyDescent="0.3">
      <c r="A60" s="48">
        <v>154</v>
      </c>
      <c r="B60" s="31" t="s">
        <v>207</v>
      </c>
      <c r="C60" s="50" t="s">
        <v>1117</v>
      </c>
    </row>
    <row r="61" spans="1:3" ht="17.25" x14ac:dyDescent="0.3">
      <c r="A61" s="48">
        <v>155</v>
      </c>
      <c r="B61" s="31" t="s">
        <v>713</v>
      </c>
      <c r="C61" s="50" t="s">
        <v>739</v>
      </c>
    </row>
    <row r="62" spans="1:3" ht="17.25" x14ac:dyDescent="0.3">
      <c r="A62" s="48">
        <v>156</v>
      </c>
      <c r="B62" s="31" t="s">
        <v>243</v>
      </c>
      <c r="C62" s="50" t="s">
        <v>358</v>
      </c>
    </row>
    <row r="63" spans="1:3" ht="17.25" x14ac:dyDescent="0.3">
      <c r="A63" s="48">
        <v>157</v>
      </c>
      <c r="B63" s="31" t="s">
        <v>157</v>
      </c>
      <c r="C63" s="50" t="s">
        <v>87</v>
      </c>
    </row>
    <row r="64" spans="1:3" ht="17.25" x14ac:dyDescent="0.3">
      <c r="A64" s="48">
        <v>158</v>
      </c>
      <c r="B64" s="31" t="s">
        <v>790</v>
      </c>
      <c r="C64" s="50" t="s">
        <v>366</v>
      </c>
    </row>
    <row r="65" spans="1:3" ht="17.25" x14ac:dyDescent="0.3">
      <c r="A65" s="48">
        <v>159</v>
      </c>
      <c r="B65" s="31" t="s">
        <v>229</v>
      </c>
      <c r="C65" s="50" t="s">
        <v>360</v>
      </c>
    </row>
    <row r="66" spans="1:3" ht="17.25" x14ac:dyDescent="0.3">
      <c r="A66" s="48">
        <v>160</v>
      </c>
      <c r="B66" s="31" t="s">
        <v>707</v>
      </c>
      <c r="C66" s="50" t="s">
        <v>57</v>
      </c>
    </row>
    <row r="67" spans="1:3" ht="17.25" x14ac:dyDescent="0.3">
      <c r="A67" s="48">
        <v>161</v>
      </c>
      <c r="B67" s="31" t="s">
        <v>245</v>
      </c>
      <c r="C67" s="50" t="s">
        <v>186</v>
      </c>
    </row>
    <row r="68" spans="1:3" ht="17.25" x14ac:dyDescent="0.3">
      <c r="A68" s="48">
        <v>162</v>
      </c>
      <c r="B68" s="31" t="s">
        <v>246</v>
      </c>
      <c r="C68" s="50" t="s">
        <v>388</v>
      </c>
    </row>
    <row r="69" spans="1:3" ht="34.5" x14ac:dyDescent="0.3">
      <c r="A69" s="48">
        <v>163</v>
      </c>
      <c r="B69" s="31" t="s">
        <v>228</v>
      </c>
      <c r="C69" s="50" t="s">
        <v>153</v>
      </c>
    </row>
    <row r="70" spans="1:3" ht="17.25" x14ac:dyDescent="0.3">
      <c r="A70" s="48">
        <v>164</v>
      </c>
      <c r="B70" s="31" t="s">
        <v>796</v>
      </c>
      <c r="C70" s="50" t="s">
        <v>108</v>
      </c>
    </row>
    <row r="71" spans="1:3" ht="34.5" x14ac:dyDescent="0.3">
      <c r="A71" s="48">
        <v>165</v>
      </c>
      <c r="B71" s="31" t="s">
        <v>797</v>
      </c>
      <c r="C71" s="50" t="s">
        <v>21</v>
      </c>
    </row>
    <row r="72" spans="1:3" ht="34.5" x14ac:dyDescent="0.3">
      <c r="A72" s="48">
        <v>166</v>
      </c>
      <c r="B72" s="31" t="s">
        <v>799</v>
      </c>
      <c r="C72" s="50" t="s">
        <v>130</v>
      </c>
    </row>
    <row r="73" spans="1:3" ht="17.25" x14ac:dyDescent="0.3">
      <c r="A73" s="48">
        <v>167</v>
      </c>
      <c r="B73" s="31" t="s">
        <v>226</v>
      </c>
      <c r="C73" s="50" t="s">
        <v>448</v>
      </c>
    </row>
    <row r="74" spans="1:3" ht="17.25" x14ac:dyDescent="0.3">
      <c r="A74" s="48">
        <v>168</v>
      </c>
      <c r="B74" s="31" t="s">
        <v>242</v>
      </c>
      <c r="C74" s="50" t="s">
        <v>366</v>
      </c>
    </row>
    <row r="75" spans="1:3" ht="17.25" x14ac:dyDescent="0.3">
      <c r="A75" s="48">
        <v>169</v>
      </c>
      <c r="B75" s="31" t="s">
        <v>244</v>
      </c>
      <c r="C75" s="50" t="s">
        <v>449</v>
      </c>
    </row>
    <row r="76" spans="1:3" ht="34.5" x14ac:dyDescent="0.3">
      <c r="A76" s="48">
        <v>170</v>
      </c>
      <c r="B76" s="31" t="s">
        <v>576</v>
      </c>
      <c r="C76" s="50" t="s">
        <v>619</v>
      </c>
    </row>
    <row r="77" spans="1:3" ht="17.25" x14ac:dyDescent="0.3">
      <c r="A77" s="48">
        <v>171</v>
      </c>
      <c r="B77" s="31" t="s">
        <v>788</v>
      </c>
      <c r="C77" s="27" t="s">
        <v>248</v>
      </c>
    </row>
    <row r="78" spans="1:3" ht="17.25" x14ac:dyDescent="0.3">
      <c r="A78" s="48">
        <v>172</v>
      </c>
      <c r="B78" s="31" t="s">
        <v>227</v>
      </c>
      <c r="C78" s="50" t="s">
        <v>63</v>
      </c>
    </row>
    <row r="79" spans="1:3" ht="34.5" x14ac:dyDescent="0.3">
      <c r="A79" s="48">
        <v>173</v>
      </c>
      <c r="B79" s="31" t="s">
        <v>224</v>
      </c>
      <c r="C79" s="50" t="s">
        <v>149</v>
      </c>
    </row>
    <row r="80" spans="1:3" ht="17.25" x14ac:dyDescent="0.3">
      <c r="A80" s="48">
        <v>174</v>
      </c>
      <c r="B80" s="31" t="s">
        <v>789</v>
      </c>
      <c r="C80" s="50" t="s">
        <v>347</v>
      </c>
    </row>
    <row r="81" spans="1:3" ht="34.5" x14ac:dyDescent="0.3">
      <c r="A81" s="48">
        <v>175</v>
      </c>
      <c r="B81" s="31" t="s">
        <v>20</v>
      </c>
      <c r="C81" s="50" t="s">
        <v>280</v>
      </c>
    </row>
    <row r="82" spans="1:3" ht="17.25" x14ac:dyDescent="0.3">
      <c r="A82" s="48">
        <v>176</v>
      </c>
      <c r="B82" s="31" t="s">
        <v>795</v>
      </c>
      <c r="C82" s="50" t="s">
        <v>447</v>
      </c>
    </row>
    <row r="83" spans="1:3" ht="17.25" x14ac:dyDescent="0.3">
      <c r="A83" s="48">
        <v>177</v>
      </c>
      <c r="B83" s="31" t="s">
        <v>798</v>
      </c>
      <c r="C83" s="50" t="s">
        <v>446</v>
      </c>
    </row>
    <row r="84" spans="1:3" ht="34.5" x14ac:dyDescent="0.3">
      <c r="A84" s="48">
        <v>178</v>
      </c>
      <c r="B84" s="31" t="s">
        <v>20</v>
      </c>
      <c r="C84" s="50" t="s">
        <v>317</v>
      </c>
    </row>
    <row r="85" spans="1:3" ht="34.5" x14ac:dyDescent="0.3">
      <c r="A85" s="48">
        <v>179</v>
      </c>
      <c r="B85" s="31" t="s">
        <v>185</v>
      </c>
      <c r="C85" s="50" t="s">
        <v>131</v>
      </c>
    </row>
    <row r="86" spans="1:3" ht="34.5" x14ac:dyDescent="0.3">
      <c r="A86" s="48">
        <v>180</v>
      </c>
      <c r="B86" s="31" t="s">
        <v>225</v>
      </c>
      <c r="C86" s="50" t="s">
        <v>314</v>
      </c>
    </row>
    <row r="87" spans="1:3" ht="34.5" x14ac:dyDescent="0.3">
      <c r="A87" s="48">
        <v>181</v>
      </c>
      <c r="B87" s="31" t="s">
        <v>266</v>
      </c>
      <c r="C87" s="50" t="s">
        <v>233</v>
      </c>
    </row>
    <row r="88" spans="1:3" ht="34.5" x14ac:dyDescent="0.3">
      <c r="A88" s="48">
        <v>182</v>
      </c>
      <c r="B88" s="31" t="s">
        <v>794</v>
      </c>
      <c r="C88" s="50" t="s">
        <v>312</v>
      </c>
    </row>
    <row r="89" spans="1:3" ht="34.5" x14ac:dyDescent="0.3">
      <c r="A89" s="48">
        <v>183</v>
      </c>
      <c r="B89" s="31" t="s">
        <v>793</v>
      </c>
      <c r="C89" s="50" t="s">
        <v>258</v>
      </c>
    </row>
    <row r="90" spans="1:3" ht="34.5" x14ac:dyDescent="0.3">
      <c r="A90" s="48">
        <v>184</v>
      </c>
      <c r="B90" s="31" t="s">
        <v>791</v>
      </c>
      <c r="C90" s="50" t="s">
        <v>9</v>
      </c>
    </row>
    <row r="91" spans="1:3" ht="34.5" x14ac:dyDescent="0.3">
      <c r="A91" s="48">
        <v>185</v>
      </c>
      <c r="B91" s="31" t="s">
        <v>792</v>
      </c>
      <c r="C91" s="50" t="s">
        <v>134</v>
      </c>
    </row>
    <row r="92" spans="1:3" ht="34.5" x14ac:dyDescent="0.3">
      <c r="A92" s="48">
        <v>186</v>
      </c>
      <c r="B92" s="31" t="s">
        <v>801</v>
      </c>
      <c r="C92" s="50" t="s">
        <v>478</v>
      </c>
    </row>
    <row r="93" spans="1:3" ht="34.5" x14ac:dyDescent="0.3">
      <c r="A93" s="48">
        <v>187</v>
      </c>
      <c r="B93" s="31" t="s">
        <v>800</v>
      </c>
      <c r="C93" s="50" t="s">
        <v>135</v>
      </c>
    </row>
    <row r="94" spans="1:3" ht="34.5" x14ac:dyDescent="0.3">
      <c r="A94" s="48">
        <v>188</v>
      </c>
      <c r="B94" s="49" t="s">
        <v>1082</v>
      </c>
      <c r="C94" s="50" t="s">
        <v>315</v>
      </c>
    </row>
    <row r="95" spans="1:3" ht="34.5" x14ac:dyDescent="0.3">
      <c r="A95" s="48">
        <v>189</v>
      </c>
      <c r="B95" s="49" t="s">
        <v>1082</v>
      </c>
      <c r="C95" s="50" t="s">
        <v>17</v>
      </c>
    </row>
    <row r="96" spans="1:3" ht="34.5" x14ac:dyDescent="0.3">
      <c r="A96" s="48">
        <v>190</v>
      </c>
      <c r="B96" s="49" t="s">
        <v>1082</v>
      </c>
      <c r="C96" s="50" t="s">
        <v>476</v>
      </c>
    </row>
    <row r="97" spans="1:3" ht="34.5" x14ac:dyDescent="0.3">
      <c r="A97" s="48">
        <v>191</v>
      </c>
      <c r="B97" s="49" t="s">
        <v>1082</v>
      </c>
      <c r="C97" s="50" t="s">
        <v>475</v>
      </c>
    </row>
    <row r="98" spans="1:3" ht="34.5" x14ac:dyDescent="0.3">
      <c r="A98" s="48">
        <v>192</v>
      </c>
      <c r="B98" s="49" t="s">
        <v>1082</v>
      </c>
      <c r="C98" s="50" t="s">
        <v>464</v>
      </c>
    </row>
    <row r="99" spans="1:3" ht="34.5" x14ac:dyDescent="0.3">
      <c r="A99" s="48">
        <v>193</v>
      </c>
      <c r="B99" s="49" t="s">
        <v>1082</v>
      </c>
      <c r="C99" s="50" t="s">
        <v>238</v>
      </c>
    </row>
    <row r="100" spans="1:3" ht="34.5" x14ac:dyDescent="0.3">
      <c r="A100" s="48">
        <v>194</v>
      </c>
      <c r="B100" s="49" t="s">
        <v>1082</v>
      </c>
      <c r="C100" s="50" t="s">
        <v>234</v>
      </c>
    </row>
    <row r="101" spans="1:3" ht="34.5" x14ac:dyDescent="0.3">
      <c r="A101" s="48">
        <v>195</v>
      </c>
      <c r="B101" s="49" t="s">
        <v>1082</v>
      </c>
      <c r="C101" s="50" t="s">
        <v>8</v>
      </c>
    </row>
    <row r="102" spans="1:3" ht="34.5" x14ac:dyDescent="0.3">
      <c r="A102" s="48">
        <v>196</v>
      </c>
      <c r="B102" s="49" t="s">
        <v>1082</v>
      </c>
      <c r="C102" s="50" t="s">
        <v>467</v>
      </c>
    </row>
    <row r="103" spans="1:3" ht="34.5" x14ac:dyDescent="0.3">
      <c r="A103" s="48">
        <v>197</v>
      </c>
      <c r="B103" s="49" t="s">
        <v>1082</v>
      </c>
      <c r="C103" s="50" t="s">
        <v>570</v>
      </c>
    </row>
    <row r="104" spans="1:3" ht="34.5" x14ac:dyDescent="0.3">
      <c r="A104" s="48">
        <v>198</v>
      </c>
      <c r="B104" s="49" t="s">
        <v>1082</v>
      </c>
      <c r="C104" s="50" t="s">
        <v>464</v>
      </c>
    </row>
    <row r="105" spans="1:3" ht="34.5" x14ac:dyDescent="0.3">
      <c r="A105" s="48">
        <v>199</v>
      </c>
      <c r="B105" s="49" t="s">
        <v>1082</v>
      </c>
      <c r="C105" s="50" t="s">
        <v>14</v>
      </c>
    </row>
    <row r="106" spans="1:3" ht="34.5" x14ac:dyDescent="0.3">
      <c r="A106" s="48">
        <v>200</v>
      </c>
      <c r="B106" s="49" t="s">
        <v>1082</v>
      </c>
      <c r="C106" s="50" t="s">
        <v>239</v>
      </c>
    </row>
    <row r="107" spans="1:3" ht="34.5" x14ac:dyDescent="0.3">
      <c r="A107" s="48">
        <v>201</v>
      </c>
      <c r="B107" s="49" t="s">
        <v>1082</v>
      </c>
      <c r="C107" s="50" t="s">
        <v>379</v>
      </c>
    </row>
    <row r="108" spans="1:3" ht="34.5" x14ac:dyDescent="0.3">
      <c r="A108" s="48">
        <v>202</v>
      </c>
      <c r="B108" s="49" t="s">
        <v>1082</v>
      </c>
      <c r="C108" s="50" t="s">
        <v>454</v>
      </c>
    </row>
    <row r="109" spans="1:3" ht="34.5" x14ac:dyDescent="0.3">
      <c r="A109" s="48">
        <v>203</v>
      </c>
      <c r="B109" s="49" t="s">
        <v>1082</v>
      </c>
      <c r="C109" s="50" t="s">
        <v>34</v>
      </c>
    </row>
    <row r="110" spans="1:3" ht="34.5" x14ac:dyDescent="0.3">
      <c r="A110" s="48">
        <v>204</v>
      </c>
      <c r="B110" s="49" t="s">
        <v>1082</v>
      </c>
      <c r="C110" s="50" t="s">
        <v>380</v>
      </c>
    </row>
    <row r="111" spans="1:3" ht="34.5" x14ac:dyDescent="0.3">
      <c r="A111" s="48">
        <v>205</v>
      </c>
      <c r="B111" s="49" t="s">
        <v>1082</v>
      </c>
      <c r="C111" s="50" t="s">
        <v>473</v>
      </c>
    </row>
    <row r="112" spans="1:3" ht="34.5" x14ac:dyDescent="0.3">
      <c r="A112" s="48">
        <v>206</v>
      </c>
      <c r="B112" s="49" t="s">
        <v>1082</v>
      </c>
      <c r="C112" s="50" t="s">
        <v>453</v>
      </c>
    </row>
    <row r="113" spans="1:3" ht="34.5" x14ac:dyDescent="0.3">
      <c r="A113" s="48">
        <v>207</v>
      </c>
      <c r="B113" s="49" t="s">
        <v>1082</v>
      </c>
      <c r="C113" s="50" t="s">
        <v>10</v>
      </c>
    </row>
    <row r="114" spans="1:3" ht="34.5" x14ac:dyDescent="0.3">
      <c r="A114" s="48">
        <v>208</v>
      </c>
      <c r="B114" s="49" t="s">
        <v>1082</v>
      </c>
      <c r="C114" s="50" t="s">
        <v>11</v>
      </c>
    </row>
    <row r="115" spans="1:3" ht="34.5" x14ac:dyDescent="0.3">
      <c r="A115" s="48">
        <v>209</v>
      </c>
      <c r="B115" s="49" t="s">
        <v>1082</v>
      </c>
      <c r="C115" s="50" t="s">
        <v>481</v>
      </c>
    </row>
    <row r="116" spans="1:3" ht="51.75" x14ac:dyDescent="0.3">
      <c r="A116" s="48">
        <v>210</v>
      </c>
      <c r="B116" s="49" t="s">
        <v>1082</v>
      </c>
      <c r="C116" s="50" t="s">
        <v>84</v>
      </c>
    </row>
    <row r="117" spans="1:3" ht="34.5" x14ac:dyDescent="0.3">
      <c r="A117" s="48">
        <v>211</v>
      </c>
      <c r="B117" s="49" t="s">
        <v>1082</v>
      </c>
      <c r="C117" s="50" t="s">
        <v>31</v>
      </c>
    </row>
    <row r="118" spans="1:3" ht="34.5" x14ac:dyDescent="0.3">
      <c r="A118" s="48">
        <v>212</v>
      </c>
      <c r="B118" s="49" t="s">
        <v>1082</v>
      </c>
      <c r="C118" s="50" t="s">
        <v>452</v>
      </c>
    </row>
    <row r="119" spans="1:3" ht="34.5" x14ac:dyDescent="0.3">
      <c r="A119" s="48">
        <v>213</v>
      </c>
      <c r="B119" s="49" t="s">
        <v>1082</v>
      </c>
      <c r="C119" s="50" t="s">
        <v>569</v>
      </c>
    </row>
    <row r="120" spans="1:3" ht="34.5" x14ac:dyDescent="0.3">
      <c r="A120" s="48">
        <v>214</v>
      </c>
      <c r="B120" s="49" t="s">
        <v>1082</v>
      </c>
      <c r="C120" s="50" t="s">
        <v>480</v>
      </c>
    </row>
    <row r="121" spans="1:3" ht="34.5" x14ac:dyDescent="0.3">
      <c r="A121" s="48">
        <v>215</v>
      </c>
      <c r="B121" s="49" t="s">
        <v>1082</v>
      </c>
      <c r="C121" s="50" t="s">
        <v>309</v>
      </c>
    </row>
    <row r="122" spans="1:3" ht="34.5" x14ac:dyDescent="0.3">
      <c r="A122" s="48">
        <v>216</v>
      </c>
      <c r="B122" s="49" t="s">
        <v>1082</v>
      </c>
      <c r="C122" s="50" t="s">
        <v>320</v>
      </c>
    </row>
    <row r="123" spans="1:3" ht="34.5" x14ac:dyDescent="0.3">
      <c r="A123" s="48">
        <v>217</v>
      </c>
      <c r="B123" s="49" t="s">
        <v>1082</v>
      </c>
      <c r="C123" s="50" t="s">
        <v>468</v>
      </c>
    </row>
    <row r="124" spans="1:3" ht="34.5" x14ac:dyDescent="0.3">
      <c r="A124" s="48">
        <v>218</v>
      </c>
      <c r="B124" s="49" t="s">
        <v>1082</v>
      </c>
      <c r="C124" s="50" t="s">
        <v>455</v>
      </c>
    </row>
    <row r="125" spans="1:3" ht="34.5" x14ac:dyDescent="0.3">
      <c r="A125" s="48">
        <v>219</v>
      </c>
      <c r="B125" s="49" t="s">
        <v>1082</v>
      </c>
      <c r="C125" s="50" t="s">
        <v>519</v>
      </c>
    </row>
    <row r="126" spans="1:3" ht="34.5" x14ac:dyDescent="0.3">
      <c r="A126" s="48">
        <v>220</v>
      </c>
      <c r="B126" s="49" t="s">
        <v>1082</v>
      </c>
      <c r="C126" s="50" t="s">
        <v>458</v>
      </c>
    </row>
    <row r="127" spans="1:3" ht="34.5" x14ac:dyDescent="0.3">
      <c r="A127" s="48">
        <v>221</v>
      </c>
      <c r="B127" s="49" t="s">
        <v>1082</v>
      </c>
      <c r="C127" s="50" t="s">
        <v>283</v>
      </c>
    </row>
    <row r="128" spans="1:3" ht="34.5" x14ac:dyDescent="0.3">
      <c r="A128" s="48">
        <v>222</v>
      </c>
      <c r="B128" s="49" t="s">
        <v>1082</v>
      </c>
      <c r="C128" s="50" t="s">
        <v>456</v>
      </c>
    </row>
    <row r="129" spans="1:3" ht="34.5" x14ac:dyDescent="0.3">
      <c r="A129" s="48">
        <v>223</v>
      </c>
      <c r="B129" s="49" t="s">
        <v>1082</v>
      </c>
      <c r="C129" s="50" t="s">
        <v>322</v>
      </c>
    </row>
    <row r="130" spans="1:3" ht="34.5" x14ac:dyDescent="0.3">
      <c r="A130" s="48">
        <v>224</v>
      </c>
      <c r="B130" s="49" t="s">
        <v>1082</v>
      </c>
      <c r="C130" s="50" t="s">
        <v>483</v>
      </c>
    </row>
    <row r="131" spans="1:3" ht="17.25" x14ac:dyDescent="0.3">
      <c r="A131" s="48">
        <v>225</v>
      </c>
      <c r="B131" s="49" t="s">
        <v>1082</v>
      </c>
      <c r="C131" s="50" t="s">
        <v>592</v>
      </c>
    </row>
    <row r="132" spans="1:3" ht="17.25" x14ac:dyDescent="0.3">
      <c r="A132" s="48">
        <v>226</v>
      </c>
      <c r="B132" s="49" t="s">
        <v>1082</v>
      </c>
      <c r="C132" s="50" t="s">
        <v>363</v>
      </c>
    </row>
    <row r="133" spans="1:3" ht="17.25" x14ac:dyDescent="0.3">
      <c r="A133" s="48">
        <v>227</v>
      </c>
      <c r="B133" s="49" t="s">
        <v>1082</v>
      </c>
      <c r="C133" s="50" t="s">
        <v>356</v>
      </c>
    </row>
    <row r="134" spans="1:3" ht="17.25" x14ac:dyDescent="0.3">
      <c r="A134" s="48">
        <v>228</v>
      </c>
      <c r="B134" s="49" t="s">
        <v>1082</v>
      </c>
      <c r="C134" s="50" t="s">
        <v>65</v>
      </c>
    </row>
    <row r="135" spans="1:3" ht="17.25" x14ac:dyDescent="0.3">
      <c r="A135" s="48">
        <v>229</v>
      </c>
      <c r="B135" s="49" t="s">
        <v>1082</v>
      </c>
      <c r="C135" s="50" t="s">
        <v>578</v>
      </c>
    </row>
    <row r="136" spans="1:3" ht="17.25" x14ac:dyDescent="0.3">
      <c r="A136" s="48">
        <v>230</v>
      </c>
      <c r="B136" s="49" t="s">
        <v>1082</v>
      </c>
      <c r="C136" s="50" t="s">
        <v>364</v>
      </c>
    </row>
    <row r="137" spans="1:3" ht="17.25" x14ac:dyDescent="0.3">
      <c r="A137" s="48">
        <v>231</v>
      </c>
      <c r="B137" s="49" t="s">
        <v>1082</v>
      </c>
      <c r="C137" s="50" t="s">
        <v>754</v>
      </c>
    </row>
    <row r="138" spans="1:3" ht="17.25" x14ac:dyDescent="0.3">
      <c r="A138" s="48">
        <v>232</v>
      </c>
      <c r="B138" s="49" t="s">
        <v>1082</v>
      </c>
      <c r="C138" s="50" t="s">
        <v>186</v>
      </c>
    </row>
    <row r="139" spans="1:3" ht="17.25" x14ac:dyDescent="0.3">
      <c r="A139" s="48">
        <v>233</v>
      </c>
      <c r="B139" s="49" t="s">
        <v>1082</v>
      </c>
      <c r="C139" s="50" t="s">
        <v>774</v>
      </c>
    </row>
    <row r="140" spans="1:3" ht="17.25" x14ac:dyDescent="0.3">
      <c r="A140" s="48">
        <v>234</v>
      </c>
      <c r="B140" s="49" t="s">
        <v>1082</v>
      </c>
      <c r="C140" s="50" t="s">
        <v>762</v>
      </c>
    </row>
    <row r="141" spans="1:3" ht="17.25" x14ac:dyDescent="0.3">
      <c r="A141" s="48">
        <v>235</v>
      </c>
      <c r="B141" s="49" t="s">
        <v>1082</v>
      </c>
      <c r="C141" s="50" t="s">
        <v>740</v>
      </c>
    </row>
    <row r="142" spans="1:3" ht="17.25" x14ac:dyDescent="0.3">
      <c r="A142" s="48">
        <v>236</v>
      </c>
      <c r="B142" s="49" t="s">
        <v>1082</v>
      </c>
      <c r="C142" s="50" t="s">
        <v>388</v>
      </c>
    </row>
    <row r="143" spans="1:3" ht="17.25" x14ac:dyDescent="0.3">
      <c r="A143" s="48">
        <v>237</v>
      </c>
      <c r="B143" s="49" t="s">
        <v>1082</v>
      </c>
      <c r="C143" s="50" t="s">
        <v>159</v>
      </c>
    </row>
    <row r="144" spans="1:3" ht="17.25" x14ac:dyDescent="0.3">
      <c r="A144" s="48">
        <v>238</v>
      </c>
      <c r="B144" s="49" t="s">
        <v>1082</v>
      </c>
      <c r="C144" s="50" t="s">
        <v>173</v>
      </c>
    </row>
    <row r="145" spans="1:3" ht="17.25" x14ac:dyDescent="0.3">
      <c r="A145" s="48">
        <v>239</v>
      </c>
      <c r="B145" s="49" t="s">
        <v>1082</v>
      </c>
      <c r="C145" s="50" t="s">
        <v>587</v>
      </c>
    </row>
    <row r="146" spans="1:3" ht="17.25" x14ac:dyDescent="0.3">
      <c r="A146" s="48">
        <v>240</v>
      </c>
      <c r="B146" s="49" t="s">
        <v>1082</v>
      </c>
      <c r="C146" s="50" t="s">
        <v>594</v>
      </c>
    </row>
    <row r="147" spans="1:3" ht="17.25" x14ac:dyDescent="0.3">
      <c r="A147" s="48">
        <v>241</v>
      </c>
      <c r="B147" s="49" t="s">
        <v>1082</v>
      </c>
      <c r="C147" s="50" t="s">
        <v>579</v>
      </c>
    </row>
    <row r="148" spans="1:3" ht="17.25" x14ac:dyDescent="0.3">
      <c r="A148" s="48">
        <v>242</v>
      </c>
      <c r="B148" s="49" t="s">
        <v>1082</v>
      </c>
      <c r="C148" s="50" t="s">
        <v>328</v>
      </c>
    </row>
    <row r="149" spans="1:3" ht="17.25" x14ac:dyDescent="0.3">
      <c r="A149" s="48">
        <v>243</v>
      </c>
      <c r="B149" s="49" t="s">
        <v>1082</v>
      </c>
      <c r="C149" s="50" t="s">
        <v>763</v>
      </c>
    </row>
    <row r="150" spans="1:3" ht="17.25" x14ac:dyDescent="0.3">
      <c r="A150" s="48">
        <v>244</v>
      </c>
      <c r="B150" s="49" t="s">
        <v>1082</v>
      </c>
      <c r="C150" s="50" t="s">
        <v>586</v>
      </c>
    </row>
    <row r="151" spans="1:3" ht="17.25" x14ac:dyDescent="0.3">
      <c r="A151" s="48">
        <v>245</v>
      </c>
      <c r="B151" s="49" t="s">
        <v>1082</v>
      </c>
      <c r="C151" s="50" t="s">
        <v>753</v>
      </c>
    </row>
    <row r="152" spans="1:3" ht="17.25" x14ac:dyDescent="0.3">
      <c r="A152" s="48">
        <v>246</v>
      </c>
      <c r="B152" s="49" t="s">
        <v>1082</v>
      </c>
      <c r="C152" s="50" t="s">
        <v>756</v>
      </c>
    </row>
    <row r="153" spans="1:3" ht="17.25" x14ac:dyDescent="0.3">
      <c r="A153" s="48">
        <v>247</v>
      </c>
      <c r="B153" s="49" t="s">
        <v>1082</v>
      </c>
      <c r="C153" s="50" t="s">
        <v>769</v>
      </c>
    </row>
    <row r="154" spans="1:3" ht="17.25" x14ac:dyDescent="0.3">
      <c r="A154" s="48">
        <v>248</v>
      </c>
      <c r="B154" s="49" t="s">
        <v>1082</v>
      </c>
      <c r="C154" s="50" t="s">
        <v>773</v>
      </c>
    </row>
    <row r="155" spans="1:3" ht="17.25" x14ac:dyDescent="0.3">
      <c r="A155" s="48">
        <v>249</v>
      </c>
      <c r="B155" s="49" t="s">
        <v>1082</v>
      </c>
      <c r="C155" s="50" t="s">
        <v>588</v>
      </c>
    </row>
    <row r="156" spans="1:3" ht="17.25" x14ac:dyDescent="0.3">
      <c r="A156" s="48">
        <v>250</v>
      </c>
      <c r="B156" s="49" t="s">
        <v>1082</v>
      </c>
      <c r="C156" s="50" t="s">
        <v>736</v>
      </c>
    </row>
    <row r="157" spans="1:3" ht="17.25" x14ac:dyDescent="0.3">
      <c r="A157" s="48">
        <v>251</v>
      </c>
      <c r="B157" s="49" t="s">
        <v>1082</v>
      </c>
      <c r="C157" s="50" t="s">
        <v>583</v>
      </c>
    </row>
    <row r="158" spans="1:3" ht="17.25" x14ac:dyDescent="0.3">
      <c r="A158" s="48">
        <v>252</v>
      </c>
      <c r="B158" s="49" t="s">
        <v>1082</v>
      </c>
      <c r="C158" s="50" t="s">
        <v>767</v>
      </c>
    </row>
    <row r="159" spans="1:3" ht="17.25" x14ac:dyDescent="0.3">
      <c r="A159" s="48">
        <v>253</v>
      </c>
      <c r="B159" s="49" t="s">
        <v>1082</v>
      </c>
      <c r="C159" s="50" t="s">
        <v>742</v>
      </c>
    </row>
    <row r="160" spans="1:3" ht="17.25" x14ac:dyDescent="0.3">
      <c r="A160" s="48">
        <v>254</v>
      </c>
      <c r="B160" s="49" t="s">
        <v>1082</v>
      </c>
      <c r="C160" s="50" t="s">
        <v>564</v>
      </c>
    </row>
    <row r="161" spans="1:3" ht="17.25" x14ac:dyDescent="0.3">
      <c r="A161" s="48">
        <v>255</v>
      </c>
      <c r="B161" s="49" t="s">
        <v>1082</v>
      </c>
      <c r="C161" s="50" t="s">
        <v>786</v>
      </c>
    </row>
    <row r="162" spans="1:3" ht="17.25" x14ac:dyDescent="0.3">
      <c r="A162" s="48">
        <v>256</v>
      </c>
      <c r="B162" s="49" t="s">
        <v>1082</v>
      </c>
      <c r="C162" s="50" t="s">
        <v>596</v>
      </c>
    </row>
    <row r="163" spans="1:3" ht="17.25" x14ac:dyDescent="0.3">
      <c r="A163" s="48">
        <v>257</v>
      </c>
      <c r="B163" s="49" t="s">
        <v>1082</v>
      </c>
      <c r="C163" s="50" t="s">
        <v>589</v>
      </c>
    </row>
    <row r="164" spans="1:3" ht="17.25" x14ac:dyDescent="0.3">
      <c r="A164" s="48">
        <v>258</v>
      </c>
      <c r="B164" s="49" t="s">
        <v>1082</v>
      </c>
      <c r="C164" s="50" t="s">
        <v>744</v>
      </c>
    </row>
    <row r="165" spans="1:3" ht="17.25" x14ac:dyDescent="0.3">
      <c r="A165" s="48">
        <v>259</v>
      </c>
      <c r="B165" s="49" t="s">
        <v>1082</v>
      </c>
      <c r="C165" s="50" t="s">
        <v>785</v>
      </c>
    </row>
    <row r="166" spans="1:3" ht="17.25" x14ac:dyDescent="0.3">
      <c r="A166" s="48">
        <v>260</v>
      </c>
      <c r="B166" s="49" t="s">
        <v>1082</v>
      </c>
      <c r="C166" s="50" t="s">
        <v>781</v>
      </c>
    </row>
    <row r="167" spans="1:3" ht="17.25" x14ac:dyDescent="0.3">
      <c r="A167" s="48">
        <v>261</v>
      </c>
      <c r="B167" s="49" t="s">
        <v>1082</v>
      </c>
      <c r="C167" s="50" t="s">
        <v>770</v>
      </c>
    </row>
    <row r="168" spans="1:3" ht="17.25" x14ac:dyDescent="0.3">
      <c r="A168" s="48">
        <v>262</v>
      </c>
      <c r="B168" s="49" t="s">
        <v>1082</v>
      </c>
      <c r="C168" s="50" t="s">
        <v>582</v>
      </c>
    </row>
    <row r="169" spans="1:3" ht="17.25" x14ac:dyDescent="0.3">
      <c r="A169" s="48">
        <v>263</v>
      </c>
      <c r="B169" s="49" t="s">
        <v>1082</v>
      </c>
      <c r="C169" s="50" t="s">
        <v>355</v>
      </c>
    </row>
    <row r="170" spans="1:3" ht="17.25" x14ac:dyDescent="0.3">
      <c r="A170" s="48">
        <v>264</v>
      </c>
      <c r="B170" s="49" t="s">
        <v>1082</v>
      </c>
      <c r="C170" s="50" t="s">
        <v>757</v>
      </c>
    </row>
    <row r="171" spans="1:3" ht="17.25" x14ac:dyDescent="0.3">
      <c r="A171" s="48">
        <v>265</v>
      </c>
      <c r="B171" s="49" t="s">
        <v>1082</v>
      </c>
      <c r="C171" s="50" t="s">
        <v>590</v>
      </c>
    </row>
    <row r="172" spans="1:3" ht="17.25" x14ac:dyDescent="0.3">
      <c r="A172" s="48">
        <v>266</v>
      </c>
      <c r="B172" s="49" t="s">
        <v>1082</v>
      </c>
      <c r="C172" s="50" t="s">
        <v>741</v>
      </c>
    </row>
    <row r="173" spans="1:3" ht="17.25" x14ac:dyDescent="0.3">
      <c r="A173" s="48">
        <v>267</v>
      </c>
      <c r="B173" s="49" t="s">
        <v>1082</v>
      </c>
      <c r="C173" s="50" t="s">
        <v>759</v>
      </c>
    </row>
    <row r="174" spans="1:3" ht="17.25" x14ac:dyDescent="0.3">
      <c r="A174" s="48">
        <v>268</v>
      </c>
      <c r="B174" s="49" t="s">
        <v>1082</v>
      </c>
      <c r="C174" s="50" t="s">
        <v>361</v>
      </c>
    </row>
    <row r="175" spans="1:3" ht="17.25" x14ac:dyDescent="0.3">
      <c r="A175" s="48">
        <v>269</v>
      </c>
      <c r="B175" s="49" t="s">
        <v>1082</v>
      </c>
      <c r="C175" s="50" t="s">
        <v>743</v>
      </c>
    </row>
    <row r="176" spans="1:3" ht="17.25" x14ac:dyDescent="0.3">
      <c r="A176" s="48">
        <v>270</v>
      </c>
      <c r="B176" s="49" t="s">
        <v>1082</v>
      </c>
      <c r="C176" s="50" t="s">
        <v>771</v>
      </c>
    </row>
    <row r="177" spans="1:3" ht="17.25" x14ac:dyDescent="0.3">
      <c r="A177" s="48">
        <v>271</v>
      </c>
      <c r="B177" s="49" t="s">
        <v>1082</v>
      </c>
      <c r="C177" s="50" t="s">
        <v>362</v>
      </c>
    </row>
    <row r="178" spans="1:3" ht="17.25" x14ac:dyDescent="0.3">
      <c r="A178" s="48">
        <v>272</v>
      </c>
      <c r="B178" s="49" t="s">
        <v>1082</v>
      </c>
      <c r="C178" s="50" t="s">
        <v>598</v>
      </c>
    </row>
    <row r="179" spans="1:3" ht="17.25" x14ac:dyDescent="0.3">
      <c r="A179" s="48">
        <v>273</v>
      </c>
      <c r="B179" s="49" t="s">
        <v>1082</v>
      </c>
      <c r="C179" s="50" t="s">
        <v>595</v>
      </c>
    </row>
    <row r="180" spans="1:3" ht="17.25" x14ac:dyDescent="0.3">
      <c r="A180" s="48">
        <v>274</v>
      </c>
      <c r="B180" s="49" t="s">
        <v>1082</v>
      </c>
      <c r="C180" s="50" t="s">
        <v>367</v>
      </c>
    </row>
    <row r="181" spans="1:3" ht="17.25" x14ac:dyDescent="0.3">
      <c r="A181" s="48">
        <v>275</v>
      </c>
      <c r="B181" s="49" t="s">
        <v>1082</v>
      </c>
      <c r="C181" s="50" t="s">
        <v>597</v>
      </c>
    </row>
    <row r="182" spans="1:3" ht="17.25" x14ac:dyDescent="0.3">
      <c r="A182" s="48">
        <v>276</v>
      </c>
      <c r="B182" s="49" t="s">
        <v>1082</v>
      </c>
      <c r="C182" s="50" t="s">
        <v>778</v>
      </c>
    </row>
    <row r="183" spans="1:3" ht="17.25" x14ac:dyDescent="0.3">
      <c r="A183" s="48">
        <v>277</v>
      </c>
      <c r="B183" s="49" t="s">
        <v>1082</v>
      </c>
      <c r="C183" s="50" t="s">
        <v>181</v>
      </c>
    </row>
    <row r="184" spans="1:3" ht="17.25" x14ac:dyDescent="0.3">
      <c r="A184" s="48">
        <v>278</v>
      </c>
      <c r="B184" s="49" t="s">
        <v>1082</v>
      </c>
      <c r="C184" s="50" t="s">
        <v>599</v>
      </c>
    </row>
    <row r="185" spans="1:3" ht="17.25" x14ac:dyDescent="0.3">
      <c r="A185" s="48">
        <v>279</v>
      </c>
      <c r="B185" s="49" t="s">
        <v>1082</v>
      </c>
      <c r="C185" s="50" t="s">
        <v>371</v>
      </c>
    </row>
    <row r="186" spans="1:3" ht="17.25" x14ac:dyDescent="0.3">
      <c r="A186" s="48">
        <v>280</v>
      </c>
      <c r="B186" s="49" t="s">
        <v>1082</v>
      </c>
      <c r="C186" s="50" t="s">
        <v>348</v>
      </c>
    </row>
    <row r="187" spans="1:3" ht="17.25" x14ac:dyDescent="0.3">
      <c r="A187" s="48">
        <v>281</v>
      </c>
      <c r="B187" s="49" t="s">
        <v>1082</v>
      </c>
      <c r="C187" s="50" t="s">
        <v>165</v>
      </c>
    </row>
    <row r="188" spans="1:3" ht="17.25" x14ac:dyDescent="0.3">
      <c r="A188" s="48">
        <v>282</v>
      </c>
      <c r="B188" s="49" t="s">
        <v>1082</v>
      </c>
      <c r="C188" s="50" t="s">
        <v>369</v>
      </c>
    </row>
    <row r="189" spans="1:3" ht="17.25" x14ac:dyDescent="0.3">
      <c r="A189" s="48">
        <v>283</v>
      </c>
      <c r="B189" s="49" t="s">
        <v>1082</v>
      </c>
      <c r="C189" s="50" t="s">
        <v>344</v>
      </c>
    </row>
    <row r="190" spans="1:3" ht="17.25" x14ac:dyDescent="0.3">
      <c r="A190" s="48">
        <v>284</v>
      </c>
      <c r="B190" s="49" t="s">
        <v>1082</v>
      </c>
      <c r="C190" s="50" t="s">
        <v>758</v>
      </c>
    </row>
    <row r="191" spans="1:3" ht="17.25" x14ac:dyDescent="0.3">
      <c r="A191" s="48">
        <v>285</v>
      </c>
      <c r="B191" s="49" t="s">
        <v>1082</v>
      </c>
      <c r="C191" s="50" t="s">
        <v>747</v>
      </c>
    </row>
    <row r="192" spans="1:3" ht="17.25" x14ac:dyDescent="0.3">
      <c r="A192" s="48">
        <v>286</v>
      </c>
      <c r="B192" s="49" t="s">
        <v>1082</v>
      </c>
      <c r="C192" s="50" t="s">
        <v>772</v>
      </c>
    </row>
    <row r="193" spans="1:3" ht="17.25" x14ac:dyDescent="0.3">
      <c r="A193" s="48">
        <v>287</v>
      </c>
      <c r="B193" s="49" t="s">
        <v>1082</v>
      </c>
      <c r="C193" s="50" t="s">
        <v>755</v>
      </c>
    </row>
    <row r="194" spans="1:3" ht="17.25" x14ac:dyDescent="0.3">
      <c r="A194" s="48">
        <v>288</v>
      </c>
      <c r="B194" s="49" t="s">
        <v>1082</v>
      </c>
      <c r="C194" s="50" t="s">
        <v>581</v>
      </c>
    </row>
    <row r="195" spans="1:3" ht="17.25" x14ac:dyDescent="0.3">
      <c r="A195" s="48">
        <v>289</v>
      </c>
      <c r="B195" s="49" t="s">
        <v>1082</v>
      </c>
      <c r="C195" s="50" t="s">
        <v>353</v>
      </c>
    </row>
    <row r="196" spans="1:3" ht="17.25" x14ac:dyDescent="0.3">
      <c r="A196" s="48">
        <v>290</v>
      </c>
      <c r="B196" s="49" t="s">
        <v>1082</v>
      </c>
      <c r="C196" s="50" t="s">
        <v>746</v>
      </c>
    </row>
    <row r="197" spans="1:3" ht="17.25" x14ac:dyDescent="0.3">
      <c r="A197" s="48">
        <v>291</v>
      </c>
      <c r="B197" s="49" t="s">
        <v>1082</v>
      </c>
      <c r="C197" s="50" t="s">
        <v>53</v>
      </c>
    </row>
    <row r="198" spans="1:3" ht="17.25" x14ac:dyDescent="0.3">
      <c r="A198" s="48">
        <v>292</v>
      </c>
      <c r="B198" s="49" t="s">
        <v>1082</v>
      </c>
      <c r="C198" s="50" t="s">
        <v>575</v>
      </c>
    </row>
    <row r="199" spans="1:3" ht="17.25" x14ac:dyDescent="0.3">
      <c r="A199" s="48">
        <v>293</v>
      </c>
      <c r="B199" s="49" t="s">
        <v>1082</v>
      </c>
      <c r="C199" s="50" t="s">
        <v>540</v>
      </c>
    </row>
    <row r="200" spans="1:3" ht="17.25" x14ac:dyDescent="0.3">
      <c r="A200" s="48">
        <v>294</v>
      </c>
      <c r="B200" s="49" t="s">
        <v>1082</v>
      </c>
      <c r="C200" s="50" t="s">
        <v>760</v>
      </c>
    </row>
    <row r="201" spans="1:3" ht="17.25" x14ac:dyDescent="0.3">
      <c r="A201" s="48">
        <v>295</v>
      </c>
      <c r="B201" s="49" t="s">
        <v>1082</v>
      </c>
      <c r="C201" s="50" t="s">
        <v>541</v>
      </c>
    </row>
    <row r="202" spans="1:3" ht="17.25" x14ac:dyDescent="0.3">
      <c r="A202" s="48">
        <v>296</v>
      </c>
      <c r="B202" s="49" t="s">
        <v>1082</v>
      </c>
      <c r="C202" s="50" t="s">
        <v>182</v>
      </c>
    </row>
    <row r="203" spans="1:3" ht="17.25" x14ac:dyDescent="0.3">
      <c r="A203" s="48">
        <v>297</v>
      </c>
      <c r="B203" s="49" t="s">
        <v>1082</v>
      </c>
      <c r="C203" s="50" t="s">
        <v>345</v>
      </c>
    </row>
    <row r="204" spans="1:3" ht="17.25" x14ac:dyDescent="0.3">
      <c r="A204" s="48">
        <v>298</v>
      </c>
      <c r="B204" s="49" t="s">
        <v>1082</v>
      </c>
      <c r="C204" s="50" t="s">
        <v>543</v>
      </c>
    </row>
    <row r="205" spans="1:3" ht="17.25" x14ac:dyDescent="0.3">
      <c r="A205" s="48">
        <v>299</v>
      </c>
      <c r="B205" s="49" t="s">
        <v>1082</v>
      </c>
      <c r="C205" s="50" t="s">
        <v>775</v>
      </c>
    </row>
    <row r="206" spans="1:3" ht="17.25" x14ac:dyDescent="0.3">
      <c r="A206" s="48">
        <v>300</v>
      </c>
      <c r="B206" s="49" t="s">
        <v>1082</v>
      </c>
      <c r="C206" s="50" t="s">
        <v>352</v>
      </c>
    </row>
    <row r="207" spans="1:3" ht="17.25" x14ac:dyDescent="0.3">
      <c r="A207" s="48">
        <v>301</v>
      </c>
      <c r="B207" s="49" t="s">
        <v>1082</v>
      </c>
      <c r="C207" s="50" t="s">
        <v>548</v>
      </c>
    </row>
    <row r="208" spans="1:3" ht="17.25" x14ac:dyDescent="0.3">
      <c r="A208" s="48">
        <v>302</v>
      </c>
      <c r="B208" s="49" t="s">
        <v>1082</v>
      </c>
      <c r="C208" s="50" t="s">
        <v>544</v>
      </c>
    </row>
    <row r="209" spans="1:3" ht="17.25" x14ac:dyDescent="0.3">
      <c r="A209" s="48">
        <v>303</v>
      </c>
      <c r="B209" s="49" t="s">
        <v>1082</v>
      </c>
      <c r="C209" s="50" t="s">
        <v>787</v>
      </c>
    </row>
    <row r="210" spans="1:3" ht="17.25" x14ac:dyDescent="0.3">
      <c r="A210" s="48">
        <v>304</v>
      </c>
      <c r="B210" s="49" t="s">
        <v>1082</v>
      </c>
      <c r="C210" s="50" t="s">
        <v>748</v>
      </c>
    </row>
    <row r="211" spans="1:3" ht="17.25" x14ac:dyDescent="0.3">
      <c r="A211" s="48">
        <v>305</v>
      </c>
      <c r="B211" s="49" t="s">
        <v>1082</v>
      </c>
      <c r="C211" s="50" t="s">
        <v>749</v>
      </c>
    </row>
    <row r="212" spans="1:3" ht="17.25" x14ac:dyDescent="0.3">
      <c r="A212" s="48">
        <v>306</v>
      </c>
      <c r="B212" s="49" t="s">
        <v>1082</v>
      </c>
      <c r="C212" s="50" t="s">
        <v>294</v>
      </c>
    </row>
    <row r="213" spans="1:3" ht="17.25" x14ac:dyDescent="0.3">
      <c r="A213" s="48">
        <v>307</v>
      </c>
      <c r="B213" s="49" t="s">
        <v>1082</v>
      </c>
      <c r="C213" s="50" t="s">
        <v>764</v>
      </c>
    </row>
    <row r="214" spans="1:3" ht="17.25" x14ac:dyDescent="0.3">
      <c r="A214" s="48">
        <v>308</v>
      </c>
      <c r="B214" s="49" t="s">
        <v>1082</v>
      </c>
      <c r="C214" s="50" t="s">
        <v>89</v>
      </c>
    </row>
    <row r="215" spans="1:3" ht="17.25" x14ac:dyDescent="0.3">
      <c r="A215" s="48">
        <v>309</v>
      </c>
      <c r="B215" s="49" t="s">
        <v>1082</v>
      </c>
      <c r="C215" s="50" t="s">
        <v>750</v>
      </c>
    </row>
    <row r="216" spans="1:3" ht="17.25" x14ac:dyDescent="0.3">
      <c r="A216" s="48">
        <v>310</v>
      </c>
      <c r="B216" s="49" t="s">
        <v>1082</v>
      </c>
      <c r="C216" s="50" t="s">
        <v>547</v>
      </c>
    </row>
    <row r="217" spans="1:3" ht="17.25" x14ac:dyDescent="0.3">
      <c r="A217" s="48">
        <v>311</v>
      </c>
      <c r="B217" s="49" t="s">
        <v>1082</v>
      </c>
      <c r="C217" s="50" t="s">
        <v>745</v>
      </c>
    </row>
    <row r="218" spans="1:3" ht="17.25" x14ac:dyDescent="0.3">
      <c r="A218" s="48">
        <v>312</v>
      </c>
      <c r="B218" s="49" t="s">
        <v>1082</v>
      </c>
      <c r="C218" s="50" t="s">
        <v>782</v>
      </c>
    </row>
    <row r="219" spans="1:3" ht="17.25" x14ac:dyDescent="0.3">
      <c r="A219" s="48">
        <v>313</v>
      </c>
      <c r="B219" s="49" t="s">
        <v>1082</v>
      </c>
      <c r="C219" s="50" t="s">
        <v>751</v>
      </c>
    </row>
    <row r="220" spans="1:3" ht="17.25" x14ac:dyDescent="0.3">
      <c r="A220" s="48">
        <v>314</v>
      </c>
      <c r="B220" s="49" t="s">
        <v>1082</v>
      </c>
      <c r="C220" s="50" t="s">
        <v>725</v>
      </c>
    </row>
    <row r="221" spans="1:3" ht="17.25" x14ac:dyDescent="0.3">
      <c r="A221" s="48">
        <v>315</v>
      </c>
      <c r="B221" s="49" t="s">
        <v>1082</v>
      </c>
      <c r="C221" s="50" t="s">
        <v>72</v>
      </c>
    </row>
    <row r="222" spans="1:3" ht="17.25" x14ac:dyDescent="0.3">
      <c r="A222" s="48">
        <v>316</v>
      </c>
      <c r="B222" s="49" t="s">
        <v>1082</v>
      </c>
      <c r="C222" s="50" t="s">
        <v>158</v>
      </c>
    </row>
    <row r="223" spans="1:3" ht="17.25" x14ac:dyDescent="0.3">
      <c r="A223" s="48">
        <v>317</v>
      </c>
      <c r="B223" s="49" t="s">
        <v>1082</v>
      </c>
      <c r="C223" s="50" t="s">
        <v>761</v>
      </c>
    </row>
    <row r="224" spans="1:3" ht="17.25" x14ac:dyDescent="0.3">
      <c r="A224" s="48">
        <v>318</v>
      </c>
      <c r="B224" s="49" t="s">
        <v>1082</v>
      </c>
      <c r="C224" s="50" t="s">
        <v>542</v>
      </c>
    </row>
    <row r="225" spans="1:3" ht="17.25" x14ac:dyDescent="0.3">
      <c r="A225" s="48">
        <v>319</v>
      </c>
      <c r="B225" s="49" t="s">
        <v>1082</v>
      </c>
      <c r="C225" s="50" t="s">
        <v>545</v>
      </c>
    </row>
    <row r="226" spans="1:3" ht="17.25" x14ac:dyDescent="0.3">
      <c r="A226" s="48">
        <v>320</v>
      </c>
      <c r="B226" s="49" t="s">
        <v>1082</v>
      </c>
      <c r="C226" s="50" t="s">
        <v>90</v>
      </c>
    </row>
    <row r="227" spans="1:3" ht="17.25" x14ac:dyDescent="0.3">
      <c r="A227" s="48">
        <v>321</v>
      </c>
      <c r="B227" s="49" t="s">
        <v>1082</v>
      </c>
      <c r="C227" s="50" t="s">
        <v>752</v>
      </c>
    </row>
    <row r="228" spans="1:3" ht="17.25" x14ac:dyDescent="0.3">
      <c r="A228" s="48">
        <v>322</v>
      </c>
      <c r="B228" s="49" t="s">
        <v>1082</v>
      </c>
      <c r="C228" s="50" t="s">
        <v>375</v>
      </c>
    </row>
    <row r="229" spans="1:3" ht="34.5" x14ac:dyDescent="0.3">
      <c r="A229" s="48">
        <v>323</v>
      </c>
      <c r="B229" s="49" t="s">
        <v>1081</v>
      </c>
      <c r="C229" s="50" t="s">
        <v>461</v>
      </c>
    </row>
    <row r="230" spans="1:3" ht="34.5" x14ac:dyDescent="0.3">
      <c r="A230" s="48">
        <v>324</v>
      </c>
      <c r="B230" s="49" t="s">
        <v>1081</v>
      </c>
      <c r="C230" s="50" t="s">
        <v>32</v>
      </c>
    </row>
    <row r="231" spans="1:3" ht="34.5" x14ac:dyDescent="0.3">
      <c r="A231" s="48">
        <v>325</v>
      </c>
      <c r="B231" s="49" t="s">
        <v>1081</v>
      </c>
      <c r="C231" s="50" t="s">
        <v>33</v>
      </c>
    </row>
    <row r="232" spans="1:3" ht="34.5" x14ac:dyDescent="0.3">
      <c r="A232" s="48">
        <v>326</v>
      </c>
      <c r="B232" s="49" t="s">
        <v>1081</v>
      </c>
      <c r="C232" s="50" t="s">
        <v>457</v>
      </c>
    </row>
    <row r="233" spans="1:3" ht="34.5" x14ac:dyDescent="0.3">
      <c r="A233" s="48">
        <v>327</v>
      </c>
      <c r="B233" s="49" t="s">
        <v>1081</v>
      </c>
      <c r="C233" s="50" t="s">
        <v>35</v>
      </c>
    </row>
    <row r="234" spans="1:3" ht="34.5" x14ac:dyDescent="0.3">
      <c r="A234" s="48">
        <v>328</v>
      </c>
      <c r="B234" s="49" t="s">
        <v>1081</v>
      </c>
      <c r="C234" s="50" t="s">
        <v>512</v>
      </c>
    </row>
    <row r="235" spans="1:3" ht="34.5" x14ac:dyDescent="0.3">
      <c r="A235" s="48">
        <v>329</v>
      </c>
      <c r="B235" s="49" t="s">
        <v>1081</v>
      </c>
      <c r="C235" s="50" t="s">
        <v>285</v>
      </c>
    </row>
    <row r="236" spans="1:3" ht="34.5" x14ac:dyDescent="0.3">
      <c r="A236" s="48">
        <v>330</v>
      </c>
      <c r="B236" s="49" t="s">
        <v>1081</v>
      </c>
      <c r="C236" s="50" t="s">
        <v>459</v>
      </c>
    </row>
    <row r="237" spans="1:3" ht="34.5" x14ac:dyDescent="0.3">
      <c r="A237" s="48">
        <v>331</v>
      </c>
      <c r="B237" s="49" t="s">
        <v>1081</v>
      </c>
      <c r="C237" s="50" t="s">
        <v>484</v>
      </c>
    </row>
    <row r="238" spans="1:3" ht="34.5" x14ac:dyDescent="0.3">
      <c r="A238" s="48">
        <v>332</v>
      </c>
      <c r="B238" s="49" t="s">
        <v>1081</v>
      </c>
      <c r="C238" s="50" t="s">
        <v>321</v>
      </c>
    </row>
    <row r="239" spans="1:3" ht="34.5" x14ac:dyDescent="0.3">
      <c r="A239" s="48">
        <v>333</v>
      </c>
      <c r="B239" s="49" t="s">
        <v>1081</v>
      </c>
      <c r="C239" s="50" t="s">
        <v>284</v>
      </c>
    </row>
    <row r="240" spans="1:3" ht="34.5" x14ac:dyDescent="0.3">
      <c r="A240" s="48">
        <v>334</v>
      </c>
      <c r="B240" s="49" t="s">
        <v>1081</v>
      </c>
      <c r="C240" s="50" t="s">
        <v>124</v>
      </c>
    </row>
    <row r="241" spans="1:3" ht="34.5" x14ac:dyDescent="0.3">
      <c r="A241" s="48">
        <v>335</v>
      </c>
      <c r="B241" s="49" t="s">
        <v>1081</v>
      </c>
      <c r="C241" s="50" t="s">
        <v>460</v>
      </c>
    </row>
    <row r="242" spans="1:3" ht="34.5" x14ac:dyDescent="0.3">
      <c r="A242" s="48">
        <v>336</v>
      </c>
      <c r="B242" s="49" t="s">
        <v>1081</v>
      </c>
      <c r="C242" s="50" t="s">
        <v>378</v>
      </c>
    </row>
    <row r="243" spans="1:3" ht="34.5" x14ac:dyDescent="0.3">
      <c r="A243" s="48">
        <v>337</v>
      </c>
      <c r="B243" s="49" t="s">
        <v>1081</v>
      </c>
      <c r="C243" s="50" t="s">
        <v>323</v>
      </c>
    </row>
    <row r="244" spans="1:3" ht="34.5" x14ac:dyDescent="0.3">
      <c r="A244" s="48">
        <v>338</v>
      </c>
      <c r="B244" s="49" t="s">
        <v>1081</v>
      </c>
      <c r="C244" s="50" t="s">
        <v>279</v>
      </c>
    </row>
    <row r="245" spans="1:3" ht="34.5" x14ac:dyDescent="0.3">
      <c r="A245" s="48">
        <v>339</v>
      </c>
      <c r="B245" s="49" t="s">
        <v>1081</v>
      </c>
      <c r="C245" s="50" t="s">
        <v>482</v>
      </c>
    </row>
    <row r="246" spans="1:3" ht="34.5" x14ac:dyDescent="0.3">
      <c r="A246" s="48">
        <v>340</v>
      </c>
      <c r="B246" s="49" t="s">
        <v>1081</v>
      </c>
      <c r="C246" s="50" t="s">
        <v>277</v>
      </c>
    </row>
    <row r="247" spans="1:3" ht="34.5" x14ac:dyDescent="0.3">
      <c r="A247" s="48">
        <v>341</v>
      </c>
      <c r="B247" s="49" t="s">
        <v>1081</v>
      </c>
      <c r="C247" s="50" t="s">
        <v>463</v>
      </c>
    </row>
    <row r="248" spans="1:3" ht="34.5" x14ac:dyDescent="0.3">
      <c r="A248" s="48">
        <v>342</v>
      </c>
      <c r="B248" s="49" t="s">
        <v>1081</v>
      </c>
      <c r="C248" s="50" t="s">
        <v>110</v>
      </c>
    </row>
    <row r="249" spans="1:3" ht="34.5" x14ac:dyDescent="0.3">
      <c r="A249" s="48">
        <v>343</v>
      </c>
      <c r="B249" s="49" t="s">
        <v>1081</v>
      </c>
      <c r="C249" s="50" t="s">
        <v>462</v>
      </c>
    </row>
    <row r="250" spans="1:3" ht="34.5" x14ac:dyDescent="0.3">
      <c r="A250" s="48">
        <v>344</v>
      </c>
      <c r="B250" s="49" t="s">
        <v>1081</v>
      </c>
      <c r="C250" s="50" t="s">
        <v>301</v>
      </c>
    </row>
    <row r="251" spans="1:3" ht="34.5" x14ac:dyDescent="0.3">
      <c r="A251" s="48">
        <v>345</v>
      </c>
      <c r="B251" s="49" t="s">
        <v>1081</v>
      </c>
      <c r="C251" s="50" t="s">
        <v>303</v>
      </c>
    </row>
    <row r="252" spans="1:3" ht="34.5" x14ac:dyDescent="0.3">
      <c r="A252" s="48">
        <v>346</v>
      </c>
      <c r="B252" s="49" t="s">
        <v>1081</v>
      </c>
      <c r="C252" s="50" t="s">
        <v>27</v>
      </c>
    </row>
    <row r="253" spans="1:3" ht="34.5" x14ac:dyDescent="0.3">
      <c r="A253" s="48">
        <v>347</v>
      </c>
      <c r="B253" s="49" t="s">
        <v>1081</v>
      </c>
      <c r="C253" s="50" t="s">
        <v>465</v>
      </c>
    </row>
    <row r="254" spans="1:3" ht="34.5" x14ac:dyDescent="0.3">
      <c r="A254" s="48">
        <v>348</v>
      </c>
      <c r="B254" s="49" t="s">
        <v>1081</v>
      </c>
      <c r="C254" s="50" t="s">
        <v>524</v>
      </c>
    </row>
    <row r="255" spans="1:3" ht="34.5" x14ac:dyDescent="0.3">
      <c r="A255" s="48">
        <v>349</v>
      </c>
      <c r="B255" s="49" t="s">
        <v>1081</v>
      </c>
      <c r="C255" s="50" t="s">
        <v>469</v>
      </c>
    </row>
    <row r="256" spans="1:3" ht="34.5" x14ac:dyDescent="0.3">
      <c r="A256" s="48">
        <v>350</v>
      </c>
      <c r="B256" s="49" t="s">
        <v>1081</v>
      </c>
      <c r="C256" s="50" t="s">
        <v>286</v>
      </c>
    </row>
    <row r="257" spans="1:3" ht="34.5" x14ac:dyDescent="0.3">
      <c r="A257" s="48">
        <v>351</v>
      </c>
      <c r="B257" s="49" t="s">
        <v>1081</v>
      </c>
      <c r="C257" s="50" t="s">
        <v>275</v>
      </c>
    </row>
    <row r="258" spans="1:3" ht="34.5" x14ac:dyDescent="0.3">
      <c r="A258" s="48">
        <v>352</v>
      </c>
      <c r="B258" s="49" t="s">
        <v>1081</v>
      </c>
      <c r="C258" s="50" t="s">
        <v>282</v>
      </c>
    </row>
    <row r="259" spans="1:3" ht="34.5" x14ac:dyDescent="0.3">
      <c r="A259" s="48">
        <v>353</v>
      </c>
      <c r="B259" s="49" t="s">
        <v>1081</v>
      </c>
      <c r="C259" s="50" t="s">
        <v>300</v>
      </c>
    </row>
    <row r="260" spans="1:3" ht="34.5" x14ac:dyDescent="0.3">
      <c r="A260" s="48">
        <v>354</v>
      </c>
      <c r="B260" s="49" t="s">
        <v>1081</v>
      </c>
      <c r="C260" s="50" t="s">
        <v>298</v>
      </c>
    </row>
    <row r="261" spans="1:3" ht="34.5" x14ac:dyDescent="0.3">
      <c r="A261" s="48">
        <v>355</v>
      </c>
      <c r="B261" s="49" t="s">
        <v>720</v>
      </c>
      <c r="C261" s="50" t="s">
        <v>28</v>
      </c>
    </row>
    <row r="262" spans="1:3" ht="34.5" x14ac:dyDescent="0.3">
      <c r="A262" s="48">
        <v>356</v>
      </c>
      <c r="B262" s="49" t="s">
        <v>720</v>
      </c>
      <c r="C262" s="50" t="s">
        <v>26</v>
      </c>
    </row>
    <row r="263" spans="1:3" ht="34.5" x14ac:dyDescent="0.3">
      <c r="A263" s="48">
        <v>357</v>
      </c>
      <c r="B263" s="49" t="s">
        <v>720</v>
      </c>
      <c r="C263" s="50" t="s">
        <v>471</v>
      </c>
    </row>
    <row r="264" spans="1:3" ht="34.5" x14ac:dyDescent="0.3">
      <c r="A264" s="48">
        <v>358</v>
      </c>
      <c r="B264" s="49" t="s">
        <v>720</v>
      </c>
      <c r="C264" s="50" t="s">
        <v>112</v>
      </c>
    </row>
    <row r="265" spans="1:3" ht="34.5" x14ac:dyDescent="0.3">
      <c r="A265" s="48">
        <v>359</v>
      </c>
      <c r="B265" s="49" t="s">
        <v>720</v>
      </c>
      <c r="C265" s="50" t="s">
        <v>113</v>
      </c>
    </row>
    <row r="266" spans="1:3" ht="34.5" x14ac:dyDescent="0.3">
      <c r="A266" s="48">
        <v>360</v>
      </c>
      <c r="B266" s="49" t="s">
        <v>720</v>
      </c>
      <c r="C266" s="50" t="s">
        <v>36</v>
      </c>
    </row>
    <row r="267" spans="1:3" ht="34.5" x14ac:dyDescent="0.3">
      <c r="A267" s="48">
        <v>361</v>
      </c>
      <c r="B267" s="49" t="s">
        <v>720</v>
      </c>
      <c r="C267" s="51" t="s">
        <v>568</v>
      </c>
    </row>
    <row r="268" spans="1:3" ht="34.5" x14ac:dyDescent="0.3">
      <c r="A268" s="48">
        <v>362</v>
      </c>
      <c r="B268" s="49" t="s">
        <v>720</v>
      </c>
      <c r="C268" s="51" t="s">
        <v>278</v>
      </c>
    </row>
    <row r="269" spans="1:3" ht="34.5" x14ac:dyDescent="0.3">
      <c r="A269" s="48">
        <v>363</v>
      </c>
      <c r="B269" s="49" t="s">
        <v>720</v>
      </c>
      <c r="C269" s="51" t="s">
        <v>513</v>
      </c>
    </row>
    <row r="270" spans="1:3" ht="34.5" x14ac:dyDescent="0.3">
      <c r="A270" s="48">
        <v>364</v>
      </c>
      <c r="B270" s="49" t="s">
        <v>720</v>
      </c>
      <c r="C270" s="51" t="s">
        <v>466</v>
      </c>
    </row>
    <row r="271" spans="1:3" ht="34.5" x14ac:dyDescent="0.3">
      <c r="A271" s="48">
        <v>365</v>
      </c>
      <c r="B271" s="49" t="s">
        <v>720</v>
      </c>
      <c r="C271" s="51" t="s">
        <v>4</v>
      </c>
    </row>
    <row r="272" spans="1:3" ht="34.5" x14ac:dyDescent="0.3">
      <c r="A272" s="48">
        <v>366</v>
      </c>
      <c r="B272" s="49" t="s">
        <v>720</v>
      </c>
      <c r="C272" s="51" t="s">
        <v>472</v>
      </c>
    </row>
    <row r="273" spans="1:3" ht="34.5" x14ac:dyDescent="0.3">
      <c r="A273" s="48">
        <v>367</v>
      </c>
      <c r="B273" s="49" t="s">
        <v>720</v>
      </c>
      <c r="C273" s="51" t="s">
        <v>30</v>
      </c>
    </row>
    <row r="274" spans="1:3" ht="34.5" x14ac:dyDescent="0.3">
      <c r="A274" s="48">
        <v>368</v>
      </c>
      <c r="B274" s="49" t="s">
        <v>720</v>
      </c>
      <c r="C274" s="51" t="s">
        <v>111</v>
      </c>
    </row>
    <row r="275" spans="1:3" ht="34.5" x14ac:dyDescent="0.3">
      <c r="A275" s="48">
        <v>369</v>
      </c>
      <c r="B275" s="49" t="s">
        <v>720</v>
      </c>
      <c r="C275" s="51" t="s">
        <v>514</v>
      </c>
    </row>
    <row r="276" spans="1:3" ht="34.5" x14ac:dyDescent="0.3">
      <c r="A276" s="48">
        <v>370</v>
      </c>
      <c r="B276" s="49" t="s">
        <v>720</v>
      </c>
      <c r="C276" s="51" t="s">
        <v>5</v>
      </c>
    </row>
    <row r="277" spans="1:3" ht="34.5" x14ac:dyDescent="0.3">
      <c r="A277" s="48">
        <v>371</v>
      </c>
      <c r="B277" s="49" t="s">
        <v>720</v>
      </c>
      <c r="C277" s="51" t="s">
        <v>6</v>
      </c>
    </row>
    <row r="278" spans="1:3" ht="34.5" x14ac:dyDescent="0.3">
      <c r="A278" s="48">
        <v>372</v>
      </c>
      <c r="B278" s="49" t="s">
        <v>720</v>
      </c>
      <c r="C278" s="51" t="s">
        <v>3</v>
      </c>
    </row>
    <row r="279" spans="1:3" ht="34.5" x14ac:dyDescent="0.3">
      <c r="A279" s="48">
        <v>373</v>
      </c>
      <c r="B279" s="49" t="s">
        <v>720</v>
      </c>
      <c r="C279" s="51" t="s">
        <v>451</v>
      </c>
    </row>
    <row r="280" spans="1:3" ht="34.5" x14ac:dyDescent="0.3">
      <c r="A280" s="48">
        <v>374</v>
      </c>
      <c r="B280" s="49" t="s">
        <v>720</v>
      </c>
      <c r="C280" s="51" t="s">
        <v>299</v>
      </c>
    </row>
    <row r="281" spans="1:3" ht="34.5" x14ac:dyDescent="0.3">
      <c r="A281" s="48">
        <v>375</v>
      </c>
      <c r="B281" s="49" t="s">
        <v>720</v>
      </c>
      <c r="C281" s="51" t="s">
        <v>515</v>
      </c>
    </row>
    <row r="282" spans="1:3" ht="34.5" x14ac:dyDescent="0.3">
      <c r="A282" s="48">
        <v>376</v>
      </c>
      <c r="B282" s="49" t="s">
        <v>720</v>
      </c>
      <c r="C282" s="51" t="s">
        <v>450</v>
      </c>
    </row>
    <row r="283" spans="1:3" ht="34.5" x14ac:dyDescent="0.3">
      <c r="A283" s="48">
        <v>377</v>
      </c>
      <c r="B283" s="49" t="s">
        <v>720</v>
      </c>
      <c r="C283" s="51" t="s">
        <v>520</v>
      </c>
    </row>
    <row r="284" spans="1:3" ht="34.5" x14ac:dyDescent="0.3">
      <c r="A284" s="48">
        <v>378</v>
      </c>
      <c r="B284" s="49" t="s">
        <v>720</v>
      </c>
      <c r="C284" s="51" t="s">
        <v>2</v>
      </c>
    </row>
    <row r="285" spans="1:3" ht="17.25" x14ac:dyDescent="0.3">
      <c r="A285" s="48">
        <v>379</v>
      </c>
      <c r="B285" s="49"/>
      <c r="C285" s="53"/>
    </row>
    <row r="286" spans="1:3" ht="17.25" x14ac:dyDescent="0.3">
      <c r="A286" s="48">
        <v>380</v>
      </c>
      <c r="B286" s="49"/>
      <c r="C286" s="53"/>
    </row>
    <row r="287" spans="1:3" x14ac:dyDescent="0.3">
      <c r="A287" s="35"/>
      <c r="C287" s="18"/>
    </row>
    <row r="288" spans="1:3" x14ac:dyDescent="0.3">
      <c r="A288" s="35"/>
      <c r="C288" s="18"/>
    </row>
    <row r="289" spans="1:3" x14ac:dyDescent="0.3">
      <c r="A289" s="35"/>
      <c r="C289" s="18"/>
    </row>
    <row r="290" spans="1:3" x14ac:dyDescent="0.3">
      <c r="A290" s="35"/>
      <c r="C290" s="18"/>
    </row>
    <row r="291" spans="1:3" x14ac:dyDescent="0.3">
      <c r="A291" s="35"/>
      <c r="C291" s="18"/>
    </row>
    <row r="292" spans="1:3" x14ac:dyDescent="0.3">
      <c r="A292" s="35"/>
      <c r="C292" s="18"/>
    </row>
    <row r="293" spans="1:3" x14ac:dyDescent="0.3">
      <c r="A293" s="35"/>
      <c r="C293" s="18"/>
    </row>
    <row r="294" spans="1:3" x14ac:dyDescent="0.3">
      <c r="A294" s="35"/>
      <c r="C294" s="18"/>
    </row>
    <row r="295" spans="1:3" x14ac:dyDescent="0.3">
      <c r="A295" s="35"/>
      <c r="C295" s="18"/>
    </row>
    <row r="296" spans="1:3" x14ac:dyDescent="0.3">
      <c r="A296" s="35"/>
      <c r="C296" s="18"/>
    </row>
    <row r="297" spans="1:3" x14ac:dyDescent="0.3">
      <c r="A297" s="35"/>
      <c r="C297" s="18"/>
    </row>
    <row r="298" spans="1:3" x14ac:dyDescent="0.3">
      <c r="A298" s="35"/>
      <c r="C298" s="18"/>
    </row>
    <row r="299" spans="1:3" x14ac:dyDescent="0.3">
      <c r="A299" s="35"/>
      <c r="C299" s="18"/>
    </row>
    <row r="300" spans="1:3" x14ac:dyDescent="0.3">
      <c r="A300" s="35"/>
      <c r="C300" s="18"/>
    </row>
    <row r="301" spans="1:3" x14ac:dyDescent="0.3">
      <c r="A301" s="35"/>
      <c r="C301" s="18"/>
    </row>
    <row r="302" spans="1:3" x14ac:dyDescent="0.3">
      <c r="A302" s="35"/>
      <c r="C302" s="18"/>
    </row>
    <row r="303" spans="1:3" x14ac:dyDescent="0.3">
      <c r="A303" s="35"/>
      <c r="C303" s="18"/>
    </row>
    <row r="304" spans="1:3" x14ac:dyDescent="0.3">
      <c r="A304" s="35"/>
      <c r="C304" s="18"/>
    </row>
    <row r="305" spans="1:3" x14ac:dyDescent="0.3">
      <c r="A305" s="35"/>
      <c r="C305" s="18"/>
    </row>
    <row r="306" spans="1:3" x14ac:dyDescent="0.3">
      <c r="A306" s="35"/>
      <c r="C306" s="18"/>
    </row>
    <row r="307" spans="1:3" x14ac:dyDescent="0.3">
      <c r="A307" s="35"/>
      <c r="C307" s="18"/>
    </row>
    <row r="308" spans="1:3" x14ac:dyDescent="0.3">
      <c r="A308" s="35"/>
      <c r="C308" s="18"/>
    </row>
    <row r="309" spans="1:3" x14ac:dyDescent="0.3">
      <c r="A309" s="35"/>
      <c r="C309" s="18"/>
    </row>
    <row r="310" spans="1:3" x14ac:dyDescent="0.3">
      <c r="A310" s="35"/>
      <c r="C310" s="18"/>
    </row>
    <row r="311" spans="1:3" x14ac:dyDescent="0.3">
      <c r="A311" s="35"/>
      <c r="C311" s="18"/>
    </row>
    <row r="312" spans="1:3" x14ac:dyDescent="0.3">
      <c r="A312" s="35"/>
      <c r="C312" s="18"/>
    </row>
    <row r="313" spans="1:3" x14ac:dyDescent="0.3">
      <c r="A313" s="35"/>
      <c r="C313" s="18"/>
    </row>
    <row r="314" spans="1:3" x14ac:dyDescent="0.3">
      <c r="A314" s="35"/>
      <c r="C314" s="18"/>
    </row>
    <row r="315" spans="1:3" x14ac:dyDescent="0.3">
      <c r="A315" s="35"/>
      <c r="C315" s="18"/>
    </row>
    <row r="316" spans="1:3" x14ac:dyDescent="0.3">
      <c r="A316" s="35"/>
      <c r="C316" s="18"/>
    </row>
    <row r="317" spans="1:3" x14ac:dyDescent="0.3">
      <c r="A317" s="35"/>
      <c r="C317" s="19"/>
    </row>
    <row r="318" spans="1:3" x14ac:dyDescent="0.3">
      <c r="A318" s="35"/>
      <c r="C318" s="18"/>
    </row>
    <row r="319" spans="1:3" x14ac:dyDescent="0.3">
      <c r="A319" s="35"/>
      <c r="C319" s="18"/>
    </row>
    <row r="320" spans="1:3" x14ac:dyDescent="0.3">
      <c r="A320" s="35"/>
      <c r="C320" s="18"/>
    </row>
    <row r="321" spans="1:3" x14ac:dyDescent="0.3">
      <c r="A321" s="35"/>
      <c r="C321" s="18"/>
    </row>
    <row r="322" spans="1:3" x14ac:dyDescent="0.3">
      <c r="A322" s="35"/>
      <c r="C322" s="18"/>
    </row>
    <row r="323" spans="1:3" x14ac:dyDescent="0.3">
      <c r="A323" s="35"/>
      <c r="C323" s="18"/>
    </row>
    <row r="324" spans="1:3" x14ac:dyDescent="0.3">
      <c r="A324" s="35"/>
      <c r="C324" s="18"/>
    </row>
    <row r="325" spans="1:3" x14ac:dyDescent="0.3">
      <c r="A325" s="35"/>
      <c r="C325" s="18"/>
    </row>
    <row r="326" spans="1:3" x14ac:dyDescent="0.3">
      <c r="A326" s="35"/>
      <c r="C326" s="18"/>
    </row>
    <row r="327" spans="1:3" x14ac:dyDescent="0.3">
      <c r="A327" s="35"/>
      <c r="C327" s="18"/>
    </row>
    <row r="328" spans="1:3" x14ac:dyDescent="0.3">
      <c r="A328" s="35"/>
      <c r="C328" s="18"/>
    </row>
    <row r="329" spans="1:3" x14ac:dyDescent="0.3">
      <c r="A329" s="35"/>
      <c r="C329" s="18"/>
    </row>
    <row r="330" spans="1:3" x14ac:dyDescent="0.3">
      <c r="A330" s="35"/>
      <c r="C330" s="18"/>
    </row>
    <row r="331" spans="1:3" x14ac:dyDescent="0.3">
      <c r="A331" s="35"/>
      <c r="C331" s="18"/>
    </row>
    <row r="332" spans="1:3" x14ac:dyDescent="0.3">
      <c r="A332" s="35"/>
      <c r="C332" s="18"/>
    </row>
    <row r="333" spans="1:3" x14ac:dyDescent="0.3">
      <c r="A333" s="35"/>
      <c r="C333" s="18"/>
    </row>
    <row r="334" spans="1:3" x14ac:dyDescent="0.3">
      <c r="A334" s="35"/>
      <c r="C334" s="18"/>
    </row>
    <row r="335" spans="1:3" x14ac:dyDescent="0.3">
      <c r="A335" s="35"/>
      <c r="C335" s="18"/>
    </row>
    <row r="336" spans="1:3" x14ac:dyDescent="0.3">
      <c r="A336" s="35"/>
      <c r="C336" s="18"/>
    </row>
    <row r="337" spans="1:3" x14ac:dyDescent="0.3">
      <c r="A337" s="35"/>
      <c r="C337" s="18"/>
    </row>
    <row r="338" spans="1:3" x14ac:dyDescent="0.3">
      <c r="A338" s="35"/>
      <c r="C338" s="18"/>
    </row>
    <row r="339" spans="1:3" x14ac:dyDescent="0.3">
      <c r="A339" s="35"/>
      <c r="C339" s="18"/>
    </row>
    <row r="340" spans="1:3" x14ac:dyDescent="0.3">
      <c r="A340" s="35"/>
      <c r="C340" s="18"/>
    </row>
    <row r="341" spans="1:3" x14ac:dyDescent="0.3">
      <c r="A341" s="35"/>
      <c r="C341" s="18"/>
    </row>
    <row r="342" spans="1:3" x14ac:dyDescent="0.3">
      <c r="A342" s="35"/>
      <c r="C342" s="18"/>
    </row>
    <row r="343" spans="1:3" x14ac:dyDescent="0.3">
      <c r="A343" s="35"/>
      <c r="C343" s="18"/>
    </row>
    <row r="344" spans="1:3" x14ac:dyDescent="0.3">
      <c r="A344" s="35"/>
      <c r="C344" s="18"/>
    </row>
    <row r="345" spans="1:3" x14ac:dyDescent="0.3">
      <c r="A345" s="35"/>
      <c r="C345" s="18"/>
    </row>
    <row r="346" spans="1:3" x14ac:dyDescent="0.3">
      <c r="A346" s="35"/>
      <c r="C346" s="18"/>
    </row>
    <row r="347" spans="1:3" x14ac:dyDescent="0.3">
      <c r="A347" s="35"/>
      <c r="C347" s="18"/>
    </row>
    <row r="348" spans="1:3" x14ac:dyDescent="0.3">
      <c r="A348" s="35"/>
      <c r="C348" s="18"/>
    </row>
    <row r="349" spans="1:3" x14ac:dyDescent="0.3">
      <c r="A349" s="35"/>
      <c r="C349" s="18"/>
    </row>
    <row r="350" spans="1:3" x14ac:dyDescent="0.3">
      <c r="A350" s="35"/>
      <c r="C350" s="18"/>
    </row>
    <row r="351" spans="1:3" x14ac:dyDescent="0.3">
      <c r="A351" s="35"/>
      <c r="C351" s="18"/>
    </row>
    <row r="352" spans="1:3" x14ac:dyDescent="0.3">
      <c r="A352" s="35"/>
      <c r="C352" s="18"/>
    </row>
    <row r="353" spans="1:3" x14ac:dyDescent="0.3">
      <c r="A353" s="35"/>
      <c r="C353" s="18"/>
    </row>
    <row r="354" spans="1:3" x14ac:dyDescent="0.3">
      <c r="A354" s="35"/>
      <c r="C354" s="18"/>
    </row>
    <row r="355" spans="1:3" x14ac:dyDescent="0.3">
      <c r="A355" s="35"/>
      <c r="C355" s="18"/>
    </row>
    <row r="356" spans="1:3" x14ac:dyDescent="0.3">
      <c r="A356" s="35"/>
      <c r="C356" s="18"/>
    </row>
    <row r="357" spans="1:3" x14ac:dyDescent="0.3">
      <c r="A357" s="35"/>
      <c r="C357" s="18"/>
    </row>
    <row r="358" spans="1:3" x14ac:dyDescent="0.3">
      <c r="A358" s="35"/>
      <c r="C358" s="18"/>
    </row>
    <row r="359" spans="1:3" x14ac:dyDescent="0.3">
      <c r="A359" s="35"/>
      <c r="C359" s="18"/>
    </row>
    <row r="360" spans="1:3" x14ac:dyDescent="0.3">
      <c r="A360" s="35"/>
      <c r="C360" s="18"/>
    </row>
    <row r="361" spans="1:3" x14ac:dyDescent="0.3">
      <c r="A361" s="35"/>
      <c r="C361" s="18"/>
    </row>
    <row r="362" spans="1:3" x14ac:dyDescent="0.3">
      <c r="A362" s="35"/>
      <c r="C362" s="18"/>
    </row>
    <row r="363" spans="1:3" x14ac:dyDescent="0.3">
      <c r="A363" s="35"/>
      <c r="C363" s="18"/>
    </row>
    <row r="364" spans="1:3" x14ac:dyDescent="0.3">
      <c r="A364" s="35"/>
      <c r="C364" s="18"/>
    </row>
    <row r="365" spans="1:3" x14ac:dyDescent="0.3">
      <c r="A365" s="35"/>
      <c r="C365" s="18"/>
    </row>
    <row r="366" spans="1:3" x14ac:dyDescent="0.3">
      <c r="A366" s="35"/>
      <c r="C366" s="18"/>
    </row>
    <row r="367" spans="1:3" x14ac:dyDescent="0.3">
      <c r="A367" s="35"/>
      <c r="C367" s="18"/>
    </row>
    <row r="368" spans="1:3" x14ac:dyDescent="0.3">
      <c r="A368" s="35"/>
      <c r="C368" s="18"/>
    </row>
    <row r="369" spans="1:3" x14ac:dyDescent="0.3">
      <c r="A369" s="35"/>
      <c r="C369" s="18"/>
    </row>
    <row r="370" spans="1:3" x14ac:dyDescent="0.3">
      <c r="A370" s="35"/>
      <c r="C370" s="18"/>
    </row>
    <row r="371" spans="1:3" x14ac:dyDescent="0.3">
      <c r="A371" s="35"/>
      <c r="C371" s="18"/>
    </row>
    <row r="372" spans="1:3" x14ac:dyDescent="0.3">
      <c r="A372" s="35"/>
      <c r="C372" s="18"/>
    </row>
    <row r="373" spans="1:3" x14ac:dyDescent="0.3">
      <c r="A373" s="35"/>
      <c r="C373" s="18"/>
    </row>
    <row r="374" spans="1:3" x14ac:dyDescent="0.3">
      <c r="A374" s="35"/>
      <c r="C374" s="18"/>
    </row>
    <row r="375" spans="1:3" x14ac:dyDescent="0.3">
      <c r="A375" s="35"/>
      <c r="C375" s="18"/>
    </row>
    <row r="376" spans="1:3" x14ac:dyDescent="0.3">
      <c r="A376" s="35"/>
      <c r="C376" s="18"/>
    </row>
    <row r="377" spans="1:3" x14ac:dyDescent="0.3">
      <c r="A377" s="35"/>
      <c r="C377" s="18"/>
    </row>
    <row r="378" spans="1:3" x14ac:dyDescent="0.3">
      <c r="A378" s="35"/>
      <c r="C378" s="18"/>
    </row>
    <row r="379" spans="1:3" x14ac:dyDescent="0.3">
      <c r="A379" s="35"/>
      <c r="C379" s="18"/>
    </row>
    <row r="380" spans="1:3" x14ac:dyDescent="0.3">
      <c r="A380" s="35"/>
      <c r="C380" s="18"/>
    </row>
    <row r="381" spans="1:3" x14ac:dyDescent="0.3">
      <c r="A381" s="35"/>
      <c r="C381" s="18"/>
    </row>
    <row r="382" spans="1:3" x14ac:dyDescent="0.3">
      <c r="A382" s="35"/>
      <c r="C382" s="18"/>
    </row>
    <row r="383" spans="1:3" x14ac:dyDescent="0.3">
      <c r="A383" s="35"/>
      <c r="C383" s="18"/>
    </row>
    <row r="384" spans="1:3" x14ac:dyDescent="0.3">
      <c r="A384" s="35"/>
      <c r="C384" s="18"/>
    </row>
    <row r="385" spans="1:3" x14ac:dyDescent="0.3">
      <c r="A385" s="35"/>
      <c r="C385" s="18"/>
    </row>
    <row r="386" spans="1:3" x14ac:dyDescent="0.3">
      <c r="A386" s="35"/>
      <c r="C386" s="18"/>
    </row>
    <row r="387" spans="1:3" x14ac:dyDescent="0.3">
      <c r="A387" s="35"/>
      <c r="C387" s="18"/>
    </row>
    <row r="388" spans="1:3" x14ac:dyDescent="0.3">
      <c r="A388" s="35"/>
      <c r="C388" s="18"/>
    </row>
    <row r="389" spans="1:3" x14ac:dyDescent="0.3">
      <c r="A389" s="35"/>
      <c r="C389" s="18"/>
    </row>
    <row r="390" spans="1:3" x14ac:dyDescent="0.3">
      <c r="A390" s="35"/>
      <c r="C390" s="18"/>
    </row>
    <row r="391" spans="1:3" x14ac:dyDescent="0.3">
      <c r="A391" s="35"/>
      <c r="C391" s="18"/>
    </row>
    <row r="392" spans="1:3" x14ac:dyDescent="0.3">
      <c r="A392" s="35"/>
      <c r="C392" s="18"/>
    </row>
    <row r="393" spans="1:3" x14ac:dyDescent="0.3">
      <c r="A393" s="35"/>
      <c r="C393" s="18"/>
    </row>
    <row r="394" spans="1:3" x14ac:dyDescent="0.3">
      <c r="A394" s="35"/>
      <c r="C394" s="18"/>
    </row>
    <row r="395" spans="1:3" x14ac:dyDescent="0.3">
      <c r="A395" s="35"/>
      <c r="C395" s="18"/>
    </row>
    <row r="396" spans="1:3" x14ac:dyDescent="0.3">
      <c r="A396" s="35"/>
      <c r="C396" s="18"/>
    </row>
    <row r="397" spans="1:3" x14ac:dyDescent="0.3">
      <c r="A397" s="35"/>
      <c r="C397" s="18"/>
    </row>
    <row r="398" spans="1:3" x14ac:dyDescent="0.3">
      <c r="A398" s="35"/>
      <c r="C398" s="18"/>
    </row>
    <row r="399" spans="1:3" x14ac:dyDescent="0.3">
      <c r="A399" s="35"/>
      <c r="C399" s="18"/>
    </row>
    <row r="400" spans="1:3" x14ac:dyDescent="0.3">
      <c r="A400" s="35"/>
      <c r="C400" s="18"/>
    </row>
    <row r="401" spans="1:3" x14ac:dyDescent="0.3">
      <c r="A401" s="35"/>
      <c r="C401" s="18"/>
    </row>
    <row r="402" spans="1:3" x14ac:dyDescent="0.3">
      <c r="A402" s="35"/>
      <c r="C402" s="18"/>
    </row>
    <row r="403" spans="1:3" x14ac:dyDescent="0.3">
      <c r="A403" s="35"/>
      <c r="C403" s="18"/>
    </row>
    <row r="404" spans="1:3" x14ac:dyDescent="0.3">
      <c r="A404" s="35"/>
      <c r="C404" s="18"/>
    </row>
    <row r="405" spans="1:3" x14ac:dyDescent="0.3">
      <c r="A405" s="35"/>
      <c r="C405" s="18"/>
    </row>
    <row r="406" spans="1:3" x14ac:dyDescent="0.3">
      <c r="A406" s="35"/>
      <c r="C406" s="18"/>
    </row>
    <row r="407" spans="1:3" x14ac:dyDescent="0.3">
      <c r="A407" s="35"/>
      <c r="C407" s="18"/>
    </row>
    <row r="408" spans="1:3" x14ac:dyDescent="0.3">
      <c r="A408" s="35"/>
      <c r="C408" s="18"/>
    </row>
    <row r="409" spans="1:3" x14ac:dyDescent="0.3">
      <c r="A409" s="35"/>
      <c r="C409" s="18"/>
    </row>
    <row r="410" spans="1:3" x14ac:dyDescent="0.3">
      <c r="A410" s="35"/>
      <c r="C410" s="18"/>
    </row>
    <row r="411" spans="1:3" x14ac:dyDescent="0.3">
      <c r="A411" s="35"/>
      <c r="C411" s="18"/>
    </row>
    <row r="412" spans="1:3" x14ac:dyDescent="0.3">
      <c r="A412" s="35"/>
      <c r="C412" s="18"/>
    </row>
    <row r="413" spans="1:3" x14ac:dyDescent="0.3">
      <c r="A413" s="35"/>
      <c r="C413" s="18"/>
    </row>
    <row r="414" spans="1:3" x14ac:dyDescent="0.3">
      <c r="A414" s="35"/>
      <c r="C414" s="18"/>
    </row>
    <row r="415" spans="1:3" x14ac:dyDescent="0.3">
      <c r="A415" s="35"/>
      <c r="C415" s="18"/>
    </row>
    <row r="416" spans="1:3" x14ac:dyDescent="0.3">
      <c r="A416" s="35"/>
      <c r="C416" s="18"/>
    </row>
    <row r="417" spans="1:3" x14ac:dyDescent="0.3">
      <c r="A417" s="35"/>
      <c r="C417" s="18"/>
    </row>
    <row r="418" spans="1:3" x14ac:dyDescent="0.3">
      <c r="A418" s="35"/>
      <c r="C418" s="18"/>
    </row>
    <row r="419" spans="1:3" x14ac:dyDescent="0.3">
      <c r="A419" s="35"/>
      <c r="C419" s="18"/>
    </row>
    <row r="420" spans="1:3" x14ac:dyDescent="0.3">
      <c r="A420" s="35"/>
      <c r="C420" s="18"/>
    </row>
    <row r="421" spans="1:3" x14ac:dyDescent="0.3">
      <c r="A421" s="35"/>
      <c r="C421" s="18"/>
    </row>
    <row r="422" spans="1:3" x14ac:dyDescent="0.3">
      <c r="A422" s="35"/>
      <c r="C422" s="18"/>
    </row>
    <row r="423" spans="1:3" x14ac:dyDescent="0.3">
      <c r="A423" s="35"/>
      <c r="C423" s="18"/>
    </row>
    <row r="424" spans="1:3" x14ac:dyDescent="0.3">
      <c r="A424" s="35"/>
      <c r="C424" s="18"/>
    </row>
    <row r="425" spans="1:3" x14ac:dyDescent="0.3">
      <c r="A425" s="35"/>
      <c r="C425" s="18"/>
    </row>
    <row r="426" spans="1:3" x14ac:dyDescent="0.3">
      <c r="A426" s="35"/>
      <c r="C426" s="18"/>
    </row>
    <row r="427" spans="1:3" x14ac:dyDescent="0.3">
      <c r="A427" s="35"/>
      <c r="C427" s="18"/>
    </row>
    <row r="428" spans="1:3" x14ac:dyDescent="0.3">
      <c r="A428" s="35"/>
      <c r="C428" s="18"/>
    </row>
    <row r="429" spans="1:3" x14ac:dyDescent="0.3">
      <c r="A429" s="35"/>
      <c r="C429" s="18"/>
    </row>
    <row r="430" spans="1:3" x14ac:dyDescent="0.3">
      <c r="A430" s="35"/>
      <c r="C430" s="18"/>
    </row>
    <row r="431" spans="1:3" x14ac:dyDescent="0.3">
      <c r="A431" s="35"/>
      <c r="C431" s="18"/>
    </row>
    <row r="432" spans="1:3" x14ac:dyDescent="0.3">
      <c r="A432" s="35"/>
      <c r="C432" s="18"/>
    </row>
    <row r="433" spans="1:3" x14ac:dyDescent="0.3">
      <c r="A433" s="35"/>
      <c r="C433" s="18"/>
    </row>
    <row r="434" spans="1:3" x14ac:dyDescent="0.3">
      <c r="A434" s="35"/>
      <c r="C434" s="18"/>
    </row>
    <row r="435" spans="1:3" x14ac:dyDescent="0.3">
      <c r="A435" s="35"/>
      <c r="C435" s="18"/>
    </row>
    <row r="436" spans="1:3" x14ac:dyDescent="0.3">
      <c r="A436" s="35"/>
      <c r="C436" s="18"/>
    </row>
    <row r="437" spans="1:3" x14ac:dyDescent="0.3">
      <c r="A437" s="35"/>
      <c r="C437" s="18"/>
    </row>
    <row r="438" spans="1:3" x14ac:dyDescent="0.3">
      <c r="A438" s="35"/>
      <c r="C438" s="18"/>
    </row>
    <row r="439" spans="1:3" x14ac:dyDescent="0.3">
      <c r="A439" s="35"/>
      <c r="C439" s="18"/>
    </row>
    <row r="440" spans="1:3" x14ac:dyDescent="0.3">
      <c r="A440" s="35"/>
      <c r="C440" s="18"/>
    </row>
    <row r="441" spans="1:3" x14ac:dyDescent="0.3">
      <c r="A441" s="35"/>
      <c r="C441" s="18"/>
    </row>
    <row r="442" spans="1:3" x14ac:dyDescent="0.3">
      <c r="A442" s="35"/>
      <c r="C442" s="18"/>
    </row>
    <row r="443" spans="1:3" x14ac:dyDescent="0.3">
      <c r="A443" s="35"/>
      <c r="C443" s="18"/>
    </row>
    <row r="444" spans="1:3" x14ac:dyDescent="0.3">
      <c r="A444" s="35"/>
      <c r="C444" s="18"/>
    </row>
    <row r="445" spans="1:3" x14ac:dyDescent="0.3">
      <c r="A445" s="35"/>
      <c r="C445" s="18"/>
    </row>
    <row r="446" spans="1:3" x14ac:dyDescent="0.3">
      <c r="A446" s="35"/>
      <c r="C446" s="18"/>
    </row>
    <row r="447" spans="1:3" x14ac:dyDescent="0.3">
      <c r="A447" s="35"/>
      <c r="C447" s="18"/>
    </row>
    <row r="448" spans="1:3" x14ac:dyDescent="0.3">
      <c r="A448" s="35"/>
      <c r="C448" s="18"/>
    </row>
    <row r="449" spans="1:3" x14ac:dyDescent="0.3">
      <c r="A449" s="35"/>
      <c r="C449" s="18"/>
    </row>
    <row r="450" spans="1:3" x14ac:dyDescent="0.3">
      <c r="A450" s="35"/>
      <c r="C450" s="18"/>
    </row>
    <row r="451" spans="1:3" x14ac:dyDescent="0.3">
      <c r="A451" s="35"/>
      <c r="C451" s="18"/>
    </row>
    <row r="452" spans="1:3" x14ac:dyDescent="0.3">
      <c r="A452" s="35"/>
      <c r="C452" s="18"/>
    </row>
    <row r="453" spans="1:3" x14ac:dyDescent="0.3">
      <c r="A453" s="35"/>
      <c r="C453" s="18"/>
    </row>
    <row r="454" spans="1:3" x14ac:dyDescent="0.3">
      <c r="A454" s="35"/>
      <c r="C454" s="18"/>
    </row>
    <row r="455" spans="1:3" x14ac:dyDescent="0.3">
      <c r="A455" s="35"/>
      <c r="C455" s="18"/>
    </row>
    <row r="456" spans="1:3" x14ac:dyDescent="0.3">
      <c r="A456" s="35"/>
      <c r="C456" s="18"/>
    </row>
    <row r="457" spans="1:3" x14ac:dyDescent="0.3">
      <c r="A457" s="35"/>
      <c r="C457" s="18"/>
    </row>
    <row r="458" spans="1:3" x14ac:dyDescent="0.3">
      <c r="A458" s="35"/>
      <c r="C458" s="18"/>
    </row>
    <row r="459" spans="1:3" x14ac:dyDescent="0.3">
      <c r="A459" s="35"/>
      <c r="C459" s="18"/>
    </row>
    <row r="460" spans="1:3" x14ac:dyDescent="0.3">
      <c r="A460" s="35"/>
      <c r="C460" s="18"/>
    </row>
    <row r="461" spans="1:3" x14ac:dyDescent="0.3">
      <c r="A461" s="35"/>
      <c r="C461" s="18"/>
    </row>
    <row r="462" spans="1:3" x14ac:dyDescent="0.3">
      <c r="A462" s="35"/>
      <c r="C462" s="18"/>
    </row>
    <row r="463" spans="1:3" x14ac:dyDescent="0.3">
      <c r="A463" s="35"/>
      <c r="C463" s="18"/>
    </row>
    <row r="464" spans="1:3" x14ac:dyDescent="0.3">
      <c r="A464" s="35"/>
      <c r="C464" s="18"/>
    </row>
    <row r="465" spans="1:3" x14ac:dyDescent="0.3">
      <c r="A465" s="35"/>
      <c r="C465" s="18"/>
    </row>
    <row r="466" spans="1:3" x14ac:dyDescent="0.3">
      <c r="A466" s="35"/>
      <c r="C466" s="18"/>
    </row>
    <row r="467" spans="1:3" x14ac:dyDescent="0.3">
      <c r="A467" s="35"/>
      <c r="C467" s="18"/>
    </row>
    <row r="468" spans="1:3" x14ac:dyDescent="0.3">
      <c r="A468" s="35"/>
      <c r="C468" s="18"/>
    </row>
    <row r="469" spans="1:3" x14ac:dyDescent="0.3">
      <c r="A469" s="35"/>
      <c r="C469" s="18"/>
    </row>
    <row r="470" spans="1:3" x14ac:dyDescent="0.3">
      <c r="A470" s="35"/>
      <c r="C470" s="18"/>
    </row>
    <row r="471" spans="1:3" x14ac:dyDescent="0.3">
      <c r="A471" s="35"/>
      <c r="C471" s="18"/>
    </row>
    <row r="472" spans="1:3" x14ac:dyDescent="0.3">
      <c r="A472" s="35"/>
      <c r="C472" s="18"/>
    </row>
    <row r="473" spans="1:3" x14ac:dyDescent="0.3">
      <c r="A473" s="35"/>
      <c r="C473" s="18"/>
    </row>
    <row r="474" spans="1:3" x14ac:dyDescent="0.3">
      <c r="A474" s="35"/>
      <c r="C474" s="18"/>
    </row>
    <row r="475" spans="1:3" x14ac:dyDescent="0.3">
      <c r="A475" s="35"/>
      <c r="C475" s="18"/>
    </row>
    <row r="476" spans="1:3" x14ac:dyDescent="0.3">
      <c r="A476" s="35"/>
      <c r="C476" s="18"/>
    </row>
    <row r="477" spans="1:3" x14ac:dyDescent="0.3">
      <c r="A477" s="35"/>
      <c r="C477" s="18"/>
    </row>
    <row r="478" spans="1:3" x14ac:dyDescent="0.3">
      <c r="A478" s="35"/>
      <c r="C478" s="18"/>
    </row>
    <row r="479" spans="1:3" x14ac:dyDescent="0.3">
      <c r="A479" s="35"/>
      <c r="C479" s="18"/>
    </row>
    <row r="480" spans="1:3" x14ac:dyDescent="0.3">
      <c r="A480" s="35"/>
      <c r="C480" s="18"/>
    </row>
    <row r="481" spans="1:3" x14ac:dyDescent="0.3">
      <c r="A481" s="35"/>
      <c r="C481" s="18"/>
    </row>
    <row r="482" spans="1:3" x14ac:dyDescent="0.3">
      <c r="A482" s="35"/>
      <c r="C482" s="18"/>
    </row>
    <row r="483" spans="1:3" x14ac:dyDescent="0.3">
      <c r="A483" s="35"/>
      <c r="C483" s="18"/>
    </row>
    <row r="484" spans="1:3" x14ac:dyDescent="0.3">
      <c r="A484" s="35"/>
      <c r="C484" s="18"/>
    </row>
    <row r="485" spans="1:3" x14ac:dyDescent="0.3">
      <c r="A485" s="35"/>
      <c r="C485" s="18"/>
    </row>
    <row r="486" spans="1:3" x14ac:dyDescent="0.3">
      <c r="A486" s="35"/>
      <c r="C486" s="18"/>
    </row>
    <row r="487" spans="1:3" x14ac:dyDescent="0.3">
      <c r="A487" s="35"/>
      <c r="C487" s="18"/>
    </row>
    <row r="488" spans="1:3" x14ac:dyDescent="0.3">
      <c r="A488" s="35"/>
      <c r="C488" s="18"/>
    </row>
    <row r="489" spans="1:3" x14ac:dyDescent="0.3">
      <c r="A489" s="35"/>
      <c r="C489" s="18"/>
    </row>
    <row r="490" spans="1:3" x14ac:dyDescent="0.3">
      <c r="A490" s="35"/>
      <c r="C490" s="18"/>
    </row>
    <row r="491" spans="1:3" x14ac:dyDescent="0.3">
      <c r="A491" s="35"/>
      <c r="C491" s="18"/>
    </row>
    <row r="492" spans="1:3" x14ac:dyDescent="0.3">
      <c r="A492" s="35"/>
      <c r="C492" s="18"/>
    </row>
    <row r="493" spans="1:3" x14ac:dyDescent="0.3">
      <c r="A493" s="35"/>
      <c r="C493" s="18"/>
    </row>
    <row r="494" spans="1:3" x14ac:dyDescent="0.3">
      <c r="A494" s="35"/>
      <c r="C494" s="18"/>
    </row>
    <row r="495" spans="1:3" x14ac:dyDescent="0.3">
      <c r="A495" s="35"/>
      <c r="C495" s="18"/>
    </row>
    <row r="496" spans="1:3" x14ac:dyDescent="0.3">
      <c r="A496" s="35"/>
      <c r="C496" s="18"/>
    </row>
    <row r="497" spans="1:3" x14ac:dyDescent="0.3">
      <c r="A497" s="35"/>
      <c r="C497" s="18"/>
    </row>
    <row r="498" spans="1:3" x14ac:dyDescent="0.3">
      <c r="A498" s="35"/>
      <c r="C498" s="18"/>
    </row>
    <row r="499" spans="1:3" x14ac:dyDescent="0.3">
      <c r="A499" s="35"/>
      <c r="C499" s="18"/>
    </row>
    <row r="500" spans="1:3" x14ac:dyDescent="0.3">
      <c r="A500" s="35"/>
      <c r="C500" s="18"/>
    </row>
    <row r="501" spans="1:3" x14ac:dyDescent="0.3">
      <c r="A501" s="35"/>
      <c r="C501" s="18"/>
    </row>
    <row r="502" spans="1:3" x14ac:dyDescent="0.3">
      <c r="A502" s="35"/>
      <c r="C502" s="18"/>
    </row>
    <row r="503" spans="1:3" x14ac:dyDescent="0.3">
      <c r="A503" s="35"/>
      <c r="C503" s="18"/>
    </row>
    <row r="504" spans="1:3" x14ac:dyDescent="0.3">
      <c r="A504" s="35"/>
      <c r="C504" s="18"/>
    </row>
    <row r="505" spans="1:3" x14ac:dyDescent="0.3">
      <c r="A505" s="35"/>
      <c r="C505" s="18"/>
    </row>
    <row r="506" spans="1:3" x14ac:dyDescent="0.3">
      <c r="A506" s="35"/>
      <c r="C506" s="18"/>
    </row>
    <row r="507" spans="1:3" x14ac:dyDescent="0.3">
      <c r="A507" s="35"/>
      <c r="C507" s="18"/>
    </row>
    <row r="508" spans="1:3" x14ac:dyDescent="0.3">
      <c r="A508" s="35"/>
      <c r="C508" s="18"/>
    </row>
    <row r="509" spans="1:3" x14ac:dyDescent="0.3">
      <c r="A509" s="35"/>
      <c r="C509" s="18"/>
    </row>
    <row r="510" spans="1:3" x14ac:dyDescent="0.3">
      <c r="A510" s="35"/>
      <c r="C510" s="18"/>
    </row>
    <row r="511" spans="1:3" x14ac:dyDescent="0.3">
      <c r="A511" s="35"/>
      <c r="C511" s="18"/>
    </row>
    <row r="512" spans="1:3" x14ac:dyDescent="0.3">
      <c r="A512" s="35"/>
      <c r="C512" s="18"/>
    </row>
    <row r="513" spans="1:3" x14ac:dyDescent="0.3">
      <c r="A513" s="35"/>
      <c r="C513" s="18"/>
    </row>
    <row r="514" spans="1:3" x14ac:dyDescent="0.3">
      <c r="A514" s="35"/>
      <c r="C514" s="18"/>
    </row>
    <row r="515" spans="1:3" x14ac:dyDescent="0.3">
      <c r="A515" s="35"/>
      <c r="C515" s="18"/>
    </row>
    <row r="516" spans="1:3" x14ac:dyDescent="0.3">
      <c r="A516" s="35"/>
      <c r="C516" s="18"/>
    </row>
    <row r="517" spans="1:3" x14ac:dyDescent="0.3">
      <c r="A517" s="35"/>
    </row>
    <row r="518" spans="1:3" x14ac:dyDescent="0.3">
      <c r="A518" s="35"/>
    </row>
    <row r="519" spans="1:3" x14ac:dyDescent="0.3">
      <c r="A519" s="35"/>
    </row>
    <row r="520" spans="1:3" x14ac:dyDescent="0.3">
      <c r="A520" s="35"/>
    </row>
    <row r="521" spans="1:3" x14ac:dyDescent="0.3">
      <c r="A521" s="35"/>
    </row>
    <row r="522" spans="1:3" x14ac:dyDescent="0.3">
      <c r="A522" s="35"/>
    </row>
    <row r="523" spans="1:3" x14ac:dyDescent="0.3">
      <c r="A523" s="35"/>
    </row>
    <row r="524" spans="1:3" x14ac:dyDescent="0.3">
      <c r="A524" s="35"/>
    </row>
    <row r="525" spans="1:3" x14ac:dyDescent="0.3">
      <c r="A525" s="35"/>
    </row>
    <row r="526" spans="1:3" x14ac:dyDescent="0.3">
      <c r="A526" s="35"/>
    </row>
    <row r="527" spans="1:3" x14ac:dyDescent="0.3">
      <c r="A527" s="35"/>
    </row>
    <row r="528" spans="1:3" x14ac:dyDescent="0.3">
      <c r="A528" s="35"/>
    </row>
    <row r="529" spans="1:1" x14ac:dyDescent="0.3">
      <c r="A529" s="35"/>
    </row>
    <row r="530" spans="1:1" x14ac:dyDescent="0.3">
      <c r="A530" s="35"/>
    </row>
    <row r="531" spans="1:1" x14ac:dyDescent="0.3">
      <c r="A531" s="35"/>
    </row>
    <row r="532" spans="1:1" x14ac:dyDescent="0.3">
      <c r="A532" s="35"/>
    </row>
    <row r="533" spans="1:1" x14ac:dyDescent="0.3">
      <c r="A533" s="35"/>
    </row>
    <row r="534" spans="1:1" x14ac:dyDescent="0.3">
      <c r="A534" s="35"/>
    </row>
    <row r="535" spans="1:1" x14ac:dyDescent="0.3">
      <c r="A535" s="35"/>
    </row>
    <row r="536" spans="1:1" x14ac:dyDescent="0.3">
      <c r="A536" s="35"/>
    </row>
    <row r="537" spans="1:1" x14ac:dyDescent="0.3">
      <c r="A537" s="35"/>
    </row>
    <row r="538" spans="1:1" x14ac:dyDescent="0.3">
      <c r="A538" s="35"/>
    </row>
    <row r="539" spans="1:1" x14ac:dyDescent="0.3">
      <c r="A539" s="35"/>
    </row>
    <row r="540" spans="1:1" x14ac:dyDescent="0.3">
      <c r="A540" s="35"/>
    </row>
    <row r="541" spans="1:1" x14ac:dyDescent="0.3">
      <c r="A541" s="35"/>
    </row>
    <row r="542" spans="1:1" x14ac:dyDescent="0.3">
      <c r="A542" s="35"/>
    </row>
    <row r="543" spans="1:1" x14ac:dyDescent="0.3">
      <c r="A543" s="35"/>
    </row>
    <row r="544" spans="1:1" x14ac:dyDescent="0.3">
      <c r="A544" s="35"/>
    </row>
    <row r="545" spans="1:1" x14ac:dyDescent="0.3">
      <c r="A545" s="35"/>
    </row>
    <row r="546" spans="1:1" x14ac:dyDescent="0.3">
      <c r="A546" s="35"/>
    </row>
    <row r="547" spans="1:1" x14ac:dyDescent="0.3">
      <c r="A547" s="35"/>
    </row>
    <row r="548" spans="1:1" x14ac:dyDescent="0.3">
      <c r="A548" s="35"/>
    </row>
    <row r="549" spans="1:1" x14ac:dyDescent="0.3">
      <c r="A549" s="35"/>
    </row>
    <row r="550" spans="1:1" x14ac:dyDescent="0.3">
      <c r="A550" s="35"/>
    </row>
    <row r="551" spans="1:1" x14ac:dyDescent="0.3">
      <c r="A551" s="35"/>
    </row>
    <row r="552" spans="1:1" x14ac:dyDescent="0.3">
      <c r="A552" s="35"/>
    </row>
    <row r="553" spans="1:1" x14ac:dyDescent="0.3">
      <c r="A553" s="35"/>
    </row>
    <row r="554" spans="1:1" x14ac:dyDescent="0.3">
      <c r="A554" s="35"/>
    </row>
    <row r="555" spans="1:1" x14ac:dyDescent="0.3">
      <c r="A555" s="35"/>
    </row>
    <row r="556" spans="1:1" x14ac:dyDescent="0.3">
      <c r="A556" s="35"/>
    </row>
    <row r="557" spans="1:1" x14ac:dyDescent="0.3">
      <c r="A557" s="35"/>
    </row>
    <row r="558" spans="1:1" x14ac:dyDescent="0.3">
      <c r="A558" s="35"/>
    </row>
    <row r="559" spans="1:1" x14ac:dyDescent="0.3">
      <c r="A559" s="35"/>
    </row>
    <row r="560" spans="1:1" x14ac:dyDescent="0.3">
      <c r="A560" s="35"/>
    </row>
    <row r="561" spans="1:1" x14ac:dyDescent="0.3">
      <c r="A561" s="35"/>
    </row>
    <row r="562" spans="1:1" x14ac:dyDescent="0.3">
      <c r="A562" s="35"/>
    </row>
    <row r="563" spans="1:1" x14ac:dyDescent="0.3">
      <c r="A563" s="35"/>
    </row>
    <row r="564" spans="1:1" x14ac:dyDescent="0.3">
      <c r="A564" s="35"/>
    </row>
    <row r="565" spans="1:1" x14ac:dyDescent="0.3">
      <c r="A565" s="35"/>
    </row>
    <row r="566" spans="1:1" x14ac:dyDescent="0.3">
      <c r="A566" s="35"/>
    </row>
    <row r="567" spans="1:1" x14ac:dyDescent="0.3">
      <c r="A567" s="35"/>
    </row>
    <row r="568" spans="1:1" x14ac:dyDescent="0.3">
      <c r="A568" s="35"/>
    </row>
    <row r="569" spans="1:1" x14ac:dyDescent="0.3">
      <c r="A569" s="35"/>
    </row>
    <row r="570" spans="1:1" x14ac:dyDescent="0.3">
      <c r="A570" s="35"/>
    </row>
    <row r="571" spans="1:1" x14ac:dyDescent="0.3">
      <c r="A571" s="35"/>
    </row>
    <row r="572" spans="1:1" x14ac:dyDescent="0.3">
      <c r="A572" s="35"/>
    </row>
    <row r="573" spans="1:1" x14ac:dyDescent="0.3">
      <c r="A573" s="35"/>
    </row>
    <row r="574" spans="1:1" x14ac:dyDescent="0.3">
      <c r="A574" s="35"/>
    </row>
    <row r="575" spans="1:1" x14ac:dyDescent="0.3">
      <c r="A575" s="35"/>
    </row>
    <row r="576" spans="1:1" x14ac:dyDescent="0.3">
      <c r="A576" s="35"/>
    </row>
    <row r="577" spans="1:1" x14ac:dyDescent="0.3">
      <c r="A577" s="35"/>
    </row>
    <row r="578" spans="1:1" x14ac:dyDescent="0.3">
      <c r="A578" s="35"/>
    </row>
    <row r="579" spans="1:1" x14ac:dyDescent="0.3">
      <c r="A579" s="35"/>
    </row>
    <row r="580" spans="1:1" x14ac:dyDescent="0.3">
      <c r="A580" s="35"/>
    </row>
    <row r="581" spans="1:1" x14ac:dyDescent="0.3">
      <c r="A581" s="35"/>
    </row>
    <row r="582" spans="1:1" x14ac:dyDescent="0.3">
      <c r="A582" s="35"/>
    </row>
    <row r="583" spans="1:1" x14ac:dyDescent="0.3">
      <c r="A583" s="35"/>
    </row>
    <row r="584" spans="1:1" x14ac:dyDescent="0.3">
      <c r="A584" s="35"/>
    </row>
    <row r="585" spans="1:1" x14ac:dyDescent="0.3">
      <c r="A585" s="35"/>
    </row>
    <row r="586" spans="1:1" x14ac:dyDescent="0.3">
      <c r="A586" s="35"/>
    </row>
    <row r="587" spans="1:1" x14ac:dyDescent="0.3">
      <c r="A587" s="35"/>
    </row>
    <row r="588" spans="1:1" x14ac:dyDescent="0.3">
      <c r="A588" s="35"/>
    </row>
    <row r="589" spans="1:1" x14ac:dyDescent="0.3">
      <c r="A589" s="35"/>
    </row>
    <row r="590" spans="1:1" x14ac:dyDescent="0.3">
      <c r="A590" s="35"/>
    </row>
    <row r="591" spans="1:1" x14ac:dyDescent="0.3">
      <c r="A591" s="35"/>
    </row>
    <row r="592" spans="1:1" x14ac:dyDescent="0.3">
      <c r="A592" s="35"/>
    </row>
    <row r="593" spans="1:1" x14ac:dyDescent="0.3">
      <c r="A593" s="35"/>
    </row>
    <row r="594" spans="1:1" x14ac:dyDescent="0.3">
      <c r="A594" s="35"/>
    </row>
    <row r="595" spans="1:1" x14ac:dyDescent="0.3">
      <c r="A595" s="35"/>
    </row>
    <row r="596" spans="1:1" x14ac:dyDescent="0.3">
      <c r="A596" s="35"/>
    </row>
    <row r="597" spans="1:1" x14ac:dyDescent="0.3">
      <c r="A597" s="35"/>
    </row>
    <row r="598" spans="1:1" x14ac:dyDescent="0.3">
      <c r="A598" s="35"/>
    </row>
    <row r="599" spans="1:1" x14ac:dyDescent="0.3">
      <c r="A599" s="35"/>
    </row>
    <row r="600" spans="1:1" x14ac:dyDescent="0.3">
      <c r="A600" s="35"/>
    </row>
    <row r="601" spans="1:1" x14ac:dyDescent="0.3">
      <c r="A601" s="35"/>
    </row>
    <row r="602" spans="1:1" x14ac:dyDescent="0.3">
      <c r="A602" s="35"/>
    </row>
    <row r="603" spans="1:1" x14ac:dyDescent="0.3">
      <c r="A603" s="35"/>
    </row>
    <row r="604" spans="1:1" x14ac:dyDescent="0.3">
      <c r="A604" s="35"/>
    </row>
    <row r="605" spans="1:1" x14ac:dyDescent="0.3">
      <c r="A605" s="35"/>
    </row>
    <row r="606" spans="1:1" x14ac:dyDescent="0.3">
      <c r="A606" s="35"/>
    </row>
    <row r="607" spans="1:1" x14ac:dyDescent="0.3">
      <c r="A607" s="35"/>
    </row>
    <row r="608" spans="1:1" x14ac:dyDescent="0.3">
      <c r="A608" s="35"/>
    </row>
    <row r="609" spans="1:1" x14ac:dyDescent="0.3">
      <c r="A609" s="35"/>
    </row>
    <row r="610" spans="1:1" x14ac:dyDescent="0.3">
      <c r="A610" s="35"/>
    </row>
    <row r="611" spans="1:1" x14ac:dyDescent="0.3">
      <c r="A611" s="35"/>
    </row>
    <row r="612" spans="1:1" x14ac:dyDescent="0.3">
      <c r="A612" s="35"/>
    </row>
    <row r="613" spans="1:1" x14ac:dyDescent="0.3">
      <c r="A613" s="35"/>
    </row>
    <row r="614" spans="1:1" x14ac:dyDescent="0.3">
      <c r="A614" s="35"/>
    </row>
    <row r="615" spans="1:1" x14ac:dyDescent="0.3">
      <c r="A615" s="35"/>
    </row>
    <row r="616" spans="1:1" x14ac:dyDescent="0.3">
      <c r="A616" s="35"/>
    </row>
    <row r="617" spans="1:1" x14ac:dyDescent="0.3">
      <c r="A617" s="35"/>
    </row>
    <row r="618" spans="1:1" x14ac:dyDescent="0.3">
      <c r="A618" s="35"/>
    </row>
    <row r="619" spans="1:1" x14ac:dyDescent="0.3">
      <c r="A619" s="35"/>
    </row>
    <row r="620" spans="1:1" x14ac:dyDescent="0.3">
      <c r="A620" s="35"/>
    </row>
    <row r="621" spans="1:1" x14ac:dyDescent="0.3">
      <c r="A621" s="35"/>
    </row>
    <row r="622" spans="1:1" x14ac:dyDescent="0.3">
      <c r="A622" s="35"/>
    </row>
    <row r="623" spans="1:1" x14ac:dyDescent="0.3">
      <c r="A623" s="35"/>
    </row>
    <row r="624" spans="1:1" x14ac:dyDescent="0.3">
      <c r="A624" s="35"/>
    </row>
    <row r="625" spans="1:1" x14ac:dyDescent="0.3">
      <c r="A625" s="35"/>
    </row>
    <row r="626" spans="1:1" x14ac:dyDescent="0.3">
      <c r="A626" s="35"/>
    </row>
    <row r="627" spans="1:1" x14ac:dyDescent="0.3">
      <c r="A627" s="35"/>
    </row>
    <row r="628" spans="1:1" x14ac:dyDescent="0.3">
      <c r="A628" s="35"/>
    </row>
    <row r="629" spans="1:1" x14ac:dyDescent="0.3">
      <c r="A629" s="35"/>
    </row>
    <row r="630" spans="1:1" x14ac:dyDescent="0.3">
      <c r="A630" s="35"/>
    </row>
    <row r="631" spans="1:1" x14ac:dyDescent="0.3">
      <c r="A631" s="35"/>
    </row>
    <row r="632" spans="1:1" x14ac:dyDescent="0.3">
      <c r="A632" s="35"/>
    </row>
    <row r="633" spans="1:1" x14ac:dyDescent="0.3">
      <c r="A633" s="35"/>
    </row>
    <row r="634" spans="1:1" x14ac:dyDescent="0.3">
      <c r="A634" s="35"/>
    </row>
    <row r="635" spans="1:1" x14ac:dyDescent="0.3">
      <c r="A635" s="35"/>
    </row>
    <row r="636" spans="1:1" x14ac:dyDescent="0.3">
      <c r="A636" s="35"/>
    </row>
    <row r="637" spans="1:1" x14ac:dyDescent="0.3">
      <c r="A637" s="35"/>
    </row>
    <row r="638" spans="1:1" x14ac:dyDescent="0.3">
      <c r="A638" s="35"/>
    </row>
    <row r="639" spans="1:1" x14ac:dyDescent="0.3">
      <c r="A639" s="35"/>
    </row>
    <row r="640" spans="1:1" x14ac:dyDescent="0.3">
      <c r="A640" s="35"/>
    </row>
    <row r="641" spans="1:1" x14ac:dyDescent="0.3">
      <c r="A641" s="35"/>
    </row>
    <row r="642" spans="1:1" x14ac:dyDescent="0.3">
      <c r="A642" s="35"/>
    </row>
    <row r="643" spans="1:1" x14ac:dyDescent="0.3">
      <c r="A643" s="35"/>
    </row>
    <row r="644" spans="1:1" x14ac:dyDescent="0.3">
      <c r="A644" s="35"/>
    </row>
    <row r="645" spans="1:1" x14ac:dyDescent="0.3">
      <c r="A645" s="35"/>
    </row>
    <row r="646" spans="1:1" x14ac:dyDescent="0.3">
      <c r="A646" s="35"/>
    </row>
    <row r="647" spans="1:1" x14ac:dyDescent="0.3">
      <c r="A647" s="35"/>
    </row>
    <row r="648" spans="1:1" x14ac:dyDescent="0.3">
      <c r="A648" s="35"/>
    </row>
    <row r="649" spans="1:1" x14ac:dyDescent="0.3">
      <c r="A649" s="35"/>
    </row>
    <row r="650" spans="1:1" x14ac:dyDescent="0.3">
      <c r="A650" s="35"/>
    </row>
    <row r="651" spans="1:1" x14ac:dyDescent="0.3">
      <c r="A651" s="35"/>
    </row>
    <row r="652" spans="1:1" x14ac:dyDescent="0.3">
      <c r="A652" s="35"/>
    </row>
    <row r="653" spans="1:1" x14ac:dyDescent="0.3">
      <c r="A653" s="35"/>
    </row>
    <row r="654" spans="1:1" x14ac:dyDescent="0.3">
      <c r="A654" s="35"/>
    </row>
    <row r="655" spans="1:1" x14ac:dyDescent="0.3">
      <c r="A655" s="35"/>
    </row>
    <row r="656" spans="1:1" x14ac:dyDescent="0.3">
      <c r="A656" s="35"/>
    </row>
    <row r="657" spans="1:1" x14ac:dyDescent="0.3">
      <c r="A657" s="35"/>
    </row>
    <row r="658" spans="1:1" x14ac:dyDescent="0.3">
      <c r="A658" s="35"/>
    </row>
    <row r="659" spans="1:1" x14ac:dyDescent="0.3">
      <c r="A659" s="35"/>
    </row>
    <row r="660" spans="1:1" x14ac:dyDescent="0.3">
      <c r="A660" s="35"/>
    </row>
    <row r="661" spans="1:1" x14ac:dyDescent="0.3">
      <c r="A661" s="35"/>
    </row>
    <row r="662" spans="1:1" x14ac:dyDescent="0.3">
      <c r="A662" s="35"/>
    </row>
    <row r="663" spans="1:1" x14ac:dyDescent="0.3">
      <c r="A663" s="35"/>
    </row>
    <row r="664" spans="1:1" x14ac:dyDescent="0.3">
      <c r="A664" s="35"/>
    </row>
    <row r="665" spans="1:1" x14ac:dyDescent="0.3">
      <c r="A665" s="35"/>
    </row>
    <row r="666" spans="1:1" x14ac:dyDescent="0.3">
      <c r="A666" s="35"/>
    </row>
    <row r="667" spans="1:1" x14ac:dyDescent="0.3">
      <c r="A667" s="35"/>
    </row>
    <row r="668" spans="1:1" x14ac:dyDescent="0.3">
      <c r="A668" s="35"/>
    </row>
    <row r="669" spans="1:1" x14ac:dyDescent="0.3">
      <c r="A669" s="35"/>
    </row>
    <row r="670" spans="1:1" x14ac:dyDescent="0.3">
      <c r="A670" s="35"/>
    </row>
    <row r="671" spans="1:1" x14ac:dyDescent="0.3">
      <c r="A671" s="35"/>
    </row>
    <row r="672" spans="1:1" x14ac:dyDescent="0.3">
      <c r="A672" s="35"/>
    </row>
    <row r="673" spans="1:1" x14ac:dyDescent="0.3">
      <c r="A673" s="35"/>
    </row>
    <row r="674" spans="1:1" x14ac:dyDescent="0.3">
      <c r="A674" s="35"/>
    </row>
    <row r="675" spans="1:1" x14ac:dyDescent="0.3">
      <c r="A675" s="35"/>
    </row>
    <row r="676" spans="1:1" x14ac:dyDescent="0.3">
      <c r="A676" s="35"/>
    </row>
    <row r="677" spans="1:1" x14ac:dyDescent="0.3">
      <c r="A677" s="35"/>
    </row>
    <row r="678" spans="1:1" x14ac:dyDescent="0.3">
      <c r="A678" s="35"/>
    </row>
    <row r="679" spans="1:1" x14ac:dyDescent="0.3">
      <c r="A679" s="35"/>
    </row>
    <row r="680" spans="1:1" x14ac:dyDescent="0.3">
      <c r="A680" s="35"/>
    </row>
    <row r="681" spans="1:1" x14ac:dyDescent="0.3">
      <c r="A681" s="35"/>
    </row>
    <row r="682" spans="1:1" x14ac:dyDescent="0.3">
      <c r="A682" s="35"/>
    </row>
    <row r="683" spans="1:1" x14ac:dyDescent="0.3">
      <c r="A683" s="35"/>
    </row>
    <row r="684" spans="1:1" x14ac:dyDescent="0.3">
      <c r="A684" s="35"/>
    </row>
    <row r="685" spans="1:1" x14ac:dyDescent="0.3">
      <c r="A685" s="35"/>
    </row>
    <row r="686" spans="1:1" x14ac:dyDescent="0.3">
      <c r="A686" s="35"/>
    </row>
    <row r="687" spans="1:1" x14ac:dyDescent="0.3">
      <c r="A687" s="35"/>
    </row>
    <row r="688" spans="1:1" x14ac:dyDescent="0.3">
      <c r="A688" s="35"/>
    </row>
    <row r="689" spans="1:1" x14ac:dyDescent="0.3">
      <c r="A689" s="35"/>
    </row>
    <row r="690" spans="1:1" x14ac:dyDescent="0.3">
      <c r="A690" s="35"/>
    </row>
    <row r="691" spans="1:1" x14ac:dyDescent="0.3">
      <c r="A691" s="35"/>
    </row>
    <row r="692" spans="1:1" x14ac:dyDescent="0.3">
      <c r="A692" s="35"/>
    </row>
    <row r="693" spans="1:1" x14ac:dyDescent="0.3">
      <c r="A693" s="35"/>
    </row>
    <row r="694" spans="1:1" x14ac:dyDescent="0.3">
      <c r="A694" s="35"/>
    </row>
    <row r="695" spans="1:1" x14ac:dyDescent="0.3">
      <c r="A695" s="35"/>
    </row>
    <row r="696" spans="1:1" x14ac:dyDescent="0.3">
      <c r="A696" s="35"/>
    </row>
    <row r="697" spans="1:1" x14ac:dyDescent="0.3">
      <c r="A697" s="35"/>
    </row>
    <row r="698" spans="1:1" x14ac:dyDescent="0.3">
      <c r="A698" s="35"/>
    </row>
    <row r="699" spans="1:1" x14ac:dyDescent="0.3">
      <c r="A699" s="35"/>
    </row>
    <row r="700" spans="1:1" x14ac:dyDescent="0.3">
      <c r="A700" s="35"/>
    </row>
    <row r="701" spans="1:1" x14ac:dyDescent="0.3">
      <c r="A701" s="35"/>
    </row>
    <row r="702" spans="1:1" x14ac:dyDescent="0.3">
      <c r="A702" s="35"/>
    </row>
    <row r="703" spans="1:1" x14ac:dyDescent="0.3">
      <c r="A703" s="35"/>
    </row>
    <row r="704" spans="1:1" x14ac:dyDescent="0.3">
      <c r="A704" s="35"/>
    </row>
    <row r="705" spans="1:1" x14ac:dyDescent="0.3">
      <c r="A705" s="35"/>
    </row>
    <row r="706" spans="1:1" x14ac:dyDescent="0.3">
      <c r="A706" s="35"/>
    </row>
    <row r="707" spans="1:1" x14ac:dyDescent="0.3">
      <c r="A707" s="35"/>
    </row>
    <row r="708" spans="1:1" x14ac:dyDescent="0.3">
      <c r="A708" s="35"/>
    </row>
    <row r="709" spans="1:1" x14ac:dyDescent="0.3">
      <c r="A709" s="35"/>
    </row>
    <row r="710" spans="1:1" x14ac:dyDescent="0.3">
      <c r="A710" s="35"/>
    </row>
    <row r="711" spans="1:1" x14ac:dyDescent="0.3">
      <c r="A711" s="35"/>
    </row>
    <row r="712" spans="1:1" x14ac:dyDescent="0.3">
      <c r="A712" s="35"/>
    </row>
    <row r="713" spans="1:1" x14ac:dyDescent="0.3">
      <c r="A713" s="35"/>
    </row>
    <row r="714" spans="1:1" x14ac:dyDescent="0.3">
      <c r="A714" s="35"/>
    </row>
    <row r="715" spans="1:1" x14ac:dyDescent="0.3">
      <c r="A715" s="35"/>
    </row>
    <row r="716" spans="1:1" x14ac:dyDescent="0.3">
      <c r="A716" s="35"/>
    </row>
    <row r="717" spans="1:1" x14ac:dyDescent="0.3">
      <c r="A717" s="35"/>
    </row>
    <row r="718" spans="1:1" x14ac:dyDescent="0.3">
      <c r="A718" s="35"/>
    </row>
    <row r="719" spans="1:1" x14ac:dyDescent="0.3">
      <c r="A719" s="35"/>
    </row>
    <row r="720" spans="1:1" x14ac:dyDescent="0.3">
      <c r="A720" s="35"/>
    </row>
    <row r="721" spans="1:1" x14ac:dyDescent="0.3">
      <c r="A721" s="35"/>
    </row>
    <row r="722" spans="1:1" x14ac:dyDescent="0.3">
      <c r="A722" s="35"/>
    </row>
    <row r="723" spans="1:1" x14ac:dyDescent="0.3">
      <c r="A723" s="35"/>
    </row>
    <row r="724" spans="1:1" x14ac:dyDescent="0.3">
      <c r="A724" s="35"/>
    </row>
    <row r="725" spans="1:1" x14ac:dyDescent="0.3">
      <c r="A725" s="35"/>
    </row>
    <row r="726" spans="1:1" x14ac:dyDescent="0.3">
      <c r="A726" s="35"/>
    </row>
    <row r="727" spans="1:1" x14ac:dyDescent="0.3">
      <c r="A727" s="35"/>
    </row>
    <row r="728" spans="1:1" x14ac:dyDescent="0.3">
      <c r="A728" s="35"/>
    </row>
    <row r="729" spans="1:1" x14ac:dyDescent="0.3">
      <c r="A729" s="35"/>
    </row>
    <row r="730" spans="1:1" x14ac:dyDescent="0.3">
      <c r="A730" s="35"/>
    </row>
    <row r="731" spans="1:1" x14ac:dyDescent="0.3">
      <c r="A731" s="35"/>
    </row>
    <row r="732" spans="1:1" x14ac:dyDescent="0.3">
      <c r="A732" s="35"/>
    </row>
    <row r="733" spans="1:1" x14ac:dyDescent="0.3">
      <c r="A733" s="35"/>
    </row>
    <row r="734" spans="1:1" x14ac:dyDescent="0.3">
      <c r="A734" s="35"/>
    </row>
    <row r="735" spans="1:1" x14ac:dyDescent="0.3">
      <c r="A735" s="35"/>
    </row>
    <row r="736" spans="1:1" x14ac:dyDescent="0.3">
      <c r="A736" s="35"/>
    </row>
    <row r="737" spans="1:1" x14ac:dyDescent="0.3">
      <c r="A737" s="35"/>
    </row>
    <row r="738" spans="1:1" x14ac:dyDescent="0.3">
      <c r="A738" s="35"/>
    </row>
    <row r="739" spans="1:1" x14ac:dyDescent="0.3">
      <c r="A739" s="35"/>
    </row>
    <row r="740" spans="1:1" x14ac:dyDescent="0.3">
      <c r="A740" s="35"/>
    </row>
    <row r="741" spans="1:1" x14ac:dyDescent="0.3">
      <c r="A741" s="35"/>
    </row>
    <row r="742" spans="1:1" x14ac:dyDescent="0.3">
      <c r="A742" s="35"/>
    </row>
    <row r="743" spans="1:1" x14ac:dyDescent="0.3">
      <c r="A743" s="35"/>
    </row>
    <row r="744" spans="1:1" x14ac:dyDescent="0.3">
      <c r="A744" s="35"/>
    </row>
    <row r="745" spans="1:1" x14ac:dyDescent="0.3">
      <c r="A745" s="35"/>
    </row>
    <row r="746" spans="1:1" x14ac:dyDescent="0.3">
      <c r="A746" s="35"/>
    </row>
    <row r="747" spans="1:1" x14ac:dyDescent="0.3">
      <c r="A747" s="35"/>
    </row>
    <row r="748" spans="1:1" x14ac:dyDescent="0.3">
      <c r="A748" s="35"/>
    </row>
    <row r="749" spans="1:1" x14ac:dyDescent="0.3">
      <c r="A749" s="35"/>
    </row>
    <row r="750" spans="1:1" x14ac:dyDescent="0.3">
      <c r="A750" s="35"/>
    </row>
    <row r="751" spans="1:1" x14ac:dyDescent="0.3">
      <c r="A751" s="35"/>
    </row>
    <row r="752" spans="1:1" x14ac:dyDescent="0.3">
      <c r="A752" s="35"/>
    </row>
    <row r="753" spans="1:1" x14ac:dyDescent="0.3">
      <c r="A753" s="35"/>
    </row>
    <row r="754" spans="1:1" x14ac:dyDescent="0.3">
      <c r="A754" s="35"/>
    </row>
    <row r="755" spans="1:1" x14ac:dyDescent="0.3">
      <c r="A755" s="35"/>
    </row>
    <row r="756" spans="1:1" x14ac:dyDescent="0.3">
      <c r="A756" s="35"/>
    </row>
    <row r="757" spans="1:1" x14ac:dyDescent="0.3">
      <c r="A757" s="35"/>
    </row>
    <row r="758" spans="1:1" x14ac:dyDescent="0.3">
      <c r="A758" s="35"/>
    </row>
    <row r="759" spans="1:1" x14ac:dyDescent="0.3">
      <c r="A759" s="35"/>
    </row>
    <row r="760" spans="1:1" x14ac:dyDescent="0.3">
      <c r="A760" s="35"/>
    </row>
    <row r="761" spans="1:1" x14ac:dyDescent="0.3">
      <c r="A761" s="35"/>
    </row>
    <row r="762" spans="1:1" x14ac:dyDescent="0.3">
      <c r="A762" s="35"/>
    </row>
    <row r="763" spans="1:1" x14ac:dyDescent="0.3">
      <c r="A763" s="35"/>
    </row>
    <row r="764" spans="1:1" x14ac:dyDescent="0.3">
      <c r="A764" s="35"/>
    </row>
    <row r="765" spans="1:1" x14ac:dyDescent="0.3">
      <c r="A765" s="35"/>
    </row>
    <row r="766" spans="1:1" x14ac:dyDescent="0.3">
      <c r="A766" s="35"/>
    </row>
    <row r="767" spans="1:1" x14ac:dyDescent="0.3">
      <c r="A767" s="35"/>
    </row>
    <row r="768" spans="1:1" x14ac:dyDescent="0.3">
      <c r="A768" s="35"/>
    </row>
    <row r="769" spans="1:1" x14ac:dyDescent="0.3">
      <c r="A769" s="35"/>
    </row>
    <row r="770" spans="1:1" x14ac:dyDescent="0.3">
      <c r="A770" s="35"/>
    </row>
    <row r="771" spans="1:1" x14ac:dyDescent="0.3">
      <c r="A771" s="35"/>
    </row>
    <row r="772" spans="1:1" x14ac:dyDescent="0.3">
      <c r="A772" s="35"/>
    </row>
    <row r="773" spans="1:1" x14ac:dyDescent="0.3">
      <c r="A773" s="35"/>
    </row>
    <row r="774" spans="1:1" x14ac:dyDescent="0.3">
      <c r="A774" s="35"/>
    </row>
    <row r="775" spans="1:1" x14ac:dyDescent="0.3">
      <c r="A775" s="35"/>
    </row>
    <row r="776" spans="1:1" x14ac:dyDescent="0.3">
      <c r="A776" s="35"/>
    </row>
    <row r="777" spans="1:1" x14ac:dyDescent="0.3">
      <c r="A777" s="35"/>
    </row>
    <row r="778" spans="1:1" x14ac:dyDescent="0.3">
      <c r="A778" s="35"/>
    </row>
    <row r="779" spans="1:1" x14ac:dyDescent="0.3">
      <c r="A779" s="35"/>
    </row>
    <row r="780" spans="1:1" x14ac:dyDescent="0.3">
      <c r="A780" s="35"/>
    </row>
    <row r="781" spans="1:1" x14ac:dyDescent="0.3">
      <c r="A781" s="35"/>
    </row>
    <row r="782" spans="1:1" x14ac:dyDescent="0.3">
      <c r="A782" s="35"/>
    </row>
    <row r="783" spans="1:1" x14ac:dyDescent="0.3">
      <c r="A783" s="35"/>
    </row>
    <row r="784" spans="1:1" x14ac:dyDescent="0.3">
      <c r="A784" s="35"/>
    </row>
    <row r="785" spans="1:1" x14ac:dyDescent="0.3">
      <c r="A785" s="35"/>
    </row>
    <row r="786" spans="1:1" x14ac:dyDescent="0.3">
      <c r="A786" s="35"/>
    </row>
    <row r="787" spans="1:1" x14ac:dyDescent="0.3">
      <c r="A787" s="35"/>
    </row>
    <row r="788" spans="1:1" x14ac:dyDescent="0.3">
      <c r="A788" s="35"/>
    </row>
    <row r="789" spans="1:1" x14ac:dyDescent="0.3">
      <c r="A789" s="35"/>
    </row>
    <row r="790" spans="1:1" x14ac:dyDescent="0.3">
      <c r="A790" s="35"/>
    </row>
    <row r="791" spans="1:1" x14ac:dyDescent="0.3">
      <c r="A791" s="35"/>
    </row>
    <row r="792" spans="1:1" x14ac:dyDescent="0.3">
      <c r="A792" s="35"/>
    </row>
    <row r="793" spans="1:1" x14ac:dyDescent="0.3">
      <c r="A793" s="35"/>
    </row>
    <row r="794" spans="1:1" x14ac:dyDescent="0.3">
      <c r="A794" s="35"/>
    </row>
    <row r="795" spans="1:1" x14ac:dyDescent="0.3">
      <c r="A795" s="35"/>
    </row>
    <row r="796" spans="1:1" x14ac:dyDescent="0.3">
      <c r="A796" s="35"/>
    </row>
    <row r="797" spans="1:1" x14ac:dyDescent="0.3">
      <c r="A797" s="35"/>
    </row>
    <row r="798" spans="1:1" x14ac:dyDescent="0.3">
      <c r="A798" s="35"/>
    </row>
    <row r="799" spans="1:1" x14ac:dyDescent="0.3">
      <c r="A799" s="35"/>
    </row>
    <row r="800" spans="1:1" x14ac:dyDescent="0.3">
      <c r="A800" s="35"/>
    </row>
    <row r="801" spans="1:1" x14ac:dyDescent="0.3">
      <c r="A801" s="35"/>
    </row>
    <row r="802" spans="1:1" x14ac:dyDescent="0.3">
      <c r="A802" s="35"/>
    </row>
    <row r="803" spans="1:1" x14ac:dyDescent="0.3">
      <c r="A803" s="35"/>
    </row>
    <row r="804" spans="1:1" x14ac:dyDescent="0.3">
      <c r="A804" s="35"/>
    </row>
    <row r="805" spans="1:1" x14ac:dyDescent="0.3">
      <c r="A805" s="35"/>
    </row>
    <row r="806" spans="1:1" x14ac:dyDescent="0.3">
      <c r="A806" s="35"/>
    </row>
    <row r="807" spans="1:1" x14ac:dyDescent="0.3">
      <c r="A807" s="35"/>
    </row>
    <row r="808" spans="1:1" x14ac:dyDescent="0.3">
      <c r="A808" s="35"/>
    </row>
    <row r="809" spans="1:1" x14ac:dyDescent="0.3">
      <c r="A809" s="35"/>
    </row>
    <row r="810" spans="1:1" x14ac:dyDescent="0.3">
      <c r="A810" s="35"/>
    </row>
    <row r="811" spans="1:1" x14ac:dyDescent="0.3">
      <c r="A811" s="35"/>
    </row>
    <row r="812" spans="1:1" x14ac:dyDescent="0.3">
      <c r="A812" s="35"/>
    </row>
    <row r="813" spans="1:1" x14ac:dyDescent="0.3">
      <c r="A813" s="35"/>
    </row>
    <row r="814" spans="1:1" x14ac:dyDescent="0.3">
      <c r="A814" s="35"/>
    </row>
    <row r="815" spans="1:1" x14ac:dyDescent="0.3">
      <c r="A815" s="35"/>
    </row>
    <row r="816" spans="1:1" x14ac:dyDescent="0.3">
      <c r="A816" s="35"/>
    </row>
    <row r="817" spans="1:1" x14ac:dyDescent="0.3">
      <c r="A817" s="35"/>
    </row>
    <row r="818" spans="1:1" x14ac:dyDescent="0.3">
      <c r="A818" s="35"/>
    </row>
    <row r="819" spans="1:1" x14ac:dyDescent="0.3">
      <c r="A819" s="35"/>
    </row>
    <row r="820" spans="1:1" x14ac:dyDescent="0.3">
      <c r="A820" s="35"/>
    </row>
    <row r="821" spans="1:1" x14ac:dyDescent="0.3">
      <c r="A821" s="35"/>
    </row>
    <row r="822" spans="1:1" x14ac:dyDescent="0.3">
      <c r="A822" s="35"/>
    </row>
    <row r="823" spans="1:1" x14ac:dyDescent="0.3">
      <c r="A823" s="35"/>
    </row>
    <row r="824" spans="1:1" x14ac:dyDescent="0.3">
      <c r="A824" s="35"/>
    </row>
    <row r="825" spans="1:1" x14ac:dyDescent="0.3">
      <c r="A825" s="35"/>
    </row>
    <row r="826" spans="1:1" x14ac:dyDescent="0.3">
      <c r="A826" s="35"/>
    </row>
    <row r="827" spans="1:1" x14ac:dyDescent="0.3">
      <c r="A827" s="35"/>
    </row>
    <row r="828" spans="1:1" x14ac:dyDescent="0.3">
      <c r="A828" s="35"/>
    </row>
    <row r="829" spans="1:1" x14ac:dyDescent="0.3">
      <c r="A829" s="35"/>
    </row>
    <row r="830" spans="1:1" x14ac:dyDescent="0.3">
      <c r="A830" s="35"/>
    </row>
    <row r="831" spans="1:1" x14ac:dyDescent="0.3">
      <c r="A831" s="35"/>
    </row>
    <row r="832" spans="1:1" x14ac:dyDescent="0.3">
      <c r="A832" s="35"/>
    </row>
    <row r="833" spans="1:1" x14ac:dyDescent="0.3">
      <c r="A833" s="35"/>
    </row>
    <row r="834" spans="1:1" x14ac:dyDescent="0.3">
      <c r="A834" s="35"/>
    </row>
    <row r="835" spans="1:1" x14ac:dyDescent="0.3">
      <c r="A835" s="35"/>
    </row>
    <row r="836" spans="1:1" x14ac:dyDescent="0.3">
      <c r="A836" s="35"/>
    </row>
    <row r="837" spans="1:1" x14ac:dyDescent="0.3">
      <c r="A837" s="35"/>
    </row>
    <row r="838" spans="1:1" x14ac:dyDescent="0.3">
      <c r="A838" s="35"/>
    </row>
    <row r="839" spans="1:1" x14ac:dyDescent="0.3">
      <c r="A839" s="35"/>
    </row>
    <row r="840" spans="1:1" x14ac:dyDescent="0.3">
      <c r="A840" s="35"/>
    </row>
    <row r="841" spans="1:1" x14ac:dyDescent="0.3">
      <c r="A841" s="35"/>
    </row>
    <row r="842" spans="1:1" x14ac:dyDescent="0.3">
      <c r="A842" s="35"/>
    </row>
    <row r="843" spans="1:1" x14ac:dyDescent="0.3">
      <c r="A843" s="35"/>
    </row>
    <row r="844" spans="1:1" x14ac:dyDescent="0.3">
      <c r="A844" s="35"/>
    </row>
    <row r="845" spans="1:1" x14ac:dyDescent="0.3">
      <c r="A845" s="35"/>
    </row>
    <row r="846" spans="1:1" x14ac:dyDescent="0.3">
      <c r="A846" s="35"/>
    </row>
    <row r="847" spans="1:1" x14ac:dyDescent="0.3">
      <c r="A847" s="35"/>
    </row>
    <row r="848" spans="1:1" x14ac:dyDescent="0.3">
      <c r="A848" s="35"/>
    </row>
    <row r="849" spans="1:1" x14ac:dyDescent="0.3">
      <c r="A849" s="35"/>
    </row>
    <row r="850" spans="1:1" x14ac:dyDescent="0.3">
      <c r="A850" s="35"/>
    </row>
    <row r="851" spans="1:1" x14ac:dyDescent="0.3">
      <c r="A851" s="35"/>
    </row>
    <row r="852" spans="1:1" x14ac:dyDescent="0.3">
      <c r="A852" s="35"/>
    </row>
    <row r="853" spans="1:1" x14ac:dyDescent="0.3">
      <c r="A853" s="35"/>
    </row>
    <row r="854" spans="1:1" x14ac:dyDescent="0.3">
      <c r="A854" s="35"/>
    </row>
    <row r="855" spans="1:1" x14ac:dyDescent="0.3">
      <c r="A855" s="35"/>
    </row>
    <row r="856" spans="1:1" x14ac:dyDescent="0.3">
      <c r="A856" s="35"/>
    </row>
    <row r="857" spans="1:1" x14ac:dyDescent="0.3">
      <c r="A857" s="35"/>
    </row>
    <row r="858" spans="1:1" x14ac:dyDescent="0.3">
      <c r="A858" s="35"/>
    </row>
    <row r="859" spans="1:1" x14ac:dyDescent="0.3">
      <c r="A859" s="35"/>
    </row>
    <row r="860" spans="1:1" x14ac:dyDescent="0.3">
      <c r="A860" s="35"/>
    </row>
    <row r="861" spans="1:1" x14ac:dyDescent="0.3">
      <c r="A861" s="35"/>
    </row>
    <row r="862" spans="1:1" x14ac:dyDescent="0.3">
      <c r="A862" s="35"/>
    </row>
    <row r="863" spans="1:1" x14ac:dyDescent="0.3">
      <c r="A863" s="35"/>
    </row>
    <row r="864" spans="1:1" x14ac:dyDescent="0.3">
      <c r="A864" s="35"/>
    </row>
    <row r="865" spans="1:1" x14ac:dyDescent="0.3">
      <c r="A865" s="35"/>
    </row>
    <row r="866" spans="1:1" x14ac:dyDescent="0.3">
      <c r="A866" s="35"/>
    </row>
    <row r="867" spans="1:1" x14ac:dyDescent="0.3">
      <c r="A867" s="35"/>
    </row>
    <row r="868" spans="1:1" x14ac:dyDescent="0.3">
      <c r="A868" s="35"/>
    </row>
    <row r="869" spans="1:1" x14ac:dyDescent="0.3">
      <c r="A869" s="35"/>
    </row>
    <row r="870" spans="1:1" x14ac:dyDescent="0.3">
      <c r="A870" s="35"/>
    </row>
    <row r="871" spans="1:1" x14ac:dyDescent="0.3">
      <c r="A871" s="35"/>
    </row>
    <row r="872" spans="1:1" x14ac:dyDescent="0.3">
      <c r="A872" s="35"/>
    </row>
    <row r="873" spans="1:1" x14ac:dyDescent="0.3">
      <c r="A873" s="35"/>
    </row>
    <row r="874" spans="1:1" x14ac:dyDescent="0.3">
      <c r="A874" s="35"/>
    </row>
    <row r="875" spans="1:1" x14ac:dyDescent="0.3">
      <c r="A875" s="35"/>
    </row>
    <row r="876" spans="1:1" x14ac:dyDescent="0.3">
      <c r="A876" s="35"/>
    </row>
    <row r="877" spans="1:1" x14ac:dyDescent="0.3">
      <c r="A877" s="35"/>
    </row>
    <row r="878" spans="1:1" x14ac:dyDescent="0.3">
      <c r="A878" s="35"/>
    </row>
    <row r="879" spans="1:1" x14ac:dyDescent="0.3">
      <c r="A879" s="35"/>
    </row>
    <row r="880" spans="1:1" x14ac:dyDescent="0.3">
      <c r="A880" s="35"/>
    </row>
    <row r="881" spans="1:1" x14ac:dyDescent="0.3">
      <c r="A881" s="35"/>
    </row>
    <row r="882" spans="1:1" x14ac:dyDescent="0.3">
      <c r="A882" s="35"/>
    </row>
    <row r="883" spans="1:1" x14ac:dyDescent="0.3">
      <c r="A883" s="35"/>
    </row>
    <row r="884" spans="1:1" x14ac:dyDescent="0.3">
      <c r="A884" s="35"/>
    </row>
    <row r="885" spans="1:1" x14ac:dyDescent="0.3">
      <c r="A885" s="35"/>
    </row>
    <row r="886" spans="1:1" x14ac:dyDescent="0.3">
      <c r="A886" s="35"/>
    </row>
    <row r="887" spans="1:1" x14ac:dyDescent="0.3">
      <c r="A887" s="35"/>
    </row>
    <row r="888" spans="1:1" x14ac:dyDescent="0.3">
      <c r="A888" s="35"/>
    </row>
    <row r="889" spans="1:1" x14ac:dyDescent="0.3">
      <c r="A889" s="35"/>
    </row>
    <row r="890" spans="1:1" x14ac:dyDescent="0.3">
      <c r="A890" s="35"/>
    </row>
    <row r="891" spans="1:1" x14ac:dyDescent="0.3">
      <c r="A891" s="35"/>
    </row>
    <row r="892" spans="1:1" x14ac:dyDescent="0.3">
      <c r="A892" s="35"/>
    </row>
    <row r="893" spans="1:1" x14ac:dyDescent="0.3">
      <c r="A893" s="35"/>
    </row>
    <row r="894" spans="1:1" x14ac:dyDescent="0.3">
      <c r="A894" s="35"/>
    </row>
    <row r="895" spans="1:1" x14ac:dyDescent="0.3">
      <c r="A895" s="35"/>
    </row>
    <row r="896" spans="1:1" x14ac:dyDescent="0.3">
      <c r="A896" s="35"/>
    </row>
    <row r="897" spans="1:1" x14ac:dyDescent="0.3">
      <c r="A897" s="35"/>
    </row>
    <row r="898" spans="1:1" x14ac:dyDescent="0.3">
      <c r="A898" s="35"/>
    </row>
    <row r="899" spans="1:1" x14ac:dyDescent="0.3">
      <c r="A899" s="35"/>
    </row>
    <row r="900" spans="1:1" x14ac:dyDescent="0.3">
      <c r="A900" s="35"/>
    </row>
    <row r="901" spans="1:1" x14ac:dyDescent="0.3">
      <c r="A901" s="35"/>
    </row>
    <row r="902" spans="1:1" x14ac:dyDescent="0.3">
      <c r="A902" s="35"/>
    </row>
    <row r="903" spans="1:1" x14ac:dyDescent="0.3">
      <c r="A903" s="35"/>
    </row>
    <row r="904" spans="1:1" x14ac:dyDescent="0.3">
      <c r="A904" s="35"/>
    </row>
    <row r="905" spans="1:1" x14ac:dyDescent="0.3">
      <c r="A905" s="35"/>
    </row>
    <row r="906" spans="1:1" x14ac:dyDescent="0.3">
      <c r="A906" s="35"/>
    </row>
    <row r="907" spans="1:1" x14ac:dyDescent="0.3">
      <c r="A907" s="35"/>
    </row>
    <row r="908" spans="1:1" x14ac:dyDescent="0.3">
      <c r="A908" s="35"/>
    </row>
    <row r="909" spans="1:1" x14ac:dyDescent="0.3">
      <c r="A909" s="35"/>
    </row>
    <row r="910" spans="1:1" x14ac:dyDescent="0.3">
      <c r="A910" s="35"/>
    </row>
    <row r="911" spans="1:1" x14ac:dyDescent="0.3">
      <c r="A911" s="35"/>
    </row>
    <row r="912" spans="1:1" x14ac:dyDescent="0.3">
      <c r="A912" s="35"/>
    </row>
    <row r="913" spans="1:1" x14ac:dyDescent="0.3">
      <c r="A913" s="35"/>
    </row>
    <row r="914" spans="1:1" x14ac:dyDescent="0.3">
      <c r="A914" s="35"/>
    </row>
    <row r="915" spans="1:1" x14ac:dyDescent="0.3">
      <c r="A915" s="35"/>
    </row>
    <row r="916" spans="1:1" x14ac:dyDescent="0.3">
      <c r="A916" s="35"/>
    </row>
    <row r="917" spans="1:1" x14ac:dyDescent="0.3">
      <c r="A917" s="35"/>
    </row>
    <row r="918" spans="1:1" x14ac:dyDescent="0.3">
      <c r="A918" s="35"/>
    </row>
    <row r="919" spans="1:1" x14ac:dyDescent="0.3">
      <c r="A919" s="35"/>
    </row>
    <row r="920" spans="1:1" x14ac:dyDescent="0.3">
      <c r="A920" s="35"/>
    </row>
    <row r="921" spans="1:1" x14ac:dyDescent="0.3">
      <c r="A921" s="35"/>
    </row>
    <row r="922" spans="1:1" x14ac:dyDescent="0.3">
      <c r="A922" s="35"/>
    </row>
    <row r="923" spans="1:1" x14ac:dyDescent="0.3">
      <c r="A923" s="35"/>
    </row>
    <row r="924" spans="1:1" x14ac:dyDescent="0.3">
      <c r="A924" s="35"/>
    </row>
    <row r="925" spans="1:1" x14ac:dyDescent="0.3">
      <c r="A925" s="35"/>
    </row>
    <row r="926" spans="1:1" x14ac:dyDescent="0.3">
      <c r="A926" s="35"/>
    </row>
    <row r="927" spans="1:1" x14ac:dyDescent="0.3">
      <c r="A927" s="35"/>
    </row>
    <row r="928" spans="1:1" x14ac:dyDescent="0.3">
      <c r="A928" s="35"/>
    </row>
    <row r="929" spans="1:1" x14ac:dyDescent="0.3">
      <c r="A929" s="35"/>
    </row>
    <row r="930" spans="1:1" x14ac:dyDescent="0.3">
      <c r="A930" s="35"/>
    </row>
    <row r="931" spans="1:1" x14ac:dyDescent="0.3">
      <c r="A931" s="35"/>
    </row>
    <row r="932" spans="1:1" x14ac:dyDescent="0.3">
      <c r="A932" s="35"/>
    </row>
    <row r="933" spans="1:1" x14ac:dyDescent="0.3">
      <c r="A933" s="35"/>
    </row>
    <row r="934" spans="1:1" x14ac:dyDescent="0.3">
      <c r="A934" s="35"/>
    </row>
    <row r="935" spans="1:1" x14ac:dyDescent="0.3">
      <c r="A935" s="35"/>
    </row>
    <row r="936" spans="1:1" x14ac:dyDescent="0.3">
      <c r="A936" s="35"/>
    </row>
    <row r="937" spans="1:1" x14ac:dyDescent="0.3">
      <c r="A937" s="35"/>
    </row>
    <row r="938" spans="1:1" x14ac:dyDescent="0.3">
      <c r="A938" s="35"/>
    </row>
    <row r="939" spans="1:1" x14ac:dyDescent="0.3">
      <c r="A939" s="35"/>
    </row>
    <row r="940" spans="1:1" x14ac:dyDescent="0.3">
      <c r="A940" s="35"/>
    </row>
    <row r="941" spans="1:1" x14ac:dyDescent="0.3">
      <c r="A941" s="35"/>
    </row>
    <row r="942" spans="1:1" x14ac:dyDescent="0.3">
      <c r="A942" s="35"/>
    </row>
    <row r="943" spans="1:1" x14ac:dyDescent="0.3">
      <c r="A943" s="35"/>
    </row>
    <row r="944" spans="1:1" x14ac:dyDescent="0.3">
      <c r="A944" s="35"/>
    </row>
    <row r="945" spans="1:1" x14ac:dyDescent="0.3">
      <c r="A945" s="35"/>
    </row>
    <row r="946" spans="1:1" x14ac:dyDescent="0.3">
      <c r="A946" s="35"/>
    </row>
    <row r="947" spans="1:1" x14ac:dyDescent="0.3">
      <c r="A947" s="35"/>
    </row>
    <row r="948" spans="1:1" x14ac:dyDescent="0.3">
      <c r="A948" s="35"/>
    </row>
    <row r="949" spans="1:1" x14ac:dyDescent="0.3">
      <c r="A949" s="35"/>
    </row>
    <row r="950" spans="1:1" x14ac:dyDescent="0.3">
      <c r="A950" s="35"/>
    </row>
    <row r="951" spans="1:1" x14ac:dyDescent="0.3">
      <c r="A951" s="35"/>
    </row>
    <row r="952" spans="1:1" x14ac:dyDescent="0.3">
      <c r="A952" s="35"/>
    </row>
    <row r="953" spans="1:1" x14ac:dyDescent="0.3">
      <c r="A953" s="35"/>
    </row>
    <row r="954" spans="1:1" x14ac:dyDescent="0.3">
      <c r="A954" s="35"/>
    </row>
    <row r="955" spans="1:1" x14ac:dyDescent="0.3">
      <c r="A955" s="35"/>
    </row>
    <row r="956" spans="1:1" x14ac:dyDescent="0.3">
      <c r="A956" s="35"/>
    </row>
    <row r="957" spans="1:1" x14ac:dyDescent="0.3">
      <c r="A957" s="35"/>
    </row>
    <row r="958" spans="1:1" x14ac:dyDescent="0.3">
      <c r="A958" s="35"/>
    </row>
    <row r="959" spans="1:1" x14ac:dyDescent="0.3">
      <c r="A959" s="35"/>
    </row>
    <row r="960" spans="1:1" x14ac:dyDescent="0.3">
      <c r="A960" s="35"/>
    </row>
    <row r="961" spans="1:1" x14ac:dyDescent="0.3">
      <c r="A961" s="35"/>
    </row>
    <row r="962" spans="1:1" x14ac:dyDescent="0.3">
      <c r="A962" s="35"/>
    </row>
    <row r="963" spans="1:1" x14ac:dyDescent="0.3">
      <c r="A963" s="35"/>
    </row>
    <row r="964" spans="1:1" x14ac:dyDescent="0.3">
      <c r="A964" s="35"/>
    </row>
    <row r="965" spans="1:1" x14ac:dyDescent="0.3">
      <c r="A965" s="35"/>
    </row>
    <row r="966" spans="1:1" x14ac:dyDescent="0.3">
      <c r="A966" s="35"/>
    </row>
    <row r="967" spans="1:1" x14ac:dyDescent="0.3">
      <c r="A967" s="35"/>
    </row>
    <row r="968" spans="1:1" x14ac:dyDescent="0.3">
      <c r="A968" s="35"/>
    </row>
    <row r="969" spans="1:1" x14ac:dyDescent="0.3">
      <c r="A969" s="35"/>
    </row>
    <row r="970" spans="1:1" x14ac:dyDescent="0.3">
      <c r="A970" s="35"/>
    </row>
    <row r="971" spans="1:1" x14ac:dyDescent="0.3">
      <c r="A971" s="35"/>
    </row>
    <row r="972" spans="1:1" x14ac:dyDescent="0.3">
      <c r="A972" s="35"/>
    </row>
    <row r="973" spans="1:1" x14ac:dyDescent="0.3">
      <c r="A973" s="35"/>
    </row>
    <row r="974" spans="1:1" x14ac:dyDescent="0.3">
      <c r="A974" s="35"/>
    </row>
    <row r="975" spans="1:1" x14ac:dyDescent="0.3">
      <c r="A975" s="35"/>
    </row>
    <row r="976" spans="1:1" x14ac:dyDescent="0.3">
      <c r="A976" s="35"/>
    </row>
    <row r="977" spans="1:1" x14ac:dyDescent="0.3">
      <c r="A977" s="35"/>
    </row>
    <row r="978" spans="1:1" x14ac:dyDescent="0.3">
      <c r="A978" s="35"/>
    </row>
    <row r="979" spans="1:1" x14ac:dyDescent="0.3">
      <c r="A979" s="35"/>
    </row>
    <row r="980" spans="1:1" x14ac:dyDescent="0.3">
      <c r="A980" s="35"/>
    </row>
    <row r="981" spans="1:1" x14ac:dyDescent="0.3">
      <c r="A981" s="35"/>
    </row>
    <row r="982" spans="1:1" x14ac:dyDescent="0.3">
      <c r="A982" s="35"/>
    </row>
    <row r="983" spans="1:1" x14ac:dyDescent="0.3">
      <c r="A983" s="35"/>
    </row>
    <row r="984" spans="1:1" x14ac:dyDescent="0.3">
      <c r="A984" s="35"/>
    </row>
    <row r="985" spans="1:1" x14ac:dyDescent="0.3">
      <c r="A985" s="35"/>
    </row>
    <row r="986" spans="1:1" x14ac:dyDescent="0.3">
      <c r="A986" s="35"/>
    </row>
    <row r="987" spans="1:1" x14ac:dyDescent="0.3">
      <c r="A987" s="35"/>
    </row>
  </sheetData>
  <sheetProtection password="E442" sheet="1" objects="1" scenarios="1" formatCells="0" formatRows="0" insertRows="0" deleteRows="0" selectLockedCells="1" sort="0" autoFilter="0"/>
  <mergeCells count="1">
    <mergeCell ref="A1:C1"/>
  </mergeCells>
  <phoneticPr fontId="18" type="noConversion"/>
  <dataValidations count="2">
    <dataValidation type="whole" allowBlank="1" showInputMessage="1" showErrorMessage="1" sqref="B4">
      <formula1>101</formula1>
      <formula2>1000</formula2>
    </dataValidation>
    <dataValidation type="list" allowBlank="1" showInputMessage="1" showErrorMessage="1" sqref="B2">
      <formula1>이름</formula1>
    </dataValidation>
  </dataValidations>
  <pageMargins left="0.7086111307144165" right="0.7086111307144165" top="0.55111110210418701" bottom="0.55111110210418701" header="0.31486111879348755" footer="0.31486111879348755"/>
  <pageSetup paperSize="9" scale="6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92D050"/>
  </sheetPr>
  <dimension ref="A1:C1006"/>
  <sheetViews>
    <sheetView view="pageBreakPreview" zoomScaleNormal="100" zoomScaleSheetLayoutView="100" workbookViewId="0">
      <pane ySplit="6" topLeftCell="A7" activePane="bottomLeft" state="frozen"/>
      <selection pane="bottomLeft" activeCell="C1010" sqref="C1010"/>
    </sheetView>
  </sheetViews>
  <sheetFormatPr defaultColWidth="8.75" defaultRowHeight="16.5" x14ac:dyDescent="0.3"/>
  <cols>
    <col min="1" max="1" width="11.5" style="8" customWidth="1"/>
    <col min="2" max="2" width="25.375" style="32" customWidth="1"/>
    <col min="3" max="3" width="91.25" style="9" customWidth="1"/>
    <col min="4" max="16384" width="8.75" style="9"/>
  </cols>
  <sheetData>
    <row r="1" spans="1:3" s="14" customFormat="1" ht="45" customHeight="1" x14ac:dyDescent="0.3">
      <c r="A1" s="86" t="s">
        <v>802</v>
      </c>
      <c r="B1" s="86"/>
      <c r="C1" s="86"/>
    </row>
    <row r="2" spans="1:3" s="14" customFormat="1" ht="30" customHeight="1" x14ac:dyDescent="0.3">
      <c r="A2" s="54" t="s">
        <v>667</v>
      </c>
      <c r="B2" s="68" t="s">
        <v>641</v>
      </c>
      <c r="C2" s="55" t="s">
        <v>433</v>
      </c>
    </row>
    <row r="3" spans="1:3" s="14" customFormat="1" ht="34.5" customHeight="1" x14ac:dyDescent="0.3">
      <c r="A3" s="56" t="s">
        <v>699</v>
      </c>
      <c r="B3" s="33">
        <f>VLOOKUP(B2,코드테이블,3,0)</f>
        <v>101</v>
      </c>
      <c r="C3" s="57" t="str">
        <f>VLOOKUP(B3,인성A코드,3)</f>
        <v xml:space="preserve">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v>
      </c>
    </row>
    <row r="4" spans="1:3" s="14" customFormat="1" ht="34.5" customHeight="1" x14ac:dyDescent="0.3">
      <c r="A4" s="58" t="s">
        <v>684</v>
      </c>
      <c r="B4" s="69">
        <v>101</v>
      </c>
      <c r="C4" s="59" t="str">
        <f>VLOOKUP(B4,인성A코드,3,0)</f>
        <v xml:space="preserve">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v>
      </c>
    </row>
    <row r="5" spans="1:3" s="14" customFormat="1" ht="7.5" customHeight="1" x14ac:dyDescent="0.3">
      <c r="A5" s="16"/>
      <c r="B5" s="30"/>
      <c r="C5" s="17"/>
    </row>
    <row r="6" spans="1:3" s="14" customFormat="1" ht="29.25" customHeight="1" x14ac:dyDescent="0.3">
      <c r="A6" s="46" t="s">
        <v>441</v>
      </c>
      <c r="B6" s="47" t="s">
        <v>429</v>
      </c>
      <c r="C6" s="46" t="s">
        <v>433</v>
      </c>
    </row>
    <row r="7" spans="1:3" ht="51.75" hidden="1" x14ac:dyDescent="0.3">
      <c r="A7" s="34">
        <v>101</v>
      </c>
      <c r="B7" s="31" t="s">
        <v>600</v>
      </c>
      <c r="C7" s="29" t="s">
        <v>29</v>
      </c>
    </row>
    <row r="8" spans="1:3" ht="17.25" hidden="1" x14ac:dyDescent="0.3">
      <c r="A8" s="34">
        <v>102</v>
      </c>
      <c r="B8" s="31" t="s">
        <v>601</v>
      </c>
      <c r="C8" s="36" t="s">
        <v>622</v>
      </c>
    </row>
    <row r="9" spans="1:3" ht="34.5" hidden="1" x14ac:dyDescent="0.3">
      <c r="A9" s="52">
        <v>103</v>
      </c>
      <c r="B9" s="31" t="s">
        <v>668</v>
      </c>
      <c r="C9" s="29" t="s">
        <v>7</v>
      </c>
    </row>
    <row r="10" spans="1:3" ht="17.25" hidden="1" x14ac:dyDescent="0.3">
      <c r="A10" s="52">
        <v>104</v>
      </c>
      <c r="B10" s="31" t="s">
        <v>676</v>
      </c>
      <c r="C10" s="29" t="s">
        <v>508</v>
      </c>
    </row>
    <row r="11" spans="1:3" ht="17.25" hidden="1" x14ac:dyDescent="0.3">
      <c r="A11" s="52">
        <v>105</v>
      </c>
      <c r="B11" s="31" t="s">
        <v>669</v>
      </c>
      <c r="C11" s="29" t="s">
        <v>100</v>
      </c>
    </row>
    <row r="12" spans="1:3" ht="34.5" hidden="1" x14ac:dyDescent="0.3">
      <c r="A12" s="52">
        <v>106</v>
      </c>
      <c r="B12" s="31" t="s">
        <v>525</v>
      </c>
      <c r="C12" s="29" t="s">
        <v>263</v>
      </c>
    </row>
    <row r="13" spans="1:3" ht="17.25" hidden="1" x14ac:dyDescent="0.3">
      <c r="A13" s="52">
        <v>107</v>
      </c>
      <c r="B13" s="31" t="s">
        <v>685</v>
      </c>
      <c r="C13" s="29" t="s">
        <v>80</v>
      </c>
    </row>
    <row r="14" spans="1:3" ht="51.75" hidden="1" x14ac:dyDescent="0.3">
      <c r="A14" s="52">
        <v>108</v>
      </c>
      <c r="B14" s="31" t="s">
        <v>573</v>
      </c>
      <c r="C14" s="29" t="s">
        <v>114</v>
      </c>
    </row>
    <row r="15" spans="1:3" ht="34.5" hidden="1" x14ac:dyDescent="0.3">
      <c r="A15" s="52">
        <v>109</v>
      </c>
      <c r="B15" s="31" t="s">
        <v>602</v>
      </c>
      <c r="C15" s="29" t="s">
        <v>271</v>
      </c>
    </row>
    <row r="16" spans="1:3" ht="51.75" hidden="1" x14ac:dyDescent="0.3">
      <c r="A16" s="52">
        <v>110</v>
      </c>
      <c r="B16" s="31" t="s">
        <v>529</v>
      </c>
      <c r="C16" s="29" t="s">
        <v>109</v>
      </c>
    </row>
    <row r="17" spans="1:3" ht="51.75" hidden="1" x14ac:dyDescent="0.3">
      <c r="A17" s="52">
        <v>111</v>
      </c>
      <c r="B17" s="31" t="s">
        <v>603</v>
      </c>
      <c r="C17" s="29" t="s">
        <v>265</v>
      </c>
    </row>
    <row r="18" spans="1:3" ht="17.25" hidden="1" x14ac:dyDescent="0.3">
      <c r="A18" s="52">
        <v>112</v>
      </c>
      <c r="B18" s="31" t="s">
        <v>702</v>
      </c>
      <c r="C18" s="27" t="s">
        <v>779</v>
      </c>
    </row>
    <row r="19" spans="1:3" ht="17.25" hidden="1" x14ac:dyDescent="0.3">
      <c r="A19" s="52">
        <v>113</v>
      </c>
      <c r="B19" s="31" t="s">
        <v>698</v>
      </c>
      <c r="C19" s="27" t="s">
        <v>577</v>
      </c>
    </row>
    <row r="20" spans="1:3" ht="34.5" hidden="1" x14ac:dyDescent="0.3">
      <c r="A20" s="52">
        <v>114</v>
      </c>
      <c r="B20" s="31" t="s">
        <v>705</v>
      </c>
      <c r="C20" s="29" t="s">
        <v>261</v>
      </c>
    </row>
    <row r="21" spans="1:3" ht="17.25" hidden="1" x14ac:dyDescent="0.3">
      <c r="A21" s="52">
        <v>115</v>
      </c>
      <c r="B21" s="31" t="s">
        <v>697</v>
      </c>
      <c r="C21" s="29" t="s">
        <v>86</v>
      </c>
    </row>
    <row r="22" spans="1:3" ht="17.25" hidden="1" x14ac:dyDescent="0.3">
      <c r="A22" s="52">
        <v>116</v>
      </c>
      <c r="B22" s="31" t="s">
        <v>608</v>
      </c>
      <c r="C22" s="29" t="s">
        <v>18</v>
      </c>
    </row>
    <row r="23" spans="1:3" ht="17.25" hidden="1" x14ac:dyDescent="0.3">
      <c r="A23" s="52">
        <v>117</v>
      </c>
      <c r="B23" s="31" t="s">
        <v>680</v>
      </c>
      <c r="C23" s="29" t="s">
        <v>507</v>
      </c>
    </row>
    <row r="24" spans="1:3" ht="34.5" hidden="1" x14ac:dyDescent="0.3">
      <c r="A24" s="52">
        <v>118</v>
      </c>
      <c r="B24" s="31" t="s">
        <v>537</v>
      </c>
      <c r="C24" s="29" t="s">
        <v>308</v>
      </c>
    </row>
    <row r="25" spans="1:3" ht="17.25" hidden="1" x14ac:dyDescent="0.3">
      <c r="A25" s="52">
        <v>119</v>
      </c>
      <c r="B25" s="31" t="s">
        <v>611</v>
      </c>
      <c r="C25" s="29" t="s">
        <v>19</v>
      </c>
    </row>
    <row r="26" spans="1:3" ht="17.25" hidden="1" x14ac:dyDescent="0.3">
      <c r="A26" s="52">
        <v>120</v>
      </c>
      <c r="B26" s="31" t="s">
        <v>609</v>
      </c>
      <c r="C26" s="29" t="s">
        <v>83</v>
      </c>
    </row>
    <row r="27" spans="1:3" ht="17.25" hidden="1" x14ac:dyDescent="0.3">
      <c r="A27" s="52">
        <v>121</v>
      </c>
      <c r="B27" s="31" t="s">
        <v>606</v>
      </c>
      <c r="C27" s="27" t="s">
        <v>176</v>
      </c>
    </row>
    <row r="28" spans="1:3" ht="17.25" hidden="1" x14ac:dyDescent="0.3">
      <c r="A28" s="52">
        <v>122</v>
      </c>
      <c r="B28" s="31" t="s">
        <v>694</v>
      </c>
      <c r="C28" s="29" t="s">
        <v>81</v>
      </c>
    </row>
    <row r="29" spans="1:3" ht="34.5" hidden="1" x14ac:dyDescent="0.3">
      <c r="A29" s="52">
        <v>123</v>
      </c>
      <c r="B29" s="31" t="s">
        <v>610</v>
      </c>
      <c r="C29" s="29" t="s">
        <v>143</v>
      </c>
    </row>
    <row r="30" spans="1:3" ht="17.25" hidden="1" x14ac:dyDescent="0.3">
      <c r="A30" s="52">
        <v>124</v>
      </c>
      <c r="B30" s="31" t="s">
        <v>605</v>
      </c>
      <c r="C30" s="29" t="s">
        <v>0</v>
      </c>
    </row>
    <row r="31" spans="1:3" ht="17.25" hidden="1" x14ac:dyDescent="0.3">
      <c r="A31" s="52">
        <v>125</v>
      </c>
      <c r="B31" s="31" t="s">
        <v>607</v>
      </c>
      <c r="C31" s="29" t="s">
        <v>73</v>
      </c>
    </row>
    <row r="32" spans="1:3" ht="34.5" hidden="1" x14ac:dyDescent="0.3">
      <c r="A32" s="52">
        <v>126</v>
      </c>
      <c r="B32" s="31" t="s">
        <v>536</v>
      </c>
      <c r="C32" s="29" t="s">
        <v>129</v>
      </c>
    </row>
    <row r="33" spans="1:3" ht="34.5" hidden="1" x14ac:dyDescent="0.3">
      <c r="A33" s="52">
        <v>127</v>
      </c>
      <c r="B33" s="31" t="s">
        <v>571</v>
      </c>
      <c r="C33" s="36" t="s">
        <v>116</v>
      </c>
    </row>
    <row r="34" spans="1:3" ht="34.5" hidden="1" x14ac:dyDescent="0.3">
      <c r="A34" s="52">
        <v>128</v>
      </c>
      <c r="B34" s="31" t="s">
        <v>604</v>
      </c>
      <c r="C34" s="29" t="s">
        <v>13</v>
      </c>
    </row>
    <row r="35" spans="1:3" ht="34.5" hidden="1" x14ac:dyDescent="0.3">
      <c r="A35" s="52">
        <v>129</v>
      </c>
      <c r="B35" s="31" t="s">
        <v>574</v>
      </c>
      <c r="C35" s="29" t="s">
        <v>117</v>
      </c>
    </row>
    <row r="36" spans="1:3" ht="34.5" hidden="1" x14ac:dyDescent="0.3">
      <c r="A36" s="52">
        <v>130</v>
      </c>
      <c r="B36" s="31" t="s">
        <v>532</v>
      </c>
      <c r="C36" s="29" t="s">
        <v>1</v>
      </c>
    </row>
    <row r="37" spans="1:3" ht="17.25" hidden="1" x14ac:dyDescent="0.3">
      <c r="A37" s="52">
        <v>131</v>
      </c>
      <c r="B37" s="31" t="s">
        <v>534</v>
      </c>
      <c r="C37" s="27" t="s">
        <v>726</v>
      </c>
    </row>
    <row r="38" spans="1:3" ht="34.5" hidden="1" x14ac:dyDescent="0.3">
      <c r="A38" s="52">
        <v>132</v>
      </c>
      <c r="B38" s="31" t="s">
        <v>538</v>
      </c>
      <c r="C38" s="29" t="s">
        <v>268</v>
      </c>
    </row>
    <row r="39" spans="1:3" ht="17.25" hidden="1" x14ac:dyDescent="0.3">
      <c r="A39" s="52">
        <v>133</v>
      </c>
      <c r="B39" s="31" t="s">
        <v>614</v>
      </c>
      <c r="C39" s="36" t="s">
        <v>498</v>
      </c>
    </row>
    <row r="40" spans="1:3" ht="17.25" hidden="1" x14ac:dyDescent="0.3">
      <c r="A40" s="52">
        <v>134</v>
      </c>
      <c r="B40" s="31" t="s">
        <v>612</v>
      </c>
      <c r="C40" s="29" t="s">
        <v>491</v>
      </c>
    </row>
    <row r="41" spans="1:3" ht="17.25" hidden="1" x14ac:dyDescent="0.3">
      <c r="A41" s="52">
        <v>135</v>
      </c>
      <c r="B41" s="31" t="s">
        <v>616</v>
      </c>
      <c r="C41" s="29" t="s">
        <v>325</v>
      </c>
    </row>
    <row r="42" spans="1:3" ht="17.25" hidden="1" x14ac:dyDescent="0.3">
      <c r="A42" s="52">
        <v>136</v>
      </c>
      <c r="B42" s="49" t="s">
        <v>616</v>
      </c>
      <c r="C42" s="29" t="s">
        <v>326</v>
      </c>
    </row>
    <row r="43" spans="1:3" ht="17.25" hidden="1" x14ac:dyDescent="0.3">
      <c r="A43" s="52">
        <v>137</v>
      </c>
      <c r="B43" s="49" t="s">
        <v>616</v>
      </c>
      <c r="C43" s="29" t="s">
        <v>727</v>
      </c>
    </row>
    <row r="44" spans="1:3" ht="17.25" hidden="1" x14ac:dyDescent="0.3">
      <c r="A44" s="52">
        <v>138</v>
      </c>
      <c r="B44" s="31" t="s">
        <v>808</v>
      </c>
      <c r="C44" s="29" t="s">
        <v>93</v>
      </c>
    </row>
    <row r="45" spans="1:3" ht="17.25" hidden="1" x14ac:dyDescent="0.3">
      <c r="A45" s="52">
        <v>139</v>
      </c>
      <c r="B45" s="31" t="s">
        <v>810</v>
      </c>
      <c r="C45" s="29" t="s">
        <v>94</v>
      </c>
    </row>
    <row r="46" spans="1:3" ht="17.25" hidden="1" x14ac:dyDescent="0.3">
      <c r="A46" s="52">
        <v>140</v>
      </c>
      <c r="B46" s="31" t="s">
        <v>812</v>
      </c>
      <c r="C46" s="29" t="s">
        <v>172</v>
      </c>
    </row>
    <row r="47" spans="1:3" ht="34.5" hidden="1" x14ac:dyDescent="0.3">
      <c r="A47" s="52">
        <v>141</v>
      </c>
      <c r="B47" s="31" t="s">
        <v>814</v>
      </c>
      <c r="C47" s="73" t="s">
        <v>816</v>
      </c>
    </row>
    <row r="48" spans="1:3" ht="34.5" hidden="1" x14ac:dyDescent="0.3">
      <c r="A48" s="52">
        <v>142</v>
      </c>
      <c r="B48" s="31" t="s">
        <v>818</v>
      </c>
      <c r="C48" s="29" t="s">
        <v>126</v>
      </c>
    </row>
    <row r="49" spans="1:3" ht="17.25" hidden="1" x14ac:dyDescent="0.3">
      <c r="A49" s="52">
        <v>143</v>
      </c>
      <c r="B49" s="31" t="s">
        <v>820</v>
      </c>
      <c r="C49" s="29" t="s">
        <v>550</v>
      </c>
    </row>
    <row r="50" spans="1:3" ht="34.5" hidden="1" x14ac:dyDescent="0.3">
      <c r="A50" s="52">
        <v>144</v>
      </c>
      <c r="B50" s="31" t="s">
        <v>822</v>
      </c>
      <c r="C50" s="29" t="s">
        <v>118</v>
      </c>
    </row>
    <row r="51" spans="1:3" ht="17.25" hidden="1" x14ac:dyDescent="0.3">
      <c r="A51" s="52">
        <v>145</v>
      </c>
      <c r="B51" s="31" t="s">
        <v>824</v>
      </c>
      <c r="C51" s="27" t="s">
        <v>167</v>
      </c>
    </row>
    <row r="52" spans="1:3" ht="17.25" hidden="1" x14ac:dyDescent="0.3">
      <c r="A52" s="52">
        <v>146</v>
      </c>
      <c r="B52" s="31" t="s">
        <v>826</v>
      </c>
      <c r="C52" s="29" t="s">
        <v>327</v>
      </c>
    </row>
    <row r="53" spans="1:3" ht="17.25" hidden="1" x14ac:dyDescent="0.3">
      <c r="A53" s="52">
        <v>147</v>
      </c>
      <c r="B53" s="31" t="s">
        <v>828</v>
      </c>
      <c r="C53" s="29" t="s">
        <v>341</v>
      </c>
    </row>
    <row r="54" spans="1:3" ht="17.25" hidden="1" x14ac:dyDescent="0.3">
      <c r="A54" s="52">
        <v>148</v>
      </c>
      <c r="B54" s="31" t="s">
        <v>830</v>
      </c>
      <c r="C54" s="29" t="s">
        <v>342</v>
      </c>
    </row>
    <row r="55" spans="1:3" ht="17.25" hidden="1" x14ac:dyDescent="0.3">
      <c r="A55" s="52">
        <v>149</v>
      </c>
      <c r="B55" s="31" t="s">
        <v>832</v>
      </c>
      <c r="C55" s="27" t="s">
        <v>74</v>
      </c>
    </row>
    <row r="56" spans="1:3" ht="34.5" hidden="1" x14ac:dyDescent="0.3">
      <c r="A56" s="52">
        <v>150</v>
      </c>
      <c r="B56" s="31" t="s">
        <v>834</v>
      </c>
      <c r="C56" s="29" t="s">
        <v>119</v>
      </c>
    </row>
    <row r="57" spans="1:3" ht="34.5" hidden="1" x14ac:dyDescent="0.3">
      <c r="A57" s="52">
        <v>151</v>
      </c>
      <c r="B57" s="31" t="s">
        <v>836</v>
      </c>
      <c r="C57" s="29" t="s">
        <v>561</v>
      </c>
    </row>
    <row r="58" spans="1:3" ht="34.5" hidden="1" x14ac:dyDescent="0.3">
      <c r="A58" s="52">
        <v>152</v>
      </c>
      <c r="B58" s="31" t="s">
        <v>818</v>
      </c>
      <c r="C58" s="29" t="s">
        <v>120</v>
      </c>
    </row>
    <row r="59" spans="1:3" ht="17.25" hidden="1" x14ac:dyDescent="0.3">
      <c r="A59" s="52">
        <v>153</v>
      </c>
      <c r="B59" s="31" t="s">
        <v>838</v>
      </c>
      <c r="C59" s="27" t="s">
        <v>558</v>
      </c>
    </row>
    <row r="60" spans="1:3" ht="34.5" hidden="1" x14ac:dyDescent="0.3">
      <c r="A60" s="52">
        <v>154</v>
      </c>
      <c r="B60" s="31" t="s">
        <v>436</v>
      </c>
      <c r="C60" s="29" t="s">
        <v>262</v>
      </c>
    </row>
    <row r="61" spans="1:3" ht="34.5" hidden="1" x14ac:dyDescent="0.3">
      <c r="A61" s="52">
        <v>155</v>
      </c>
      <c r="B61" s="31" t="s">
        <v>436</v>
      </c>
      <c r="C61" s="29" t="s">
        <v>262</v>
      </c>
    </row>
    <row r="62" spans="1:3" ht="17.25" hidden="1" x14ac:dyDescent="0.3">
      <c r="A62" s="52">
        <v>156</v>
      </c>
      <c r="B62" s="31" t="s">
        <v>436</v>
      </c>
      <c r="C62" s="29" t="s">
        <v>77</v>
      </c>
    </row>
    <row r="63" spans="1:3" ht="17.25" hidden="1" x14ac:dyDescent="0.3">
      <c r="A63" s="52">
        <v>157</v>
      </c>
      <c r="B63" s="31" t="s">
        <v>436</v>
      </c>
      <c r="C63" s="29" t="s">
        <v>78</v>
      </c>
    </row>
    <row r="64" spans="1:3" ht="17.25" hidden="1" x14ac:dyDescent="0.3">
      <c r="A64" s="52">
        <v>158</v>
      </c>
      <c r="B64" s="31" t="s">
        <v>436</v>
      </c>
      <c r="C64" s="29" t="s">
        <v>78</v>
      </c>
    </row>
    <row r="65" spans="1:3" ht="17.25" hidden="1" x14ac:dyDescent="0.3">
      <c r="A65" s="52">
        <v>159</v>
      </c>
      <c r="B65" s="31" t="s">
        <v>436</v>
      </c>
      <c r="C65" s="29" t="s">
        <v>336</v>
      </c>
    </row>
    <row r="66" spans="1:3" ht="17.25" hidden="1" x14ac:dyDescent="0.3">
      <c r="A66" s="52">
        <v>160</v>
      </c>
      <c r="B66" s="31" t="s">
        <v>436</v>
      </c>
      <c r="C66" s="29" t="s">
        <v>82</v>
      </c>
    </row>
    <row r="67" spans="1:3" ht="34.5" hidden="1" x14ac:dyDescent="0.3">
      <c r="A67" s="52">
        <v>161</v>
      </c>
      <c r="B67" s="31" t="s">
        <v>659</v>
      </c>
      <c r="C67" s="29" t="s">
        <v>232</v>
      </c>
    </row>
    <row r="68" spans="1:3" ht="34.5" hidden="1" x14ac:dyDescent="0.3">
      <c r="A68" s="52">
        <v>162</v>
      </c>
      <c r="B68" s="31" t="s">
        <v>659</v>
      </c>
      <c r="C68" s="29" t="s">
        <v>127</v>
      </c>
    </row>
    <row r="69" spans="1:3" ht="34.5" hidden="1" x14ac:dyDescent="0.3">
      <c r="A69" s="52">
        <v>163</v>
      </c>
      <c r="B69" s="31" t="s">
        <v>659</v>
      </c>
      <c r="C69" s="29" t="s">
        <v>479</v>
      </c>
    </row>
    <row r="70" spans="1:3" ht="17.25" hidden="1" x14ac:dyDescent="0.3">
      <c r="A70" s="52">
        <v>164</v>
      </c>
      <c r="B70" s="31" t="s">
        <v>659</v>
      </c>
      <c r="C70" s="29" t="s">
        <v>404</v>
      </c>
    </row>
    <row r="71" spans="1:3" ht="17.25" hidden="1" x14ac:dyDescent="0.3">
      <c r="A71" s="52">
        <v>165</v>
      </c>
      <c r="B71" s="31" t="s">
        <v>659</v>
      </c>
      <c r="C71" s="29" t="s">
        <v>405</v>
      </c>
    </row>
    <row r="72" spans="1:3" ht="34.5" hidden="1" x14ac:dyDescent="0.3">
      <c r="A72" s="52">
        <v>166</v>
      </c>
      <c r="B72" s="31" t="s">
        <v>659</v>
      </c>
      <c r="C72" s="29" t="s">
        <v>121</v>
      </c>
    </row>
    <row r="73" spans="1:3" ht="17.25" hidden="1" x14ac:dyDescent="0.3">
      <c r="A73" s="52">
        <v>167</v>
      </c>
      <c r="B73" s="31" t="s">
        <v>659</v>
      </c>
      <c r="C73" s="29" t="s">
        <v>493</v>
      </c>
    </row>
    <row r="74" spans="1:3" ht="34.5" hidden="1" x14ac:dyDescent="0.3">
      <c r="A74" s="52">
        <v>168</v>
      </c>
      <c r="B74" s="31" t="s">
        <v>659</v>
      </c>
      <c r="C74" s="29" t="s">
        <v>140</v>
      </c>
    </row>
    <row r="75" spans="1:3" ht="17.25" hidden="1" x14ac:dyDescent="0.3">
      <c r="A75" s="52">
        <v>169</v>
      </c>
      <c r="B75" s="31" t="s">
        <v>659</v>
      </c>
      <c r="C75" s="29" t="s">
        <v>406</v>
      </c>
    </row>
    <row r="76" spans="1:3" ht="17.25" hidden="1" x14ac:dyDescent="0.3">
      <c r="A76" s="52">
        <v>170</v>
      </c>
      <c r="B76" s="31" t="s">
        <v>659</v>
      </c>
      <c r="C76" s="27" t="s">
        <v>730</v>
      </c>
    </row>
    <row r="77" spans="1:3" ht="17.25" hidden="1" x14ac:dyDescent="0.3">
      <c r="A77" s="52">
        <v>171</v>
      </c>
      <c r="B77" s="31" t="s">
        <v>659</v>
      </c>
      <c r="C77" s="29" t="s">
        <v>501</v>
      </c>
    </row>
    <row r="78" spans="1:3" ht="34.5" hidden="1" x14ac:dyDescent="0.3">
      <c r="A78" s="52">
        <v>172</v>
      </c>
      <c r="B78" s="31" t="s">
        <v>659</v>
      </c>
      <c r="C78" s="29" t="s">
        <v>470</v>
      </c>
    </row>
    <row r="79" spans="1:3" ht="17.25" hidden="1" x14ac:dyDescent="0.3">
      <c r="A79" s="52">
        <v>173</v>
      </c>
      <c r="B79" s="31" t="s">
        <v>659</v>
      </c>
      <c r="C79" s="27" t="s">
        <v>731</v>
      </c>
    </row>
    <row r="80" spans="1:3" ht="17.25" hidden="1" x14ac:dyDescent="0.3">
      <c r="A80" s="52">
        <v>174</v>
      </c>
      <c r="B80" s="31" t="s">
        <v>659</v>
      </c>
      <c r="C80" s="29" t="s">
        <v>96</v>
      </c>
    </row>
    <row r="81" spans="1:3" ht="17.25" hidden="1" x14ac:dyDescent="0.3">
      <c r="A81" s="52">
        <v>175</v>
      </c>
      <c r="B81" s="31" t="s">
        <v>659</v>
      </c>
      <c r="C81" s="29" t="s">
        <v>732</v>
      </c>
    </row>
    <row r="82" spans="1:3" ht="17.25" hidden="1" x14ac:dyDescent="0.3">
      <c r="A82" s="52">
        <v>176</v>
      </c>
      <c r="B82" s="31" t="s">
        <v>659</v>
      </c>
      <c r="C82" s="29" t="s">
        <v>161</v>
      </c>
    </row>
    <row r="83" spans="1:3" ht="51.75" hidden="1" x14ac:dyDescent="0.3">
      <c r="A83" s="52">
        <v>177</v>
      </c>
      <c r="B83" s="31" t="s">
        <v>659</v>
      </c>
      <c r="C83" s="29" t="s">
        <v>187</v>
      </c>
    </row>
    <row r="84" spans="1:3" ht="17.25" hidden="1" x14ac:dyDescent="0.3">
      <c r="A84" s="52">
        <v>178</v>
      </c>
      <c r="B84" s="31" t="s">
        <v>659</v>
      </c>
      <c r="C84" s="29" t="s">
        <v>553</v>
      </c>
    </row>
    <row r="85" spans="1:3" ht="17.25" hidden="1" x14ac:dyDescent="0.3">
      <c r="A85" s="52">
        <v>179</v>
      </c>
      <c r="B85" s="31" t="s">
        <v>659</v>
      </c>
      <c r="C85" s="29" t="s">
        <v>337</v>
      </c>
    </row>
    <row r="86" spans="1:3" ht="17.25" hidden="1" x14ac:dyDescent="0.3">
      <c r="A86" s="52">
        <v>180</v>
      </c>
      <c r="B86" s="31" t="s">
        <v>659</v>
      </c>
      <c r="C86" s="29" t="s">
        <v>499</v>
      </c>
    </row>
    <row r="87" spans="1:3" ht="17.25" hidden="1" x14ac:dyDescent="0.3">
      <c r="A87" s="52">
        <v>181</v>
      </c>
      <c r="B87" s="31" t="s">
        <v>659</v>
      </c>
      <c r="C87" s="29" t="s">
        <v>340</v>
      </c>
    </row>
    <row r="88" spans="1:3" ht="17.25" hidden="1" x14ac:dyDescent="0.3">
      <c r="A88" s="52">
        <v>182</v>
      </c>
      <c r="B88" s="31" t="s">
        <v>659</v>
      </c>
      <c r="C88" s="29" t="s">
        <v>330</v>
      </c>
    </row>
    <row r="89" spans="1:3" ht="34.5" hidden="1" x14ac:dyDescent="0.3">
      <c r="A89" s="52">
        <v>183</v>
      </c>
      <c r="B89" s="31" t="s">
        <v>659</v>
      </c>
      <c r="C89" s="29" t="s">
        <v>123</v>
      </c>
    </row>
    <row r="90" spans="1:3" ht="17.25" hidden="1" x14ac:dyDescent="0.3">
      <c r="A90" s="52">
        <v>184</v>
      </c>
      <c r="B90" s="31" t="s">
        <v>659</v>
      </c>
      <c r="C90" s="29" t="s">
        <v>394</v>
      </c>
    </row>
    <row r="91" spans="1:3" ht="34.5" hidden="1" x14ac:dyDescent="0.3">
      <c r="A91" s="52">
        <v>185</v>
      </c>
      <c r="B91" s="31" t="s">
        <v>659</v>
      </c>
      <c r="C91" s="29" t="s">
        <v>144</v>
      </c>
    </row>
    <row r="92" spans="1:3" ht="17.25" hidden="1" x14ac:dyDescent="0.3">
      <c r="A92" s="52">
        <v>186</v>
      </c>
      <c r="B92" s="31" t="s">
        <v>645</v>
      </c>
      <c r="C92" s="36" t="s">
        <v>334</v>
      </c>
    </row>
    <row r="93" spans="1:3" ht="17.25" hidden="1" x14ac:dyDescent="0.3">
      <c r="A93" s="52">
        <v>187</v>
      </c>
      <c r="B93" s="31" t="s">
        <v>645</v>
      </c>
      <c r="C93" s="29" t="s">
        <v>332</v>
      </c>
    </row>
    <row r="94" spans="1:3" ht="17.25" hidden="1" x14ac:dyDescent="0.3">
      <c r="A94" s="52">
        <v>188</v>
      </c>
      <c r="B94" s="31" t="s">
        <v>645</v>
      </c>
      <c r="C94" s="29" t="s">
        <v>382</v>
      </c>
    </row>
    <row r="95" spans="1:3" ht="17.25" hidden="1" x14ac:dyDescent="0.3">
      <c r="A95" s="52">
        <v>189</v>
      </c>
      <c r="B95" s="31" t="s">
        <v>645</v>
      </c>
      <c r="C95" s="29" t="s">
        <v>101</v>
      </c>
    </row>
    <row r="96" spans="1:3" ht="17.25" hidden="1" x14ac:dyDescent="0.3">
      <c r="A96" s="52">
        <v>190</v>
      </c>
      <c r="B96" s="31" t="s">
        <v>645</v>
      </c>
      <c r="C96" s="29" t="s">
        <v>37</v>
      </c>
    </row>
    <row r="97" spans="1:3" ht="17.25" hidden="1" x14ac:dyDescent="0.3">
      <c r="A97" s="52">
        <v>191</v>
      </c>
      <c r="B97" s="31" t="s">
        <v>427</v>
      </c>
      <c r="C97" s="27" t="s">
        <v>38</v>
      </c>
    </row>
    <row r="98" spans="1:3" ht="17.25" hidden="1" x14ac:dyDescent="0.3">
      <c r="A98" s="52">
        <v>192</v>
      </c>
      <c r="B98" s="31" t="s">
        <v>427</v>
      </c>
      <c r="C98" s="29" t="s">
        <v>385</v>
      </c>
    </row>
    <row r="99" spans="1:3" ht="17.25" hidden="1" x14ac:dyDescent="0.3">
      <c r="A99" s="52">
        <v>193</v>
      </c>
      <c r="B99" s="31" t="s">
        <v>427</v>
      </c>
      <c r="C99" s="29" t="s">
        <v>396</v>
      </c>
    </row>
    <row r="100" spans="1:3" ht="34.5" hidden="1" x14ac:dyDescent="0.3">
      <c r="A100" s="52">
        <v>194</v>
      </c>
      <c r="B100" s="31" t="s">
        <v>427</v>
      </c>
      <c r="C100" s="29" t="s">
        <v>250</v>
      </c>
    </row>
    <row r="101" spans="1:3" ht="17.25" hidden="1" x14ac:dyDescent="0.3">
      <c r="A101" s="52">
        <v>195</v>
      </c>
      <c r="B101" s="31" t="s">
        <v>427</v>
      </c>
      <c r="C101" s="29" t="s">
        <v>39</v>
      </c>
    </row>
    <row r="102" spans="1:3" ht="17.25" hidden="1" x14ac:dyDescent="0.3">
      <c r="A102" s="52">
        <v>196</v>
      </c>
      <c r="B102" s="31" t="s">
        <v>427</v>
      </c>
      <c r="C102" s="29" t="s">
        <v>502</v>
      </c>
    </row>
    <row r="103" spans="1:3" ht="34.5" hidden="1" x14ac:dyDescent="0.3">
      <c r="A103" s="52">
        <v>197</v>
      </c>
      <c r="B103" s="31" t="s">
        <v>421</v>
      </c>
      <c r="C103" s="29" t="s">
        <v>132</v>
      </c>
    </row>
    <row r="104" spans="1:3" ht="34.5" hidden="1" x14ac:dyDescent="0.3">
      <c r="A104" s="52">
        <v>198</v>
      </c>
      <c r="B104" s="31" t="s">
        <v>421</v>
      </c>
      <c r="C104" s="29" t="s">
        <v>474</v>
      </c>
    </row>
    <row r="105" spans="1:3" ht="34.5" hidden="1" x14ac:dyDescent="0.3">
      <c r="A105" s="52">
        <v>199</v>
      </c>
      <c r="B105" s="31" t="s">
        <v>421</v>
      </c>
      <c r="C105" s="29" t="s">
        <v>132</v>
      </c>
    </row>
    <row r="106" spans="1:3" ht="17.25" hidden="1" x14ac:dyDescent="0.3">
      <c r="A106" s="52">
        <v>200</v>
      </c>
      <c r="B106" s="31" t="s">
        <v>421</v>
      </c>
      <c r="C106" s="29" t="s">
        <v>409</v>
      </c>
    </row>
    <row r="107" spans="1:3" ht="51.75" hidden="1" x14ac:dyDescent="0.3">
      <c r="A107" s="52">
        <v>201</v>
      </c>
      <c r="B107" s="31" t="s">
        <v>421</v>
      </c>
      <c r="C107" s="29" t="s">
        <v>122</v>
      </c>
    </row>
    <row r="108" spans="1:3" ht="17.25" hidden="1" x14ac:dyDescent="0.3">
      <c r="A108" s="52">
        <v>202</v>
      </c>
      <c r="B108" s="31" t="s">
        <v>421</v>
      </c>
      <c r="C108" s="27" t="s">
        <v>333</v>
      </c>
    </row>
    <row r="109" spans="1:3" ht="69" hidden="1" x14ac:dyDescent="0.3">
      <c r="A109" s="52">
        <v>203</v>
      </c>
      <c r="B109" s="31" t="s">
        <v>421</v>
      </c>
      <c r="C109" s="29" t="s">
        <v>539</v>
      </c>
    </row>
    <row r="110" spans="1:3" ht="34.5" hidden="1" x14ac:dyDescent="0.3">
      <c r="A110" s="52">
        <v>204</v>
      </c>
      <c r="B110" s="31" t="s">
        <v>421</v>
      </c>
      <c r="C110" s="29" t="s">
        <v>272</v>
      </c>
    </row>
    <row r="111" spans="1:3" ht="17.25" hidden="1" x14ac:dyDescent="0.3">
      <c r="A111" s="52">
        <v>205</v>
      </c>
      <c r="B111" s="31" t="s">
        <v>421</v>
      </c>
      <c r="C111" s="29" t="s">
        <v>486</v>
      </c>
    </row>
    <row r="112" spans="1:3" ht="17.25" hidden="1" x14ac:dyDescent="0.3">
      <c r="A112" s="52">
        <v>206</v>
      </c>
      <c r="B112" s="31" t="s">
        <v>421</v>
      </c>
      <c r="C112" s="29" t="s">
        <v>407</v>
      </c>
    </row>
    <row r="113" spans="1:3" ht="17.25" hidden="1" x14ac:dyDescent="0.3">
      <c r="A113" s="52">
        <v>207</v>
      </c>
      <c r="B113" s="31" t="s">
        <v>421</v>
      </c>
      <c r="C113" s="29" t="s">
        <v>46</v>
      </c>
    </row>
    <row r="114" spans="1:3" ht="17.25" hidden="1" x14ac:dyDescent="0.3">
      <c r="A114" s="52">
        <v>208</v>
      </c>
      <c r="B114" s="31" t="s">
        <v>421</v>
      </c>
      <c r="C114" s="29" t="s">
        <v>106</v>
      </c>
    </row>
    <row r="115" spans="1:3" ht="34.5" hidden="1" x14ac:dyDescent="0.3">
      <c r="A115" s="52">
        <v>209</v>
      </c>
      <c r="B115" s="31" t="s">
        <v>421</v>
      </c>
      <c r="C115" s="29" t="s">
        <v>273</v>
      </c>
    </row>
    <row r="116" spans="1:3" ht="34.5" hidden="1" x14ac:dyDescent="0.3">
      <c r="A116" s="52">
        <v>210</v>
      </c>
      <c r="B116" s="31" t="s">
        <v>437</v>
      </c>
      <c r="C116" s="36" t="s">
        <v>145</v>
      </c>
    </row>
    <row r="117" spans="1:3" ht="17.25" hidden="1" x14ac:dyDescent="0.3">
      <c r="A117" s="52">
        <v>211</v>
      </c>
      <c r="B117" s="31" t="s">
        <v>437</v>
      </c>
      <c r="C117" s="29" t="s">
        <v>102</v>
      </c>
    </row>
    <row r="118" spans="1:3" ht="34.5" hidden="1" x14ac:dyDescent="0.3">
      <c r="A118" s="52">
        <v>212</v>
      </c>
      <c r="B118" s="31" t="s">
        <v>437</v>
      </c>
      <c r="C118" s="29" t="s">
        <v>313</v>
      </c>
    </row>
    <row r="119" spans="1:3" ht="34.5" hidden="1" x14ac:dyDescent="0.3">
      <c r="A119" s="52">
        <v>213</v>
      </c>
      <c r="B119" s="31" t="s">
        <v>437</v>
      </c>
      <c r="C119" s="29" t="s">
        <v>16</v>
      </c>
    </row>
    <row r="120" spans="1:3" ht="34.5" hidden="1" x14ac:dyDescent="0.3">
      <c r="A120" s="52">
        <v>214</v>
      </c>
      <c r="B120" s="31" t="s">
        <v>437</v>
      </c>
      <c r="C120" s="29" t="s">
        <v>133</v>
      </c>
    </row>
    <row r="121" spans="1:3" ht="17.25" hidden="1" x14ac:dyDescent="0.3">
      <c r="A121" s="52">
        <v>215</v>
      </c>
      <c r="B121" s="31" t="s">
        <v>437</v>
      </c>
      <c r="C121" s="29" t="s">
        <v>335</v>
      </c>
    </row>
    <row r="122" spans="1:3" ht="17.25" hidden="1" x14ac:dyDescent="0.3">
      <c r="A122" s="52">
        <v>216</v>
      </c>
      <c r="B122" s="31" t="s">
        <v>437</v>
      </c>
      <c r="C122" s="29" t="s">
        <v>395</v>
      </c>
    </row>
    <row r="123" spans="1:3" ht="34.5" hidden="1" x14ac:dyDescent="0.3">
      <c r="A123" s="52">
        <v>217</v>
      </c>
      <c r="B123" s="31" t="s">
        <v>437</v>
      </c>
      <c r="C123" s="29" t="s">
        <v>156</v>
      </c>
    </row>
    <row r="124" spans="1:3" ht="17.25" hidden="1" x14ac:dyDescent="0.3">
      <c r="A124" s="52">
        <v>218</v>
      </c>
      <c r="B124" s="31" t="s">
        <v>437</v>
      </c>
      <c r="C124" s="29" t="s">
        <v>177</v>
      </c>
    </row>
    <row r="125" spans="1:3" ht="34.5" hidden="1" x14ac:dyDescent="0.3">
      <c r="A125" s="52">
        <v>219</v>
      </c>
      <c r="B125" s="31" t="s">
        <v>437</v>
      </c>
      <c r="C125" s="29" t="s">
        <v>256</v>
      </c>
    </row>
    <row r="126" spans="1:3" ht="34.5" hidden="1" x14ac:dyDescent="0.3">
      <c r="A126" s="52">
        <v>220</v>
      </c>
      <c r="B126" s="31" t="s">
        <v>437</v>
      </c>
      <c r="C126" s="36" t="s">
        <v>150</v>
      </c>
    </row>
    <row r="127" spans="1:3" ht="17.25" hidden="1" x14ac:dyDescent="0.3">
      <c r="A127" s="52">
        <v>221</v>
      </c>
      <c r="B127" s="31" t="s">
        <v>437</v>
      </c>
      <c r="C127" s="29" t="s">
        <v>494</v>
      </c>
    </row>
    <row r="128" spans="1:3" ht="34.5" hidden="1" x14ac:dyDescent="0.3">
      <c r="A128" s="52">
        <v>222</v>
      </c>
      <c r="B128" s="31" t="s">
        <v>437</v>
      </c>
      <c r="C128" s="29" t="s">
        <v>103</v>
      </c>
    </row>
    <row r="129" spans="1:3" ht="34.5" hidden="1" x14ac:dyDescent="0.3">
      <c r="A129" s="52">
        <v>223</v>
      </c>
      <c r="B129" s="31" t="s">
        <v>437</v>
      </c>
      <c r="C129" s="29" t="s">
        <v>146</v>
      </c>
    </row>
    <row r="130" spans="1:3" ht="34.5" hidden="1" x14ac:dyDescent="0.3">
      <c r="A130" s="52">
        <v>224</v>
      </c>
      <c r="B130" s="31" t="s">
        <v>437</v>
      </c>
      <c r="C130" s="29" t="s">
        <v>12</v>
      </c>
    </row>
    <row r="131" spans="1:3" ht="34.5" hidden="1" x14ac:dyDescent="0.3">
      <c r="A131" s="52">
        <v>225</v>
      </c>
      <c r="B131" s="31" t="s">
        <v>437</v>
      </c>
      <c r="C131" s="29" t="s">
        <v>274</v>
      </c>
    </row>
    <row r="132" spans="1:3" ht="34.5" hidden="1" x14ac:dyDescent="0.3">
      <c r="A132" s="52">
        <v>226</v>
      </c>
      <c r="B132" s="31" t="s">
        <v>437</v>
      </c>
      <c r="C132" s="29" t="s">
        <v>151</v>
      </c>
    </row>
    <row r="133" spans="1:3" ht="34.5" hidden="1" x14ac:dyDescent="0.3">
      <c r="A133" s="52">
        <v>227</v>
      </c>
      <c r="B133" s="31" t="s">
        <v>437</v>
      </c>
      <c r="C133" s="29" t="s">
        <v>15</v>
      </c>
    </row>
    <row r="134" spans="1:3" ht="17.25" hidden="1" x14ac:dyDescent="0.3">
      <c r="A134" s="52">
        <v>228</v>
      </c>
      <c r="B134" s="31" t="s">
        <v>437</v>
      </c>
      <c r="C134" s="29" t="s">
        <v>174</v>
      </c>
    </row>
    <row r="135" spans="1:3" ht="17.25" hidden="1" x14ac:dyDescent="0.3">
      <c r="A135" s="52">
        <v>229</v>
      </c>
      <c r="B135" s="31" t="s">
        <v>437</v>
      </c>
      <c r="C135" s="29" t="s">
        <v>403</v>
      </c>
    </row>
    <row r="136" spans="1:3" ht="34.5" hidden="1" x14ac:dyDescent="0.3">
      <c r="A136" s="52">
        <v>230</v>
      </c>
      <c r="B136" s="31" t="s">
        <v>437</v>
      </c>
      <c r="C136" s="29" t="s">
        <v>137</v>
      </c>
    </row>
    <row r="137" spans="1:3" ht="17.25" hidden="1" x14ac:dyDescent="0.3">
      <c r="A137" s="52">
        <v>231</v>
      </c>
      <c r="B137" s="31" t="s">
        <v>437</v>
      </c>
      <c r="C137" s="29" t="s">
        <v>338</v>
      </c>
    </row>
    <row r="138" spans="1:3" ht="17.25" hidden="1" x14ac:dyDescent="0.3">
      <c r="A138" s="52">
        <v>232</v>
      </c>
      <c r="B138" s="31" t="s">
        <v>437</v>
      </c>
      <c r="C138" s="29" t="s">
        <v>557</v>
      </c>
    </row>
    <row r="139" spans="1:3" ht="17.25" hidden="1" x14ac:dyDescent="0.3">
      <c r="A139" s="52">
        <v>233</v>
      </c>
      <c r="B139" s="31" t="s">
        <v>437</v>
      </c>
      <c r="C139" s="29" t="s">
        <v>47</v>
      </c>
    </row>
    <row r="140" spans="1:3" ht="17.25" hidden="1" x14ac:dyDescent="0.3">
      <c r="A140" s="52">
        <v>234</v>
      </c>
      <c r="B140" s="31" t="s">
        <v>437</v>
      </c>
      <c r="C140" s="29" t="s">
        <v>50</v>
      </c>
    </row>
    <row r="141" spans="1:3" ht="34.5" hidden="1" x14ac:dyDescent="0.3">
      <c r="A141" s="52">
        <v>235</v>
      </c>
      <c r="B141" s="31" t="s">
        <v>437</v>
      </c>
      <c r="C141" s="29" t="s">
        <v>138</v>
      </c>
    </row>
    <row r="142" spans="1:3" ht="34.5" hidden="1" x14ac:dyDescent="0.3">
      <c r="A142" s="52">
        <v>236</v>
      </c>
      <c r="B142" s="31" t="s">
        <v>443</v>
      </c>
      <c r="C142" s="29" t="s">
        <v>318</v>
      </c>
    </row>
    <row r="143" spans="1:3" ht="17.25" hidden="1" x14ac:dyDescent="0.3">
      <c r="A143" s="52">
        <v>237</v>
      </c>
      <c r="B143" s="31" t="s">
        <v>443</v>
      </c>
      <c r="C143" s="29" t="s">
        <v>48</v>
      </c>
    </row>
    <row r="144" spans="1:3" ht="17.25" hidden="1" x14ac:dyDescent="0.3">
      <c r="A144" s="52">
        <v>238</v>
      </c>
      <c r="B144" s="31" t="s">
        <v>443</v>
      </c>
      <c r="C144" s="29" t="s">
        <v>104</v>
      </c>
    </row>
    <row r="145" spans="1:3" ht="34.5" hidden="1" x14ac:dyDescent="0.3">
      <c r="A145" s="52">
        <v>239</v>
      </c>
      <c r="B145" s="31" t="s">
        <v>443</v>
      </c>
      <c r="C145" s="29" t="s">
        <v>132</v>
      </c>
    </row>
    <row r="146" spans="1:3" ht="34.5" hidden="1" x14ac:dyDescent="0.3">
      <c r="A146" s="52">
        <v>240</v>
      </c>
      <c r="B146" s="31" t="s">
        <v>443</v>
      </c>
      <c r="C146" s="29" t="s">
        <v>304</v>
      </c>
    </row>
    <row r="147" spans="1:3" ht="17.25" hidden="1" x14ac:dyDescent="0.3">
      <c r="A147" s="52">
        <v>241</v>
      </c>
      <c r="B147" s="31" t="s">
        <v>443</v>
      </c>
      <c r="C147" s="29" t="s">
        <v>398</v>
      </c>
    </row>
    <row r="148" spans="1:3" ht="34.5" hidden="1" x14ac:dyDescent="0.3">
      <c r="A148" s="52">
        <v>242</v>
      </c>
      <c r="B148" s="31" t="s">
        <v>438</v>
      </c>
      <c r="C148" s="29" t="s">
        <v>516</v>
      </c>
    </row>
    <row r="149" spans="1:3" ht="17.25" hidden="1" x14ac:dyDescent="0.3">
      <c r="A149" s="52">
        <v>243</v>
      </c>
      <c r="B149" s="31" t="s">
        <v>438</v>
      </c>
      <c r="C149" s="36" t="s">
        <v>392</v>
      </c>
    </row>
    <row r="150" spans="1:3" ht="17.25" hidden="1" x14ac:dyDescent="0.3">
      <c r="A150" s="52">
        <v>244</v>
      </c>
      <c r="B150" s="31" t="s">
        <v>438</v>
      </c>
      <c r="C150" s="29" t="s">
        <v>485</v>
      </c>
    </row>
    <row r="151" spans="1:3" ht="17.25" hidden="1" x14ac:dyDescent="0.3">
      <c r="A151" s="52">
        <v>245</v>
      </c>
      <c r="B151" s="31" t="s">
        <v>438</v>
      </c>
      <c r="C151" s="29" t="s">
        <v>487</v>
      </c>
    </row>
    <row r="152" spans="1:3" ht="17.25" hidden="1" x14ac:dyDescent="0.3">
      <c r="A152" s="52">
        <v>246</v>
      </c>
      <c r="B152" s="31" t="s">
        <v>438</v>
      </c>
      <c r="C152" s="29" t="s">
        <v>288</v>
      </c>
    </row>
    <row r="153" spans="1:3" ht="17.25" hidden="1" x14ac:dyDescent="0.3">
      <c r="A153" s="52">
        <v>247</v>
      </c>
      <c r="B153" s="31" t="s">
        <v>438</v>
      </c>
      <c r="C153" s="29" t="s">
        <v>372</v>
      </c>
    </row>
    <row r="154" spans="1:3" ht="17.25" hidden="1" x14ac:dyDescent="0.3">
      <c r="A154" s="52">
        <v>248</v>
      </c>
      <c r="B154" s="31" t="s">
        <v>438</v>
      </c>
      <c r="C154" s="29" t="s">
        <v>346</v>
      </c>
    </row>
    <row r="155" spans="1:3" ht="17.25" hidden="1" x14ac:dyDescent="0.3">
      <c r="A155" s="52">
        <v>249</v>
      </c>
      <c r="B155" s="31" t="s">
        <v>434</v>
      </c>
      <c r="C155" s="29" t="s">
        <v>56</v>
      </c>
    </row>
    <row r="156" spans="1:3" ht="17.25" hidden="1" x14ac:dyDescent="0.3">
      <c r="A156" s="52">
        <v>250</v>
      </c>
      <c r="B156" s="31" t="s">
        <v>434</v>
      </c>
      <c r="C156" s="29" t="s">
        <v>55</v>
      </c>
    </row>
    <row r="157" spans="1:3" ht="34.5" hidden="1" x14ac:dyDescent="0.3">
      <c r="A157" s="52">
        <v>251</v>
      </c>
      <c r="B157" s="31" t="s">
        <v>434</v>
      </c>
      <c r="C157" s="29" t="s">
        <v>249</v>
      </c>
    </row>
    <row r="158" spans="1:3" ht="17.25" hidden="1" x14ac:dyDescent="0.3">
      <c r="A158" s="52">
        <v>252</v>
      </c>
      <c r="B158" s="31" t="s">
        <v>434</v>
      </c>
      <c r="C158" s="29" t="s">
        <v>184</v>
      </c>
    </row>
    <row r="159" spans="1:3" ht="17.25" hidden="1" x14ac:dyDescent="0.3">
      <c r="A159" s="52">
        <v>253</v>
      </c>
      <c r="B159" s="31" t="s">
        <v>434</v>
      </c>
      <c r="C159" s="29" t="s">
        <v>387</v>
      </c>
    </row>
    <row r="160" spans="1:3" ht="17.25" hidden="1" x14ac:dyDescent="0.3">
      <c r="A160" s="52">
        <v>254</v>
      </c>
      <c r="B160" s="31" t="s">
        <v>434</v>
      </c>
      <c r="C160" s="29" t="s">
        <v>343</v>
      </c>
    </row>
    <row r="161" spans="1:3" ht="17.25" hidden="1" x14ac:dyDescent="0.3">
      <c r="A161" s="52">
        <v>255</v>
      </c>
      <c r="B161" s="31" t="s">
        <v>434</v>
      </c>
      <c r="C161" s="29" t="s">
        <v>99</v>
      </c>
    </row>
    <row r="162" spans="1:3" ht="34.5" hidden="1" x14ac:dyDescent="0.3">
      <c r="A162" s="52">
        <v>256</v>
      </c>
      <c r="B162" s="31" t="s">
        <v>434</v>
      </c>
      <c r="C162" s="29" t="s">
        <v>237</v>
      </c>
    </row>
    <row r="163" spans="1:3" ht="34.5" hidden="1" x14ac:dyDescent="0.3">
      <c r="A163" s="52">
        <v>257</v>
      </c>
      <c r="B163" s="31" t="s">
        <v>415</v>
      </c>
      <c r="C163" s="29" t="s">
        <v>316</v>
      </c>
    </row>
    <row r="164" spans="1:3" ht="34.5" hidden="1" x14ac:dyDescent="0.3">
      <c r="A164" s="52">
        <v>258</v>
      </c>
      <c r="B164" s="31" t="s">
        <v>415</v>
      </c>
      <c r="C164" s="29" t="s">
        <v>231</v>
      </c>
    </row>
    <row r="165" spans="1:3" ht="34.5" hidden="1" x14ac:dyDescent="0.3">
      <c r="A165" s="52">
        <v>259</v>
      </c>
      <c r="B165" s="31" t="s">
        <v>415</v>
      </c>
      <c r="C165" s="29" t="s">
        <v>260</v>
      </c>
    </row>
    <row r="166" spans="1:3" ht="17.25" hidden="1" x14ac:dyDescent="0.3">
      <c r="A166" s="52">
        <v>260</v>
      </c>
      <c r="B166" s="31" t="s">
        <v>415</v>
      </c>
      <c r="C166" s="29" t="s">
        <v>488</v>
      </c>
    </row>
    <row r="167" spans="1:3" ht="17.25" hidden="1" x14ac:dyDescent="0.3">
      <c r="A167" s="52">
        <v>261</v>
      </c>
      <c r="B167" s="31" t="s">
        <v>415</v>
      </c>
      <c r="C167" s="29" t="s">
        <v>42</v>
      </c>
    </row>
    <row r="168" spans="1:3" ht="17.25" hidden="1" x14ac:dyDescent="0.3">
      <c r="A168" s="52">
        <v>262</v>
      </c>
      <c r="B168" s="31" t="s">
        <v>415</v>
      </c>
      <c r="C168" s="29" t="s">
        <v>291</v>
      </c>
    </row>
    <row r="169" spans="1:3" ht="17.25" hidden="1" x14ac:dyDescent="0.3">
      <c r="A169" s="52">
        <v>263</v>
      </c>
      <c r="B169" s="31" t="s">
        <v>415</v>
      </c>
      <c r="C169" s="29" t="s">
        <v>370</v>
      </c>
    </row>
    <row r="170" spans="1:3" ht="17.25" hidden="1" x14ac:dyDescent="0.3">
      <c r="A170" s="52">
        <v>264</v>
      </c>
      <c r="B170" s="31" t="s">
        <v>415</v>
      </c>
      <c r="C170" s="29" t="s">
        <v>350</v>
      </c>
    </row>
    <row r="171" spans="1:3" ht="17.25" hidden="1" x14ac:dyDescent="0.3">
      <c r="A171" s="52">
        <v>265</v>
      </c>
      <c r="B171" s="31" t="s">
        <v>415</v>
      </c>
      <c r="C171" s="29" t="s">
        <v>66</v>
      </c>
    </row>
    <row r="172" spans="1:3" ht="17.25" hidden="1" x14ac:dyDescent="0.3">
      <c r="A172" s="52">
        <v>266</v>
      </c>
      <c r="B172" s="31" t="s">
        <v>415</v>
      </c>
      <c r="C172" s="29" t="s">
        <v>290</v>
      </c>
    </row>
    <row r="173" spans="1:3" ht="17.25" hidden="1" x14ac:dyDescent="0.3">
      <c r="A173" s="52">
        <v>267</v>
      </c>
      <c r="B173" s="31" t="s">
        <v>415</v>
      </c>
      <c r="C173" s="29" t="s">
        <v>500</v>
      </c>
    </row>
    <row r="174" spans="1:3" ht="17.25" hidden="1" x14ac:dyDescent="0.3">
      <c r="A174" s="52">
        <v>268</v>
      </c>
      <c r="B174" s="31" t="s">
        <v>415</v>
      </c>
      <c r="C174" s="29" t="s">
        <v>169</v>
      </c>
    </row>
    <row r="175" spans="1:3" ht="34.5" hidden="1" x14ac:dyDescent="0.3">
      <c r="A175" s="52">
        <v>269</v>
      </c>
      <c r="B175" s="31" t="s">
        <v>425</v>
      </c>
      <c r="C175" s="29" t="s">
        <v>252</v>
      </c>
    </row>
    <row r="176" spans="1:3" ht="17.25" hidden="1" x14ac:dyDescent="0.3">
      <c r="A176" s="52">
        <v>270</v>
      </c>
      <c r="B176" s="31" t="s">
        <v>425</v>
      </c>
      <c r="C176" s="29" t="s">
        <v>64</v>
      </c>
    </row>
    <row r="177" spans="1:3" ht="17.25" hidden="1" x14ac:dyDescent="0.3">
      <c r="A177" s="52">
        <v>271</v>
      </c>
      <c r="B177" s="31" t="s">
        <v>425</v>
      </c>
      <c r="C177" s="29" t="s">
        <v>59</v>
      </c>
    </row>
    <row r="178" spans="1:3" ht="17.25" hidden="1" x14ac:dyDescent="0.3">
      <c r="A178" s="52">
        <v>272</v>
      </c>
      <c r="B178" s="31" t="s">
        <v>425</v>
      </c>
      <c r="C178" s="27" t="s">
        <v>364</v>
      </c>
    </row>
    <row r="179" spans="1:3" ht="17.25" hidden="1" x14ac:dyDescent="0.3">
      <c r="A179" s="52">
        <v>273</v>
      </c>
      <c r="B179" s="31" t="s">
        <v>425</v>
      </c>
      <c r="C179" s="27" t="s">
        <v>784</v>
      </c>
    </row>
    <row r="180" spans="1:3" ht="17.25" hidden="1" x14ac:dyDescent="0.3">
      <c r="A180" s="52">
        <v>274</v>
      </c>
      <c r="B180" s="31" t="s">
        <v>425</v>
      </c>
      <c r="C180" s="27" t="s">
        <v>179</v>
      </c>
    </row>
    <row r="181" spans="1:3" ht="34.5" hidden="1" x14ac:dyDescent="0.3">
      <c r="A181" s="52">
        <v>275</v>
      </c>
      <c r="B181" s="31" t="s">
        <v>425</v>
      </c>
      <c r="C181" s="29" t="s">
        <v>230</v>
      </c>
    </row>
    <row r="182" spans="1:3" ht="34.5" hidden="1" x14ac:dyDescent="0.3">
      <c r="A182" s="52">
        <v>276</v>
      </c>
      <c r="B182" s="31" t="s">
        <v>440</v>
      </c>
      <c r="C182" s="29" t="s">
        <v>307</v>
      </c>
    </row>
    <row r="183" spans="1:3" ht="34.5" hidden="1" x14ac:dyDescent="0.3">
      <c r="A183" s="52">
        <v>277</v>
      </c>
      <c r="B183" s="31" t="s">
        <v>440</v>
      </c>
      <c r="C183" s="36" t="s">
        <v>521</v>
      </c>
    </row>
    <row r="184" spans="1:3" ht="17.25" hidden="1" x14ac:dyDescent="0.3">
      <c r="A184" s="52">
        <v>278</v>
      </c>
      <c r="B184" s="31" t="s">
        <v>440</v>
      </c>
      <c r="C184" s="29" t="s">
        <v>497</v>
      </c>
    </row>
    <row r="185" spans="1:3" ht="34.5" hidden="1" x14ac:dyDescent="0.3">
      <c r="A185" s="52">
        <v>279</v>
      </c>
      <c r="B185" s="31" t="s">
        <v>440</v>
      </c>
      <c r="C185" s="29" t="s">
        <v>152</v>
      </c>
    </row>
    <row r="186" spans="1:3" ht="17.25" hidden="1" x14ac:dyDescent="0.3">
      <c r="A186" s="52">
        <v>280</v>
      </c>
      <c r="B186" s="31" t="s">
        <v>440</v>
      </c>
      <c r="C186" s="29" t="s">
        <v>397</v>
      </c>
    </row>
    <row r="187" spans="1:3" ht="17.25" hidden="1" x14ac:dyDescent="0.3">
      <c r="A187" s="52">
        <v>281</v>
      </c>
      <c r="B187" s="31" t="s">
        <v>440</v>
      </c>
      <c r="C187" s="29" t="s">
        <v>357</v>
      </c>
    </row>
    <row r="188" spans="1:3" ht="17.25" hidden="1" x14ac:dyDescent="0.3">
      <c r="A188" s="52">
        <v>282</v>
      </c>
      <c r="B188" s="31" t="s">
        <v>440</v>
      </c>
      <c r="C188" s="29" t="s">
        <v>359</v>
      </c>
    </row>
    <row r="189" spans="1:3" ht="17.25" hidden="1" x14ac:dyDescent="0.3">
      <c r="A189" s="52">
        <v>283</v>
      </c>
      <c r="B189" s="31" t="s">
        <v>440</v>
      </c>
      <c r="C189" s="29" t="s">
        <v>49</v>
      </c>
    </row>
    <row r="190" spans="1:3" ht="34.5" hidden="1" x14ac:dyDescent="0.3">
      <c r="A190" s="52">
        <v>284</v>
      </c>
      <c r="B190" s="31" t="s">
        <v>440</v>
      </c>
      <c r="C190" s="29" t="s">
        <v>287</v>
      </c>
    </row>
    <row r="191" spans="1:3" ht="17.25" hidden="1" x14ac:dyDescent="0.3">
      <c r="A191" s="52">
        <v>285</v>
      </c>
      <c r="B191" s="31" t="s">
        <v>435</v>
      </c>
      <c r="C191" s="29" t="s">
        <v>496</v>
      </c>
    </row>
    <row r="192" spans="1:3" ht="17.25" hidden="1" x14ac:dyDescent="0.3">
      <c r="A192" s="52">
        <v>286</v>
      </c>
      <c r="B192" s="31" t="s">
        <v>435</v>
      </c>
      <c r="C192" s="29" t="s">
        <v>401</v>
      </c>
    </row>
    <row r="193" spans="1:3" ht="17.25" hidden="1" x14ac:dyDescent="0.3">
      <c r="A193" s="52">
        <v>287</v>
      </c>
      <c r="B193" s="31" t="s">
        <v>661</v>
      </c>
      <c r="C193" s="27" t="s">
        <v>780</v>
      </c>
    </row>
    <row r="194" spans="1:3" ht="17.25" hidden="1" x14ac:dyDescent="0.3">
      <c r="A194" s="52">
        <v>288</v>
      </c>
      <c r="B194" s="31" t="s">
        <v>661</v>
      </c>
      <c r="C194" s="29" t="s">
        <v>365</v>
      </c>
    </row>
    <row r="195" spans="1:3" ht="17.25" hidden="1" x14ac:dyDescent="0.3">
      <c r="A195" s="52">
        <v>289</v>
      </c>
      <c r="B195" s="31" t="s">
        <v>661</v>
      </c>
      <c r="C195" s="29" t="s">
        <v>349</v>
      </c>
    </row>
    <row r="196" spans="1:3" ht="34.5" hidden="1" x14ac:dyDescent="0.3">
      <c r="A196" s="52">
        <v>290</v>
      </c>
      <c r="B196" s="31" t="s">
        <v>661</v>
      </c>
      <c r="C196" s="29" t="s">
        <v>251</v>
      </c>
    </row>
    <row r="197" spans="1:3" ht="17.25" hidden="1" x14ac:dyDescent="0.3">
      <c r="A197" s="52">
        <v>291</v>
      </c>
      <c r="B197" s="31" t="s">
        <v>661</v>
      </c>
      <c r="C197" s="29" t="s">
        <v>506</v>
      </c>
    </row>
    <row r="198" spans="1:3" ht="17.25" hidden="1" x14ac:dyDescent="0.3">
      <c r="A198" s="52">
        <v>292</v>
      </c>
      <c r="B198" s="31" t="s">
        <v>661</v>
      </c>
      <c r="C198" s="27" t="s">
        <v>368</v>
      </c>
    </row>
    <row r="199" spans="1:3" ht="34.5" hidden="1" x14ac:dyDescent="0.3">
      <c r="A199" s="52">
        <v>293</v>
      </c>
      <c r="B199" s="31" t="s">
        <v>661</v>
      </c>
      <c r="C199" s="29" t="s">
        <v>306</v>
      </c>
    </row>
    <row r="200" spans="1:3" ht="17.25" hidden="1" x14ac:dyDescent="0.3">
      <c r="A200" s="52">
        <v>294</v>
      </c>
      <c r="B200" s="31" t="s">
        <v>638</v>
      </c>
      <c r="C200" s="29" t="s">
        <v>551</v>
      </c>
    </row>
    <row r="201" spans="1:3" ht="17.25" hidden="1" x14ac:dyDescent="0.3">
      <c r="A201" s="52">
        <v>295</v>
      </c>
      <c r="B201" s="31" t="s">
        <v>638</v>
      </c>
      <c r="C201" s="29" t="s">
        <v>567</v>
      </c>
    </row>
    <row r="202" spans="1:3" ht="17.25" hidden="1" x14ac:dyDescent="0.3">
      <c r="A202" s="52">
        <v>296</v>
      </c>
      <c r="B202" s="31" t="s">
        <v>638</v>
      </c>
      <c r="C202" s="29" t="s">
        <v>44</v>
      </c>
    </row>
    <row r="203" spans="1:3" ht="17.25" hidden="1" x14ac:dyDescent="0.3">
      <c r="A203" s="52">
        <v>297</v>
      </c>
      <c r="B203" s="31" t="s">
        <v>638</v>
      </c>
      <c r="C203" s="29" t="s">
        <v>168</v>
      </c>
    </row>
    <row r="204" spans="1:3" ht="17.25" hidden="1" x14ac:dyDescent="0.3">
      <c r="A204" s="52">
        <v>298</v>
      </c>
      <c r="B204" s="31" t="s">
        <v>638</v>
      </c>
      <c r="C204" s="29" t="s">
        <v>43</v>
      </c>
    </row>
    <row r="205" spans="1:3" ht="17.25" hidden="1" x14ac:dyDescent="0.3">
      <c r="A205" s="52">
        <v>299</v>
      </c>
      <c r="B205" s="31" t="s">
        <v>638</v>
      </c>
      <c r="C205" s="29" t="s">
        <v>166</v>
      </c>
    </row>
    <row r="206" spans="1:3" ht="17.25" hidden="1" x14ac:dyDescent="0.3">
      <c r="A206" s="52">
        <v>300</v>
      </c>
      <c r="B206" s="31" t="s">
        <v>423</v>
      </c>
      <c r="C206" s="29" t="s">
        <v>390</v>
      </c>
    </row>
    <row r="207" spans="1:3" ht="17.25" hidden="1" x14ac:dyDescent="0.3">
      <c r="A207" s="52">
        <v>301</v>
      </c>
      <c r="B207" s="31" t="s">
        <v>423</v>
      </c>
      <c r="C207" s="29" t="s">
        <v>339</v>
      </c>
    </row>
    <row r="208" spans="1:3" ht="17.25" hidden="1" x14ac:dyDescent="0.3">
      <c r="A208" s="52">
        <v>302</v>
      </c>
      <c r="B208" s="31" t="s">
        <v>423</v>
      </c>
      <c r="C208" s="29" t="s">
        <v>495</v>
      </c>
    </row>
    <row r="209" spans="1:3" ht="17.25" hidden="1" x14ac:dyDescent="0.3">
      <c r="A209" s="52">
        <v>303</v>
      </c>
      <c r="B209" s="31" t="s">
        <v>423</v>
      </c>
      <c r="C209" s="29" t="s">
        <v>175</v>
      </c>
    </row>
    <row r="210" spans="1:3" ht="34.5" hidden="1" x14ac:dyDescent="0.3">
      <c r="A210" s="52">
        <v>304</v>
      </c>
      <c r="B210" s="31" t="s">
        <v>423</v>
      </c>
      <c r="C210" s="29" t="s">
        <v>148</v>
      </c>
    </row>
    <row r="211" spans="1:3" ht="34.5" hidden="1" x14ac:dyDescent="0.3">
      <c r="A211" s="52">
        <v>305</v>
      </c>
      <c r="B211" s="31" t="s">
        <v>423</v>
      </c>
      <c r="C211" s="29" t="s">
        <v>281</v>
      </c>
    </row>
    <row r="212" spans="1:3" ht="17.25" hidden="1" x14ac:dyDescent="0.3">
      <c r="A212" s="52">
        <v>306</v>
      </c>
      <c r="B212" s="31" t="s">
        <v>416</v>
      </c>
      <c r="C212" s="29" t="s">
        <v>40</v>
      </c>
    </row>
    <row r="213" spans="1:3" ht="34.5" hidden="1" x14ac:dyDescent="0.3">
      <c r="A213" s="52">
        <v>307</v>
      </c>
      <c r="B213" s="31" t="s">
        <v>416</v>
      </c>
      <c r="C213" s="29" t="s">
        <v>98</v>
      </c>
    </row>
    <row r="214" spans="1:3" ht="34.5" hidden="1" x14ac:dyDescent="0.3">
      <c r="A214" s="52">
        <v>308</v>
      </c>
      <c r="B214" s="31" t="s">
        <v>416</v>
      </c>
      <c r="C214" s="29" t="s">
        <v>311</v>
      </c>
    </row>
    <row r="215" spans="1:3" ht="17.25" x14ac:dyDescent="0.3">
      <c r="A215" s="52">
        <v>309</v>
      </c>
      <c r="B215" s="31" t="s">
        <v>419</v>
      </c>
      <c r="C215" s="29" t="s">
        <v>1119</v>
      </c>
    </row>
    <row r="216" spans="1:3" ht="34.5" x14ac:dyDescent="0.3">
      <c r="A216" s="52">
        <v>310</v>
      </c>
      <c r="B216" s="31" t="s">
        <v>419</v>
      </c>
      <c r="C216" s="29" t="s">
        <v>1118</v>
      </c>
    </row>
    <row r="217" spans="1:3" ht="17.25" x14ac:dyDescent="0.3">
      <c r="A217" s="52">
        <v>311</v>
      </c>
      <c r="B217" s="31" t="s">
        <v>419</v>
      </c>
      <c r="C217" s="29" t="s">
        <v>52</v>
      </c>
    </row>
    <row r="218" spans="1:3" ht="17.25" x14ac:dyDescent="0.3">
      <c r="A218" s="52">
        <v>312</v>
      </c>
      <c r="B218" s="31" t="s">
        <v>419</v>
      </c>
      <c r="C218" s="29" t="s">
        <v>393</v>
      </c>
    </row>
    <row r="219" spans="1:3" ht="34.5" hidden="1" x14ac:dyDescent="0.3">
      <c r="A219" s="52">
        <v>313</v>
      </c>
      <c r="B219" s="31" t="s">
        <v>422</v>
      </c>
      <c r="C219" s="29" t="s">
        <v>125</v>
      </c>
    </row>
    <row r="220" spans="1:3" ht="34.5" hidden="1" x14ac:dyDescent="0.3">
      <c r="A220" s="52">
        <v>314</v>
      </c>
      <c r="B220" s="31" t="s">
        <v>422</v>
      </c>
      <c r="C220" s="29" t="s">
        <v>128</v>
      </c>
    </row>
    <row r="221" spans="1:3" ht="34.5" hidden="1" x14ac:dyDescent="0.3">
      <c r="A221" s="52">
        <v>315</v>
      </c>
      <c r="B221" s="31" t="s">
        <v>422</v>
      </c>
      <c r="C221" s="29" t="s">
        <v>23</v>
      </c>
    </row>
    <row r="222" spans="1:3" ht="34.5" hidden="1" x14ac:dyDescent="0.3">
      <c r="A222" s="52">
        <v>316</v>
      </c>
      <c r="B222" s="31" t="s">
        <v>422</v>
      </c>
      <c r="C222" s="29" t="s">
        <v>517</v>
      </c>
    </row>
    <row r="223" spans="1:3" ht="17.25" hidden="1" x14ac:dyDescent="0.3">
      <c r="A223" s="52">
        <v>317</v>
      </c>
      <c r="B223" s="31" t="s">
        <v>422</v>
      </c>
      <c r="C223" s="29" t="s">
        <v>566</v>
      </c>
    </row>
    <row r="224" spans="1:3" ht="34.5" hidden="1" x14ac:dyDescent="0.3">
      <c r="A224" s="52">
        <v>318</v>
      </c>
      <c r="B224" s="31" t="s">
        <v>422</v>
      </c>
      <c r="C224" s="29" t="s">
        <v>518</v>
      </c>
    </row>
    <row r="225" spans="1:3" ht="34.5" hidden="1" x14ac:dyDescent="0.3">
      <c r="A225" s="52">
        <v>319</v>
      </c>
      <c r="B225" s="31" t="s">
        <v>422</v>
      </c>
      <c r="C225" s="36" t="s">
        <v>305</v>
      </c>
    </row>
    <row r="226" spans="1:3" ht="17.25" hidden="1" x14ac:dyDescent="0.3">
      <c r="A226" s="52">
        <v>320</v>
      </c>
      <c r="B226" s="31" t="s">
        <v>422</v>
      </c>
      <c r="C226" s="27" t="s">
        <v>572</v>
      </c>
    </row>
    <row r="227" spans="1:3" ht="17.25" hidden="1" x14ac:dyDescent="0.3">
      <c r="A227" s="52">
        <v>321</v>
      </c>
      <c r="B227" s="31" t="s">
        <v>422</v>
      </c>
      <c r="C227" s="29" t="s">
        <v>97</v>
      </c>
    </row>
    <row r="228" spans="1:3" ht="17.25" hidden="1" x14ac:dyDescent="0.3">
      <c r="A228" s="52">
        <v>322</v>
      </c>
      <c r="B228" s="31" t="s">
        <v>422</v>
      </c>
      <c r="C228" s="29" t="s">
        <v>386</v>
      </c>
    </row>
    <row r="229" spans="1:3" ht="17.25" hidden="1" x14ac:dyDescent="0.3">
      <c r="A229" s="52">
        <v>323</v>
      </c>
      <c r="B229" s="31" t="s">
        <v>422</v>
      </c>
      <c r="C229" s="29" t="s">
        <v>559</v>
      </c>
    </row>
    <row r="230" spans="1:3" ht="17.25" hidden="1" x14ac:dyDescent="0.3">
      <c r="A230" s="52">
        <v>324</v>
      </c>
      <c r="B230" s="31" t="s">
        <v>422</v>
      </c>
      <c r="C230" s="29" t="s">
        <v>556</v>
      </c>
    </row>
    <row r="231" spans="1:3" ht="34.5" hidden="1" x14ac:dyDescent="0.3">
      <c r="A231" s="52">
        <v>325</v>
      </c>
      <c r="B231" s="31" t="s">
        <v>422</v>
      </c>
      <c r="C231" s="29" t="s">
        <v>259</v>
      </c>
    </row>
    <row r="232" spans="1:3" ht="34.5" hidden="1" x14ac:dyDescent="0.3">
      <c r="A232" s="52">
        <v>326</v>
      </c>
      <c r="B232" s="31" t="s">
        <v>422</v>
      </c>
      <c r="C232" s="29" t="s">
        <v>319</v>
      </c>
    </row>
    <row r="233" spans="1:3" ht="34.5" hidden="1" x14ac:dyDescent="0.3">
      <c r="A233" s="52">
        <v>327</v>
      </c>
      <c r="B233" s="31" t="s">
        <v>422</v>
      </c>
      <c r="C233" s="29" t="s">
        <v>377</v>
      </c>
    </row>
    <row r="234" spans="1:3" ht="17.25" hidden="1" x14ac:dyDescent="0.3">
      <c r="A234" s="52">
        <v>328</v>
      </c>
      <c r="B234" s="31" t="s">
        <v>422</v>
      </c>
      <c r="C234" s="27" t="s">
        <v>178</v>
      </c>
    </row>
    <row r="235" spans="1:3" ht="17.25" hidden="1" x14ac:dyDescent="0.3">
      <c r="A235" s="52">
        <v>329</v>
      </c>
      <c r="B235" s="31" t="s">
        <v>422</v>
      </c>
      <c r="C235" s="27" t="s">
        <v>555</v>
      </c>
    </row>
    <row r="236" spans="1:3" ht="34.5" hidden="1" x14ac:dyDescent="0.3">
      <c r="A236" s="52">
        <v>330</v>
      </c>
      <c r="B236" s="31" t="s">
        <v>422</v>
      </c>
      <c r="C236" s="29" t="s">
        <v>139</v>
      </c>
    </row>
    <row r="237" spans="1:3" ht="34.5" hidden="1" x14ac:dyDescent="0.3">
      <c r="A237" s="52">
        <v>331</v>
      </c>
      <c r="B237" s="31" t="s">
        <v>422</v>
      </c>
      <c r="C237" s="36" t="s">
        <v>522</v>
      </c>
    </row>
    <row r="238" spans="1:3" ht="17.25" hidden="1" x14ac:dyDescent="0.3">
      <c r="A238" s="52">
        <v>332</v>
      </c>
      <c r="B238" s="31" t="s">
        <v>422</v>
      </c>
      <c r="C238" s="29" t="s">
        <v>51</v>
      </c>
    </row>
    <row r="239" spans="1:3" ht="17.25" hidden="1" x14ac:dyDescent="0.3">
      <c r="A239" s="52">
        <v>333</v>
      </c>
      <c r="B239" s="31" t="s">
        <v>422</v>
      </c>
      <c r="C239" s="29" t="s">
        <v>41</v>
      </c>
    </row>
    <row r="240" spans="1:3" ht="17.25" hidden="1" x14ac:dyDescent="0.3">
      <c r="A240" s="52">
        <v>334</v>
      </c>
      <c r="B240" s="31" t="s">
        <v>422</v>
      </c>
      <c r="C240" s="29" t="s">
        <v>552</v>
      </c>
    </row>
    <row r="241" spans="1:3" ht="17.25" hidden="1" x14ac:dyDescent="0.3">
      <c r="A241" s="52">
        <v>335</v>
      </c>
      <c r="B241" s="31" t="s">
        <v>422</v>
      </c>
      <c r="C241" s="29" t="s">
        <v>164</v>
      </c>
    </row>
    <row r="242" spans="1:3" ht="34.5" hidden="1" x14ac:dyDescent="0.3">
      <c r="A242" s="52">
        <v>336</v>
      </c>
      <c r="B242" s="31" t="s">
        <v>422</v>
      </c>
      <c r="C242" s="29" t="s">
        <v>310</v>
      </c>
    </row>
    <row r="243" spans="1:3" ht="34.5" hidden="1" x14ac:dyDescent="0.3">
      <c r="A243" s="52">
        <v>337</v>
      </c>
      <c r="B243" s="31" t="s">
        <v>422</v>
      </c>
      <c r="C243" s="29" t="s">
        <v>477</v>
      </c>
    </row>
    <row r="244" spans="1:3" ht="17.25" hidden="1" x14ac:dyDescent="0.3">
      <c r="A244" s="52">
        <v>338</v>
      </c>
      <c r="B244" s="31" t="s">
        <v>422</v>
      </c>
      <c r="C244" s="36" t="s">
        <v>95</v>
      </c>
    </row>
    <row r="245" spans="1:3" ht="17.25" hidden="1" x14ac:dyDescent="0.3">
      <c r="A245" s="52">
        <v>339</v>
      </c>
      <c r="B245" s="31" t="s">
        <v>422</v>
      </c>
      <c r="C245" s="29" t="s">
        <v>45</v>
      </c>
    </row>
    <row r="246" spans="1:3" ht="34.5" hidden="1" x14ac:dyDescent="0.3">
      <c r="A246" s="52">
        <v>340</v>
      </c>
      <c r="B246" s="31" t="s">
        <v>424</v>
      </c>
      <c r="C246" s="29" t="s">
        <v>236</v>
      </c>
    </row>
    <row r="247" spans="1:3" ht="17.25" hidden="1" x14ac:dyDescent="0.3">
      <c r="A247" s="52">
        <v>341</v>
      </c>
      <c r="B247" s="31" t="s">
        <v>424</v>
      </c>
      <c r="C247" s="29" t="s">
        <v>107</v>
      </c>
    </row>
    <row r="248" spans="1:3" ht="17.25" hidden="1" x14ac:dyDescent="0.3">
      <c r="A248" s="52">
        <v>342</v>
      </c>
      <c r="B248" s="31" t="s">
        <v>424</v>
      </c>
      <c r="C248" s="29" t="s">
        <v>565</v>
      </c>
    </row>
    <row r="249" spans="1:3" ht="34.5" hidden="1" x14ac:dyDescent="0.3">
      <c r="A249" s="52">
        <v>343</v>
      </c>
      <c r="B249" s="31" t="s">
        <v>424</v>
      </c>
      <c r="C249" s="29" t="s">
        <v>22</v>
      </c>
    </row>
    <row r="250" spans="1:3" ht="17.25" hidden="1" x14ac:dyDescent="0.3">
      <c r="A250" s="52">
        <v>344</v>
      </c>
      <c r="B250" s="31" t="s">
        <v>424</v>
      </c>
      <c r="C250" s="29" t="s">
        <v>384</v>
      </c>
    </row>
    <row r="251" spans="1:3" ht="34.5" hidden="1" x14ac:dyDescent="0.3">
      <c r="A251" s="52">
        <v>345</v>
      </c>
      <c r="B251" s="31" t="s">
        <v>424</v>
      </c>
      <c r="C251" s="29" t="s">
        <v>241</v>
      </c>
    </row>
    <row r="252" spans="1:3" ht="34.5" hidden="1" x14ac:dyDescent="0.3">
      <c r="A252" s="52">
        <v>346</v>
      </c>
      <c r="B252" s="31" t="s">
        <v>657</v>
      </c>
      <c r="C252" s="29" t="s">
        <v>235</v>
      </c>
    </row>
    <row r="253" spans="1:3" ht="34.5" hidden="1" x14ac:dyDescent="0.3">
      <c r="A253" s="52">
        <v>347</v>
      </c>
      <c r="B253" s="31" t="s">
        <v>657</v>
      </c>
      <c r="C253" s="29" t="s">
        <v>240</v>
      </c>
    </row>
    <row r="254" spans="1:3" ht="34.5" hidden="1" x14ac:dyDescent="0.3">
      <c r="A254" s="52">
        <v>348</v>
      </c>
      <c r="B254" s="31" t="s">
        <v>657</v>
      </c>
      <c r="C254" s="29" t="s">
        <v>115</v>
      </c>
    </row>
    <row r="255" spans="1:3" ht="34.5" hidden="1" x14ac:dyDescent="0.3">
      <c r="A255" s="52">
        <v>349</v>
      </c>
      <c r="B255" s="31" t="s">
        <v>657</v>
      </c>
      <c r="C255" s="29" t="s">
        <v>254</v>
      </c>
    </row>
    <row r="256" spans="1:3" ht="51.75" hidden="1" x14ac:dyDescent="0.3">
      <c r="A256" s="52">
        <v>350</v>
      </c>
      <c r="B256" s="31" t="s">
        <v>657</v>
      </c>
      <c r="C256" s="29" t="s">
        <v>264</v>
      </c>
    </row>
    <row r="257" spans="1:3" ht="34.5" hidden="1" x14ac:dyDescent="0.3">
      <c r="A257" s="52">
        <v>351</v>
      </c>
      <c r="B257" s="31" t="s">
        <v>657</v>
      </c>
      <c r="C257" s="29" t="s">
        <v>25</v>
      </c>
    </row>
    <row r="258" spans="1:3" ht="34.5" hidden="1" x14ac:dyDescent="0.3">
      <c r="A258" s="52">
        <v>352</v>
      </c>
      <c r="B258" s="31" t="s">
        <v>657</v>
      </c>
      <c r="C258" s="29" t="s">
        <v>267</v>
      </c>
    </row>
    <row r="259" spans="1:3" ht="17.25" hidden="1" x14ac:dyDescent="0.3">
      <c r="A259" s="52">
        <v>353</v>
      </c>
      <c r="B259" s="31" t="s">
        <v>657</v>
      </c>
      <c r="C259" s="29" t="s">
        <v>504</v>
      </c>
    </row>
    <row r="260" spans="1:3" ht="34.5" hidden="1" x14ac:dyDescent="0.3">
      <c r="A260" s="52">
        <v>354</v>
      </c>
      <c r="B260" s="31" t="s">
        <v>411</v>
      </c>
      <c r="C260" s="29" t="s">
        <v>270</v>
      </c>
    </row>
    <row r="261" spans="1:3" ht="34.5" hidden="1" x14ac:dyDescent="0.3">
      <c r="A261" s="52">
        <v>355</v>
      </c>
      <c r="B261" s="31" t="s">
        <v>411</v>
      </c>
      <c r="C261" s="29" t="s">
        <v>24</v>
      </c>
    </row>
    <row r="262" spans="1:3" ht="17.25" hidden="1" x14ac:dyDescent="0.3">
      <c r="A262" s="52">
        <v>356</v>
      </c>
      <c r="B262" s="31" t="s">
        <v>411</v>
      </c>
      <c r="C262" s="29" t="s">
        <v>503</v>
      </c>
    </row>
    <row r="263" spans="1:3" ht="17.25" hidden="1" x14ac:dyDescent="0.3">
      <c r="A263" s="52">
        <v>357</v>
      </c>
      <c r="B263" s="31" t="s">
        <v>411</v>
      </c>
      <c r="C263" s="29" t="s">
        <v>105</v>
      </c>
    </row>
    <row r="264" spans="1:3" ht="17.25" hidden="1" x14ac:dyDescent="0.3">
      <c r="A264" s="52">
        <v>358</v>
      </c>
      <c r="B264" s="31" t="s">
        <v>411</v>
      </c>
      <c r="C264" s="27" t="s">
        <v>776</v>
      </c>
    </row>
    <row r="265" spans="1:3" ht="17.25" hidden="1" x14ac:dyDescent="0.3">
      <c r="A265" s="52">
        <v>359</v>
      </c>
      <c r="B265" s="31" t="s">
        <v>411</v>
      </c>
      <c r="C265" s="29" t="s">
        <v>505</v>
      </c>
    </row>
    <row r="266" spans="1:3" ht="17.25" hidden="1" x14ac:dyDescent="0.3">
      <c r="A266" s="52">
        <v>360</v>
      </c>
      <c r="B266" s="31" t="s">
        <v>411</v>
      </c>
      <c r="C266" s="29" t="s">
        <v>562</v>
      </c>
    </row>
    <row r="267" spans="1:3" ht="34.5" hidden="1" x14ac:dyDescent="0.3">
      <c r="A267" s="52">
        <v>361</v>
      </c>
      <c r="B267" s="31" t="s">
        <v>411</v>
      </c>
      <c r="C267" s="29" t="s">
        <v>147</v>
      </c>
    </row>
    <row r="268" spans="1:3" ht="34.5" hidden="1" x14ac:dyDescent="0.3">
      <c r="A268" s="52">
        <v>362</v>
      </c>
      <c r="B268" s="31" t="s">
        <v>411</v>
      </c>
      <c r="C268" s="29" t="s">
        <v>324</v>
      </c>
    </row>
    <row r="269" spans="1:3" ht="17.25" hidden="1" x14ac:dyDescent="0.3">
      <c r="A269" s="52">
        <v>363</v>
      </c>
      <c r="B269" s="31" t="s">
        <v>411</v>
      </c>
      <c r="C269" s="29" t="s">
        <v>733</v>
      </c>
    </row>
    <row r="270" spans="1:3" ht="17.25" hidden="1" x14ac:dyDescent="0.3">
      <c r="A270" s="52">
        <v>364</v>
      </c>
      <c r="B270" s="31" t="s">
        <v>411</v>
      </c>
      <c r="C270" s="29" t="s">
        <v>563</v>
      </c>
    </row>
    <row r="271" spans="1:3" ht="17.25" hidden="1" x14ac:dyDescent="0.3">
      <c r="A271" s="52">
        <v>365</v>
      </c>
      <c r="B271" s="31" t="s">
        <v>411</v>
      </c>
      <c r="C271" s="29" t="s">
        <v>329</v>
      </c>
    </row>
    <row r="272" spans="1:3" ht="17.25" hidden="1" x14ac:dyDescent="0.3">
      <c r="A272" s="52">
        <v>366</v>
      </c>
      <c r="B272" s="31" t="s">
        <v>411</v>
      </c>
      <c r="C272" s="29" t="s">
        <v>729</v>
      </c>
    </row>
    <row r="273" spans="1:3" ht="17.25" hidden="1" x14ac:dyDescent="0.3">
      <c r="A273" s="52">
        <v>367</v>
      </c>
      <c r="B273" s="31" t="s">
        <v>411</v>
      </c>
      <c r="C273" s="29" t="s">
        <v>728</v>
      </c>
    </row>
    <row r="274" spans="1:3" ht="17.25" hidden="1" x14ac:dyDescent="0.3">
      <c r="A274" s="52">
        <v>368</v>
      </c>
      <c r="B274" s="31" t="s">
        <v>411</v>
      </c>
      <c r="C274" s="27" t="s">
        <v>408</v>
      </c>
    </row>
    <row r="275" spans="1:3" ht="17.25" hidden="1" x14ac:dyDescent="0.3">
      <c r="A275" s="52">
        <v>369</v>
      </c>
      <c r="B275" s="31" t="s">
        <v>411</v>
      </c>
      <c r="C275" s="29" t="s">
        <v>554</v>
      </c>
    </row>
    <row r="276" spans="1:3" ht="17.25" hidden="1" x14ac:dyDescent="0.3">
      <c r="A276" s="52">
        <v>370</v>
      </c>
      <c r="B276" s="31" t="s">
        <v>411</v>
      </c>
      <c r="C276" s="29" t="s">
        <v>331</v>
      </c>
    </row>
    <row r="277" spans="1:3" ht="17.25" hidden="1" x14ac:dyDescent="0.3">
      <c r="A277" s="52">
        <v>371</v>
      </c>
      <c r="B277" s="31" t="s">
        <v>411</v>
      </c>
      <c r="C277" s="27" t="s">
        <v>492</v>
      </c>
    </row>
    <row r="278" spans="1:3" ht="17.25" hidden="1" x14ac:dyDescent="0.3">
      <c r="A278" s="52">
        <v>372</v>
      </c>
      <c r="B278" s="31" t="s">
        <v>411</v>
      </c>
      <c r="C278" s="29" t="s">
        <v>76</v>
      </c>
    </row>
    <row r="279" spans="1:3" ht="17.25" hidden="1" x14ac:dyDescent="0.3">
      <c r="A279" s="52">
        <v>373</v>
      </c>
      <c r="B279" s="31" t="s">
        <v>615</v>
      </c>
      <c r="C279" s="29" t="s">
        <v>75</v>
      </c>
    </row>
    <row r="280" spans="1:3" ht="34.5" hidden="1" x14ac:dyDescent="0.3">
      <c r="A280" s="52">
        <v>374</v>
      </c>
      <c r="B280" s="31" t="s">
        <v>615</v>
      </c>
      <c r="C280" s="29" t="s">
        <v>136</v>
      </c>
    </row>
    <row r="281" spans="1:3" ht="34.5" hidden="1" x14ac:dyDescent="0.3">
      <c r="A281" s="52">
        <v>375</v>
      </c>
      <c r="B281" s="31" t="s">
        <v>615</v>
      </c>
      <c r="C281" s="29" t="s">
        <v>302</v>
      </c>
    </row>
    <row r="282" spans="1:3" ht="17.25" hidden="1" x14ac:dyDescent="0.3">
      <c r="A282" s="52">
        <v>376</v>
      </c>
      <c r="B282" s="31" t="s">
        <v>613</v>
      </c>
      <c r="C282" s="29" t="s">
        <v>85</v>
      </c>
    </row>
    <row r="283" spans="1:3" ht="17.25" hidden="1" x14ac:dyDescent="0.3">
      <c r="A283" s="52">
        <v>377</v>
      </c>
      <c r="B283" s="31" t="s">
        <v>613</v>
      </c>
      <c r="C283" s="29" t="s">
        <v>79</v>
      </c>
    </row>
    <row r="284" spans="1:3" ht="34.5" hidden="1" x14ac:dyDescent="0.3">
      <c r="A284" s="52">
        <v>378</v>
      </c>
      <c r="B284" s="31" t="s">
        <v>689</v>
      </c>
      <c r="C284" s="29" t="s">
        <v>269</v>
      </c>
    </row>
    <row r="285" spans="1:3" ht="17.25" hidden="1" x14ac:dyDescent="0.3">
      <c r="A285" s="52">
        <v>379</v>
      </c>
      <c r="B285" s="31" t="s">
        <v>689</v>
      </c>
      <c r="C285" s="29" t="s">
        <v>724</v>
      </c>
    </row>
    <row r="286" spans="1:3" ht="17.25" hidden="1" x14ac:dyDescent="0.3">
      <c r="A286" s="52">
        <v>380</v>
      </c>
      <c r="B286" s="31"/>
      <c r="C286" s="28"/>
    </row>
    <row r="287" spans="1:3" ht="17.25" hidden="1" x14ac:dyDescent="0.3">
      <c r="A287" s="52">
        <v>381</v>
      </c>
      <c r="B287" s="31"/>
      <c r="C287" s="28"/>
    </row>
    <row r="288" spans="1:3" ht="17.25" hidden="1" x14ac:dyDescent="0.3">
      <c r="A288" s="52">
        <v>382</v>
      </c>
      <c r="B288" s="31"/>
      <c r="C288" s="28"/>
    </row>
    <row r="289" spans="1:3" ht="17.25" hidden="1" x14ac:dyDescent="0.3">
      <c r="A289" s="52">
        <v>383</v>
      </c>
      <c r="B289" s="31"/>
      <c r="C289" s="28"/>
    </row>
    <row r="290" spans="1:3" ht="17.25" hidden="1" x14ac:dyDescent="0.3">
      <c r="A290" s="52">
        <v>384</v>
      </c>
      <c r="B290" s="31"/>
      <c r="C290" s="28"/>
    </row>
    <row r="291" spans="1:3" ht="17.25" hidden="1" x14ac:dyDescent="0.3">
      <c r="A291" s="52">
        <v>385</v>
      </c>
      <c r="B291" s="31"/>
      <c r="C291" s="28"/>
    </row>
    <row r="292" spans="1:3" ht="17.25" hidden="1" x14ac:dyDescent="0.3">
      <c r="A292" s="52">
        <v>386</v>
      </c>
      <c r="B292" s="31"/>
      <c r="C292" s="28"/>
    </row>
    <row r="293" spans="1:3" ht="17.25" hidden="1" x14ac:dyDescent="0.3">
      <c r="A293" s="52">
        <v>387</v>
      </c>
      <c r="B293" s="31"/>
      <c r="C293" s="28"/>
    </row>
    <row r="294" spans="1:3" ht="17.25" hidden="1" x14ac:dyDescent="0.3">
      <c r="A294" s="52">
        <v>388</v>
      </c>
      <c r="B294" s="31"/>
      <c r="C294" s="28"/>
    </row>
    <row r="295" spans="1:3" ht="17.25" hidden="1" x14ac:dyDescent="0.3">
      <c r="A295" s="52">
        <v>389</v>
      </c>
      <c r="B295" s="31"/>
      <c r="C295" s="28"/>
    </row>
    <row r="296" spans="1:3" ht="17.25" hidden="1" x14ac:dyDescent="0.3">
      <c r="A296" s="52">
        <v>390</v>
      </c>
      <c r="B296" s="31"/>
      <c r="C296" s="28"/>
    </row>
    <row r="297" spans="1:3" ht="17.25" hidden="1" x14ac:dyDescent="0.3">
      <c r="A297" s="52">
        <v>391</v>
      </c>
      <c r="B297" s="31"/>
      <c r="C297" s="28"/>
    </row>
    <row r="298" spans="1:3" ht="17.25" hidden="1" x14ac:dyDescent="0.3">
      <c r="A298" s="52">
        <v>392</v>
      </c>
      <c r="B298" s="31"/>
      <c r="C298" s="28"/>
    </row>
    <row r="299" spans="1:3" ht="17.25" hidden="1" x14ac:dyDescent="0.3">
      <c r="A299" s="52">
        <v>393</v>
      </c>
      <c r="B299" s="31"/>
      <c r="C299" s="28"/>
    </row>
    <row r="300" spans="1:3" ht="17.25" hidden="1" x14ac:dyDescent="0.3">
      <c r="A300" s="52">
        <v>394</v>
      </c>
      <c r="B300" s="31"/>
      <c r="C300" s="28"/>
    </row>
    <row r="301" spans="1:3" ht="17.25" hidden="1" x14ac:dyDescent="0.3">
      <c r="A301" s="52">
        <v>395</v>
      </c>
      <c r="B301" s="31"/>
      <c r="C301" s="28"/>
    </row>
    <row r="302" spans="1:3" ht="17.25" hidden="1" x14ac:dyDescent="0.3">
      <c r="A302" s="52">
        <v>396</v>
      </c>
      <c r="B302" s="31"/>
      <c r="C302" s="28"/>
    </row>
    <row r="303" spans="1:3" ht="17.25" hidden="1" x14ac:dyDescent="0.3">
      <c r="A303" s="52">
        <v>397</v>
      </c>
      <c r="B303" s="31"/>
      <c r="C303" s="28"/>
    </row>
    <row r="304" spans="1:3" ht="17.25" hidden="1" x14ac:dyDescent="0.3">
      <c r="A304" s="52">
        <v>398</v>
      </c>
      <c r="B304" s="31"/>
      <c r="C304" s="28"/>
    </row>
    <row r="305" spans="1:3" ht="17.25" hidden="1" x14ac:dyDescent="0.3">
      <c r="A305" s="52">
        <v>399</v>
      </c>
      <c r="B305" s="31"/>
      <c r="C305" s="28"/>
    </row>
    <row r="306" spans="1:3" hidden="1" x14ac:dyDescent="0.3">
      <c r="A306" s="35"/>
      <c r="C306" s="18"/>
    </row>
    <row r="307" spans="1:3" hidden="1" x14ac:dyDescent="0.3">
      <c r="A307" s="35"/>
      <c r="C307" s="18"/>
    </row>
    <row r="308" spans="1:3" hidden="1" x14ac:dyDescent="0.3">
      <c r="A308" s="35"/>
      <c r="C308" s="18"/>
    </row>
    <row r="309" spans="1:3" hidden="1" x14ac:dyDescent="0.3">
      <c r="A309" s="35"/>
      <c r="C309" s="18"/>
    </row>
    <row r="310" spans="1:3" hidden="1" x14ac:dyDescent="0.3">
      <c r="A310" s="35"/>
      <c r="C310" s="18"/>
    </row>
    <row r="311" spans="1:3" hidden="1" x14ac:dyDescent="0.3">
      <c r="A311" s="35"/>
      <c r="C311" s="18"/>
    </row>
    <row r="312" spans="1:3" hidden="1" x14ac:dyDescent="0.3">
      <c r="A312" s="35"/>
      <c r="C312" s="18"/>
    </row>
    <row r="313" spans="1:3" hidden="1" x14ac:dyDescent="0.3">
      <c r="A313" s="35"/>
      <c r="C313" s="18"/>
    </row>
    <row r="314" spans="1:3" hidden="1" x14ac:dyDescent="0.3">
      <c r="A314" s="35"/>
      <c r="C314" s="18"/>
    </row>
    <row r="315" spans="1:3" hidden="1" x14ac:dyDescent="0.3">
      <c r="A315" s="35"/>
      <c r="C315" s="18"/>
    </row>
    <row r="316" spans="1:3" hidden="1" x14ac:dyDescent="0.3">
      <c r="A316" s="35"/>
      <c r="C316" s="18"/>
    </row>
    <row r="317" spans="1:3" hidden="1" x14ac:dyDescent="0.3">
      <c r="A317" s="35"/>
      <c r="C317" s="18"/>
    </row>
    <row r="318" spans="1:3" hidden="1" x14ac:dyDescent="0.3">
      <c r="A318" s="35"/>
      <c r="C318" s="18"/>
    </row>
    <row r="319" spans="1:3" hidden="1" x14ac:dyDescent="0.3">
      <c r="A319" s="35"/>
      <c r="C319" s="18"/>
    </row>
    <row r="320" spans="1:3" hidden="1" x14ac:dyDescent="0.3">
      <c r="A320" s="35"/>
      <c r="C320" s="18"/>
    </row>
    <row r="321" spans="1:3" hidden="1" x14ac:dyDescent="0.3">
      <c r="A321" s="35"/>
      <c r="C321" s="18"/>
    </row>
    <row r="322" spans="1:3" hidden="1" x14ac:dyDescent="0.3">
      <c r="A322" s="35"/>
      <c r="C322" s="18"/>
    </row>
    <row r="323" spans="1:3" hidden="1" x14ac:dyDescent="0.3">
      <c r="A323" s="35"/>
      <c r="C323" s="18"/>
    </row>
    <row r="324" spans="1:3" hidden="1" x14ac:dyDescent="0.3">
      <c r="A324" s="35"/>
      <c r="C324" s="18"/>
    </row>
    <row r="325" spans="1:3" hidden="1" x14ac:dyDescent="0.3">
      <c r="A325" s="35"/>
      <c r="C325" s="18"/>
    </row>
    <row r="326" spans="1:3" hidden="1" x14ac:dyDescent="0.3">
      <c r="A326" s="35"/>
      <c r="C326" s="18"/>
    </row>
    <row r="327" spans="1:3" hidden="1" x14ac:dyDescent="0.3">
      <c r="A327" s="35"/>
      <c r="C327" s="18"/>
    </row>
    <row r="328" spans="1:3" hidden="1" x14ac:dyDescent="0.3">
      <c r="A328" s="35"/>
      <c r="C328" s="18"/>
    </row>
    <row r="329" spans="1:3" hidden="1" x14ac:dyDescent="0.3">
      <c r="A329" s="35"/>
      <c r="C329" s="18"/>
    </row>
    <row r="330" spans="1:3" hidden="1" x14ac:dyDescent="0.3">
      <c r="A330" s="35"/>
      <c r="C330" s="18"/>
    </row>
    <row r="331" spans="1:3" hidden="1" x14ac:dyDescent="0.3">
      <c r="A331" s="35"/>
      <c r="C331" s="18"/>
    </row>
    <row r="332" spans="1:3" hidden="1" x14ac:dyDescent="0.3">
      <c r="A332" s="35"/>
      <c r="C332" s="18"/>
    </row>
    <row r="333" spans="1:3" hidden="1" x14ac:dyDescent="0.3">
      <c r="A333" s="35"/>
      <c r="C333" s="18"/>
    </row>
    <row r="334" spans="1:3" hidden="1" x14ac:dyDescent="0.3">
      <c r="A334" s="35"/>
      <c r="C334" s="18"/>
    </row>
    <row r="335" spans="1:3" hidden="1" x14ac:dyDescent="0.3">
      <c r="A335" s="35"/>
      <c r="C335" s="18"/>
    </row>
    <row r="336" spans="1:3" hidden="1" x14ac:dyDescent="0.3">
      <c r="A336" s="35"/>
      <c r="C336" s="19"/>
    </row>
    <row r="337" spans="1:3" hidden="1" x14ac:dyDescent="0.3">
      <c r="A337" s="35"/>
      <c r="C337" s="18"/>
    </row>
    <row r="338" spans="1:3" hidden="1" x14ac:dyDescent="0.3">
      <c r="A338" s="35"/>
      <c r="C338" s="18"/>
    </row>
    <row r="339" spans="1:3" hidden="1" x14ac:dyDescent="0.3">
      <c r="A339" s="35"/>
      <c r="C339" s="18"/>
    </row>
    <row r="340" spans="1:3" hidden="1" x14ac:dyDescent="0.3">
      <c r="A340" s="35"/>
      <c r="C340" s="18"/>
    </row>
    <row r="341" spans="1:3" hidden="1" x14ac:dyDescent="0.3">
      <c r="A341" s="35"/>
      <c r="C341" s="18"/>
    </row>
    <row r="342" spans="1:3" hidden="1" x14ac:dyDescent="0.3">
      <c r="A342" s="35"/>
      <c r="C342" s="18"/>
    </row>
    <row r="343" spans="1:3" hidden="1" x14ac:dyDescent="0.3">
      <c r="A343" s="35"/>
      <c r="C343" s="18"/>
    </row>
    <row r="344" spans="1:3" hidden="1" x14ac:dyDescent="0.3">
      <c r="A344" s="35"/>
      <c r="C344" s="18"/>
    </row>
    <row r="345" spans="1:3" hidden="1" x14ac:dyDescent="0.3">
      <c r="A345" s="35"/>
      <c r="C345" s="18"/>
    </row>
    <row r="346" spans="1:3" hidden="1" x14ac:dyDescent="0.3">
      <c r="A346" s="35"/>
      <c r="C346" s="18"/>
    </row>
    <row r="347" spans="1:3" hidden="1" x14ac:dyDescent="0.3">
      <c r="A347" s="35"/>
      <c r="C347" s="18"/>
    </row>
    <row r="348" spans="1:3" hidden="1" x14ac:dyDescent="0.3">
      <c r="A348" s="35"/>
      <c r="C348" s="18"/>
    </row>
    <row r="349" spans="1:3" hidden="1" x14ac:dyDescent="0.3">
      <c r="A349" s="35"/>
      <c r="C349" s="18"/>
    </row>
    <row r="350" spans="1:3" hidden="1" x14ac:dyDescent="0.3">
      <c r="A350" s="35"/>
      <c r="C350" s="18"/>
    </row>
    <row r="351" spans="1:3" hidden="1" x14ac:dyDescent="0.3">
      <c r="A351" s="35"/>
      <c r="C351" s="18"/>
    </row>
    <row r="352" spans="1:3" hidden="1" x14ac:dyDescent="0.3">
      <c r="A352" s="35"/>
      <c r="C352" s="18"/>
    </row>
    <row r="353" spans="1:3" hidden="1" x14ac:dyDescent="0.3">
      <c r="A353" s="35"/>
      <c r="C353" s="18"/>
    </row>
    <row r="354" spans="1:3" hidden="1" x14ac:dyDescent="0.3">
      <c r="A354" s="35"/>
      <c r="C354" s="18"/>
    </row>
    <row r="355" spans="1:3" hidden="1" x14ac:dyDescent="0.3">
      <c r="A355" s="35"/>
      <c r="C355" s="18"/>
    </row>
    <row r="356" spans="1:3" hidden="1" x14ac:dyDescent="0.3">
      <c r="A356" s="35"/>
      <c r="C356" s="18"/>
    </row>
    <row r="357" spans="1:3" hidden="1" x14ac:dyDescent="0.3">
      <c r="A357" s="35"/>
      <c r="C357" s="18"/>
    </row>
    <row r="358" spans="1:3" hidden="1" x14ac:dyDescent="0.3">
      <c r="A358" s="35"/>
      <c r="C358" s="18"/>
    </row>
    <row r="359" spans="1:3" hidden="1" x14ac:dyDescent="0.3">
      <c r="A359" s="35"/>
      <c r="C359" s="18"/>
    </row>
    <row r="360" spans="1:3" hidden="1" x14ac:dyDescent="0.3">
      <c r="A360" s="35"/>
      <c r="C360" s="18"/>
    </row>
    <row r="361" spans="1:3" hidden="1" x14ac:dyDescent="0.3">
      <c r="A361" s="35"/>
      <c r="C361" s="18"/>
    </row>
    <row r="362" spans="1:3" hidden="1" x14ac:dyDescent="0.3">
      <c r="A362" s="35"/>
      <c r="C362" s="18"/>
    </row>
    <row r="363" spans="1:3" hidden="1" x14ac:dyDescent="0.3">
      <c r="A363" s="35"/>
      <c r="C363" s="18"/>
    </row>
    <row r="364" spans="1:3" hidden="1" x14ac:dyDescent="0.3">
      <c r="A364" s="35"/>
      <c r="C364" s="18"/>
    </row>
    <row r="365" spans="1:3" hidden="1" x14ac:dyDescent="0.3">
      <c r="A365" s="35"/>
      <c r="C365" s="18"/>
    </row>
    <row r="366" spans="1:3" hidden="1" x14ac:dyDescent="0.3">
      <c r="A366" s="35"/>
      <c r="C366" s="18"/>
    </row>
    <row r="367" spans="1:3" hidden="1" x14ac:dyDescent="0.3">
      <c r="A367" s="35"/>
      <c r="C367" s="18"/>
    </row>
    <row r="368" spans="1:3" hidden="1" x14ac:dyDescent="0.3">
      <c r="A368" s="35"/>
      <c r="C368" s="18"/>
    </row>
    <row r="369" spans="1:3" hidden="1" x14ac:dyDescent="0.3">
      <c r="A369" s="35"/>
      <c r="C369" s="18"/>
    </row>
    <row r="370" spans="1:3" hidden="1" x14ac:dyDescent="0.3">
      <c r="A370" s="35"/>
      <c r="C370" s="18"/>
    </row>
    <row r="371" spans="1:3" hidden="1" x14ac:dyDescent="0.3">
      <c r="A371" s="35"/>
      <c r="C371" s="18"/>
    </row>
    <row r="372" spans="1:3" hidden="1" x14ac:dyDescent="0.3">
      <c r="A372" s="35"/>
      <c r="C372" s="18"/>
    </row>
    <row r="373" spans="1:3" hidden="1" x14ac:dyDescent="0.3">
      <c r="A373" s="35"/>
      <c r="C373" s="18"/>
    </row>
    <row r="374" spans="1:3" hidden="1" x14ac:dyDescent="0.3">
      <c r="A374" s="35"/>
      <c r="C374" s="18"/>
    </row>
    <row r="375" spans="1:3" hidden="1" x14ac:dyDescent="0.3">
      <c r="A375" s="35"/>
      <c r="C375" s="18"/>
    </row>
    <row r="376" spans="1:3" hidden="1" x14ac:dyDescent="0.3">
      <c r="A376" s="35"/>
      <c r="C376" s="18"/>
    </row>
    <row r="377" spans="1:3" hidden="1" x14ac:dyDescent="0.3">
      <c r="A377" s="35"/>
      <c r="C377" s="18"/>
    </row>
    <row r="378" spans="1:3" hidden="1" x14ac:dyDescent="0.3">
      <c r="A378" s="35"/>
      <c r="C378" s="18"/>
    </row>
    <row r="379" spans="1:3" hidden="1" x14ac:dyDescent="0.3">
      <c r="A379" s="35"/>
      <c r="C379" s="18"/>
    </row>
    <row r="380" spans="1:3" hidden="1" x14ac:dyDescent="0.3">
      <c r="A380" s="35"/>
      <c r="C380" s="18"/>
    </row>
    <row r="381" spans="1:3" hidden="1" x14ac:dyDescent="0.3">
      <c r="A381" s="35"/>
      <c r="C381" s="18"/>
    </row>
    <row r="382" spans="1:3" hidden="1" x14ac:dyDescent="0.3">
      <c r="A382" s="35"/>
      <c r="C382" s="18"/>
    </row>
    <row r="383" spans="1:3" hidden="1" x14ac:dyDescent="0.3">
      <c r="A383" s="35"/>
      <c r="C383" s="18"/>
    </row>
    <row r="384" spans="1:3" hidden="1" x14ac:dyDescent="0.3">
      <c r="A384" s="35"/>
      <c r="C384" s="18"/>
    </row>
    <row r="385" spans="1:3" hidden="1" x14ac:dyDescent="0.3">
      <c r="A385" s="35"/>
      <c r="C385" s="18"/>
    </row>
    <row r="386" spans="1:3" hidden="1" x14ac:dyDescent="0.3">
      <c r="A386" s="35"/>
      <c r="C386" s="18"/>
    </row>
    <row r="387" spans="1:3" hidden="1" x14ac:dyDescent="0.3">
      <c r="A387" s="35"/>
      <c r="C387" s="18"/>
    </row>
    <row r="388" spans="1:3" hidden="1" x14ac:dyDescent="0.3">
      <c r="A388" s="35"/>
      <c r="C388" s="18"/>
    </row>
    <row r="389" spans="1:3" hidden="1" x14ac:dyDescent="0.3">
      <c r="A389" s="35"/>
      <c r="C389" s="18"/>
    </row>
    <row r="390" spans="1:3" hidden="1" x14ac:dyDescent="0.3">
      <c r="A390" s="35"/>
      <c r="C390" s="18"/>
    </row>
    <row r="391" spans="1:3" hidden="1" x14ac:dyDescent="0.3">
      <c r="A391" s="35"/>
      <c r="C391" s="18"/>
    </row>
    <row r="392" spans="1:3" hidden="1" x14ac:dyDescent="0.3">
      <c r="A392" s="35"/>
      <c r="C392" s="18"/>
    </row>
    <row r="393" spans="1:3" hidden="1" x14ac:dyDescent="0.3">
      <c r="A393" s="35"/>
      <c r="C393" s="18"/>
    </row>
    <row r="394" spans="1:3" hidden="1" x14ac:dyDescent="0.3">
      <c r="A394" s="35"/>
      <c r="C394" s="18"/>
    </row>
    <row r="395" spans="1:3" hidden="1" x14ac:dyDescent="0.3">
      <c r="A395" s="35"/>
      <c r="C395" s="18"/>
    </row>
    <row r="396" spans="1:3" hidden="1" x14ac:dyDescent="0.3">
      <c r="A396" s="35"/>
      <c r="C396" s="18"/>
    </row>
    <row r="397" spans="1:3" hidden="1" x14ac:dyDescent="0.3">
      <c r="A397" s="35"/>
      <c r="C397" s="18"/>
    </row>
    <row r="398" spans="1:3" hidden="1" x14ac:dyDescent="0.3">
      <c r="A398" s="35"/>
      <c r="C398" s="18"/>
    </row>
    <row r="399" spans="1:3" hidden="1" x14ac:dyDescent="0.3">
      <c r="A399" s="35"/>
      <c r="C399" s="18"/>
    </row>
    <row r="400" spans="1:3" hidden="1" x14ac:dyDescent="0.3">
      <c r="A400" s="35"/>
      <c r="C400" s="18"/>
    </row>
    <row r="401" spans="1:3" hidden="1" x14ac:dyDescent="0.3">
      <c r="A401" s="35"/>
      <c r="C401" s="18"/>
    </row>
    <row r="402" spans="1:3" hidden="1" x14ac:dyDescent="0.3">
      <c r="A402" s="35"/>
      <c r="C402" s="18"/>
    </row>
    <row r="403" spans="1:3" hidden="1" x14ac:dyDescent="0.3">
      <c r="A403" s="35"/>
      <c r="C403" s="18"/>
    </row>
    <row r="404" spans="1:3" hidden="1" x14ac:dyDescent="0.3">
      <c r="A404" s="35"/>
      <c r="C404" s="18"/>
    </row>
    <row r="405" spans="1:3" hidden="1" x14ac:dyDescent="0.3">
      <c r="A405" s="35"/>
      <c r="C405" s="18"/>
    </row>
    <row r="406" spans="1:3" hidden="1" x14ac:dyDescent="0.3">
      <c r="A406" s="35"/>
      <c r="C406" s="18"/>
    </row>
    <row r="407" spans="1:3" hidden="1" x14ac:dyDescent="0.3">
      <c r="A407" s="35"/>
      <c r="C407" s="18"/>
    </row>
    <row r="408" spans="1:3" hidden="1" x14ac:dyDescent="0.3">
      <c r="A408" s="35"/>
      <c r="C408" s="18"/>
    </row>
    <row r="409" spans="1:3" hidden="1" x14ac:dyDescent="0.3">
      <c r="A409" s="35"/>
      <c r="C409" s="18"/>
    </row>
    <row r="410" spans="1:3" hidden="1" x14ac:dyDescent="0.3">
      <c r="A410" s="35"/>
      <c r="C410" s="18"/>
    </row>
    <row r="411" spans="1:3" hidden="1" x14ac:dyDescent="0.3">
      <c r="A411" s="35"/>
      <c r="C411" s="18"/>
    </row>
    <row r="412" spans="1:3" hidden="1" x14ac:dyDescent="0.3">
      <c r="A412" s="35"/>
      <c r="C412" s="18"/>
    </row>
    <row r="413" spans="1:3" hidden="1" x14ac:dyDescent="0.3">
      <c r="A413" s="35"/>
      <c r="C413" s="18"/>
    </row>
    <row r="414" spans="1:3" hidden="1" x14ac:dyDescent="0.3">
      <c r="A414" s="35"/>
      <c r="C414" s="18"/>
    </row>
    <row r="415" spans="1:3" hidden="1" x14ac:dyDescent="0.3">
      <c r="A415" s="35"/>
      <c r="C415" s="18"/>
    </row>
    <row r="416" spans="1:3" hidden="1" x14ac:dyDescent="0.3">
      <c r="A416" s="35"/>
      <c r="C416" s="18"/>
    </row>
    <row r="417" spans="1:3" hidden="1" x14ac:dyDescent="0.3">
      <c r="A417" s="35"/>
      <c r="C417" s="18"/>
    </row>
    <row r="418" spans="1:3" hidden="1" x14ac:dyDescent="0.3">
      <c r="A418" s="35"/>
      <c r="C418" s="18"/>
    </row>
    <row r="419" spans="1:3" hidden="1" x14ac:dyDescent="0.3">
      <c r="A419" s="35"/>
      <c r="C419" s="18"/>
    </row>
    <row r="420" spans="1:3" hidden="1" x14ac:dyDescent="0.3">
      <c r="A420" s="35"/>
      <c r="C420" s="18"/>
    </row>
    <row r="421" spans="1:3" hidden="1" x14ac:dyDescent="0.3">
      <c r="A421" s="35"/>
      <c r="C421" s="18"/>
    </row>
    <row r="422" spans="1:3" hidden="1" x14ac:dyDescent="0.3">
      <c r="A422" s="35"/>
      <c r="C422" s="18"/>
    </row>
    <row r="423" spans="1:3" hidden="1" x14ac:dyDescent="0.3">
      <c r="A423" s="35"/>
      <c r="C423" s="18"/>
    </row>
    <row r="424" spans="1:3" hidden="1" x14ac:dyDescent="0.3">
      <c r="A424" s="35"/>
      <c r="C424" s="18"/>
    </row>
    <row r="425" spans="1:3" hidden="1" x14ac:dyDescent="0.3">
      <c r="A425" s="35"/>
      <c r="C425" s="18"/>
    </row>
    <row r="426" spans="1:3" hidden="1" x14ac:dyDescent="0.3">
      <c r="A426" s="35"/>
      <c r="C426" s="18"/>
    </row>
    <row r="427" spans="1:3" hidden="1" x14ac:dyDescent="0.3">
      <c r="A427" s="35"/>
      <c r="C427" s="18"/>
    </row>
    <row r="428" spans="1:3" hidden="1" x14ac:dyDescent="0.3">
      <c r="A428" s="35"/>
      <c r="C428" s="18"/>
    </row>
    <row r="429" spans="1:3" hidden="1" x14ac:dyDescent="0.3">
      <c r="A429" s="35"/>
      <c r="C429" s="18"/>
    </row>
    <row r="430" spans="1:3" hidden="1" x14ac:dyDescent="0.3">
      <c r="A430" s="35"/>
      <c r="C430" s="18"/>
    </row>
    <row r="431" spans="1:3" hidden="1" x14ac:dyDescent="0.3">
      <c r="A431" s="35"/>
      <c r="C431" s="18"/>
    </row>
    <row r="432" spans="1:3" hidden="1" x14ac:dyDescent="0.3">
      <c r="A432" s="35"/>
      <c r="C432" s="18"/>
    </row>
    <row r="433" spans="1:3" hidden="1" x14ac:dyDescent="0.3">
      <c r="A433" s="35"/>
      <c r="C433" s="18"/>
    </row>
    <row r="434" spans="1:3" hidden="1" x14ac:dyDescent="0.3">
      <c r="A434" s="35"/>
      <c r="C434" s="18"/>
    </row>
    <row r="435" spans="1:3" hidden="1" x14ac:dyDescent="0.3">
      <c r="A435" s="35"/>
      <c r="C435" s="18"/>
    </row>
    <row r="436" spans="1:3" hidden="1" x14ac:dyDescent="0.3">
      <c r="A436" s="35"/>
      <c r="C436" s="18"/>
    </row>
    <row r="437" spans="1:3" hidden="1" x14ac:dyDescent="0.3">
      <c r="A437" s="35"/>
      <c r="C437" s="18"/>
    </row>
    <row r="438" spans="1:3" hidden="1" x14ac:dyDescent="0.3">
      <c r="A438" s="35"/>
      <c r="C438" s="18"/>
    </row>
    <row r="439" spans="1:3" hidden="1" x14ac:dyDescent="0.3">
      <c r="A439" s="35"/>
      <c r="C439" s="18"/>
    </row>
    <row r="440" spans="1:3" hidden="1" x14ac:dyDescent="0.3">
      <c r="A440" s="35"/>
      <c r="C440" s="18"/>
    </row>
    <row r="441" spans="1:3" hidden="1" x14ac:dyDescent="0.3">
      <c r="A441" s="35"/>
      <c r="C441" s="18"/>
    </row>
    <row r="442" spans="1:3" hidden="1" x14ac:dyDescent="0.3">
      <c r="A442" s="35"/>
      <c r="C442" s="18"/>
    </row>
    <row r="443" spans="1:3" hidden="1" x14ac:dyDescent="0.3">
      <c r="A443" s="35"/>
      <c r="C443" s="18"/>
    </row>
    <row r="444" spans="1:3" hidden="1" x14ac:dyDescent="0.3">
      <c r="A444" s="35"/>
      <c r="C444" s="18"/>
    </row>
    <row r="445" spans="1:3" hidden="1" x14ac:dyDescent="0.3">
      <c r="A445" s="35"/>
      <c r="C445" s="18"/>
    </row>
    <row r="446" spans="1:3" hidden="1" x14ac:dyDescent="0.3">
      <c r="A446" s="35"/>
      <c r="C446" s="18"/>
    </row>
    <row r="447" spans="1:3" hidden="1" x14ac:dyDescent="0.3">
      <c r="A447" s="35"/>
      <c r="C447" s="18"/>
    </row>
    <row r="448" spans="1:3" hidden="1" x14ac:dyDescent="0.3">
      <c r="A448" s="35"/>
      <c r="C448" s="18"/>
    </row>
    <row r="449" spans="1:3" hidden="1" x14ac:dyDescent="0.3">
      <c r="A449" s="35"/>
      <c r="C449" s="18"/>
    </row>
    <row r="450" spans="1:3" hidden="1" x14ac:dyDescent="0.3">
      <c r="A450" s="35"/>
      <c r="C450" s="18"/>
    </row>
    <row r="451" spans="1:3" hidden="1" x14ac:dyDescent="0.3">
      <c r="A451" s="35"/>
      <c r="C451" s="18"/>
    </row>
    <row r="452" spans="1:3" hidden="1" x14ac:dyDescent="0.3">
      <c r="A452" s="35"/>
      <c r="C452" s="18"/>
    </row>
    <row r="453" spans="1:3" hidden="1" x14ac:dyDescent="0.3">
      <c r="A453" s="35"/>
      <c r="C453" s="18"/>
    </row>
    <row r="454" spans="1:3" hidden="1" x14ac:dyDescent="0.3">
      <c r="A454" s="35"/>
      <c r="C454" s="18"/>
    </row>
    <row r="455" spans="1:3" hidden="1" x14ac:dyDescent="0.3">
      <c r="A455" s="35"/>
      <c r="C455" s="18"/>
    </row>
    <row r="456" spans="1:3" hidden="1" x14ac:dyDescent="0.3">
      <c r="A456" s="35"/>
      <c r="C456" s="18"/>
    </row>
    <row r="457" spans="1:3" hidden="1" x14ac:dyDescent="0.3">
      <c r="A457" s="35"/>
      <c r="C457" s="18"/>
    </row>
    <row r="458" spans="1:3" hidden="1" x14ac:dyDescent="0.3">
      <c r="A458" s="35"/>
      <c r="C458" s="18"/>
    </row>
    <row r="459" spans="1:3" hidden="1" x14ac:dyDescent="0.3">
      <c r="A459" s="35"/>
      <c r="C459" s="18"/>
    </row>
    <row r="460" spans="1:3" hidden="1" x14ac:dyDescent="0.3">
      <c r="A460" s="35"/>
      <c r="C460" s="18"/>
    </row>
    <row r="461" spans="1:3" hidden="1" x14ac:dyDescent="0.3">
      <c r="A461" s="35"/>
      <c r="C461" s="18"/>
    </row>
    <row r="462" spans="1:3" hidden="1" x14ac:dyDescent="0.3">
      <c r="A462" s="35"/>
      <c r="C462" s="18"/>
    </row>
    <row r="463" spans="1:3" hidden="1" x14ac:dyDescent="0.3">
      <c r="A463" s="35"/>
      <c r="C463" s="18"/>
    </row>
    <row r="464" spans="1:3" hidden="1" x14ac:dyDescent="0.3">
      <c r="A464" s="35"/>
      <c r="C464" s="18"/>
    </row>
    <row r="465" spans="1:3" hidden="1" x14ac:dyDescent="0.3">
      <c r="A465" s="35"/>
      <c r="C465" s="18"/>
    </row>
    <row r="466" spans="1:3" hidden="1" x14ac:dyDescent="0.3">
      <c r="A466" s="35"/>
      <c r="C466" s="18"/>
    </row>
    <row r="467" spans="1:3" hidden="1" x14ac:dyDescent="0.3">
      <c r="A467" s="35"/>
      <c r="C467" s="18"/>
    </row>
    <row r="468" spans="1:3" hidden="1" x14ac:dyDescent="0.3">
      <c r="A468" s="35"/>
      <c r="C468" s="18"/>
    </row>
    <row r="469" spans="1:3" hidden="1" x14ac:dyDescent="0.3">
      <c r="A469" s="35"/>
      <c r="C469" s="18"/>
    </row>
    <row r="470" spans="1:3" hidden="1" x14ac:dyDescent="0.3">
      <c r="A470" s="35"/>
      <c r="C470" s="18"/>
    </row>
    <row r="471" spans="1:3" hidden="1" x14ac:dyDescent="0.3">
      <c r="A471" s="35"/>
      <c r="C471" s="18"/>
    </row>
    <row r="472" spans="1:3" hidden="1" x14ac:dyDescent="0.3">
      <c r="A472" s="35"/>
      <c r="C472" s="18"/>
    </row>
    <row r="473" spans="1:3" hidden="1" x14ac:dyDescent="0.3">
      <c r="A473" s="35"/>
      <c r="C473" s="18"/>
    </row>
    <row r="474" spans="1:3" hidden="1" x14ac:dyDescent="0.3">
      <c r="A474" s="35"/>
      <c r="C474" s="18"/>
    </row>
    <row r="475" spans="1:3" hidden="1" x14ac:dyDescent="0.3">
      <c r="A475" s="35"/>
      <c r="C475" s="18"/>
    </row>
    <row r="476" spans="1:3" hidden="1" x14ac:dyDescent="0.3">
      <c r="A476" s="35"/>
      <c r="C476" s="18"/>
    </row>
    <row r="477" spans="1:3" hidden="1" x14ac:dyDescent="0.3">
      <c r="A477" s="35"/>
      <c r="C477" s="18"/>
    </row>
    <row r="478" spans="1:3" hidden="1" x14ac:dyDescent="0.3">
      <c r="A478" s="35"/>
      <c r="C478" s="18"/>
    </row>
    <row r="479" spans="1:3" hidden="1" x14ac:dyDescent="0.3">
      <c r="A479" s="35"/>
      <c r="C479" s="18"/>
    </row>
    <row r="480" spans="1:3" hidden="1" x14ac:dyDescent="0.3">
      <c r="A480" s="35"/>
      <c r="C480" s="18"/>
    </row>
    <row r="481" spans="1:3" hidden="1" x14ac:dyDescent="0.3">
      <c r="A481" s="35"/>
      <c r="C481" s="18"/>
    </row>
    <row r="482" spans="1:3" hidden="1" x14ac:dyDescent="0.3">
      <c r="A482" s="35"/>
      <c r="C482" s="18"/>
    </row>
    <row r="483" spans="1:3" hidden="1" x14ac:dyDescent="0.3">
      <c r="A483" s="35"/>
      <c r="C483" s="18"/>
    </row>
    <row r="484" spans="1:3" hidden="1" x14ac:dyDescent="0.3">
      <c r="A484" s="35"/>
      <c r="C484" s="18"/>
    </row>
    <row r="485" spans="1:3" hidden="1" x14ac:dyDescent="0.3">
      <c r="A485" s="35"/>
      <c r="C485" s="18"/>
    </row>
    <row r="486" spans="1:3" hidden="1" x14ac:dyDescent="0.3">
      <c r="A486" s="35"/>
      <c r="C486" s="18"/>
    </row>
    <row r="487" spans="1:3" hidden="1" x14ac:dyDescent="0.3">
      <c r="A487" s="35"/>
      <c r="C487" s="18"/>
    </row>
    <row r="488" spans="1:3" hidden="1" x14ac:dyDescent="0.3">
      <c r="A488" s="35"/>
      <c r="C488" s="18"/>
    </row>
    <row r="489" spans="1:3" hidden="1" x14ac:dyDescent="0.3">
      <c r="A489" s="35"/>
      <c r="C489" s="18"/>
    </row>
    <row r="490" spans="1:3" hidden="1" x14ac:dyDescent="0.3">
      <c r="A490" s="35"/>
      <c r="C490" s="18"/>
    </row>
    <row r="491" spans="1:3" hidden="1" x14ac:dyDescent="0.3">
      <c r="A491" s="35"/>
      <c r="C491" s="18"/>
    </row>
    <row r="492" spans="1:3" hidden="1" x14ac:dyDescent="0.3">
      <c r="A492" s="35"/>
      <c r="C492" s="18"/>
    </row>
    <row r="493" spans="1:3" hidden="1" x14ac:dyDescent="0.3">
      <c r="A493" s="35"/>
      <c r="C493" s="18"/>
    </row>
    <row r="494" spans="1:3" hidden="1" x14ac:dyDescent="0.3">
      <c r="A494" s="35"/>
      <c r="C494" s="18"/>
    </row>
    <row r="495" spans="1:3" hidden="1" x14ac:dyDescent="0.3">
      <c r="A495" s="35"/>
      <c r="C495" s="18"/>
    </row>
    <row r="496" spans="1:3" hidden="1" x14ac:dyDescent="0.3">
      <c r="A496" s="35"/>
      <c r="C496" s="18"/>
    </row>
    <row r="497" spans="1:3" hidden="1" x14ac:dyDescent="0.3">
      <c r="A497" s="35"/>
      <c r="C497" s="18"/>
    </row>
    <row r="498" spans="1:3" hidden="1" x14ac:dyDescent="0.3">
      <c r="A498" s="35"/>
      <c r="C498" s="18"/>
    </row>
    <row r="499" spans="1:3" hidden="1" x14ac:dyDescent="0.3">
      <c r="A499" s="35"/>
      <c r="C499" s="18"/>
    </row>
    <row r="500" spans="1:3" hidden="1" x14ac:dyDescent="0.3">
      <c r="A500" s="35"/>
      <c r="C500" s="18"/>
    </row>
    <row r="501" spans="1:3" hidden="1" x14ac:dyDescent="0.3">
      <c r="A501" s="35"/>
      <c r="C501" s="18"/>
    </row>
    <row r="502" spans="1:3" hidden="1" x14ac:dyDescent="0.3">
      <c r="A502" s="35"/>
      <c r="C502" s="18"/>
    </row>
    <row r="503" spans="1:3" hidden="1" x14ac:dyDescent="0.3">
      <c r="A503" s="35"/>
      <c r="C503" s="18"/>
    </row>
    <row r="504" spans="1:3" hidden="1" x14ac:dyDescent="0.3">
      <c r="A504" s="35"/>
      <c r="C504" s="18"/>
    </row>
    <row r="505" spans="1:3" hidden="1" x14ac:dyDescent="0.3">
      <c r="A505" s="35"/>
      <c r="C505" s="18"/>
    </row>
    <row r="506" spans="1:3" hidden="1" x14ac:dyDescent="0.3">
      <c r="A506" s="35"/>
      <c r="C506" s="18"/>
    </row>
    <row r="507" spans="1:3" hidden="1" x14ac:dyDescent="0.3">
      <c r="A507" s="35"/>
      <c r="C507" s="18"/>
    </row>
    <row r="508" spans="1:3" hidden="1" x14ac:dyDescent="0.3">
      <c r="A508" s="35"/>
      <c r="C508" s="18"/>
    </row>
    <row r="509" spans="1:3" hidden="1" x14ac:dyDescent="0.3">
      <c r="A509" s="35"/>
      <c r="C509" s="18"/>
    </row>
    <row r="510" spans="1:3" hidden="1" x14ac:dyDescent="0.3">
      <c r="A510" s="35"/>
      <c r="C510" s="18"/>
    </row>
    <row r="511" spans="1:3" hidden="1" x14ac:dyDescent="0.3">
      <c r="A511" s="35"/>
      <c r="C511" s="18"/>
    </row>
    <row r="512" spans="1:3" hidden="1" x14ac:dyDescent="0.3">
      <c r="A512" s="35"/>
      <c r="C512" s="18"/>
    </row>
    <row r="513" spans="1:3" hidden="1" x14ac:dyDescent="0.3">
      <c r="A513" s="35"/>
      <c r="C513" s="18"/>
    </row>
    <row r="514" spans="1:3" hidden="1" x14ac:dyDescent="0.3">
      <c r="A514" s="35"/>
      <c r="C514" s="18"/>
    </row>
    <row r="515" spans="1:3" hidden="1" x14ac:dyDescent="0.3">
      <c r="A515" s="35"/>
      <c r="C515" s="18"/>
    </row>
    <row r="516" spans="1:3" hidden="1" x14ac:dyDescent="0.3">
      <c r="A516" s="35"/>
      <c r="C516" s="18"/>
    </row>
    <row r="517" spans="1:3" hidden="1" x14ac:dyDescent="0.3">
      <c r="A517" s="35"/>
      <c r="C517" s="18"/>
    </row>
    <row r="518" spans="1:3" hidden="1" x14ac:dyDescent="0.3">
      <c r="A518" s="35"/>
      <c r="C518" s="18"/>
    </row>
    <row r="519" spans="1:3" hidden="1" x14ac:dyDescent="0.3">
      <c r="A519" s="35"/>
      <c r="C519" s="18"/>
    </row>
    <row r="520" spans="1:3" hidden="1" x14ac:dyDescent="0.3">
      <c r="A520" s="35"/>
      <c r="C520" s="18"/>
    </row>
    <row r="521" spans="1:3" hidden="1" x14ac:dyDescent="0.3">
      <c r="A521" s="35"/>
      <c r="C521" s="18"/>
    </row>
    <row r="522" spans="1:3" hidden="1" x14ac:dyDescent="0.3">
      <c r="A522" s="35"/>
      <c r="C522" s="18"/>
    </row>
    <row r="523" spans="1:3" hidden="1" x14ac:dyDescent="0.3">
      <c r="A523" s="35"/>
      <c r="C523" s="18"/>
    </row>
    <row r="524" spans="1:3" hidden="1" x14ac:dyDescent="0.3">
      <c r="A524" s="35"/>
      <c r="C524" s="18"/>
    </row>
    <row r="525" spans="1:3" hidden="1" x14ac:dyDescent="0.3">
      <c r="A525" s="35"/>
      <c r="C525" s="18"/>
    </row>
    <row r="526" spans="1:3" hidden="1" x14ac:dyDescent="0.3">
      <c r="A526" s="35"/>
      <c r="C526" s="18"/>
    </row>
    <row r="527" spans="1:3" hidden="1" x14ac:dyDescent="0.3">
      <c r="A527" s="35"/>
      <c r="C527" s="18"/>
    </row>
    <row r="528" spans="1:3" hidden="1" x14ac:dyDescent="0.3">
      <c r="A528" s="35"/>
      <c r="C528" s="18"/>
    </row>
    <row r="529" spans="1:3" hidden="1" x14ac:dyDescent="0.3">
      <c r="A529" s="35"/>
      <c r="C529" s="18"/>
    </row>
    <row r="530" spans="1:3" hidden="1" x14ac:dyDescent="0.3">
      <c r="A530" s="35"/>
      <c r="C530" s="18"/>
    </row>
    <row r="531" spans="1:3" hidden="1" x14ac:dyDescent="0.3">
      <c r="A531" s="35"/>
      <c r="C531" s="18"/>
    </row>
    <row r="532" spans="1:3" hidden="1" x14ac:dyDescent="0.3">
      <c r="A532" s="35"/>
      <c r="C532" s="18"/>
    </row>
    <row r="533" spans="1:3" hidden="1" x14ac:dyDescent="0.3">
      <c r="A533" s="35"/>
      <c r="C533" s="18"/>
    </row>
    <row r="534" spans="1:3" hidden="1" x14ac:dyDescent="0.3">
      <c r="A534" s="35"/>
      <c r="C534" s="18"/>
    </row>
    <row r="535" spans="1:3" hidden="1" x14ac:dyDescent="0.3">
      <c r="A535" s="35"/>
      <c r="C535" s="18"/>
    </row>
    <row r="536" spans="1:3" hidden="1" x14ac:dyDescent="0.3">
      <c r="A536" s="35"/>
    </row>
    <row r="537" spans="1:3" hidden="1" x14ac:dyDescent="0.3">
      <c r="A537" s="35"/>
    </row>
    <row r="538" spans="1:3" hidden="1" x14ac:dyDescent="0.3">
      <c r="A538" s="35"/>
    </row>
    <row r="539" spans="1:3" hidden="1" x14ac:dyDescent="0.3">
      <c r="A539" s="35"/>
    </row>
    <row r="540" spans="1:3" hidden="1" x14ac:dyDescent="0.3">
      <c r="A540" s="35"/>
    </row>
    <row r="541" spans="1:3" hidden="1" x14ac:dyDescent="0.3">
      <c r="A541" s="35"/>
    </row>
    <row r="542" spans="1:3" hidden="1" x14ac:dyDescent="0.3">
      <c r="A542" s="35"/>
    </row>
    <row r="543" spans="1:3" hidden="1" x14ac:dyDescent="0.3">
      <c r="A543" s="35"/>
    </row>
    <row r="544" spans="1:3" hidden="1" x14ac:dyDescent="0.3">
      <c r="A544" s="35"/>
    </row>
    <row r="545" spans="1:1" hidden="1" x14ac:dyDescent="0.3">
      <c r="A545" s="35"/>
    </row>
    <row r="546" spans="1:1" hidden="1" x14ac:dyDescent="0.3">
      <c r="A546" s="35"/>
    </row>
    <row r="547" spans="1:1" hidden="1" x14ac:dyDescent="0.3">
      <c r="A547" s="35"/>
    </row>
    <row r="548" spans="1:1" hidden="1" x14ac:dyDescent="0.3">
      <c r="A548" s="35"/>
    </row>
    <row r="549" spans="1:1" hidden="1" x14ac:dyDescent="0.3">
      <c r="A549" s="35"/>
    </row>
    <row r="550" spans="1:1" hidden="1" x14ac:dyDescent="0.3">
      <c r="A550" s="35"/>
    </row>
    <row r="551" spans="1:1" hidden="1" x14ac:dyDescent="0.3">
      <c r="A551" s="35"/>
    </row>
    <row r="552" spans="1:1" hidden="1" x14ac:dyDescent="0.3">
      <c r="A552" s="35"/>
    </row>
    <row r="553" spans="1:1" hidden="1" x14ac:dyDescent="0.3">
      <c r="A553" s="35"/>
    </row>
    <row r="554" spans="1:1" hidden="1" x14ac:dyDescent="0.3">
      <c r="A554" s="35"/>
    </row>
    <row r="555" spans="1:1" hidden="1" x14ac:dyDescent="0.3">
      <c r="A555" s="35"/>
    </row>
    <row r="556" spans="1:1" hidden="1" x14ac:dyDescent="0.3">
      <c r="A556" s="35"/>
    </row>
    <row r="557" spans="1:1" hidden="1" x14ac:dyDescent="0.3">
      <c r="A557" s="35"/>
    </row>
    <row r="558" spans="1:1" hidden="1" x14ac:dyDescent="0.3">
      <c r="A558" s="35"/>
    </row>
    <row r="559" spans="1:1" hidden="1" x14ac:dyDescent="0.3">
      <c r="A559" s="35"/>
    </row>
    <row r="560" spans="1:1" hidden="1" x14ac:dyDescent="0.3">
      <c r="A560" s="35"/>
    </row>
    <row r="561" spans="1:1" hidden="1" x14ac:dyDescent="0.3">
      <c r="A561" s="35"/>
    </row>
    <row r="562" spans="1:1" hidden="1" x14ac:dyDescent="0.3">
      <c r="A562" s="35"/>
    </row>
    <row r="563" spans="1:1" hidden="1" x14ac:dyDescent="0.3">
      <c r="A563" s="35"/>
    </row>
    <row r="564" spans="1:1" hidden="1" x14ac:dyDescent="0.3">
      <c r="A564" s="35"/>
    </row>
    <row r="565" spans="1:1" hidden="1" x14ac:dyDescent="0.3">
      <c r="A565" s="35"/>
    </row>
    <row r="566" spans="1:1" hidden="1" x14ac:dyDescent="0.3">
      <c r="A566" s="35"/>
    </row>
    <row r="567" spans="1:1" hidden="1" x14ac:dyDescent="0.3">
      <c r="A567" s="35"/>
    </row>
    <row r="568" spans="1:1" hidden="1" x14ac:dyDescent="0.3">
      <c r="A568" s="35"/>
    </row>
    <row r="569" spans="1:1" hidden="1" x14ac:dyDescent="0.3">
      <c r="A569" s="35"/>
    </row>
    <row r="570" spans="1:1" hidden="1" x14ac:dyDescent="0.3">
      <c r="A570" s="35"/>
    </row>
    <row r="571" spans="1:1" hidden="1" x14ac:dyDescent="0.3">
      <c r="A571" s="35"/>
    </row>
    <row r="572" spans="1:1" hidden="1" x14ac:dyDescent="0.3">
      <c r="A572" s="35"/>
    </row>
    <row r="573" spans="1:1" hidden="1" x14ac:dyDescent="0.3">
      <c r="A573" s="35"/>
    </row>
    <row r="574" spans="1:1" hidden="1" x14ac:dyDescent="0.3">
      <c r="A574" s="35"/>
    </row>
    <row r="575" spans="1:1" hidden="1" x14ac:dyDescent="0.3">
      <c r="A575" s="35"/>
    </row>
    <row r="576" spans="1:1" hidden="1" x14ac:dyDescent="0.3">
      <c r="A576" s="35"/>
    </row>
    <row r="577" spans="1:1" hidden="1" x14ac:dyDescent="0.3">
      <c r="A577" s="35"/>
    </row>
    <row r="578" spans="1:1" hidden="1" x14ac:dyDescent="0.3">
      <c r="A578" s="35"/>
    </row>
    <row r="579" spans="1:1" hidden="1" x14ac:dyDescent="0.3">
      <c r="A579" s="35"/>
    </row>
    <row r="580" spans="1:1" hidden="1" x14ac:dyDescent="0.3">
      <c r="A580" s="35"/>
    </row>
    <row r="581" spans="1:1" hidden="1" x14ac:dyDescent="0.3">
      <c r="A581" s="35"/>
    </row>
    <row r="582" spans="1:1" hidden="1" x14ac:dyDescent="0.3">
      <c r="A582" s="35"/>
    </row>
    <row r="583" spans="1:1" hidden="1" x14ac:dyDescent="0.3">
      <c r="A583" s="35"/>
    </row>
    <row r="584" spans="1:1" hidden="1" x14ac:dyDescent="0.3">
      <c r="A584" s="35"/>
    </row>
    <row r="585" spans="1:1" hidden="1" x14ac:dyDescent="0.3">
      <c r="A585" s="35"/>
    </row>
    <row r="586" spans="1:1" hidden="1" x14ac:dyDescent="0.3">
      <c r="A586" s="35"/>
    </row>
    <row r="587" spans="1:1" hidden="1" x14ac:dyDescent="0.3">
      <c r="A587" s="35"/>
    </row>
    <row r="588" spans="1:1" hidden="1" x14ac:dyDescent="0.3">
      <c r="A588" s="35"/>
    </row>
    <row r="589" spans="1:1" hidden="1" x14ac:dyDescent="0.3">
      <c r="A589" s="35"/>
    </row>
    <row r="590" spans="1:1" hidden="1" x14ac:dyDescent="0.3">
      <c r="A590" s="35"/>
    </row>
    <row r="591" spans="1:1" hidden="1" x14ac:dyDescent="0.3">
      <c r="A591" s="35"/>
    </row>
    <row r="592" spans="1:1" hidden="1" x14ac:dyDescent="0.3">
      <c r="A592" s="35"/>
    </row>
    <row r="593" spans="1:1" hidden="1" x14ac:dyDescent="0.3">
      <c r="A593" s="35"/>
    </row>
    <row r="594" spans="1:1" hidden="1" x14ac:dyDescent="0.3">
      <c r="A594" s="35"/>
    </row>
    <row r="595" spans="1:1" hidden="1" x14ac:dyDescent="0.3">
      <c r="A595" s="35"/>
    </row>
    <row r="596" spans="1:1" hidden="1" x14ac:dyDescent="0.3">
      <c r="A596" s="35"/>
    </row>
    <row r="597" spans="1:1" hidden="1" x14ac:dyDescent="0.3">
      <c r="A597" s="35"/>
    </row>
    <row r="598" spans="1:1" hidden="1" x14ac:dyDescent="0.3">
      <c r="A598" s="35"/>
    </row>
    <row r="599" spans="1:1" hidden="1" x14ac:dyDescent="0.3">
      <c r="A599" s="35"/>
    </row>
    <row r="600" spans="1:1" hidden="1" x14ac:dyDescent="0.3">
      <c r="A600" s="35"/>
    </row>
    <row r="601" spans="1:1" hidden="1" x14ac:dyDescent="0.3">
      <c r="A601" s="35"/>
    </row>
    <row r="602" spans="1:1" hidden="1" x14ac:dyDescent="0.3">
      <c r="A602" s="35"/>
    </row>
    <row r="603" spans="1:1" hidden="1" x14ac:dyDescent="0.3">
      <c r="A603" s="35"/>
    </row>
    <row r="604" spans="1:1" hidden="1" x14ac:dyDescent="0.3">
      <c r="A604" s="35"/>
    </row>
    <row r="605" spans="1:1" hidden="1" x14ac:dyDescent="0.3">
      <c r="A605" s="35"/>
    </row>
    <row r="606" spans="1:1" hidden="1" x14ac:dyDescent="0.3">
      <c r="A606" s="35"/>
    </row>
    <row r="607" spans="1:1" hidden="1" x14ac:dyDescent="0.3">
      <c r="A607" s="35"/>
    </row>
    <row r="608" spans="1:1" hidden="1" x14ac:dyDescent="0.3">
      <c r="A608" s="35"/>
    </row>
    <row r="609" spans="1:1" hidden="1" x14ac:dyDescent="0.3">
      <c r="A609" s="35"/>
    </row>
    <row r="610" spans="1:1" hidden="1" x14ac:dyDescent="0.3">
      <c r="A610" s="35"/>
    </row>
    <row r="611" spans="1:1" hidden="1" x14ac:dyDescent="0.3">
      <c r="A611" s="35"/>
    </row>
    <row r="612" spans="1:1" hidden="1" x14ac:dyDescent="0.3">
      <c r="A612" s="35"/>
    </row>
    <row r="613" spans="1:1" hidden="1" x14ac:dyDescent="0.3">
      <c r="A613" s="35"/>
    </row>
    <row r="614" spans="1:1" hidden="1" x14ac:dyDescent="0.3">
      <c r="A614" s="35"/>
    </row>
    <row r="615" spans="1:1" hidden="1" x14ac:dyDescent="0.3">
      <c r="A615" s="35"/>
    </row>
    <row r="616" spans="1:1" hidden="1" x14ac:dyDescent="0.3">
      <c r="A616" s="35"/>
    </row>
    <row r="617" spans="1:1" hidden="1" x14ac:dyDescent="0.3">
      <c r="A617" s="35"/>
    </row>
    <row r="618" spans="1:1" hidden="1" x14ac:dyDescent="0.3">
      <c r="A618" s="35"/>
    </row>
    <row r="619" spans="1:1" hidden="1" x14ac:dyDescent="0.3">
      <c r="A619" s="35"/>
    </row>
    <row r="620" spans="1:1" hidden="1" x14ac:dyDescent="0.3">
      <c r="A620" s="35"/>
    </row>
    <row r="621" spans="1:1" hidden="1" x14ac:dyDescent="0.3">
      <c r="A621" s="35"/>
    </row>
    <row r="622" spans="1:1" hidden="1" x14ac:dyDescent="0.3">
      <c r="A622" s="35"/>
    </row>
    <row r="623" spans="1:1" hidden="1" x14ac:dyDescent="0.3">
      <c r="A623" s="35"/>
    </row>
    <row r="624" spans="1:1" hidden="1" x14ac:dyDescent="0.3">
      <c r="A624" s="35"/>
    </row>
    <row r="625" spans="1:1" hidden="1" x14ac:dyDescent="0.3">
      <c r="A625" s="35"/>
    </row>
    <row r="626" spans="1:1" hidden="1" x14ac:dyDescent="0.3">
      <c r="A626" s="35"/>
    </row>
    <row r="627" spans="1:1" hidden="1" x14ac:dyDescent="0.3">
      <c r="A627" s="35"/>
    </row>
    <row r="628" spans="1:1" hidden="1" x14ac:dyDescent="0.3">
      <c r="A628" s="35"/>
    </row>
    <row r="629" spans="1:1" hidden="1" x14ac:dyDescent="0.3">
      <c r="A629" s="35"/>
    </row>
    <row r="630" spans="1:1" hidden="1" x14ac:dyDescent="0.3">
      <c r="A630" s="35"/>
    </row>
    <row r="631" spans="1:1" hidden="1" x14ac:dyDescent="0.3">
      <c r="A631" s="35"/>
    </row>
    <row r="632" spans="1:1" hidden="1" x14ac:dyDescent="0.3">
      <c r="A632" s="35"/>
    </row>
    <row r="633" spans="1:1" hidden="1" x14ac:dyDescent="0.3">
      <c r="A633" s="35"/>
    </row>
    <row r="634" spans="1:1" hidden="1" x14ac:dyDescent="0.3">
      <c r="A634" s="35"/>
    </row>
    <row r="635" spans="1:1" hidden="1" x14ac:dyDescent="0.3">
      <c r="A635" s="35"/>
    </row>
    <row r="636" spans="1:1" hidden="1" x14ac:dyDescent="0.3">
      <c r="A636" s="35"/>
    </row>
    <row r="637" spans="1:1" hidden="1" x14ac:dyDescent="0.3">
      <c r="A637" s="35"/>
    </row>
    <row r="638" spans="1:1" hidden="1" x14ac:dyDescent="0.3">
      <c r="A638" s="35"/>
    </row>
    <row r="639" spans="1:1" hidden="1" x14ac:dyDescent="0.3">
      <c r="A639" s="35"/>
    </row>
    <row r="640" spans="1:1" hidden="1" x14ac:dyDescent="0.3">
      <c r="A640" s="35"/>
    </row>
    <row r="641" spans="1:1" hidden="1" x14ac:dyDescent="0.3">
      <c r="A641" s="35"/>
    </row>
    <row r="642" spans="1:1" hidden="1" x14ac:dyDescent="0.3">
      <c r="A642" s="35"/>
    </row>
    <row r="643" spans="1:1" hidden="1" x14ac:dyDescent="0.3">
      <c r="A643" s="35"/>
    </row>
    <row r="644" spans="1:1" hidden="1" x14ac:dyDescent="0.3">
      <c r="A644" s="35"/>
    </row>
    <row r="645" spans="1:1" hidden="1" x14ac:dyDescent="0.3">
      <c r="A645" s="35"/>
    </row>
    <row r="646" spans="1:1" hidden="1" x14ac:dyDescent="0.3">
      <c r="A646" s="35"/>
    </row>
    <row r="647" spans="1:1" hidden="1" x14ac:dyDescent="0.3">
      <c r="A647" s="35"/>
    </row>
    <row r="648" spans="1:1" hidden="1" x14ac:dyDescent="0.3">
      <c r="A648" s="35"/>
    </row>
    <row r="649" spans="1:1" hidden="1" x14ac:dyDescent="0.3">
      <c r="A649" s="35"/>
    </row>
    <row r="650" spans="1:1" hidden="1" x14ac:dyDescent="0.3">
      <c r="A650" s="35"/>
    </row>
    <row r="651" spans="1:1" hidden="1" x14ac:dyDescent="0.3">
      <c r="A651" s="35"/>
    </row>
    <row r="652" spans="1:1" hidden="1" x14ac:dyDescent="0.3">
      <c r="A652" s="35"/>
    </row>
    <row r="653" spans="1:1" hidden="1" x14ac:dyDescent="0.3">
      <c r="A653" s="35"/>
    </row>
    <row r="654" spans="1:1" hidden="1" x14ac:dyDescent="0.3">
      <c r="A654" s="35"/>
    </row>
    <row r="655" spans="1:1" hidden="1" x14ac:dyDescent="0.3">
      <c r="A655" s="35"/>
    </row>
    <row r="656" spans="1:1" hidden="1" x14ac:dyDescent="0.3">
      <c r="A656" s="35"/>
    </row>
    <row r="657" spans="1:1" hidden="1" x14ac:dyDescent="0.3">
      <c r="A657" s="35"/>
    </row>
    <row r="658" spans="1:1" hidden="1" x14ac:dyDescent="0.3">
      <c r="A658" s="35"/>
    </row>
    <row r="659" spans="1:1" hidden="1" x14ac:dyDescent="0.3">
      <c r="A659" s="35"/>
    </row>
    <row r="660" spans="1:1" hidden="1" x14ac:dyDescent="0.3">
      <c r="A660" s="35"/>
    </row>
    <row r="661" spans="1:1" hidden="1" x14ac:dyDescent="0.3">
      <c r="A661" s="35"/>
    </row>
    <row r="662" spans="1:1" hidden="1" x14ac:dyDescent="0.3">
      <c r="A662" s="35"/>
    </row>
    <row r="663" spans="1:1" hidden="1" x14ac:dyDescent="0.3">
      <c r="A663" s="35"/>
    </row>
    <row r="664" spans="1:1" hidden="1" x14ac:dyDescent="0.3">
      <c r="A664" s="35"/>
    </row>
    <row r="665" spans="1:1" hidden="1" x14ac:dyDescent="0.3">
      <c r="A665" s="35"/>
    </row>
    <row r="666" spans="1:1" hidden="1" x14ac:dyDescent="0.3">
      <c r="A666" s="35"/>
    </row>
    <row r="667" spans="1:1" hidden="1" x14ac:dyDescent="0.3">
      <c r="A667" s="35"/>
    </row>
    <row r="668" spans="1:1" hidden="1" x14ac:dyDescent="0.3">
      <c r="A668" s="35"/>
    </row>
    <row r="669" spans="1:1" hidden="1" x14ac:dyDescent="0.3">
      <c r="A669" s="35"/>
    </row>
    <row r="670" spans="1:1" hidden="1" x14ac:dyDescent="0.3">
      <c r="A670" s="35"/>
    </row>
    <row r="671" spans="1:1" hidden="1" x14ac:dyDescent="0.3">
      <c r="A671" s="35"/>
    </row>
    <row r="672" spans="1:1" hidden="1" x14ac:dyDescent="0.3">
      <c r="A672" s="35"/>
    </row>
    <row r="673" spans="1:1" hidden="1" x14ac:dyDescent="0.3">
      <c r="A673" s="35"/>
    </row>
    <row r="674" spans="1:1" hidden="1" x14ac:dyDescent="0.3">
      <c r="A674" s="35"/>
    </row>
    <row r="675" spans="1:1" hidden="1" x14ac:dyDescent="0.3">
      <c r="A675" s="35"/>
    </row>
    <row r="676" spans="1:1" hidden="1" x14ac:dyDescent="0.3">
      <c r="A676" s="35"/>
    </row>
    <row r="677" spans="1:1" hidden="1" x14ac:dyDescent="0.3">
      <c r="A677" s="35"/>
    </row>
    <row r="678" spans="1:1" hidden="1" x14ac:dyDescent="0.3">
      <c r="A678" s="35"/>
    </row>
    <row r="679" spans="1:1" hidden="1" x14ac:dyDescent="0.3">
      <c r="A679" s="35"/>
    </row>
    <row r="680" spans="1:1" hidden="1" x14ac:dyDescent="0.3">
      <c r="A680" s="35"/>
    </row>
    <row r="681" spans="1:1" hidden="1" x14ac:dyDescent="0.3">
      <c r="A681" s="35"/>
    </row>
    <row r="682" spans="1:1" hidden="1" x14ac:dyDescent="0.3">
      <c r="A682" s="35"/>
    </row>
    <row r="683" spans="1:1" hidden="1" x14ac:dyDescent="0.3">
      <c r="A683" s="35"/>
    </row>
    <row r="684" spans="1:1" hidden="1" x14ac:dyDescent="0.3">
      <c r="A684" s="35"/>
    </row>
    <row r="685" spans="1:1" hidden="1" x14ac:dyDescent="0.3">
      <c r="A685" s="35"/>
    </row>
    <row r="686" spans="1:1" hidden="1" x14ac:dyDescent="0.3">
      <c r="A686" s="35"/>
    </row>
    <row r="687" spans="1:1" hidden="1" x14ac:dyDescent="0.3">
      <c r="A687" s="35"/>
    </row>
    <row r="688" spans="1:1" hidden="1" x14ac:dyDescent="0.3">
      <c r="A688" s="35"/>
    </row>
    <row r="689" spans="1:1" hidden="1" x14ac:dyDescent="0.3">
      <c r="A689" s="35"/>
    </row>
    <row r="690" spans="1:1" hidden="1" x14ac:dyDescent="0.3">
      <c r="A690" s="35"/>
    </row>
    <row r="691" spans="1:1" hidden="1" x14ac:dyDescent="0.3">
      <c r="A691" s="35"/>
    </row>
    <row r="692" spans="1:1" hidden="1" x14ac:dyDescent="0.3">
      <c r="A692" s="35"/>
    </row>
    <row r="693" spans="1:1" hidden="1" x14ac:dyDescent="0.3">
      <c r="A693" s="35"/>
    </row>
    <row r="694" spans="1:1" hidden="1" x14ac:dyDescent="0.3">
      <c r="A694" s="35"/>
    </row>
    <row r="695" spans="1:1" hidden="1" x14ac:dyDescent="0.3">
      <c r="A695" s="35"/>
    </row>
    <row r="696" spans="1:1" hidden="1" x14ac:dyDescent="0.3">
      <c r="A696" s="35"/>
    </row>
    <row r="697" spans="1:1" hidden="1" x14ac:dyDescent="0.3">
      <c r="A697" s="35"/>
    </row>
    <row r="698" spans="1:1" hidden="1" x14ac:dyDescent="0.3">
      <c r="A698" s="35"/>
    </row>
    <row r="699" spans="1:1" hidden="1" x14ac:dyDescent="0.3">
      <c r="A699" s="35"/>
    </row>
    <row r="700" spans="1:1" hidden="1" x14ac:dyDescent="0.3">
      <c r="A700" s="35"/>
    </row>
    <row r="701" spans="1:1" hidden="1" x14ac:dyDescent="0.3">
      <c r="A701" s="35"/>
    </row>
    <row r="702" spans="1:1" hidden="1" x14ac:dyDescent="0.3">
      <c r="A702" s="35"/>
    </row>
    <row r="703" spans="1:1" hidden="1" x14ac:dyDescent="0.3">
      <c r="A703" s="35"/>
    </row>
    <row r="704" spans="1:1" hidden="1" x14ac:dyDescent="0.3">
      <c r="A704" s="35"/>
    </row>
    <row r="705" spans="1:1" hidden="1" x14ac:dyDescent="0.3">
      <c r="A705" s="35"/>
    </row>
    <row r="706" spans="1:1" hidden="1" x14ac:dyDescent="0.3">
      <c r="A706" s="35"/>
    </row>
    <row r="707" spans="1:1" hidden="1" x14ac:dyDescent="0.3">
      <c r="A707" s="35"/>
    </row>
    <row r="708" spans="1:1" hidden="1" x14ac:dyDescent="0.3">
      <c r="A708" s="35"/>
    </row>
    <row r="709" spans="1:1" hidden="1" x14ac:dyDescent="0.3">
      <c r="A709" s="35"/>
    </row>
    <row r="710" spans="1:1" hidden="1" x14ac:dyDescent="0.3">
      <c r="A710" s="35"/>
    </row>
    <row r="711" spans="1:1" hidden="1" x14ac:dyDescent="0.3">
      <c r="A711" s="35"/>
    </row>
    <row r="712" spans="1:1" hidden="1" x14ac:dyDescent="0.3">
      <c r="A712" s="35"/>
    </row>
    <row r="713" spans="1:1" hidden="1" x14ac:dyDescent="0.3">
      <c r="A713" s="35"/>
    </row>
    <row r="714" spans="1:1" hidden="1" x14ac:dyDescent="0.3">
      <c r="A714" s="35"/>
    </row>
    <row r="715" spans="1:1" hidden="1" x14ac:dyDescent="0.3">
      <c r="A715" s="35"/>
    </row>
    <row r="716" spans="1:1" hidden="1" x14ac:dyDescent="0.3">
      <c r="A716" s="35"/>
    </row>
    <row r="717" spans="1:1" hidden="1" x14ac:dyDescent="0.3">
      <c r="A717" s="35"/>
    </row>
    <row r="718" spans="1:1" hidden="1" x14ac:dyDescent="0.3">
      <c r="A718" s="35"/>
    </row>
    <row r="719" spans="1:1" hidden="1" x14ac:dyDescent="0.3">
      <c r="A719" s="35"/>
    </row>
    <row r="720" spans="1:1" hidden="1" x14ac:dyDescent="0.3">
      <c r="A720" s="35"/>
    </row>
    <row r="721" spans="1:1" hidden="1" x14ac:dyDescent="0.3">
      <c r="A721" s="35"/>
    </row>
    <row r="722" spans="1:1" hidden="1" x14ac:dyDescent="0.3">
      <c r="A722" s="35"/>
    </row>
    <row r="723" spans="1:1" hidden="1" x14ac:dyDescent="0.3">
      <c r="A723" s="35"/>
    </row>
    <row r="724" spans="1:1" hidden="1" x14ac:dyDescent="0.3">
      <c r="A724" s="35"/>
    </row>
    <row r="725" spans="1:1" hidden="1" x14ac:dyDescent="0.3">
      <c r="A725" s="35"/>
    </row>
    <row r="726" spans="1:1" hidden="1" x14ac:dyDescent="0.3">
      <c r="A726" s="35"/>
    </row>
    <row r="727" spans="1:1" hidden="1" x14ac:dyDescent="0.3">
      <c r="A727" s="35"/>
    </row>
    <row r="728" spans="1:1" hidden="1" x14ac:dyDescent="0.3">
      <c r="A728" s="35"/>
    </row>
    <row r="729" spans="1:1" hidden="1" x14ac:dyDescent="0.3">
      <c r="A729" s="35"/>
    </row>
    <row r="730" spans="1:1" hidden="1" x14ac:dyDescent="0.3">
      <c r="A730" s="35"/>
    </row>
    <row r="731" spans="1:1" hidden="1" x14ac:dyDescent="0.3">
      <c r="A731" s="35"/>
    </row>
    <row r="732" spans="1:1" hidden="1" x14ac:dyDescent="0.3">
      <c r="A732" s="35"/>
    </row>
    <row r="733" spans="1:1" hidden="1" x14ac:dyDescent="0.3">
      <c r="A733" s="35"/>
    </row>
    <row r="734" spans="1:1" hidden="1" x14ac:dyDescent="0.3">
      <c r="A734" s="35"/>
    </row>
    <row r="735" spans="1:1" hidden="1" x14ac:dyDescent="0.3">
      <c r="A735" s="35"/>
    </row>
    <row r="736" spans="1:1" hidden="1" x14ac:dyDescent="0.3">
      <c r="A736" s="35"/>
    </row>
    <row r="737" spans="1:1" hidden="1" x14ac:dyDescent="0.3">
      <c r="A737" s="35"/>
    </row>
    <row r="738" spans="1:1" hidden="1" x14ac:dyDescent="0.3">
      <c r="A738" s="35"/>
    </row>
    <row r="739" spans="1:1" hidden="1" x14ac:dyDescent="0.3">
      <c r="A739" s="35"/>
    </row>
    <row r="740" spans="1:1" hidden="1" x14ac:dyDescent="0.3">
      <c r="A740" s="35"/>
    </row>
    <row r="741" spans="1:1" hidden="1" x14ac:dyDescent="0.3">
      <c r="A741" s="35"/>
    </row>
    <row r="742" spans="1:1" hidden="1" x14ac:dyDescent="0.3">
      <c r="A742" s="35"/>
    </row>
    <row r="743" spans="1:1" hidden="1" x14ac:dyDescent="0.3">
      <c r="A743" s="35"/>
    </row>
    <row r="744" spans="1:1" hidden="1" x14ac:dyDescent="0.3">
      <c r="A744" s="35"/>
    </row>
    <row r="745" spans="1:1" hidden="1" x14ac:dyDescent="0.3">
      <c r="A745" s="35"/>
    </row>
    <row r="746" spans="1:1" hidden="1" x14ac:dyDescent="0.3">
      <c r="A746" s="35"/>
    </row>
    <row r="747" spans="1:1" hidden="1" x14ac:dyDescent="0.3">
      <c r="A747" s="35"/>
    </row>
    <row r="748" spans="1:1" hidden="1" x14ac:dyDescent="0.3">
      <c r="A748" s="35"/>
    </row>
    <row r="749" spans="1:1" hidden="1" x14ac:dyDescent="0.3">
      <c r="A749" s="35"/>
    </row>
    <row r="750" spans="1:1" hidden="1" x14ac:dyDescent="0.3">
      <c r="A750" s="35"/>
    </row>
    <row r="751" spans="1:1" hidden="1" x14ac:dyDescent="0.3">
      <c r="A751" s="35"/>
    </row>
    <row r="752" spans="1:1" hidden="1" x14ac:dyDescent="0.3">
      <c r="A752" s="35"/>
    </row>
    <row r="753" spans="1:1" hidden="1" x14ac:dyDescent="0.3">
      <c r="A753" s="35"/>
    </row>
    <row r="754" spans="1:1" hidden="1" x14ac:dyDescent="0.3">
      <c r="A754" s="35"/>
    </row>
    <row r="755" spans="1:1" hidden="1" x14ac:dyDescent="0.3">
      <c r="A755" s="35"/>
    </row>
    <row r="756" spans="1:1" hidden="1" x14ac:dyDescent="0.3">
      <c r="A756" s="35"/>
    </row>
    <row r="757" spans="1:1" hidden="1" x14ac:dyDescent="0.3">
      <c r="A757" s="35"/>
    </row>
    <row r="758" spans="1:1" hidden="1" x14ac:dyDescent="0.3">
      <c r="A758" s="35"/>
    </row>
    <row r="759" spans="1:1" hidden="1" x14ac:dyDescent="0.3">
      <c r="A759" s="35"/>
    </row>
    <row r="760" spans="1:1" hidden="1" x14ac:dyDescent="0.3">
      <c r="A760" s="35"/>
    </row>
    <row r="761" spans="1:1" hidden="1" x14ac:dyDescent="0.3">
      <c r="A761" s="35"/>
    </row>
    <row r="762" spans="1:1" hidden="1" x14ac:dyDescent="0.3">
      <c r="A762" s="35"/>
    </row>
    <row r="763" spans="1:1" hidden="1" x14ac:dyDescent="0.3">
      <c r="A763" s="35"/>
    </row>
    <row r="764" spans="1:1" hidden="1" x14ac:dyDescent="0.3">
      <c r="A764" s="35"/>
    </row>
    <row r="765" spans="1:1" hidden="1" x14ac:dyDescent="0.3">
      <c r="A765" s="35"/>
    </row>
    <row r="766" spans="1:1" hidden="1" x14ac:dyDescent="0.3">
      <c r="A766" s="35"/>
    </row>
    <row r="767" spans="1:1" hidden="1" x14ac:dyDescent="0.3">
      <c r="A767" s="35"/>
    </row>
    <row r="768" spans="1:1" hidden="1" x14ac:dyDescent="0.3">
      <c r="A768" s="35"/>
    </row>
    <row r="769" spans="1:1" hidden="1" x14ac:dyDescent="0.3">
      <c r="A769" s="35"/>
    </row>
    <row r="770" spans="1:1" hidden="1" x14ac:dyDescent="0.3">
      <c r="A770" s="35"/>
    </row>
    <row r="771" spans="1:1" hidden="1" x14ac:dyDescent="0.3">
      <c r="A771" s="35"/>
    </row>
    <row r="772" spans="1:1" hidden="1" x14ac:dyDescent="0.3">
      <c r="A772" s="35"/>
    </row>
    <row r="773" spans="1:1" hidden="1" x14ac:dyDescent="0.3">
      <c r="A773" s="35"/>
    </row>
    <row r="774" spans="1:1" hidden="1" x14ac:dyDescent="0.3">
      <c r="A774" s="35"/>
    </row>
    <row r="775" spans="1:1" hidden="1" x14ac:dyDescent="0.3">
      <c r="A775" s="35"/>
    </row>
    <row r="776" spans="1:1" hidden="1" x14ac:dyDescent="0.3">
      <c r="A776" s="35"/>
    </row>
    <row r="777" spans="1:1" hidden="1" x14ac:dyDescent="0.3">
      <c r="A777" s="35"/>
    </row>
    <row r="778" spans="1:1" hidden="1" x14ac:dyDescent="0.3">
      <c r="A778" s="35"/>
    </row>
    <row r="779" spans="1:1" hidden="1" x14ac:dyDescent="0.3">
      <c r="A779" s="35"/>
    </row>
    <row r="780" spans="1:1" hidden="1" x14ac:dyDescent="0.3">
      <c r="A780" s="35"/>
    </row>
    <row r="781" spans="1:1" hidden="1" x14ac:dyDescent="0.3">
      <c r="A781" s="35"/>
    </row>
    <row r="782" spans="1:1" hidden="1" x14ac:dyDescent="0.3">
      <c r="A782" s="35"/>
    </row>
    <row r="783" spans="1:1" hidden="1" x14ac:dyDescent="0.3">
      <c r="A783" s="35"/>
    </row>
    <row r="784" spans="1:1" hidden="1" x14ac:dyDescent="0.3">
      <c r="A784" s="35"/>
    </row>
    <row r="785" spans="1:1" hidden="1" x14ac:dyDescent="0.3">
      <c r="A785" s="35"/>
    </row>
    <row r="786" spans="1:1" hidden="1" x14ac:dyDescent="0.3">
      <c r="A786" s="35"/>
    </row>
    <row r="787" spans="1:1" hidden="1" x14ac:dyDescent="0.3">
      <c r="A787" s="35"/>
    </row>
    <row r="788" spans="1:1" hidden="1" x14ac:dyDescent="0.3">
      <c r="A788" s="35"/>
    </row>
    <row r="789" spans="1:1" hidden="1" x14ac:dyDescent="0.3">
      <c r="A789" s="35"/>
    </row>
    <row r="790" spans="1:1" hidden="1" x14ac:dyDescent="0.3">
      <c r="A790" s="35"/>
    </row>
    <row r="791" spans="1:1" hidden="1" x14ac:dyDescent="0.3">
      <c r="A791" s="35"/>
    </row>
    <row r="792" spans="1:1" hidden="1" x14ac:dyDescent="0.3">
      <c r="A792" s="35"/>
    </row>
    <row r="793" spans="1:1" hidden="1" x14ac:dyDescent="0.3">
      <c r="A793" s="35"/>
    </row>
    <row r="794" spans="1:1" hidden="1" x14ac:dyDescent="0.3">
      <c r="A794" s="35"/>
    </row>
    <row r="795" spans="1:1" hidden="1" x14ac:dyDescent="0.3">
      <c r="A795" s="35"/>
    </row>
    <row r="796" spans="1:1" hidden="1" x14ac:dyDescent="0.3">
      <c r="A796" s="35"/>
    </row>
    <row r="797" spans="1:1" hidden="1" x14ac:dyDescent="0.3">
      <c r="A797" s="35"/>
    </row>
    <row r="798" spans="1:1" hidden="1" x14ac:dyDescent="0.3">
      <c r="A798" s="35"/>
    </row>
    <row r="799" spans="1:1" hidden="1" x14ac:dyDescent="0.3">
      <c r="A799" s="35"/>
    </row>
    <row r="800" spans="1:1" hidden="1" x14ac:dyDescent="0.3">
      <c r="A800" s="35"/>
    </row>
    <row r="801" spans="1:1" hidden="1" x14ac:dyDescent="0.3">
      <c r="A801" s="35"/>
    </row>
    <row r="802" spans="1:1" hidden="1" x14ac:dyDescent="0.3">
      <c r="A802" s="35"/>
    </row>
    <row r="803" spans="1:1" hidden="1" x14ac:dyDescent="0.3">
      <c r="A803" s="35"/>
    </row>
    <row r="804" spans="1:1" hidden="1" x14ac:dyDescent="0.3">
      <c r="A804" s="35"/>
    </row>
    <row r="805" spans="1:1" hidden="1" x14ac:dyDescent="0.3">
      <c r="A805" s="35"/>
    </row>
    <row r="806" spans="1:1" hidden="1" x14ac:dyDescent="0.3">
      <c r="A806" s="35"/>
    </row>
    <row r="807" spans="1:1" hidden="1" x14ac:dyDescent="0.3">
      <c r="A807" s="35"/>
    </row>
    <row r="808" spans="1:1" hidden="1" x14ac:dyDescent="0.3">
      <c r="A808" s="35"/>
    </row>
    <row r="809" spans="1:1" hidden="1" x14ac:dyDescent="0.3">
      <c r="A809" s="35"/>
    </row>
    <row r="810" spans="1:1" hidden="1" x14ac:dyDescent="0.3">
      <c r="A810" s="35"/>
    </row>
    <row r="811" spans="1:1" hidden="1" x14ac:dyDescent="0.3">
      <c r="A811" s="35"/>
    </row>
    <row r="812" spans="1:1" hidden="1" x14ac:dyDescent="0.3">
      <c r="A812" s="35"/>
    </row>
    <row r="813" spans="1:1" hidden="1" x14ac:dyDescent="0.3">
      <c r="A813" s="35"/>
    </row>
    <row r="814" spans="1:1" hidden="1" x14ac:dyDescent="0.3">
      <c r="A814" s="35"/>
    </row>
    <row r="815" spans="1:1" hidden="1" x14ac:dyDescent="0.3">
      <c r="A815" s="35"/>
    </row>
    <row r="816" spans="1:1" hidden="1" x14ac:dyDescent="0.3">
      <c r="A816" s="35"/>
    </row>
    <row r="817" spans="1:1" hidden="1" x14ac:dyDescent="0.3">
      <c r="A817" s="35"/>
    </row>
    <row r="818" spans="1:1" hidden="1" x14ac:dyDescent="0.3">
      <c r="A818" s="35"/>
    </row>
    <row r="819" spans="1:1" hidden="1" x14ac:dyDescent="0.3">
      <c r="A819" s="35"/>
    </row>
    <row r="820" spans="1:1" hidden="1" x14ac:dyDescent="0.3">
      <c r="A820" s="35"/>
    </row>
    <row r="821" spans="1:1" hidden="1" x14ac:dyDescent="0.3">
      <c r="A821" s="35"/>
    </row>
    <row r="822" spans="1:1" hidden="1" x14ac:dyDescent="0.3">
      <c r="A822" s="35"/>
    </row>
    <row r="823" spans="1:1" hidden="1" x14ac:dyDescent="0.3">
      <c r="A823" s="35"/>
    </row>
    <row r="824" spans="1:1" hidden="1" x14ac:dyDescent="0.3">
      <c r="A824" s="35"/>
    </row>
    <row r="825" spans="1:1" hidden="1" x14ac:dyDescent="0.3">
      <c r="A825" s="35"/>
    </row>
    <row r="826" spans="1:1" hidden="1" x14ac:dyDescent="0.3">
      <c r="A826" s="35"/>
    </row>
    <row r="827" spans="1:1" hidden="1" x14ac:dyDescent="0.3">
      <c r="A827" s="35"/>
    </row>
    <row r="828" spans="1:1" hidden="1" x14ac:dyDescent="0.3">
      <c r="A828" s="35"/>
    </row>
    <row r="829" spans="1:1" hidden="1" x14ac:dyDescent="0.3">
      <c r="A829" s="35"/>
    </row>
    <row r="830" spans="1:1" hidden="1" x14ac:dyDescent="0.3">
      <c r="A830" s="35"/>
    </row>
    <row r="831" spans="1:1" hidden="1" x14ac:dyDescent="0.3">
      <c r="A831" s="35"/>
    </row>
    <row r="832" spans="1:1" hidden="1" x14ac:dyDescent="0.3">
      <c r="A832" s="35"/>
    </row>
    <row r="833" spans="1:1" hidden="1" x14ac:dyDescent="0.3">
      <c r="A833" s="35"/>
    </row>
    <row r="834" spans="1:1" hidden="1" x14ac:dyDescent="0.3">
      <c r="A834" s="35"/>
    </row>
    <row r="835" spans="1:1" hidden="1" x14ac:dyDescent="0.3">
      <c r="A835" s="35"/>
    </row>
    <row r="836" spans="1:1" hidden="1" x14ac:dyDescent="0.3">
      <c r="A836" s="35"/>
    </row>
    <row r="837" spans="1:1" hidden="1" x14ac:dyDescent="0.3">
      <c r="A837" s="35"/>
    </row>
    <row r="838" spans="1:1" hidden="1" x14ac:dyDescent="0.3">
      <c r="A838" s="35"/>
    </row>
    <row r="839" spans="1:1" hidden="1" x14ac:dyDescent="0.3">
      <c r="A839" s="35"/>
    </row>
    <row r="840" spans="1:1" hidden="1" x14ac:dyDescent="0.3">
      <c r="A840" s="35"/>
    </row>
    <row r="841" spans="1:1" hidden="1" x14ac:dyDescent="0.3">
      <c r="A841" s="35"/>
    </row>
    <row r="842" spans="1:1" hidden="1" x14ac:dyDescent="0.3">
      <c r="A842" s="35"/>
    </row>
    <row r="843" spans="1:1" hidden="1" x14ac:dyDescent="0.3">
      <c r="A843" s="35"/>
    </row>
    <row r="844" spans="1:1" hidden="1" x14ac:dyDescent="0.3">
      <c r="A844" s="35"/>
    </row>
    <row r="845" spans="1:1" hidden="1" x14ac:dyDescent="0.3">
      <c r="A845" s="35"/>
    </row>
    <row r="846" spans="1:1" hidden="1" x14ac:dyDescent="0.3">
      <c r="A846" s="35"/>
    </row>
    <row r="847" spans="1:1" hidden="1" x14ac:dyDescent="0.3">
      <c r="A847" s="35"/>
    </row>
    <row r="848" spans="1:1" hidden="1" x14ac:dyDescent="0.3">
      <c r="A848" s="35"/>
    </row>
    <row r="849" spans="1:1" hidden="1" x14ac:dyDescent="0.3">
      <c r="A849" s="35"/>
    </row>
    <row r="850" spans="1:1" hidden="1" x14ac:dyDescent="0.3">
      <c r="A850" s="35"/>
    </row>
    <row r="851" spans="1:1" hidden="1" x14ac:dyDescent="0.3">
      <c r="A851" s="35"/>
    </row>
    <row r="852" spans="1:1" hidden="1" x14ac:dyDescent="0.3">
      <c r="A852" s="35"/>
    </row>
    <row r="853" spans="1:1" hidden="1" x14ac:dyDescent="0.3">
      <c r="A853" s="35"/>
    </row>
    <row r="854" spans="1:1" hidden="1" x14ac:dyDescent="0.3">
      <c r="A854" s="35"/>
    </row>
    <row r="855" spans="1:1" hidden="1" x14ac:dyDescent="0.3">
      <c r="A855" s="35"/>
    </row>
    <row r="856" spans="1:1" hidden="1" x14ac:dyDescent="0.3">
      <c r="A856" s="35"/>
    </row>
    <row r="857" spans="1:1" hidden="1" x14ac:dyDescent="0.3">
      <c r="A857" s="35"/>
    </row>
    <row r="858" spans="1:1" hidden="1" x14ac:dyDescent="0.3">
      <c r="A858" s="35"/>
    </row>
    <row r="859" spans="1:1" hidden="1" x14ac:dyDescent="0.3">
      <c r="A859" s="35"/>
    </row>
    <row r="860" spans="1:1" hidden="1" x14ac:dyDescent="0.3">
      <c r="A860" s="35"/>
    </row>
    <row r="861" spans="1:1" hidden="1" x14ac:dyDescent="0.3">
      <c r="A861" s="35"/>
    </row>
    <row r="862" spans="1:1" hidden="1" x14ac:dyDescent="0.3">
      <c r="A862" s="35"/>
    </row>
    <row r="863" spans="1:1" hidden="1" x14ac:dyDescent="0.3">
      <c r="A863" s="35"/>
    </row>
    <row r="864" spans="1:1" hidden="1" x14ac:dyDescent="0.3">
      <c r="A864" s="35"/>
    </row>
    <row r="865" spans="1:1" hidden="1" x14ac:dyDescent="0.3">
      <c r="A865" s="35"/>
    </row>
    <row r="866" spans="1:1" hidden="1" x14ac:dyDescent="0.3">
      <c r="A866" s="35"/>
    </row>
    <row r="867" spans="1:1" hidden="1" x14ac:dyDescent="0.3">
      <c r="A867" s="35"/>
    </row>
    <row r="868" spans="1:1" hidden="1" x14ac:dyDescent="0.3">
      <c r="A868" s="35"/>
    </row>
    <row r="869" spans="1:1" hidden="1" x14ac:dyDescent="0.3">
      <c r="A869" s="35"/>
    </row>
    <row r="870" spans="1:1" hidden="1" x14ac:dyDescent="0.3">
      <c r="A870" s="35"/>
    </row>
    <row r="871" spans="1:1" hidden="1" x14ac:dyDescent="0.3">
      <c r="A871" s="35"/>
    </row>
    <row r="872" spans="1:1" hidden="1" x14ac:dyDescent="0.3">
      <c r="A872" s="35"/>
    </row>
    <row r="873" spans="1:1" hidden="1" x14ac:dyDescent="0.3">
      <c r="A873" s="35"/>
    </row>
    <row r="874" spans="1:1" hidden="1" x14ac:dyDescent="0.3">
      <c r="A874" s="35"/>
    </row>
    <row r="875" spans="1:1" hidden="1" x14ac:dyDescent="0.3">
      <c r="A875" s="35"/>
    </row>
    <row r="876" spans="1:1" hidden="1" x14ac:dyDescent="0.3">
      <c r="A876" s="35"/>
    </row>
    <row r="877" spans="1:1" hidden="1" x14ac:dyDescent="0.3">
      <c r="A877" s="35"/>
    </row>
    <row r="878" spans="1:1" hidden="1" x14ac:dyDescent="0.3">
      <c r="A878" s="35"/>
    </row>
    <row r="879" spans="1:1" hidden="1" x14ac:dyDescent="0.3">
      <c r="A879" s="35"/>
    </row>
    <row r="880" spans="1:1" hidden="1" x14ac:dyDescent="0.3">
      <c r="A880" s="35"/>
    </row>
    <row r="881" spans="1:1" hidden="1" x14ac:dyDescent="0.3">
      <c r="A881" s="35"/>
    </row>
    <row r="882" spans="1:1" hidden="1" x14ac:dyDescent="0.3">
      <c r="A882" s="35"/>
    </row>
    <row r="883" spans="1:1" hidden="1" x14ac:dyDescent="0.3">
      <c r="A883" s="35"/>
    </row>
    <row r="884" spans="1:1" hidden="1" x14ac:dyDescent="0.3">
      <c r="A884" s="35"/>
    </row>
    <row r="885" spans="1:1" hidden="1" x14ac:dyDescent="0.3">
      <c r="A885" s="35"/>
    </row>
    <row r="886" spans="1:1" hidden="1" x14ac:dyDescent="0.3">
      <c r="A886" s="35"/>
    </row>
    <row r="887" spans="1:1" hidden="1" x14ac:dyDescent="0.3">
      <c r="A887" s="35"/>
    </row>
    <row r="888" spans="1:1" hidden="1" x14ac:dyDescent="0.3">
      <c r="A888" s="35"/>
    </row>
    <row r="889" spans="1:1" hidden="1" x14ac:dyDescent="0.3">
      <c r="A889" s="35"/>
    </row>
    <row r="890" spans="1:1" hidden="1" x14ac:dyDescent="0.3">
      <c r="A890" s="35"/>
    </row>
    <row r="891" spans="1:1" hidden="1" x14ac:dyDescent="0.3">
      <c r="A891" s="35"/>
    </row>
    <row r="892" spans="1:1" hidden="1" x14ac:dyDescent="0.3">
      <c r="A892" s="35"/>
    </row>
    <row r="893" spans="1:1" hidden="1" x14ac:dyDescent="0.3">
      <c r="A893" s="35"/>
    </row>
    <row r="894" spans="1:1" hidden="1" x14ac:dyDescent="0.3">
      <c r="A894" s="35"/>
    </row>
    <row r="895" spans="1:1" hidden="1" x14ac:dyDescent="0.3">
      <c r="A895" s="35"/>
    </row>
    <row r="896" spans="1:1" hidden="1" x14ac:dyDescent="0.3">
      <c r="A896" s="35"/>
    </row>
    <row r="897" spans="1:1" hidden="1" x14ac:dyDescent="0.3">
      <c r="A897" s="35"/>
    </row>
    <row r="898" spans="1:1" hidden="1" x14ac:dyDescent="0.3">
      <c r="A898" s="35"/>
    </row>
    <row r="899" spans="1:1" hidden="1" x14ac:dyDescent="0.3">
      <c r="A899" s="35"/>
    </row>
    <row r="900" spans="1:1" hidden="1" x14ac:dyDescent="0.3">
      <c r="A900" s="35"/>
    </row>
    <row r="901" spans="1:1" hidden="1" x14ac:dyDescent="0.3">
      <c r="A901" s="35"/>
    </row>
    <row r="902" spans="1:1" hidden="1" x14ac:dyDescent="0.3">
      <c r="A902" s="35"/>
    </row>
    <row r="903" spans="1:1" hidden="1" x14ac:dyDescent="0.3">
      <c r="A903" s="35"/>
    </row>
    <row r="904" spans="1:1" hidden="1" x14ac:dyDescent="0.3">
      <c r="A904" s="35"/>
    </row>
    <row r="905" spans="1:1" hidden="1" x14ac:dyDescent="0.3">
      <c r="A905" s="35"/>
    </row>
    <row r="906" spans="1:1" hidden="1" x14ac:dyDescent="0.3">
      <c r="A906" s="35"/>
    </row>
    <row r="907" spans="1:1" hidden="1" x14ac:dyDescent="0.3">
      <c r="A907" s="35"/>
    </row>
    <row r="908" spans="1:1" hidden="1" x14ac:dyDescent="0.3">
      <c r="A908" s="35"/>
    </row>
    <row r="909" spans="1:1" hidden="1" x14ac:dyDescent="0.3">
      <c r="A909" s="35"/>
    </row>
    <row r="910" spans="1:1" hidden="1" x14ac:dyDescent="0.3">
      <c r="A910" s="35"/>
    </row>
    <row r="911" spans="1:1" hidden="1" x14ac:dyDescent="0.3">
      <c r="A911" s="35"/>
    </row>
    <row r="912" spans="1:1" hidden="1" x14ac:dyDescent="0.3">
      <c r="A912" s="35"/>
    </row>
    <row r="913" spans="1:1" hidden="1" x14ac:dyDescent="0.3">
      <c r="A913" s="35"/>
    </row>
    <row r="914" spans="1:1" hidden="1" x14ac:dyDescent="0.3">
      <c r="A914" s="35"/>
    </row>
    <row r="915" spans="1:1" hidden="1" x14ac:dyDescent="0.3">
      <c r="A915" s="35"/>
    </row>
    <row r="916" spans="1:1" hidden="1" x14ac:dyDescent="0.3">
      <c r="A916" s="35"/>
    </row>
    <row r="917" spans="1:1" hidden="1" x14ac:dyDescent="0.3">
      <c r="A917" s="35"/>
    </row>
    <row r="918" spans="1:1" hidden="1" x14ac:dyDescent="0.3">
      <c r="A918" s="35"/>
    </row>
    <row r="919" spans="1:1" hidden="1" x14ac:dyDescent="0.3">
      <c r="A919" s="35"/>
    </row>
    <row r="920" spans="1:1" hidden="1" x14ac:dyDescent="0.3">
      <c r="A920" s="35"/>
    </row>
    <row r="921" spans="1:1" hidden="1" x14ac:dyDescent="0.3">
      <c r="A921" s="35"/>
    </row>
    <row r="922" spans="1:1" hidden="1" x14ac:dyDescent="0.3">
      <c r="A922" s="35"/>
    </row>
    <row r="923" spans="1:1" hidden="1" x14ac:dyDescent="0.3">
      <c r="A923" s="35"/>
    </row>
    <row r="924" spans="1:1" hidden="1" x14ac:dyDescent="0.3">
      <c r="A924" s="35"/>
    </row>
    <row r="925" spans="1:1" hidden="1" x14ac:dyDescent="0.3">
      <c r="A925" s="35"/>
    </row>
    <row r="926" spans="1:1" hidden="1" x14ac:dyDescent="0.3">
      <c r="A926" s="35"/>
    </row>
    <row r="927" spans="1:1" hidden="1" x14ac:dyDescent="0.3">
      <c r="A927" s="35"/>
    </row>
    <row r="928" spans="1:1" hidden="1" x14ac:dyDescent="0.3">
      <c r="A928" s="35"/>
    </row>
    <row r="929" spans="1:1" hidden="1" x14ac:dyDescent="0.3">
      <c r="A929" s="35"/>
    </row>
    <row r="930" spans="1:1" hidden="1" x14ac:dyDescent="0.3">
      <c r="A930" s="35"/>
    </row>
    <row r="931" spans="1:1" hidden="1" x14ac:dyDescent="0.3">
      <c r="A931" s="35"/>
    </row>
    <row r="932" spans="1:1" hidden="1" x14ac:dyDescent="0.3">
      <c r="A932" s="35"/>
    </row>
    <row r="933" spans="1:1" hidden="1" x14ac:dyDescent="0.3">
      <c r="A933" s="35"/>
    </row>
    <row r="934" spans="1:1" hidden="1" x14ac:dyDescent="0.3">
      <c r="A934" s="35"/>
    </row>
    <row r="935" spans="1:1" hidden="1" x14ac:dyDescent="0.3">
      <c r="A935" s="35"/>
    </row>
    <row r="936" spans="1:1" hidden="1" x14ac:dyDescent="0.3">
      <c r="A936" s="35"/>
    </row>
    <row r="937" spans="1:1" hidden="1" x14ac:dyDescent="0.3">
      <c r="A937" s="35"/>
    </row>
    <row r="938" spans="1:1" hidden="1" x14ac:dyDescent="0.3">
      <c r="A938" s="35"/>
    </row>
    <row r="939" spans="1:1" hidden="1" x14ac:dyDescent="0.3">
      <c r="A939" s="35"/>
    </row>
    <row r="940" spans="1:1" hidden="1" x14ac:dyDescent="0.3">
      <c r="A940" s="35"/>
    </row>
    <row r="941" spans="1:1" hidden="1" x14ac:dyDescent="0.3">
      <c r="A941" s="35"/>
    </row>
    <row r="942" spans="1:1" hidden="1" x14ac:dyDescent="0.3">
      <c r="A942" s="35"/>
    </row>
    <row r="943" spans="1:1" hidden="1" x14ac:dyDescent="0.3">
      <c r="A943" s="35"/>
    </row>
    <row r="944" spans="1:1" hidden="1" x14ac:dyDescent="0.3">
      <c r="A944" s="35"/>
    </row>
    <row r="945" spans="1:1" hidden="1" x14ac:dyDescent="0.3">
      <c r="A945" s="35"/>
    </row>
    <row r="946" spans="1:1" hidden="1" x14ac:dyDescent="0.3">
      <c r="A946" s="35"/>
    </row>
    <row r="947" spans="1:1" hidden="1" x14ac:dyDescent="0.3">
      <c r="A947" s="35"/>
    </row>
    <row r="948" spans="1:1" hidden="1" x14ac:dyDescent="0.3">
      <c r="A948" s="35"/>
    </row>
    <row r="949" spans="1:1" hidden="1" x14ac:dyDescent="0.3">
      <c r="A949" s="35"/>
    </row>
    <row r="950" spans="1:1" hidden="1" x14ac:dyDescent="0.3">
      <c r="A950" s="35"/>
    </row>
    <row r="951" spans="1:1" hidden="1" x14ac:dyDescent="0.3">
      <c r="A951" s="35"/>
    </row>
    <row r="952" spans="1:1" hidden="1" x14ac:dyDescent="0.3">
      <c r="A952" s="35"/>
    </row>
    <row r="953" spans="1:1" hidden="1" x14ac:dyDescent="0.3">
      <c r="A953" s="35"/>
    </row>
    <row r="954" spans="1:1" hidden="1" x14ac:dyDescent="0.3">
      <c r="A954" s="35"/>
    </row>
    <row r="955" spans="1:1" hidden="1" x14ac:dyDescent="0.3">
      <c r="A955" s="35"/>
    </row>
    <row r="956" spans="1:1" hidden="1" x14ac:dyDescent="0.3">
      <c r="A956" s="35"/>
    </row>
    <row r="957" spans="1:1" hidden="1" x14ac:dyDescent="0.3">
      <c r="A957" s="35"/>
    </row>
    <row r="958" spans="1:1" hidden="1" x14ac:dyDescent="0.3">
      <c r="A958" s="35"/>
    </row>
    <row r="959" spans="1:1" hidden="1" x14ac:dyDescent="0.3">
      <c r="A959" s="35"/>
    </row>
    <row r="960" spans="1:1" hidden="1" x14ac:dyDescent="0.3">
      <c r="A960" s="35"/>
    </row>
    <row r="961" spans="1:1" hidden="1" x14ac:dyDescent="0.3">
      <c r="A961" s="35"/>
    </row>
    <row r="962" spans="1:1" hidden="1" x14ac:dyDescent="0.3">
      <c r="A962" s="35"/>
    </row>
    <row r="963" spans="1:1" hidden="1" x14ac:dyDescent="0.3">
      <c r="A963" s="35"/>
    </row>
    <row r="964" spans="1:1" hidden="1" x14ac:dyDescent="0.3">
      <c r="A964" s="35"/>
    </row>
    <row r="965" spans="1:1" hidden="1" x14ac:dyDescent="0.3">
      <c r="A965" s="35"/>
    </row>
    <row r="966" spans="1:1" hidden="1" x14ac:dyDescent="0.3">
      <c r="A966" s="35"/>
    </row>
    <row r="967" spans="1:1" hidden="1" x14ac:dyDescent="0.3">
      <c r="A967" s="35"/>
    </row>
    <row r="968" spans="1:1" hidden="1" x14ac:dyDescent="0.3">
      <c r="A968" s="35"/>
    </row>
    <row r="969" spans="1:1" hidden="1" x14ac:dyDescent="0.3">
      <c r="A969" s="35"/>
    </row>
    <row r="970" spans="1:1" hidden="1" x14ac:dyDescent="0.3">
      <c r="A970" s="35"/>
    </row>
    <row r="971" spans="1:1" hidden="1" x14ac:dyDescent="0.3">
      <c r="A971" s="35"/>
    </row>
    <row r="972" spans="1:1" hidden="1" x14ac:dyDescent="0.3">
      <c r="A972" s="35"/>
    </row>
    <row r="973" spans="1:1" hidden="1" x14ac:dyDescent="0.3">
      <c r="A973" s="35"/>
    </row>
    <row r="974" spans="1:1" hidden="1" x14ac:dyDescent="0.3">
      <c r="A974" s="35"/>
    </row>
    <row r="975" spans="1:1" hidden="1" x14ac:dyDescent="0.3">
      <c r="A975" s="35"/>
    </row>
    <row r="976" spans="1:1" hidden="1" x14ac:dyDescent="0.3">
      <c r="A976" s="35"/>
    </row>
    <row r="977" spans="1:1" hidden="1" x14ac:dyDescent="0.3">
      <c r="A977" s="35"/>
    </row>
    <row r="978" spans="1:1" hidden="1" x14ac:dyDescent="0.3">
      <c r="A978" s="35"/>
    </row>
    <row r="979" spans="1:1" hidden="1" x14ac:dyDescent="0.3">
      <c r="A979" s="35"/>
    </row>
    <row r="980" spans="1:1" hidden="1" x14ac:dyDescent="0.3">
      <c r="A980" s="35"/>
    </row>
    <row r="981" spans="1:1" hidden="1" x14ac:dyDescent="0.3">
      <c r="A981" s="35"/>
    </row>
    <row r="982" spans="1:1" hidden="1" x14ac:dyDescent="0.3">
      <c r="A982" s="35"/>
    </row>
    <row r="983" spans="1:1" hidden="1" x14ac:dyDescent="0.3">
      <c r="A983" s="35"/>
    </row>
    <row r="984" spans="1:1" hidden="1" x14ac:dyDescent="0.3">
      <c r="A984" s="35"/>
    </row>
    <row r="985" spans="1:1" hidden="1" x14ac:dyDescent="0.3">
      <c r="A985" s="35"/>
    </row>
    <row r="986" spans="1:1" hidden="1" x14ac:dyDescent="0.3">
      <c r="A986" s="35"/>
    </row>
    <row r="987" spans="1:1" hidden="1" x14ac:dyDescent="0.3">
      <c r="A987" s="35"/>
    </row>
    <row r="988" spans="1:1" hidden="1" x14ac:dyDescent="0.3">
      <c r="A988" s="35"/>
    </row>
    <row r="989" spans="1:1" hidden="1" x14ac:dyDescent="0.3">
      <c r="A989" s="35"/>
    </row>
    <row r="990" spans="1:1" hidden="1" x14ac:dyDescent="0.3">
      <c r="A990" s="35"/>
    </row>
    <row r="991" spans="1:1" hidden="1" x14ac:dyDescent="0.3">
      <c r="A991" s="35"/>
    </row>
    <row r="992" spans="1:1" hidden="1" x14ac:dyDescent="0.3">
      <c r="A992" s="35"/>
    </row>
    <row r="993" spans="1:1" hidden="1" x14ac:dyDescent="0.3">
      <c r="A993" s="35"/>
    </row>
    <row r="994" spans="1:1" hidden="1" x14ac:dyDescent="0.3">
      <c r="A994" s="35"/>
    </row>
    <row r="995" spans="1:1" hidden="1" x14ac:dyDescent="0.3">
      <c r="A995" s="35"/>
    </row>
    <row r="996" spans="1:1" hidden="1" x14ac:dyDescent="0.3">
      <c r="A996" s="35"/>
    </row>
    <row r="997" spans="1:1" hidden="1" x14ac:dyDescent="0.3">
      <c r="A997" s="35"/>
    </row>
    <row r="998" spans="1:1" hidden="1" x14ac:dyDescent="0.3">
      <c r="A998" s="35"/>
    </row>
    <row r="999" spans="1:1" hidden="1" x14ac:dyDescent="0.3">
      <c r="A999" s="35"/>
    </row>
    <row r="1000" spans="1:1" hidden="1" x14ac:dyDescent="0.3">
      <c r="A1000" s="35"/>
    </row>
    <row r="1001" spans="1:1" hidden="1" x14ac:dyDescent="0.3">
      <c r="A1001" s="35"/>
    </row>
    <row r="1002" spans="1:1" hidden="1" x14ac:dyDescent="0.3">
      <c r="A1002" s="35"/>
    </row>
    <row r="1003" spans="1:1" hidden="1" x14ac:dyDescent="0.3">
      <c r="A1003" s="35"/>
    </row>
    <row r="1004" spans="1:1" hidden="1" x14ac:dyDescent="0.3">
      <c r="A1004" s="35"/>
    </row>
    <row r="1005" spans="1:1" hidden="1" x14ac:dyDescent="0.3">
      <c r="A1005" s="35"/>
    </row>
    <row r="1006" spans="1:1" hidden="1" x14ac:dyDescent="0.3">
      <c r="A1006" s="35"/>
    </row>
  </sheetData>
  <sheetProtection algorithmName="SHA-512" hashValue="JeqYhixXcnipAmaGDkdxe71kSwX20KhjIuE5HtLsGxjwUH+Szp7oq62WvCEUCAVXvrUARm1s5DtaAjvE5GUOFQ==" saltValue="3IJU0MDCrwuHIz55z+qqjw==" spinCount="100000" sheet="1" objects="1" scenarios="1" formatCells="0" formatRows="0" insertRows="0" deleteRows="0" selectLockedCells="1" sort="0" autoFilter="0"/>
  <autoFilter ref="A6:C1006">
    <filterColumn colId="1">
      <customFilters>
        <customFilter val="*창의성*"/>
      </customFilters>
    </filterColumn>
  </autoFilter>
  <mergeCells count="1">
    <mergeCell ref="A1:C1"/>
  </mergeCells>
  <phoneticPr fontId="18" type="noConversion"/>
  <dataValidations count="2">
    <dataValidation type="list" allowBlank="1" showInputMessage="1" showErrorMessage="1" sqref="B2">
      <formula1>이름</formula1>
    </dataValidation>
    <dataValidation type="whole" allowBlank="1" showInputMessage="1" showErrorMessage="1" sqref="B4">
      <formula1>101</formula1>
      <formula2>1000</formula2>
    </dataValidation>
  </dataValidations>
  <pageMargins left="0.7086111307144165" right="0.7086111307144165" top="0.55111110210418701" bottom="0.55111110210418701" header="0.31486111879348755" footer="0.31486111879348755"/>
  <pageSetup paperSize="9" scale="6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rgb="FF92D050"/>
  </sheetPr>
  <dimension ref="A1:C1007"/>
  <sheetViews>
    <sheetView view="pageBreakPreview" zoomScale="80" zoomScaleNormal="100" zoomScaleSheetLayoutView="80" workbookViewId="0">
      <pane ySplit="6" topLeftCell="A7" activePane="bottomLeft" state="frozen"/>
      <selection pane="bottomLeft" activeCell="C217" sqref="C217"/>
    </sheetView>
  </sheetViews>
  <sheetFormatPr defaultColWidth="8.75" defaultRowHeight="16.5" x14ac:dyDescent="0.3"/>
  <cols>
    <col min="1" max="1" width="11.5" style="8" customWidth="1"/>
    <col min="2" max="2" width="25.375" style="32" customWidth="1"/>
    <col min="3" max="3" width="91.25" style="9" customWidth="1"/>
    <col min="4" max="16384" width="8.75" style="9"/>
  </cols>
  <sheetData>
    <row r="1" spans="1:3" s="14" customFormat="1" ht="45" customHeight="1" x14ac:dyDescent="0.3">
      <c r="A1" s="86" t="s">
        <v>803</v>
      </c>
      <c r="B1" s="86"/>
      <c r="C1" s="86"/>
    </row>
    <row r="2" spans="1:3" s="14" customFormat="1" ht="30" customHeight="1" x14ac:dyDescent="0.3">
      <c r="A2" s="54" t="s">
        <v>667</v>
      </c>
      <c r="B2" s="68" t="s">
        <v>641</v>
      </c>
      <c r="C2" s="55" t="s">
        <v>433</v>
      </c>
    </row>
    <row r="3" spans="1:3" s="14" customFormat="1" ht="34.5" customHeight="1" x14ac:dyDescent="0.3">
      <c r="A3" s="56" t="s">
        <v>699</v>
      </c>
      <c r="B3" s="33">
        <f>VLOOKUP(B2,코드테이블,4,0)</f>
        <v>103</v>
      </c>
      <c r="C3" s="57" t="str">
        <f>VLOOKUP(B3,인성B코드,3)</f>
        <v xml:space="preserve">갈등 상황에서 자신의 생각을 표현하기 보다 혼자만의 시간을 갖는 경우가 많아 자신의 감정을 효과적으로 표현하는 능력을 기를 필요가 있음. </v>
      </c>
    </row>
    <row r="4" spans="1:3" s="14" customFormat="1" ht="34.5" customHeight="1" x14ac:dyDescent="0.3">
      <c r="A4" s="58" t="s">
        <v>684</v>
      </c>
      <c r="B4" s="69">
        <v>103</v>
      </c>
      <c r="C4" s="59" t="str">
        <f>VLOOKUP(B4,인성B코드,3,0)</f>
        <v xml:space="preserve">갈등 상황에서 자신의 생각을 표현하기 보다 혼자만의 시간을 갖는 경우가 많아 자신의 감정을 효과적으로 표현하는 능력을 기를 필요가 있음. </v>
      </c>
    </row>
    <row r="5" spans="1:3" s="14" customFormat="1" ht="7.5" customHeight="1" x14ac:dyDescent="0.3">
      <c r="A5" s="16"/>
      <c r="B5" s="30"/>
      <c r="C5" s="17"/>
    </row>
    <row r="6" spans="1:3" s="14" customFormat="1" ht="29.25" customHeight="1" x14ac:dyDescent="0.3">
      <c r="A6" s="46" t="s">
        <v>441</v>
      </c>
      <c r="B6" s="47" t="s">
        <v>429</v>
      </c>
      <c r="C6" s="46" t="s">
        <v>433</v>
      </c>
    </row>
    <row r="7" spans="1:3" ht="51.75" hidden="1" x14ac:dyDescent="0.3">
      <c r="A7" s="74">
        <v>101</v>
      </c>
      <c r="B7" s="75" t="s">
        <v>600</v>
      </c>
      <c r="C7" s="73" t="s">
        <v>839</v>
      </c>
    </row>
    <row r="8" spans="1:3" ht="17.25" hidden="1" x14ac:dyDescent="0.3">
      <c r="A8" s="74">
        <v>102</v>
      </c>
      <c r="B8" s="75" t="s">
        <v>601</v>
      </c>
      <c r="C8" s="73" t="s">
        <v>840</v>
      </c>
    </row>
    <row r="9" spans="1:3" ht="34.5" hidden="1" x14ac:dyDescent="0.3">
      <c r="A9" s="74">
        <v>103</v>
      </c>
      <c r="B9" s="75" t="s">
        <v>668</v>
      </c>
      <c r="C9" s="73" t="s">
        <v>841</v>
      </c>
    </row>
    <row r="10" spans="1:3" ht="17.25" hidden="1" x14ac:dyDescent="0.3">
      <c r="A10" s="74">
        <v>104</v>
      </c>
      <c r="B10" s="75" t="s">
        <v>676</v>
      </c>
      <c r="C10" s="73" t="s">
        <v>842</v>
      </c>
    </row>
    <row r="11" spans="1:3" ht="17.25" hidden="1" x14ac:dyDescent="0.3">
      <c r="A11" s="74">
        <v>105</v>
      </c>
      <c r="B11" s="75" t="s">
        <v>669</v>
      </c>
      <c r="C11" s="73" t="s">
        <v>843</v>
      </c>
    </row>
    <row r="12" spans="1:3" ht="34.5" hidden="1" x14ac:dyDescent="0.3">
      <c r="A12" s="74">
        <v>106</v>
      </c>
      <c r="B12" s="75" t="s">
        <v>525</v>
      </c>
      <c r="C12" s="73" t="s">
        <v>844</v>
      </c>
    </row>
    <row r="13" spans="1:3" ht="17.25" hidden="1" x14ac:dyDescent="0.3">
      <c r="A13" s="74">
        <v>107</v>
      </c>
      <c r="B13" s="75" t="s">
        <v>685</v>
      </c>
      <c r="C13" s="73" t="s">
        <v>845</v>
      </c>
    </row>
    <row r="14" spans="1:3" ht="51.75" hidden="1" x14ac:dyDescent="0.3">
      <c r="A14" s="74">
        <v>108</v>
      </c>
      <c r="B14" s="75" t="s">
        <v>573</v>
      </c>
      <c r="C14" s="73" t="s">
        <v>846</v>
      </c>
    </row>
    <row r="15" spans="1:3" ht="34.5" hidden="1" x14ac:dyDescent="0.3">
      <c r="A15" s="74">
        <v>109</v>
      </c>
      <c r="B15" s="75" t="s">
        <v>602</v>
      </c>
      <c r="C15" s="73" t="s">
        <v>847</v>
      </c>
    </row>
    <row r="16" spans="1:3" ht="51.75" hidden="1" x14ac:dyDescent="0.3">
      <c r="A16" s="74">
        <v>110</v>
      </c>
      <c r="B16" s="75" t="s">
        <v>529</v>
      </c>
      <c r="C16" s="73" t="s">
        <v>848</v>
      </c>
    </row>
    <row r="17" spans="1:3" ht="51.75" hidden="1" x14ac:dyDescent="0.3">
      <c r="A17" s="74">
        <v>111</v>
      </c>
      <c r="B17" s="75" t="s">
        <v>603</v>
      </c>
      <c r="C17" s="73" t="s">
        <v>849</v>
      </c>
    </row>
    <row r="18" spans="1:3" ht="17.25" hidden="1" x14ac:dyDescent="0.3">
      <c r="A18" s="74">
        <v>112</v>
      </c>
      <c r="B18" s="75" t="s">
        <v>702</v>
      </c>
      <c r="C18" s="73" t="s">
        <v>779</v>
      </c>
    </row>
    <row r="19" spans="1:3" ht="17.25" hidden="1" x14ac:dyDescent="0.3">
      <c r="A19" s="74">
        <v>113</v>
      </c>
      <c r="B19" s="75" t="s">
        <v>698</v>
      </c>
      <c r="C19" s="73" t="s">
        <v>577</v>
      </c>
    </row>
    <row r="20" spans="1:3" ht="34.5" hidden="1" x14ac:dyDescent="0.3">
      <c r="A20" s="74">
        <v>114</v>
      </c>
      <c r="B20" s="75" t="s">
        <v>705</v>
      </c>
      <c r="C20" s="73" t="s">
        <v>850</v>
      </c>
    </row>
    <row r="21" spans="1:3" ht="17.25" hidden="1" x14ac:dyDescent="0.3">
      <c r="A21" s="74">
        <v>115</v>
      </c>
      <c r="B21" s="75" t="s">
        <v>697</v>
      </c>
      <c r="C21" s="73" t="s">
        <v>851</v>
      </c>
    </row>
    <row r="22" spans="1:3" ht="17.25" hidden="1" x14ac:dyDescent="0.3">
      <c r="A22" s="74">
        <v>116</v>
      </c>
      <c r="B22" s="75" t="s">
        <v>608</v>
      </c>
      <c r="C22" s="73" t="s">
        <v>852</v>
      </c>
    </row>
    <row r="23" spans="1:3" ht="17.25" hidden="1" x14ac:dyDescent="0.3">
      <c r="A23" s="74">
        <v>117</v>
      </c>
      <c r="B23" s="75" t="s">
        <v>680</v>
      </c>
      <c r="C23" s="73" t="s">
        <v>853</v>
      </c>
    </row>
    <row r="24" spans="1:3" ht="34.5" hidden="1" x14ac:dyDescent="0.3">
      <c r="A24" s="74">
        <v>118</v>
      </c>
      <c r="B24" s="75" t="s">
        <v>537</v>
      </c>
      <c r="C24" s="73" t="s">
        <v>854</v>
      </c>
    </row>
    <row r="25" spans="1:3" ht="17.25" hidden="1" x14ac:dyDescent="0.3">
      <c r="A25" s="74">
        <v>119</v>
      </c>
      <c r="B25" s="75" t="s">
        <v>611</v>
      </c>
      <c r="C25" s="73" t="s">
        <v>855</v>
      </c>
    </row>
    <row r="26" spans="1:3" ht="17.25" hidden="1" x14ac:dyDescent="0.3">
      <c r="A26" s="74">
        <v>120</v>
      </c>
      <c r="B26" s="75" t="s">
        <v>609</v>
      </c>
      <c r="C26" s="73" t="s">
        <v>856</v>
      </c>
    </row>
    <row r="27" spans="1:3" ht="17.25" hidden="1" x14ac:dyDescent="0.3">
      <c r="A27" s="74">
        <v>121</v>
      </c>
      <c r="B27" s="75" t="s">
        <v>606</v>
      </c>
      <c r="C27" s="73" t="s">
        <v>176</v>
      </c>
    </row>
    <row r="28" spans="1:3" ht="17.25" hidden="1" x14ac:dyDescent="0.3">
      <c r="A28" s="74">
        <v>122</v>
      </c>
      <c r="B28" s="75" t="s">
        <v>694</v>
      </c>
      <c r="C28" s="73" t="s">
        <v>857</v>
      </c>
    </row>
    <row r="29" spans="1:3" ht="34.5" hidden="1" x14ac:dyDescent="0.3">
      <c r="A29" s="74">
        <v>123</v>
      </c>
      <c r="B29" s="75" t="s">
        <v>610</v>
      </c>
      <c r="C29" s="73" t="s">
        <v>858</v>
      </c>
    </row>
    <row r="30" spans="1:3" ht="17.25" hidden="1" x14ac:dyDescent="0.3">
      <c r="A30" s="74">
        <v>124</v>
      </c>
      <c r="B30" s="75" t="s">
        <v>605</v>
      </c>
      <c r="C30" s="73" t="s">
        <v>859</v>
      </c>
    </row>
    <row r="31" spans="1:3" ht="17.25" hidden="1" x14ac:dyDescent="0.3">
      <c r="A31" s="74">
        <v>125</v>
      </c>
      <c r="B31" s="75" t="s">
        <v>607</v>
      </c>
      <c r="C31" s="73" t="s">
        <v>860</v>
      </c>
    </row>
    <row r="32" spans="1:3" ht="34.5" hidden="1" x14ac:dyDescent="0.3">
      <c r="A32" s="74">
        <v>126</v>
      </c>
      <c r="B32" s="75" t="s">
        <v>536</v>
      </c>
      <c r="C32" s="73" t="s">
        <v>861</v>
      </c>
    </row>
    <row r="33" spans="1:3" ht="34.5" hidden="1" x14ac:dyDescent="0.3">
      <c r="A33" s="74">
        <v>127</v>
      </c>
      <c r="B33" s="75" t="s">
        <v>571</v>
      </c>
      <c r="C33" s="73" t="s">
        <v>116</v>
      </c>
    </row>
    <row r="34" spans="1:3" ht="34.5" hidden="1" x14ac:dyDescent="0.3">
      <c r="A34" s="74">
        <v>128</v>
      </c>
      <c r="B34" s="75" t="s">
        <v>604</v>
      </c>
      <c r="C34" s="73" t="s">
        <v>862</v>
      </c>
    </row>
    <row r="35" spans="1:3" ht="34.5" hidden="1" x14ac:dyDescent="0.3">
      <c r="A35" s="74">
        <v>129</v>
      </c>
      <c r="B35" s="75" t="s">
        <v>574</v>
      </c>
      <c r="C35" s="73" t="s">
        <v>863</v>
      </c>
    </row>
    <row r="36" spans="1:3" ht="34.5" hidden="1" x14ac:dyDescent="0.3">
      <c r="A36" s="74">
        <v>130</v>
      </c>
      <c r="B36" s="75" t="s">
        <v>532</v>
      </c>
      <c r="C36" s="73" t="s">
        <v>864</v>
      </c>
    </row>
    <row r="37" spans="1:3" ht="17.25" hidden="1" x14ac:dyDescent="0.3">
      <c r="A37" s="74">
        <v>131</v>
      </c>
      <c r="B37" s="75" t="s">
        <v>534</v>
      </c>
      <c r="C37" s="73" t="s">
        <v>726</v>
      </c>
    </row>
    <row r="38" spans="1:3" ht="34.5" hidden="1" x14ac:dyDescent="0.3">
      <c r="A38" s="74">
        <v>132</v>
      </c>
      <c r="B38" s="75" t="s">
        <v>538</v>
      </c>
      <c r="C38" s="73" t="s">
        <v>865</v>
      </c>
    </row>
    <row r="39" spans="1:3" ht="17.25" hidden="1" x14ac:dyDescent="0.3">
      <c r="A39" s="74">
        <v>133</v>
      </c>
      <c r="B39" s="75" t="s">
        <v>614</v>
      </c>
      <c r="C39" s="73" t="s">
        <v>498</v>
      </c>
    </row>
    <row r="40" spans="1:3" ht="17.25" hidden="1" x14ac:dyDescent="0.3">
      <c r="A40" s="74">
        <v>134</v>
      </c>
      <c r="B40" s="75" t="s">
        <v>612</v>
      </c>
      <c r="C40" s="73" t="s">
        <v>866</v>
      </c>
    </row>
    <row r="41" spans="1:3" ht="17.25" hidden="1" x14ac:dyDescent="0.3">
      <c r="A41" s="74">
        <v>135</v>
      </c>
      <c r="B41" s="75" t="s">
        <v>616</v>
      </c>
      <c r="C41" s="73" t="s">
        <v>867</v>
      </c>
    </row>
    <row r="42" spans="1:3" ht="17.25" hidden="1" x14ac:dyDescent="0.3">
      <c r="A42" s="74">
        <v>136</v>
      </c>
      <c r="B42" s="75" t="s">
        <v>616</v>
      </c>
      <c r="C42" s="73" t="s">
        <v>868</v>
      </c>
    </row>
    <row r="43" spans="1:3" ht="17.25" hidden="1" x14ac:dyDescent="0.3">
      <c r="A43" s="74">
        <v>137</v>
      </c>
      <c r="B43" s="75" t="s">
        <v>616</v>
      </c>
      <c r="C43" s="73" t="s">
        <v>869</v>
      </c>
    </row>
    <row r="44" spans="1:3" ht="17.25" hidden="1" x14ac:dyDescent="0.3">
      <c r="A44" s="74">
        <v>138</v>
      </c>
      <c r="B44" s="75" t="s">
        <v>807</v>
      </c>
      <c r="C44" s="73" t="s">
        <v>870</v>
      </c>
    </row>
    <row r="45" spans="1:3" ht="17.25" hidden="1" x14ac:dyDescent="0.3">
      <c r="A45" s="74">
        <v>139</v>
      </c>
      <c r="B45" s="75" t="s">
        <v>809</v>
      </c>
      <c r="C45" s="73" t="s">
        <v>871</v>
      </c>
    </row>
    <row r="46" spans="1:3" ht="17.25" hidden="1" x14ac:dyDescent="0.3">
      <c r="A46" s="74">
        <v>140</v>
      </c>
      <c r="B46" s="75" t="s">
        <v>811</v>
      </c>
      <c r="C46" s="73" t="s">
        <v>872</v>
      </c>
    </row>
    <row r="47" spans="1:3" ht="34.5" hidden="1" x14ac:dyDescent="0.3">
      <c r="A47" s="74">
        <v>141</v>
      </c>
      <c r="B47" s="75" t="s">
        <v>813</v>
      </c>
      <c r="C47" s="73" t="s">
        <v>815</v>
      </c>
    </row>
    <row r="48" spans="1:3" ht="34.5" hidden="1" x14ac:dyDescent="0.3">
      <c r="A48" s="74">
        <v>142</v>
      </c>
      <c r="B48" s="75" t="s">
        <v>817</v>
      </c>
      <c r="C48" s="73" t="s">
        <v>873</v>
      </c>
    </row>
    <row r="49" spans="1:3" ht="17.25" hidden="1" x14ac:dyDescent="0.3">
      <c r="A49" s="74">
        <v>143</v>
      </c>
      <c r="B49" s="75" t="s">
        <v>819</v>
      </c>
      <c r="C49" s="73" t="s">
        <v>874</v>
      </c>
    </row>
    <row r="50" spans="1:3" ht="34.5" hidden="1" x14ac:dyDescent="0.3">
      <c r="A50" s="74">
        <v>144</v>
      </c>
      <c r="B50" s="75" t="s">
        <v>821</v>
      </c>
      <c r="C50" s="73" t="s">
        <v>875</v>
      </c>
    </row>
    <row r="51" spans="1:3" ht="17.25" hidden="1" x14ac:dyDescent="0.3">
      <c r="A51" s="74">
        <v>145</v>
      </c>
      <c r="B51" s="75" t="s">
        <v>823</v>
      </c>
      <c r="C51" s="73" t="s">
        <v>167</v>
      </c>
    </row>
    <row r="52" spans="1:3" ht="17.25" hidden="1" x14ac:dyDescent="0.3">
      <c r="A52" s="74">
        <v>146</v>
      </c>
      <c r="B52" s="75" t="s">
        <v>825</v>
      </c>
      <c r="C52" s="73" t="s">
        <v>876</v>
      </c>
    </row>
    <row r="53" spans="1:3" ht="17.25" hidden="1" x14ac:dyDescent="0.3">
      <c r="A53" s="74">
        <v>147</v>
      </c>
      <c r="B53" s="75" t="s">
        <v>827</v>
      </c>
      <c r="C53" s="73" t="s">
        <v>877</v>
      </c>
    </row>
    <row r="54" spans="1:3" ht="17.25" hidden="1" x14ac:dyDescent="0.3">
      <c r="A54" s="74">
        <v>148</v>
      </c>
      <c r="B54" s="75" t="s">
        <v>829</v>
      </c>
      <c r="C54" s="73" t="s">
        <v>878</v>
      </c>
    </row>
    <row r="55" spans="1:3" ht="17.25" hidden="1" x14ac:dyDescent="0.3">
      <c r="A55" s="74">
        <v>149</v>
      </c>
      <c r="B55" s="75" t="s">
        <v>831</v>
      </c>
      <c r="C55" s="73" t="s">
        <v>74</v>
      </c>
    </row>
    <row r="56" spans="1:3" ht="34.5" hidden="1" x14ac:dyDescent="0.3">
      <c r="A56" s="74">
        <v>150</v>
      </c>
      <c r="B56" s="75" t="s">
        <v>833</v>
      </c>
      <c r="C56" s="73" t="s">
        <v>879</v>
      </c>
    </row>
    <row r="57" spans="1:3" ht="34.5" hidden="1" x14ac:dyDescent="0.3">
      <c r="A57" s="74">
        <v>151</v>
      </c>
      <c r="B57" s="75" t="s">
        <v>835</v>
      </c>
      <c r="C57" s="73" t="s">
        <v>880</v>
      </c>
    </row>
    <row r="58" spans="1:3" ht="34.5" hidden="1" x14ac:dyDescent="0.3">
      <c r="A58" s="74">
        <v>152</v>
      </c>
      <c r="B58" s="75" t="s">
        <v>817</v>
      </c>
      <c r="C58" s="73" t="s">
        <v>881</v>
      </c>
    </row>
    <row r="59" spans="1:3" ht="17.25" hidden="1" x14ac:dyDescent="0.3">
      <c r="A59" s="74">
        <v>153</v>
      </c>
      <c r="B59" s="75" t="s">
        <v>837</v>
      </c>
      <c r="C59" s="73" t="s">
        <v>558</v>
      </c>
    </row>
    <row r="60" spans="1:3" ht="34.5" hidden="1" x14ac:dyDescent="0.3">
      <c r="A60" s="74">
        <v>154</v>
      </c>
      <c r="B60" s="75" t="s">
        <v>436</v>
      </c>
      <c r="C60" s="73" t="s">
        <v>882</v>
      </c>
    </row>
    <row r="61" spans="1:3" ht="34.5" hidden="1" x14ac:dyDescent="0.3">
      <c r="A61" s="74">
        <v>155</v>
      </c>
      <c r="B61" s="75" t="s">
        <v>436</v>
      </c>
      <c r="C61" s="73" t="s">
        <v>882</v>
      </c>
    </row>
    <row r="62" spans="1:3" ht="17.25" hidden="1" x14ac:dyDescent="0.3">
      <c r="A62" s="74">
        <v>156</v>
      </c>
      <c r="B62" s="75" t="s">
        <v>436</v>
      </c>
      <c r="C62" s="73" t="s">
        <v>883</v>
      </c>
    </row>
    <row r="63" spans="1:3" ht="17.25" hidden="1" x14ac:dyDescent="0.3">
      <c r="A63" s="74">
        <v>157</v>
      </c>
      <c r="B63" s="75" t="s">
        <v>436</v>
      </c>
      <c r="C63" s="73" t="s">
        <v>884</v>
      </c>
    </row>
    <row r="64" spans="1:3" ht="17.25" hidden="1" x14ac:dyDescent="0.3">
      <c r="A64" s="74">
        <v>158</v>
      </c>
      <c r="B64" s="75" t="s">
        <v>436</v>
      </c>
      <c r="C64" s="73" t="s">
        <v>884</v>
      </c>
    </row>
    <row r="65" spans="1:3" ht="17.25" hidden="1" x14ac:dyDescent="0.3">
      <c r="A65" s="74">
        <v>159</v>
      </c>
      <c r="B65" s="75" t="s">
        <v>436</v>
      </c>
      <c r="C65" s="73" t="s">
        <v>885</v>
      </c>
    </row>
    <row r="66" spans="1:3" ht="17.25" hidden="1" x14ac:dyDescent="0.3">
      <c r="A66" s="74">
        <v>160</v>
      </c>
      <c r="B66" s="75" t="s">
        <v>436</v>
      </c>
      <c r="C66" s="73" t="s">
        <v>886</v>
      </c>
    </row>
    <row r="67" spans="1:3" ht="34.5" hidden="1" x14ac:dyDescent="0.3">
      <c r="A67" s="74">
        <v>161</v>
      </c>
      <c r="B67" s="75" t="s">
        <v>659</v>
      </c>
      <c r="C67" s="73" t="s">
        <v>887</v>
      </c>
    </row>
    <row r="68" spans="1:3" ht="34.5" hidden="1" x14ac:dyDescent="0.3">
      <c r="A68" s="74">
        <v>162</v>
      </c>
      <c r="B68" s="75" t="s">
        <v>659</v>
      </c>
      <c r="C68" s="73" t="s">
        <v>888</v>
      </c>
    </row>
    <row r="69" spans="1:3" ht="34.5" hidden="1" x14ac:dyDescent="0.3">
      <c r="A69" s="74">
        <v>163</v>
      </c>
      <c r="B69" s="75" t="s">
        <v>659</v>
      </c>
      <c r="C69" s="73" t="s">
        <v>889</v>
      </c>
    </row>
    <row r="70" spans="1:3" ht="17.25" hidden="1" x14ac:dyDescent="0.3">
      <c r="A70" s="74">
        <v>164</v>
      </c>
      <c r="B70" s="75" t="s">
        <v>659</v>
      </c>
      <c r="C70" s="73" t="s">
        <v>890</v>
      </c>
    </row>
    <row r="71" spans="1:3" ht="17.25" hidden="1" x14ac:dyDescent="0.3">
      <c r="A71" s="74">
        <v>165</v>
      </c>
      <c r="B71" s="75" t="s">
        <v>659</v>
      </c>
      <c r="C71" s="73" t="s">
        <v>891</v>
      </c>
    </row>
    <row r="72" spans="1:3" ht="34.5" hidden="1" x14ac:dyDescent="0.3">
      <c r="A72" s="74">
        <v>166</v>
      </c>
      <c r="B72" s="75" t="s">
        <v>659</v>
      </c>
      <c r="C72" s="73" t="s">
        <v>892</v>
      </c>
    </row>
    <row r="73" spans="1:3" ht="17.25" hidden="1" x14ac:dyDescent="0.3">
      <c r="A73" s="74">
        <v>167</v>
      </c>
      <c r="B73" s="75" t="s">
        <v>659</v>
      </c>
      <c r="C73" s="73" t="s">
        <v>893</v>
      </c>
    </row>
    <row r="74" spans="1:3" ht="34.5" hidden="1" x14ac:dyDescent="0.3">
      <c r="A74" s="74">
        <v>168</v>
      </c>
      <c r="B74" s="75" t="s">
        <v>659</v>
      </c>
      <c r="C74" s="73" t="s">
        <v>894</v>
      </c>
    </row>
    <row r="75" spans="1:3" ht="17.25" hidden="1" x14ac:dyDescent="0.3">
      <c r="A75" s="74">
        <v>169</v>
      </c>
      <c r="B75" s="75" t="s">
        <v>659</v>
      </c>
      <c r="C75" s="73" t="s">
        <v>895</v>
      </c>
    </row>
    <row r="76" spans="1:3" ht="17.25" hidden="1" x14ac:dyDescent="0.3">
      <c r="A76" s="74">
        <v>170</v>
      </c>
      <c r="B76" s="75" t="s">
        <v>659</v>
      </c>
      <c r="C76" s="73" t="s">
        <v>730</v>
      </c>
    </row>
    <row r="77" spans="1:3" ht="17.25" hidden="1" x14ac:dyDescent="0.3">
      <c r="A77" s="74">
        <v>171</v>
      </c>
      <c r="B77" s="75" t="s">
        <v>659</v>
      </c>
      <c r="C77" s="73" t="s">
        <v>896</v>
      </c>
    </row>
    <row r="78" spans="1:3" ht="34.5" hidden="1" x14ac:dyDescent="0.3">
      <c r="A78" s="74">
        <v>172</v>
      </c>
      <c r="B78" s="75" t="s">
        <v>659</v>
      </c>
      <c r="C78" s="73" t="s">
        <v>897</v>
      </c>
    </row>
    <row r="79" spans="1:3" ht="17.25" hidden="1" x14ac:dyDescent="0.3">
      <c r="A79" s="74">
        <v>173</v>
      </c>
      <c r="B79" s="75" t="s">
        <v>659</v>
      </c>
      <c r="C79" s="73" t="s">
        <v>731</v>
      </c>
    </row>
    <row r="80" spans="1:3" ht="17.25" hidden="1" x14ac:dyDescent="0.3">
      <c r="A80" s="74">
        <v>174</v>
      </c>
      <c r="B80" s="75" t="s">
        <v>659</v>
      </c>
      <c r="C80" s="73" t="s">
        <v>898</v>
      </c>
    </row>
    <row r="81" spans="1:3" ht="17.25" hidden="1" x14ac:dyDescent="0.3">
      <c r="A81" s="74">
        <v>175</v>
      </c>
      <c r="B81" s="75" t="s">
        <v>659</v>
      </c>
      <c r="C81" s="73" t="s">
        <v>899</v>
      </c>
    </row>
    <row r="82" spans="1:3" ht="17.25" hidden="1" x14ac:dyDescent="0.3">
      <c r="A82" s="74">
        <v>176</v>
      </c>
      <c r="B82" s="75" t="s">
        <v>659</v>
      </c>
      <c r="C82" s="73" t="s">
        <v>900</v>
      </c>
    </row>
    <row r="83" spans="1:3" ht="51.75" hidden="1" x14ac:dyDescent="0.3">
      <c r="A83" s="74">
        <v>177</v>
      </c>
      <c r="B83" s="75" t="s">
        <v>659</v>
      </c>
      <c r="C83" s="73" t="s">
        <v>901</v>
      </c>
    </row>
    <row r="84" spans="1:3" ht="17.25" hidden="1" x14ac:dyDescent="0.3">
      <c r="A84" s="74">
        <v>178</v>
      </c>
      <c r="B84" s="75" t="s">
        <v>659</v>
      </c>
      <c r="C84" s="73" t="s">
        <v>902</v>
      </c>
    </row>
    <row r="85" spans="1:3" ht="17.25" hidden="1" x14ac:dyDescent="0.3">
      <c r="A85" s="74">
        <v>179</v>
      </c>
      <c r="B85" s="75" t="s">
        <v>659</v>
      </c>
      <c r="C85" s="73" t="s">
        <v>903</v>
      </c>
    </row>
    <row r="86" spans="1:3" ht="17.25" hidden="1" x14ac:dyDescent="0.3">
      <c r="A86" s="74">
        <v>180</v>
      </c>
      <c r="B86" s="75" t="s">
        <v>659</v>
      </c>
      <c r="C86" s="73" t="s">
        <v>904</v>
      </c>
    </row>
    <row r="87" spans="1:3" ht="17.25" hidden="1" x14ac:dyDescent="0.3">
      <c r="A87" s="74">
        <v>181</v>
      </c>
      <c r="B87" s="75" t="s">
        <v>659</v>
      </c>
      <c r="C87" s="73" t="s">
        <v>905</v>
      </c>
    </row>
    <row r="88" spans="1:3" ht="17.25" hidden="1" x14ac:dyDescent="0.3">
      <c r="A88" s="74">
        <v>182</v>
      </c>
      <c r="B88" s="75" t="s">
        <v>659</v>
      </c>
      <c r="C88" s="73" t="s">
        <v>906</v>
      </c>
    </row>
    <row r="89" spans="1:3" ht="34.5" hidden="1" x14ac:dyDescent="0.3">
      <c r="A89" s="74">
        <v>183</v>
      </c>
      <c r="B89" s="75" t="s">
        <v>659</v>
      </c>
      <c r="C89" s="73" t="s">
        <v>907</v>
      </c>
    </row>
    <row r="90" spans="1:3" ht="17.25" hidden="1" x14ac:dyDescent="0.3">
      <c r="A90" s="74">
        <v>184</v>
      </c>
      <c r="B90" s="75" t="s">
        <v>659</v>
      </c>
      <c r="C90" s="73" t="s">
        <v>908</v>
      </c>
    </row>
    <row r="91" spans="1:3" ht="34.5" hidden="1" x14ac:dyDescent="0.3">
      <c r="A91" s="74">
        <v>185</v>
      </c>
      <c r="B91" s="75" t="s">
        <v>659</v>
      </c>
      <c r="C91" s="73" t="s">
        <v>909</v>
      </c>
    </row>
    <row r="92" spans="1:3" ht="17.25" hidden="1" x14ac:dyDescent="0.3">
      <c r="A92" s="74">
        <v>186</v>
      </c>
      <c r="B92" s="75" t="s">
        <v>645</v>
      </c>
      <c r="C92" s="73" t="s">
        <v>334</v>
      </c>
    </row>
    <row r="93" spans="1:3" ht="17.25" hidden="1" x14ac:dyDescent="0.3">
      <c r="A93" s="74">
        <v>187</v>
      </c>
      <c r="B93" s="75" t="s">
        <v>645</v>
      </c>
      <c r="C93" s="73" t="s">
        <v>910</v>
      </c>
    </row>
    <row r="94" spans="1:3" ht="17.25" hidden="1" x14ac:dyDescent="0.3">
      <c r="A94" s="74">
        <v>188</v>
      </c>
      <c r="B94" s="75" t="s">
        <v>645</v>
      </c>
      <c r="C94" s="73" t="s">
        <v>911</v>
      </c>
    </row>
    <row r="95" spans="1:3" ht="17.25" hidden="1" x14ac:dyDescent="0.3">
      <c r="A95" s="74">
        <v>189</v>
      </c>
      <c r="B95" s="75" t="s">
        <v>645</v>
      </c>
      <c r="C95" s="73" t="s">
        <v>912</v>
      </c>
    </row>
    <row r="96" spans="1:3" ht="17.25" hidden="1" x14ac:dyDescent="0.3">
      <c r="A96" s="74">
        <v>190</v>
      </c>
      <c r="B96" s="75" t="s">
        <v>645</v>
      </c>
      <c r="C96" s="73" t="s">
        <v>913</v>
      </c>
    </row>
    <row r="97" spans="1:3" ht="17.25" hidden="1" x14ac:dyDescent="0.3">
      <c r="A97" s="74">
        <v>191</v>
      </c>
      <c r="B97" s="75" t="s">
        <v>427</v>
      </c>
      <c r="C97" s="73" t="s">
        <v>38</v>
      </c>
    </row>
    <row r="98" spans="1:3" ht="17.25" hidden="1" x14ac:dyDescent="0.3">
      <c r="A98" s="74">
        <v>192</v>
      </c>
      <c r="B98" s="75" t="s">
        <v>427</v>
      </c>
      <c r="C98" s="73" t="s">
        <v>914</v>
      </c>
    </row>
    <row r="99" spans="1:3" ht="17.25" hidden="1" x14ac:dyDescent="0.3">
      <c r="A99" s="74">
        <v>193</v>
      </c>
      <c r="B99" s="75" t="s">
        <v>427</v>
      </c>
      <c r="C99" s="73" t="s">
        <v>915</v>
      </c>
    </row>
    <row r="100" spans="1:3" ht="34.5" hidden="1" x14ac:dyDescent="0.3">
      <c r="A100" s="74">
        <v>194</v>
      </c>
      <c r="B100" s="75" t="s">
        <v>427</v>
      </c>
      <c r="C100" s="73" t="s">
        <v>916</v>
      </c>
    </row>
    <row r="101" spans="1:3" ht="17.25" hidden="1" x14ac:dyDescent="0.3">
      <c r="A101" s="74">
        <v>195</v>
      </c>
      <c r="B101" s="75" t="s">
        <v>427</v>
      </c>
      <c r="C101" s="73" t="s">
        <v>917</v>
      </c>
    </row>
    <row r="102" spans="1:3" ht="17.25" hidden="1" x14ac:dyDescent="0.3">
      <c r="A102" s="74">
        <v>196</v>
      </c>
      <c r="B102" s="75" t="s">
        <v>427</v>
      </c>
      <c r="C102" s="73" t="s">
        <v>918</v>
      </c>
    </row>
    <row r="103" spans="1:3" ht="34.5" hidden="1" x14ac:dyDescent="0.3">
      <c r="A103" s="74">
        <v>197</v>
      </c>
      <c r="B103" s="75" t="s">
        <v>421</v>
      </c>
      <c r="C103" s="73" t="s">
        <v>919</v>
      </c>
    </row>
    <row r="104" spans="1:3" ht="34.5" hidden="1" x14ac:dyDescent="0.3">
      <c r="A104" s="74">
        <v>198</v>
      </c>
      <c r="B104" s="75" t="s">
        <v>421</v>
      </c>
      <c r="C104" s="73" t="s">
        <v>920</v>
      </c>
    </row>
    <row r="105" spans="1:3" ht="34.5" hidden="1" x14ac:dyDescent="0.3">
      <c r="A105" s="74">
        <v>199</v>
      </c>
      <c r="B105" s="75" t="s">
        <v>421</v>
      </c>
      <c r="C105" s="73" t="s">
        <v>919</v>
      </c>
    </row>
    <row r="106" spans="1:3" ht="17.25" hidden="1" x14ac:dyDescent="0.3">
      <c r="A106" s="74">
        <v>200</v>
      </c>
      <c r="B106" s="75" t="s">
        <v>421</v>
      </c>
      <c r="C106" s="73" t="s">
        <v>921</v>
      </c>
    </row>
    <row r="107" spans="1:3" ht="51.75" hidden="1" x14ac:dyDescent="0.3">
      <c r="A107" s="74">
        <v>201</v>
      </c>
      <c r="B107" s="75" t="s">
        <v>421</v>
      </c>
      <c r="C107" s="73" t="s">
        <v>922</v>
      </c>
    </row>
    <row r="108" spans="1:3" ht="17.25" hidden="1" x14ac:dyDescent="0.3">
      <c r="A108" s="74">
        <v>202</v>
      </c>
      <c r="B108" s="75" t="s">
        <v>421</v>
      </c>
      <c r="C108" s="73" t="s">
        <v>333</v>
      </c>
    </row>
    <row r="109" spans="1:3" ht="69" hidden="1" x14ac:dyDescent="0.3">
      <c r="A109" s="74">
        <v>203</v>
      </c>
      <c r="B109" s="75" t="s">
        <v>421</v>
      </c>
      <c r="C109" s="73" t="s">
        <v>923</v>
      </c>
    </row>
    <row r="110" spans="1:3" ht="34.5" hidden="1" x14ac:dyDescent="0.3">
      <c r="A110" s="74">
        <v>204</v>
      </c>
      <c r="B110" s="75" t="s">
        <v>421</v>
      </c>
      <c r="C110" s="73" t="s">
        <v>924</v>
      </c>
    </row>
    <row r="111" spans="1:3" ht="17.25" hidden="1" x14ac:dyDescent="0.3">
      <c r="A111" s="74">
        <v>205</v>
      </c>
      <c r="B111" s="75" t="s">
        <v>421</v>
      </c>
      <c r="C111" s="73" t="s">
        <v>925</v>
      </c>
    </row>
    <row r="112" spans="1:3" ht="17.25" hidden="1" x14ac:dyDescent="0.3">
      <c r="A112" s="74">
        <v>206</v>
      </c>
      <c r="B112" s="75" t="s">
        <v>421</v>
      </c>
      <c r="C112" s="73" t="s">
        <v>926</v>
      </c>
    </row>
    <row r="113" spans="1:3" ht="17.25" hidden="1" x14ac:dyDescent="0.3">
      <c r="A113" s="74">
        <v>207</v>
      </c>
      <c r="B113" s="75" t="s">
        <v>421</v>
      </c>
      <c r="C113" s="73" t="s">
        <v>927</v>
      </c>
    </row>
    <row r="114" spans="1:3" ht="17.25" hidden="1" x14ac:dyDescent="0.3">
      <c r="A114" s="74">
        <v>208</v>
      </c>
      <c r="B114" s="75" t="s">
        <v>421</v>
      </c>
      <c r="C114" s="73" t="s">
        <v>928</v>
      </c>
    </row>
    <row r="115" spans="1:3" ht="34.5" hidden="1" x14ac:dyDescent="0.3">
      <c r="A115" s="74">
        <v>209</v>
      </c>
      <c r="B115" s="75" t="s">
        <v>421</v>
      </c>
      <c r="C115" s="73" t="s">
        <v>929</v>
      </c>
    </row>
    <row r="116" spans="1:3" ht="34.5" hidden="1" x14ac:dyDescent="0.3">
      <c r="A116" s="74">
        <v>210</v>
      </c>
      <c r="B116" s="75" t="s">
        <v>437</v>
      </c>
      <c r="C116" s="73" t="s">
        <v>145</v>
      </c>
    </row>
    <row r="117" spans="1:3" ht="17.25" hidden="1" x14ac:dyDescent="0.3">
      <c r="A117" s="74">
        <v>211</v>
      </c>
      <c r="B117" s="75" t="s">
        <v>437</v>
      </c>
      <c r="C117" s="73" t="s">
        <v>930</v>
      </c>
    </row>
    <row r="118" spans="1:3" ht="34.5" hidden="1" x14ac:dyDescent="0.3">
      <c r="A118" s="74">
        <v>212</v>
      </c>
      <c r="B118" s="75" t="s">
        <v>437</v>
      </c>
      <c r="C118" s="73" t="s">
        <v>931</v>
      </c>
    </row>
    <row r="119" spans="1:3" ht="34.5" hidden="1" x14ac:dyDescent="0.3">
      <c r="A119" s="74">
        <v>213</v>
      </c>
      <c r="B119" s="75" t="s">
        <v>437</v>
      </c>
      <c r="C119" s="73" t="s">
        <v>932</v>
      </c>
    </row>
    <row r="120" spans="1:3" ht="34.5" hidden="1" x14ac:dyDescent="0.3">
      <c r="A120" s="74">
        <v>214</v>
      </c>
      <c r="B120" s="75" t="s">
        <v>437</v>
      </c>
      <c r="C120" s="73" t="s">
        <v>933</v>
      </c>
    </row>
    <row r="121" spans="1:3" ht="17.25" hidden="1" x14ac:dyDescent="0.3">
      <c r="A121" s="74">
        <v>215</v>
      </c>
      <c r="B121" s="75" t="s">
        <v>437</v>
      </c>
      <c r="C121" s="73" t="s">
        <v>934</v>
      </c>
    </row>
    <row r="122" spans="1:3" ht="17.25" hidden="1" x14ac:dyDescent="0.3">
      <c r="A122" s="74">
        <v>216</v>
      </c>
      <c r="B122" s="75" t="s">
        <v>437</v>
      </c>
      <c r="C122" s="73" t="s">
        <v>935</v>
      </c>
    </row>
    <row r="123" spans="1:3" ht="34.5" hidden="1" x14ac:dyDescent="0.3">
      <c r="A123" s="74">
        <v>217</v>
      </c>
      <c r="B123" s="75" t="s">
        <v>437</v>
      </c>
      <c r="C123" s="73" t="s">
        <v>936</v>
      </c>
    </row>
    <row r="124" spans="1:3" ht="17.25" hidden="1" x14ac:dyDescent="0.3">
      <c r="A124" s="74">
        <v>218</v>
      </c>
      <c r="B124" s="75" t="s">
        <v>437</v>
      </c>
      <c r="C124" s="73" t="s">
        <v>937</v>
      </c>
    </row>
    <row r="125" spans="1:3" ht="34.5" hidden="1" x14ac:dyDescent="0.3">
      <c r="A125" s="74">
        <v>219</v>
      </c>
      <c r="B125" s="75" t="s">
        <v>437</v>
      </c>
      <c r="C125" s="73" t="s">
        <v>938</v>
      </c>
    </row>
    <row r="126" spans="1:3" ht="34.5" hidden="1" x14ac:dyDescent="0.3">
      <c r="A126" s="74">
        <v>220</v>
      </c>
      <c r="B126" s="75" t="s">
        <v>437</v>
      </c>
      <c r="C126" s="73" t="s">
        <v>150</v>
      </c>
    </row>
    <row r="127" spans="1:3" ht="17.25" hidden="1" x14ac:dyDescent="0.3">
      <c r="A127" s="74">
        <v>221</v>
      </c>
      <c r="B127" s="75" t="s">
        <v>437</v>
      </c>
      <c r="C127" s="73" t="s">
        <v>939</v>
      </c>
    </row>
    <row r="128" spans="1:3" ht="34.5" hidden="1" x14ac:dyDescent="0.3">
      <c r="A128" s="74">
        <v>222</v>
      </c>
      <c r="B128" s="75" t="s">
        <v>437</v>
      </c>
      <c r="C128" s="73" t="s">
        <v>940</v>
      </c>
    </row>
    <row r="129" spans="1:3" ht="34.5" hidden="1" x14ac:dyDescent="0.3">
      <c r="A129" s="74">
        <v>223</v>
      </c>
      <c r="B129" s="75" t="s">
        <v>437</v>
      </c>
      <c r="C129" s="73" t="s">
        <v>941</v>
      </c>
    </row>
    <row r="130" spans="1:3" ht="34.5" hidden="1" x14ac:dyDescent="0.3">
      <c r="A130" s="74">
        <v>224</v>
      </c>
      <c r="B130" s="75" t="s">
        <v>437</v>
      </c>
      <c r="C130" s="73" t="s">
        <v>942</v>
      </c>
    </row>
    <row r="131" spans="1:3" ht="34.5" hidden="1" x14ac:dyDescent="0.3">
      <c r="A131" s="74">
        <v>225</v>
      </c>
      <c r="B131" s="75" t="s">
        <v>437</v>
      </c>
      <c r="C131" s="73" t="s">
        <v>943</v>
      </c>
    </row>
    <row r="132" spans="1:3" ht="34.5" hidden="1" x14ac:dyDescent="0.3">
      <c r="A132" s="74">
        <v>226</v>
      </c>
      <c r="B132" s="75" t="s">
        <v>437</v>
      </c>
      <c r="C132" s="73" t="s">
        <v>944</v>
      </c>
    </row>
    <row r="133" spans="1:3" ht="34.5" hidden="1" x14ac:dyDescent="0.3">
      <c r="A133" s="74">
        <v>227</v>
      </c>
      <c r="B133" s="75" t="s">
        <v>437</v>
      </c>
      <c r="C133" s="73" t="s">
        <v>945</v>
      </c>
    </row>
    <row r="134" spans="1:3" ht="17.25" hidden="1" x14ac:dyDescent="0.3">
      <c r="A134" s="74">
        <v>228</v>
      </c>
      <c r="B134" s="75" t="s">
        <v>437</v>
      </c>
      <c r="C134" s="73" t="s">
        <v>946</v>
      </c>
    </row>
    <row r="135" spans="1:3" ht="17.25" hidden="1" x14ac:dyDescent="0.3">
      <c r="A135" s="74">
        <v>229</v>
      </c>
      <c r="B135" s="75" t="s">
        <v>437</v>
      </c>
      <c r="C135" s="73" t="s">
        <v>947</v>
      </c>
    </row>
    <row r="136" spans="1:3" ht="34.5" hidden="1" x14ac:dyDescent="0.3">
      <c r="A136" s="74">
        <v>230</v>
      </c>
      <c r="B136" s="75" t="s">
        <v>437</v>
      </c>
      <c r="C136" s="73" t="s">
        <v>948</v>
      </c>
    </row>
    <row r="137" spans="1:3" ht="17.25" hidden="1" x14ac:dyDescent="0.3">
      <c r="A137" s="74">
        <v>231</v>
      </c>
      <c r="B137" s="75" t="s">
        <v>437</v>
      </c>
      <c r="C137" s="73" t="s">
        <v>949</v>
      </c>
    </row>
    <row r="138" spans="1:3" ht="17.25" hidden="1" x14ac:dyDescent="0.3">
      <c r="A138" s="74">
        <v>232</v>
      </c>
      <c r="B138" s="75" t="s">
        <v>437</v>
      </c>
      <c r="C138" s="73" t="s">
        <v>950</v>
      </c>
    </row>
    <row r="139" spans="1:3" ht="17.25" hidden="1" x14ac:dyDescent="0.3">
      <c r="A139" s="74">
        <v>233</v>
      </c>
      <c r="B139" s="75" t="s">
        <v>437</v>
      </c>
      <c r="C139" s="73" t="s">
        <v>951</v>
      </c>
    </row>
    <row r="140" spans="1:3" ht="17.25" hidden="1" x14ac:dyDescent="0.3">
      <c r="A140" s="74">
        <v>234</v>
      </c>
      <c r="B140" s="75" t="s">
        <v>437</v>
      </c>
      <c r="C140" s="73" t="s">
        <v>952</v>
      </c>
    </row>
    <row r="141" spans="1:3" ht="34.5" hidden="1" x14ac:dyDescent="0.3">
      <c r="A141" s="74">
        <v>235</v>
      </c>
      <c r="B141" s="75" t="s">
        <v>437</v>
      </c>
      <c r="C141" s="73" t="s">
        <v>953</v>
      </c>
    </row>
    <row r="142" spans="1:3" ht="34.5" hidden="1" x14ac:dyDescent="0.3">
      <c r="A142" s="74">
        <v>236</v>
      </c>
      <c r="B142" s="75" t="s">
        <v>443</v>
      </c>
      <c r="C142" s="73" t="s">
        <v>954</v>
      </c>
    </row>
    <row r="143" spans="1:3" ht="17.25" hidden="1" x14ac:dyDescent="0.3">
      <c r="A143" s="74">
        <v>237</v>
      </c>
      <c r="B143" s="75" t="s">
        <v>443</v>
      </c>
      <c r="C143" s="73" t="s">
        <v>955</v>
      </c>
    </row>
    <row r="144" spans="1:3" ht="17.25" hidden="1" x14ac:dyDescent="0.3">
      <c r="A144" s="74">
        <v>238</v>
      </c>
      <c r="B144" s="75" t="s">
        <v>443</v>
      </c>
      <c r="C144" s="73" t="s">
        <v>956</v>
      </c>
    </row>
    <row r="145" spans="1:3" ht="34.5" hidden="1" x14ac:dyDescent="0.3">
      <c r="A145" s="74">
        <v>239</v>
      </c>
      <c r="B145" s="75" t="s">
        <v>443</v>
      </c>
      <c r="C145" s="73" t="s">
        <v>919</v>
      </c>
    </row>
    <row r="146" spans="1:3" ht="34.5" hidden="1" x14ac:dyDescent="0.3">
      <c r="A146" s="74">
        <v>240</v>
      </c>
      <c r="B146" s="75" t="s">
        <v>443</v>
      </c>
      <c r="C146" s="73" t="s">
        <v>957</v>
      </c>
    </row>
    <row r="147" spans="1:3" ht="17.25" hidden="1" x14ac:dyDescent="0.3">
      <c r="A147" s="74">
        <v>241</v>
      </c>
      <c r="B147" s="75" t="s">
        <v>443</v>
      </c>
      <c r="C147" s="73" t="s">
        <v>958</v>
      </c>
    </row>
    <row r="148" spans="1:3" ht="34.5" hidden="1" x14ac:dyDescent="0.3">
      <c r="A148" s="74">
        <v>242</v>
      </c>
      <c r="B148" s="75" t="s">
        <v>438</v>
      </c>
      <c r="C148" s="73" t="s">
        <v>959</v>
      </c>
    </row>
    <row r="149" spans="1:3" ht="17.25" hidden="1" x14ac:dyDescent="0.3">
      <c r="A149" s="74">
        <v>243</v>
      </c>
      <c r="B149" s="75" t="s">
        <v>438</v>
      </c>
      <c r="C149" s="73" t="s">
        <v>960</v>
      </c>
    </row>
    <row r="150" spans="1:3" ht="17.25" hidden="1" x14ac:dyDescent="0.3">
      <c r="A150" s="74">
        <v>244</v>
      </c>
      <c r="B150" s="75" t="s">
        <v>438</v>
      </c>
      <c r="C150" s="73" t="s">
        <v>961</v>
      </c>
    </row>
    <row r="151" spans="1:3" ht="17.25" hidden="1" x14ac:dyDescent="0.3">
      <c r="A151" s="74">
        <v>245</v>
      </c>
      <c r="B151" s="75" t="s">
        <v>438</v>
      </c>
      <c r="C151" s="73" t="s">
        <v>962</v>
      </c>
    </row>
    <row r="152" spans="1:3" ht="17.25" hidden="1" x14ac:dyDescent="0.3">
      <c r="A152" s="74">
        <v>246</v>
      </c>
      <c r="B152" s="75" t="s">
        <v>438</v>
      </c>
      <c r="C152" s="73" t="s">
        <v>963</v>
      </c>
    </row>
    <row r="153" spans="1:3" ht="17.25" hidden="1" x14ac:dyDescent="0.3">
      <c r="A153" s="74">
        <v>247</v>
      </c>
      <c r="B153" s="75" t="s">
        <v>438</v>
      </c>
      <c r="C153" s="73" t="s">
        <v>964</v>
      </c>
    </row>
    <row r="154" spans="1:3" ht="17.25" hidden="1" x14ac:dyDescent="0.3">
      <c r="A154" s="74">
        <v>248</v>
      </c>
      <c r="B154" s="75" t="s">
        <v>438</v>
      </c>
      <c r="C154" s="73" t="s">
        <v>965</v>
      </c>
    </row>
    <row r="155" spans="1:3" ht="17.25" hidden="1" x14ac:dyDescent="0.3">
      <c r="A155" s="74">
        <v>249</v>
      </c>
      <c r="B155" s="75" t="s">
        <v>434</v>
      </c>
      <c r="C155" s="73" t="s">
        <v>966</v>
      </c>
    </row>
    <row r="156" spans="1:3" ht="17.25" hidden="1" x14ac:dyDescent="0.3">
      <c r="A156" s="74">
        <v>250</v>
      </c>
      <c r="B156" s="75" t="s">
        <v>434</v>
      </c>
      <c r="C156" s="73" t="s">
        <v>967</v>
      </c>
    </row>
    <row r="157" spans="1:3" ht="34.5" hidden="1" x14ac:dyDescent="0.3">
      <c r="A157" s="74">
        <v>251</v>
      </c>
      <c r="B157" s="75" t="s">
        <v>434</v>
      </c>
      <c r="C157" s="73" t="s">
        <v>968</v>
      </c>
    </row>
    <row r="158" spans="1:3" ht="17.25" hidden="1" x14ac:dyDescent="0.3">
      <c r="A158" s="74">
        <v>252</v>
      </c>
      <c r="B158" s="75" t="s">
        <v>434</v>
      </c>
      <c r="C158" s="73" t="s">
        <v>969</v>
      </c>
    </row>
    <row r="159" spans="1:3" ht="17.25" hidden="1" x14ac:dyDescent="0.3">
      <c r="A159" s="74">
        <v>253</v>
      </c>
      <c r="B159" s="75" t="s">
        <v>434</v>
      </c>
      <c r="C159" s="73" t="s">
        <v>970</v>
      </c>
    </row>
    <row r="160" spans="1:3" ht="17.25" hidden="1" x14ac:dyDescent="0.3">
      <c r="A160" s="74">
        <v>254</v>
      </c>
      <c r="B160" s="75" t="s">
        <v>434</v>
      </c>
      <c r="C160" s="73" t="s">
        <v>971</v>
      </c>
    </row>
    <row r="161" spans="1:3" ht="17.25" hidden="1" x14ac:dyDescent="0.3">
      <c r="A161" s="74">
        <v>255</v>
      </c>
      <c r="B161" s="75" t="s">
        <v>434</v>
      </c>
      <c r="C161" s="73" t="s">
        <v>972</v>
      </c>
    </row>
    <row r="162" spans="1:3" ht="34.5" hidden="1" x14ac:dyDescent="0.3">
      <c r="A162" s="74">
        <v>256</v>
      </c>
      <c r="B162" s="75" t="s">
        <v>434</v>
      </c>
      <c r="C162" s="73" t="s">
        <v>973</v>
      </c>
    </row>
    <row r="163" spans="1:3" ht="34.5" hidden="1" x14ac:dyDescent="0.3">
      <c r="A163" s="74">
        <v>257</v>
      </c>
      <c r="B163" s="75" t="s">
        <v>415</v>
      </c>
      <c r="C163" s="73" t="s">
        <v>974</v>
      </c>
    </row>
    <row r="164" spans="1:3" ht="34.5" hidden="1" x14ac:dyDescent="0.3">
      <c r="A164" s="74">
        <v>258</v>
      </c>
      <c r="B164" s="75" t="s">
        <v>415</v>
      </c>
      <c r="C164" s="73" t="s">
        <v>975</v>
      </c>
    </row>
    <row r="165" spans="1:3" ht="34.5" hidden="1" x14ac:dyDescent="0.3">
      <c r="A165" s="74">
        <v>259</v>
      </c>
      <c r="B165" s="75" t="s">
        <v>415</v>
      </c>
      <c r="C165" s="73" t="s">
        <v>976</v>
      </c>
    </row>
    <row r="166" spans="1:3" ht="17.25" hidden="1" x14ac:dyDescent="0.3">
      <c r="A166" s="74">
        <v>260</v>
      </c>
      <c r="B166" s="75" t="s">
        <v>415</v>
      </c>
      <c r="C166" s="73" t="s">
        <v>977</v>
      </c>
    </row>
    <row r="167" spans="1:3" ht="17.25" hidden="1" x14ac:dyDescent="0.3">
      <c r="A167" s="74">
        <v>261</v>
      </c>
      <c r="B167" s="75" t="s">
        <v>415</v>
      </c>
      <c r="C167" s="73" t="s">
        <v>978</v>
      </c>
    </row>
    <row r="168" spans="1:3" ht="17.25" hidden="1" x14ac:dyDescent="0.3">
      <c r="A168" s="74">
        <v>262</v>
      </c>
      <c r="B168" s="75" t="s">
        <v>415</v>
      </c>
      <c r="C168" s="73" t="s">
        <v>979</v>
      </c>
    </row>
    <row r="169" spans="1:3" ht="17.25" hidden="1" x14ac:dyDescent="0.3">
      <c r="A169" s="74">
        <v>263</v>
      </c>
      <c r="B169" s="75" t="s">
        <v>415</v>
      </c>
      <c r="C169" s="73" t="s">
        <v>980</v>
      </c>
    </row>
    <row r="170" spans="1:3" ht="17.25" hidden="1" x14ac:dyDescent="0.3">
      <c r="A170" s="74">
        <v>264</v>
      </c>
      <c r="B170" s="75" t="s">
        <v>415</v>
      </c>
      <c r="C170" s="73" t="s">
        <v>981</v>
      </c>
    </row>
    <row r="171" spans="1:3" ht="17.25" hidden="1" x14ac:dyDescent="0.3">
      <c r="A171" s="74">
        <v>265</v>
      </c>
      <c r="B171" s="75" t="s">
        <v>415</v>
      </c>
      <c r="C171" s="73" t="s">
        <v>982</v>
      </c>
    </row>
    <row r="172" spans="1:3" ht="17.25" hidden="1" x14ac:dyDescent="0.3">
      <c r="A172" s="74">
        <v>266</v>
      </c>
      <c r="B172" s="75" t="s">
        <v>415</v>
      </c>
      <c r="C172" s="73" t="s">
        <v>983</v>
      </c>
    </row>
    <row r="173" spans="1:3" ht="17.25" hidden="1" x14ac:dyDescent="0.3">
      <c r="A173" s="74">
        <v>267</v>
      </c>
      <c r="B173" s="75" t="s">
        <v>415</v>
      </c>
      <c r="C173" s="73" t="s">
        <v>984</v>
      </c>
    </row>
    <row r="174" spans="1:3" ht="17.25" hidden="1" x14ac:dyDescent="0.3">
      <c r="A174" s="74">
        <v>268</v>
      </c>
      <c r="B174" s="75" t="s">
        <v>415</v>
      </c>
      <c r="C174" s="73" t="s">
        <v>985</v>
      </c>
    </row>
    <row r="175" spans="1:3" ht="34.5" hidden="1" x14ac:dyDescent="0.3">
      <c r="A175" s="74">
        <v>269</v>
      </c>
      <c r="B175" s="75" t="s">
        <v>425</v>
      </c>
      <c r="C175" s="73" t="s">
        <v>986</v>
      </c>
    </row>
    <row r="176" spans="1:3" ht="17.25" hidden="1" x14ac:dyDescent="0.3">
      <c r="A176" s="74">
        <v>270</v>
      </c>
      <c r="B176" s="75" t="s">
        <v>425</v>
      </c>
      <c r="C176" s="73" t="s">
        <v>987</v>
      </c>
    </row>
    <row r="177" spans="1:3" ht="17.25" hidden="1" x14ac:dyDescent="0.3">
      <c r="A177" s="74">
        <v>271</v>
      </c>
      <c r="B177" s="75" t="s">
        <v>425</v>
      </c>
      <c r="C177" s="73" t="s">
        <v>988</v>
      </c>
    </row>
    <row r="178" spans="1:3" ht="17.25" hidden="1" x14ac:dyDescent="0.3">
      <c r="A178" s="74">
        <v>272</v>
      </c>
      <c r="B178" s="75" t="s">
        <v>425</v>
      </c>
      <c r="C178" s="73" t="s">
        <v>364</v>
      </c>
    </row>
    <row r="179" spans="1:3" ht="17.25" hidden="1" x14ac:dyDescent="0.3">
      <c r="A179" s="74">
        <v>273</v>
      </c>
      <c r="B179" s="75" t="s">
        <v>425</v>
      </c>
      <c r="C179" s="73" t="s">
        <v>784</v>
      </c>
    </row>
    <row r="180" spans="1:3" ht="17.25" hidden="1" x14ac:dyDescent="0.3">
      <c r="A180" s="74">
        <v>274</v>
      </c>
      <c r="B180" s="75" t="s">
        <v>425</v>
      </c>
      <c r="C180" s="73" t="s">
        <v>179</v>
      </c>
    </row>
    <row r="181" spans="1:3" ht="34.5" hidden="1" x14ac:dyDescent="0.3">
      <c r="A181" s="74">
        <v>275</v>
      </c>
      <c r="B181" s="75" t="s">
        <v>425</v>
      </c>
      <c r="C181" s="73" t="s">
        <v>989</v>
      </c>
    </row>
    <row r="182" spans="1:3" ht="34.5" hidden="1" x14ac:dyDescent="0.3">
      <c r="A182" s="74">
        <v>276</v>
      </c>
      <c r="B182" s="75" t="s">
        <v>440</v>
      </c>
      <c r="C182" s="73" t="s">
        <v>990</v>
      </c>
    </row>
    <row r="183" spans="1:3" ht="34.5" hidden="1" x14ac:dyDescent="0.3">
      <c r="A183" s="74">
        <v>277</v>
      </c>
      <c r="B183" s="75" t="s">
        <v>440</v>
      </c>
      <c r="C183" s="73" t="s">
        <v>991</v>
      </c>
    </row>
    <row r="184" spans="1:3" ht="17.25" hidden="1" x14ac:dyDescent="0.3">
      <c r="A184" s="74">
        <v>278</v>
      </c>
      <c r="B184" s="75" t="s">
        <v>440</v>
      </c>
      <c r="C184" s="73" t="s">
        <v>992</v>
      </c>
    </row>
    <row r="185" spans="1:3" ht="34.5" hidden="1" x14ac:dyDescent="0.3">
      <c r="A185" s="74">
        <v>279</v>
      </c>
      <c r="B185" s="75" t="s">
        <v>440</v>
      </c>
      <c r="C185" s="73" t="s">
        <v>993</v>
      </c>
    </row>
    <row r="186" spans="1:3" ht="17.25" hidden="1" x14ac:dyDescent="0.3">
      <c r="A186" s="74">
        <v>280</v>
      </c>
      <c r="B186" s="75" t="s">
        <v>440</v>
      </c>
      <c r="C186" s="73" t="s">
        <v>994</v>
      </c>
    </row>
    <row r="187" spans="1:3" ht="17.25" hidden="1" x14ac:dyDescent="0.3">
      <c r="A187" s="74">
        <v>281</v>
      </c>
      <c r="B187" s="75" t="s">
        <v>440</v>
      </c>
      <c r="C187" s="73" t="s">
        <v>995</v>
      </c>
    </row>
    <row r="188" spans="1:3" ht="17.25" hidden="1" x14ac:dyDescent="0.3">
      <c r="A188" s="74">
        <v>282</v>
      </c>
      <c r="B188" s="75" t="s">
        <v>440</v>
      </c>
      <c r="C188" s="73" t="s">
        <v>996</v>
      </c>
    </row>
    <row r="189" spans="1:3" ht="17.25" hidden="1" x14ac:dyDescent="0.3">
      <c r="A189" s="74">
        <v>283</v>
      </c>
      <c r="B189" s="75" t="s">
        <v>440</v>
      </c>
      <c r="C189" s="73" t="s">
        <v>997</v>
      </c>
    </row>
    <row r="190" spans="1:3" ht="34.5" hidden="1" x14ac:dyDescent="0.3">
      <c r="A190" s="74">
        <v>284</v>
      </c>
      <c r="B190" s="75" t="s">
        <v>440</v>
      </c>
      <c r="C190" s="73" t="s">
        <v>998</v>
      </c>
    </row>
    <row r="191" spans="1:3" ht="17.25" hidden="1" x14ac:dyDescent="0.3">
      <c r="A191" s="74">
        <v>285</v>
      </c>
      <c r="B191" s="75" t="s">
        <v>435</v>
      </c>
      <c r="C191" s="73" t="s">
        <v>999</v>
      </c>
    </row>
    <row r="192" spans="1:3" ht="17.25" hidden="1" x14ac:dyDescent="0.3">
      <c r="A192" s="74">
        <v>286</v>
      </c>
      <c r="B192" s="75" t="s">
        <v>435</v>
      </c>
      <c r="C192" s="73" t="s">
        <v>1000</v>
      </c>
    </row>
    <row r="193" spans="1:3" ht="17.25" hidden="1" x14ac:dyDescent="0.3">
      <c r="A193" s="74">
        <v>287</v>
      </c>
      <c r="B193" s="75" t="s">
        <v>661</v>
      </c>
      <c r="C193" s="73" t="s">
        <v>780</v>
      </c>
    </row>
    <row r="194" spans="1:3" ht="17.25" hidden="1" x14ac:dyDescent="0.3">
      <c r="A194" s="74">
        <v>288</v>
      </c>
      <c r="B194" s="75" t="s">
        <v>661</v>
      </c>
      <c r="C194" s="73" t="s">
        <v>1001</v>
      </c>
    </row>
    <row r="195" spans="1:3" ht="17.25" hidden="1" x14ac:dyDescent="0.3">
      <c r="A195" s="74">
        <v>289</v>
      </c>
      <c r="B195" s="75" t="s">
        <v>661</v>
      </c>
      <c r="C195" s="73" t="s">
        <v>1002</v>
      </c>
    </row>
    <row r="196" spans="1:3" ht="34.5" hidden="1" x14ac:dyDescent="0.3">
      <c r="A196" s="74">
        <v>290</v>
      </c>
      <c r="B196" s="75" t="s">
        <v>661</v>
      </c>
      <c r="C196" s="73" t="s">
        <v>1003</v>
      </c>
    </row>
    <row r="197" spans="1:3" ht="17.25" hidden="1" x14ac:dyDescent="0.3">
      <c r="A197" s="74">
        <v>291</v>
      </c>
      <c r="B197" s="75" t="s">
        <v>661</v>
      </c>
      <c r="C197" s="73" t="s">
        <v>1004</v>
      </c>
    </row>
    <row r="198" spans="1:3" ht="17.25" hidden="1" x14ac:dyDescent="0.3">
      <c r="A198" s="74">
        <v>292</v>
      </c>
      <c r="B198" s="75" t="s">
        <v>661</v>
      </c>
      <c r="C198" s="73" t="s">
        <v>368</v>
      </c>
    </row>
    <row r="199" spans="1:3" ht="34.5" hidden="1" x14ac:dyDescent="0.3">
      <c r="A199" s="74">
        <v>293</v>
      </c>
      <c r="B199" s="75" t="s">
        <v>661</v>
      </c>
      <c r="C199" s="73" t="s">
        <v>1005</v>
      </c>
    </row>
    <row r="200" spans="1:3" ht="17.25" hidden="1" x14ac:dyDescent="0.3">
      <c r="A200" s="74">
        <v>294</v>
      </c>
      <c r="B200" s="75" t="s">
        <v>638</v>
      </c>
      <c r="C200" s="73" t="s">
        <v>1006</v>
      </c>
    </row>
    <row r="201" spans="1:3" ht="17.25" hidden="1" x14ac:dyDescent="0.3">
      <c r="A201" s="74">
        <v>295</v>
      </c>
      <c r="B201" s="75" t="s">
        <v>638</v>
      </c>
      <c r="C201" s="73" t="s">
        <v>1007</v>
      </c>
    </row>
    <row r="202" spans="1:3" ht="17.25" hidden="1" x14ac:dyDescent="0.3">
      <c r="A202" s="74">
        <v>296</v>
      </c>
      <c r="B202" s="75" t="s">
        <v>638</v>
      </c>
      <c r="C202" s="73" t="s">
        <v>1008</v>
      </c>
    </row>
    <row r="203" spans="1:3" ht="17.25" hidden="1" x14ac:dyDescent="0.3">
      <c r="A203" s="74">
        <v>297</v>
      </c>
      <c r="B203" s="75" t="s">
        <v>638</v>
      </c>
      <c r="C203" s="73" t="s">
        <v>1009</v>
      </c>
    </row>
    <row r="204" spans="1:3" ht="17.25" hidden="1" x14ac:dyDescent="0.3">
      <c r="A204" s="74">
        <v>298</v>
      </c>
      <c r="B204" s="75" t="s">
        <v>638</v>
      </c>
      <c r="C204" s="73" t="s">
        <v>1010</v>
      </c>
    </row>
    <row r="205" spans="1:3" ht="17.25" hidden="1" x14ac:dyDescent="0.3">
      <c r="A205" s="74">
        <v>299</v>
      </c>
      <c r="B205" s="75" t="s">
        <v>638</v>
      </c>
      <c r="C205" s="73" t="s">
        <v>1011</v>
      </c>
    </row>
    <row r="206" spans="1:3" ht="17.25" hidden="1" x14ac:dyDescent="0.3">
      <c r="A206" s="74">
        <v>300</v>
      </c>
      <c r="B206" s="75" t="s">
        <v>423</v>
      </c>
      <c r="C206" s="73" t="s">
        <v>1012</v>
      </c>
    </row>
    <row r="207" spans="1:3" ht="17.25" hidden="1" x14ac:dyDescent="0.3">
      <c r="A207" s="74">
        <v>301</v>
      </c>
      <c r="B207" s="75" t="s">
        <v>423</v>
      </c>
      <c r="C207" s="73" t="s">
        <v>1013</v>
      </c>
    </row>
    <row r="208" spans="1:3" ht="17.25" hidden="1" x14ac:dyDescent="0.3">
      <c r="A208" s="74">
        <v>302</v>
      </c>
      <c r="B208" s="75" t="s">
        <v>423</v>
      </c>
      <c r="C208" s="73" t="s">
        <v>1014</v>
      </c>
    </row>
    <row r="209" spans="1:3" ht="17.25" hidden="1" x14ac:dyDescent="0.3">
      <c r="A209" s="74">
        <v>303</v>
      </c>
      <c r="B209" s="75" t="s">
        <v>423</v>
      </c>
      <c r="C209" s="73" t="s">
        <v>1015</v>
      </c>
    </row>
    <row r="210" spans="1:3" ht="34.5" hidden="1" x14ac:dyDescent="0.3">
      <c r="A210" s="74">
        <v>304</v>
      </c>
      <c r="B210" s="75" t="s">
        <v>423</v>
      </c>
      <c r="C210" s="73" t="s">
        <v>1016</v>
      </c>
    </row>
    <row r="211" spans="1:3" ht="34.5" hidden="1" x14ac:dyDescent="0.3">
      <c r="A211" s="74">
        <v>305</v>
      </c>
      <c r="B211" s="75" t="s">
        <v>423</v>
      </c>
      <c r="C211" s="73" t="s">
        <v>1017</v>
      </c>
    </row>
    <row r="212" spans="1:3" ht="17.25" hidden="1" x14ac:dyDescent="0.3">
      <c r="A212" s="74">
        <v>306</v>
      </c>
      <c r="B212" s="75" t="s">
        <v>416</v>
      </c>
      <c r="C212" s="73" t="s">
        <v>1018</v>
      </c>
    </row>
    <row r="213" spans="1:3" ht="34.5" hidden="1" x14ac:dyDescent="0.3">
      <c r="A213" s="74">
        <v>307</v>
      </c>
      <c r="B213" s="75" t="s">
        <v>416</v>
      </c>
      <c r="C213" s="73" t="s">
        <v>1019</v>
      </c>
    </row>
    <row r="214" spans="1:3" ht="34.5" hidden="1" x14ac:dyDescent="0.3">
      <c r="A214" s="74">
        <v>308</v>
      </c>
      <c r="B214" s="75" t="s">
        <v>416</v>
      </c>
      <c r="C214" s="73" t="s">
        <v>1020</v>
      </c>
    </row>
    <row r="215" spans="1:3" ht="17.25" x14ac:dyDescent="0.3">
      <c r="A215" s="74">
        <v>309</v>
      </c>
      <c r="B215" s="75" t="s">
        <v>419</v>
      </c>
      <c r="C215" s="73" t="s">
        <v>1021</v>
      </c>
    </row>
    <row r="216" spans="1:3" ht="34.5" x14ac:dyDescent="0.3">
      <c r="A216" s="74">
        <v>310</v>
      </c>
      <c r="B216" s="75" t="s">
        <v>419</v>
      </c>
      <c r="C216" s="73" t="s">
        <v>1022</v>
      </c>
    </row>
    <row r="217" spans="1:3" ht="17.25" x14ac:dyDescent="0.3">
      <c r="A217" s="74">
        <v>311</v>
      </c>
      <c r="B217" s="75" t="s">
        <v>419</v>
      </c>
      <c r="C217" s="73" t="s">
        <v>1023</v>
      </c>
    </row>
    <row r="218" spans="1:3" ht="17.25" x14ac:dyDescent="0.3">
      <c r="A218" s="74">
        <v>312</v>
      </c>
      <c r="B218" s="75" t="s">
        <v>419</v>
      </c>
      <c r="C218" s="73" t="s">
        <v>1120</v>
      </c>
    </row>
    <row r="219" spans="1:3" ht="34.5" hidden="1" x14ac:dyDescent="0.3">
      <c r="A219" s="74">
        <v>313</v>
      </c>
      <c r="B219" s="75" t="s">
        <v>422</v>
      </c>
      <c r="C219" s="73" t="s">
        <v>1025</v>
      </c>
    </row>
    <row r="220" spans="1:3" ht="34.5" hidden="1" x14ac:dyDescent="0.3">
      <c r="A220" s="74">
        <v>314</v>
      </c>
      <c r="B220" s="75" t="s">
        <v>422</v>
      </c>
      <c r="C220" s="73" t="s">
        <v>456</v>
      </c>
    </row>
    <row r="221" spans="1:3" ht="34.5" hidden="1" x14ac:dyDescent="0.3">
      <c r="A221" s="74">
        <v>315</v>
      </c>
      <c r="B221" s="75" t="s">
        <v>422</v>
      </c>
      <c r="C221" s="73" t="s">
        <v>1026</v>
      </c>
    </row>
    <row r="222" spans="1:3" ht="34.5" hidden="1" x14ac:dyDescent="0.3">
      <c r="A222" s="74">
        <v>316</v>
      </c>
      <c r="B222" s="75" t="s">
        <v>422</v>
      </c>
      <c r="C222" s="73" t="s">
        <v>512</v>
      </c>
    </row>
    <row r="223" spans="1:3" ht="17.25" hidden="1" x14ac:dyDescent="0.3">
      <c r="A223" s="74">
        <v>317</v>
      </c>
      <c r="B223" s="75" t="s">
        <v>422</v>
      </c>
      <c r="C223" s="73" t="s">
        <v>1027</v>
      </c>
    </row>
    <row r="224" spans="1:3" ht="34.5" hidden="1" x14ac:dyDescent="0.3">
      <c r="A224" s="74">
        <v>318</v>
      </c>
      <c r="B224" s="75" t="s">
        <v>422</v>
      </c>
      <c r="C224" s="73" t="s">
        <v>1028</v>
      </c>
    </row>
    <row r="225" spans="1:3" ht="34.5" hidden="1" x14ac:dyDescent="0.3">
      <c r="A225" s="74">
        <v>319</v>
      </c>
      <c r="B225" s="75" t="s">
        <v>422</v>
      </c>
      <c r="C225" s="73" t="s">
        <v>305</v>
      </c>
    </row>
    <row r="226" spans="1:3" ht="17.25" hidden="1" x14ac:dyDescent="0.3">
      <c r="A226" s="74">
        <v>320</v>
      </c>
      <c r="B226" s="75" t="s">
        <v>422</v>
      </c>
      <c r="C226" s="73" t="s">
        <v>572</v>
      </c>
    </row>
    <row r="227" spans="1:3" ht="17.25" hidden="1" x14ac:dyDescent="0.3">
      <c r="A227" s="74">
        <v>321</v>
      </c>
      <c r="B227" s="75" t="s">
        <v>422</v>
      </c>
      <c r="C227" s="73" t="s">
        <v>1029</v>
      </c>
    </row>
    <row r="228" spans="1:3" ht="17.25" hidden="1" x14ac:dyDescent="0.3">
      <c r="A228" s="74">
        <v>322</v>
      </c>
      <c r="B228" s="75" t="s">
        <v>422</v>
      </c>
      <c r="C228" s="73" t="s">
        <v>1030</v>
      </c>
    </row>
    <row r="229" spans="1:3" ht="17.25" hidden="1" x14ac:dyDescent="0.3">
      <c r="A229" s="74">
        <v>323</v>
      </c>
      <c r="B229" s="75" t="s">
        <v>422</v>
      </c>
      <c r="C229" s="73" t="s">
        <v>1031</v>
      </c>
    </row>
    <row r="230" spans="1:3" ht="17.25" hidden="1" x14ac:dyDescent="0.3">
      <c r="A230" s="74">
        <v>324</v>
      </c>
      <c r="B230" s="75" t="s">
        <v>422</v>
      </c>
      <c r="C230" s="73" t="s">
        <v>1032</v>
      </c>
    </row>
    <row r="231" spans="1:3" ht="34.5" hidden="1" x14ac:dyDescent="0.3">
      <c r="A231" s="74">
        <v>325</v>
      </c>
      <c r="B231" s="75" t="s">
        <v>422</v>
      </c>
      <c r="C231" s="73" t="s">
        <v>1033</v>
      </c>
    </row>
    <row r="232" spans="1:3" ht="34.5" hidden="1" x14ac:dyDescent="0.3">
      <c r="A232" s="74">
        <v>326</v>
      </c>
      <c r="B232" s="75" t="s">
        <v>422</v>
      </c>
      <c r="C232" s="73" t="s">
        <v>1034</v>
      </c>
    </row>
    <row r="233" spans="1:3" ht="34.5" hidden="1" x14ac:dyDescent="0.3">
      <c r="A233" s="74">
        <v>327</v>
      </c>
      <c r="B233" s="75" t="s">
        <v>422</v>
      </c>
      <c r="C233" s="73" t="s">
        <v>1035</v>
      </c>
    </row>
    <row r="234" spans="1:3" ht="17.25" hidden="1" x14ac:dyDescent="0.3">
      <c r="A234" s="74">
        <v>328</v>
      </c>
      <c r="B234" s="75" t="s">
        <v>422</v>
      </c>
      <c r="C234" s="73" t="s">
        <v>178</v>
      </c>
    </row>
    <row r="235" spans="1:3" ht="17.25" hidden="1" x14ac:dyDescent="0.3">
      <c r="A235" s="74">
        <v>329</v>
      </c>
      <c r="B235" s="75" t="s">
        <v>422</v>
      </c>
      <c r="C235" s="73" t="s">
        <v>555</v>
      </c>
    </row>
    <row r="236" spans="1:3" ht="34.5" hidden="1" x14ac:dyDescent="0.3">
      <c r="A236" s="74">
        <v>330</v>
      </c>
      <c r="B236" s="75" t="s">
        <v>422</v>
      </c>
      <c r="C236" s="73" t="s">
        <v>1036</v>
      </c>
    </row>
    <row r="237" spans="1:3" ht="34.5" hidden="1" x14ac:dyDescent="0.3">
      <c r="A237" s="74">
        <v>331</v>
      </c>
      <c r="B237" s="75" t="s">
        <v>422</v>
      </c>
      <c r="C237" s="73" t="s">
        <v>522</v>
      </c>
    </row>
    <row r="238" spans="1:3" ht="17.25" hidden="1" x14ac:dyDescent="0.3">
      <c r="A238" s="74">
        <v>332</v>
      </c>
      <c r="B238" s="75" t="s">
        <v>422</v>
      </c>
      <c r="C238" s="73" t="s">
        <v>1037</v>
      </c>
    </row>
    <row r="239" spans="1:3" ht="17.25" hidden="1" x14ac:dyDescent="0.3">
      <c r="A239" s="74">
        <v>333</v>
      </c>
      <c r="B239" s="75" t="s">
        <v>422</v>
      </c>
      <c r="C239" s="73" t="s">
        <v>1038</v>
      </c>
    </row>
    <row r="240" spans="1:3" ht="17.25" hidden="1" x14ac:dyDescent="0.3">
      <c r="A240" s="74">
        <v>334</v>
      </c>
      <c r="B240" s="75" t="s">
        <v>422</v>
      </c>
      <c r="C240" s="73" t="s">
        <v>1039</v>
      </c>
    </row>
    <row r="241" spans="1:3" ht="17.25" hidden="1" x14ac:dyDescent="0.3">
      <c r="A241" s="74">
        <v>335</v>
      </c>
      <c r="B241" s="75" t="s">
        <v>422</v>
      </c>
      <c r="C241" s="73" t="s">
        <v>1040</v>
      </c>
    </row>
    <row r="242" spans="1:3" ht="34.5" hidden="1" x14ac:dyDescent="0.3">
      <c r="A242" s="74">
        <v>336</v>
      </c>
      <c r="B242" s="75" t="s">
        <v>422</v>
      </c>
      <c r="C242" s="73" t="s">
        <v>1041</v>
      </c>
    </row>
    <row r="243" spans="1:3" ht="34.5" hidden="1" x14ac:dyDescent="0.3">
      <c r="A243" s="74">
        <v>337</v>
      </c>
      <c r="B243" s="75" t="s">
        <v>422</v>
      </c>
      <c r="C243" s="73" t="s">
        <v>1042</v>
      </c>
    </row>
    <row r="244" spans="1:3" ht="34.5" hidden="1" x14ac:dyDescent="0.3">
      <c r="A244" s="74">
        <v>338</v>
      </c>
      <c r="B244" s="75" t="s">
        <v>422</v>
      </c>
      <c r="C244" s="73" t="s">
        <v>95</v>
      </c>
    </row>
    <row r="245" spans="1:3" ht="17.25" hidden="1" x14ac:dyDescent="0.3">
      <c r="A245" s="74">
        <v>339</v>
      </c>
      <c r="B245" s="75" t="s">
        <v>422</v>
      </c>
      <c r="C245" s="73" t="s">
        <v>1043</v>
      </c>
    </row>
    <row r="246" spans="1:3" ht="34.5" hidden="1" x14ac:dyDescent="0.3">
      <c r="A246" s="74">
        <v>340</v>
      </c>
      <c r="B246" s="75" t="s">
        <v>424</v>
      </c>
      <c r="C246" s="73" t="s">
        <v>1044</v>
      </c>
    </row>
    <row r="247" spans="1:3" ht="17.25" hidden="1" x14ac:dyDescent="0.3">
      <c r="A247" s="74">
        <v>341</v>
      </c>
      <c r="B247" s="75" t="s">
        <v>424</v>
      </c>
      <c r="C247" s="73" t="s">
        <v>1045</v>
      </c>
    </row>
    <row r="248" spans="1:3" ht="17.25" hidden="1" x14ac:dyDescent="0.3">
      <c r="A248" s="74">
        <v>342</v>
      </c>
      <c r="B248" s="75" t="s">
        <v>424</v>
      </c>
      <c r="C248" s="73" t="s">
        <v>1046</v>
      </c>
    </row>
    <row r="249" spans="1:3" ht="34.5" hidden="1" x14ac:dyDescent="0.3">
      <c r="A249" s="74">
        <v>343</v>
      </c>
      <c r="B249" s="75" t="s">
        <v>424</v>
      </c>
      <c r="C249" s="73" t="s">
        <v>1047</v>
      </c>
    </row>
    <row r="250" spans="1:3" ht="17.25" hidden="1" x14ac:dyDescent="0.3">
      <c r="A250" s="74">
        <v>344</v>
      </c>
      <c r="B250" s="75" t="s">
        <v>424</v>
      </c>
      <c r="C250" s="73" t="s">
        <v>1048</v>
      </c>
    </row>
    <row r="251" spans="1:3" ht="34.5" hidden="1" x14ac:dyDescent="0.3">
      <c r="A251" s="74">
        <v>345</v>
      </c>
      <c r="B251" s="75" t="s">
        <v>424</v>
      </c>
      <c r="C251" s="73" t="s">
        <v>1049</v>
      </c>
    </row>
    <row r="252" spans="1:3" ht="34.5" hidden="1" x14ac:dyDescent="0.3">
      <c r="A252" s="74">
        <v>346</v>
      </c>
      <c r="B252" s="75" t="s">
        <v>657</v>
      </c>
      <c r="C252" s="73" t="s">
        <v>1050</v>
      </c>
    </row>
    <row r="253" spans="1:3" ht="34.5" hidden="1" x14ac:dyDescent="0.3">
      <c r="A253" s="74">
        <v>347</v>
      </c>
      <c r="B253" s="75" t="s">
        <v>657</v>
      </c>
      <c r="C253" s="73" t="s">
        <v>1051</v>
      </c>
    </row>
    <row r="254" spans="1:3" ht="34.5" hidden="1" x14ac:dyDescent="0.3">
      <c r="A254" s="74">
        <v>348</v>
      </c>
      <c r="B254" s="75" t="s">
        <v>657</v>
      </c>
      <c r="C254" s="73" t="s">
        <v>1052</v>
      </c>
    </row>
    <row r="255" spans="1:3" ht="34.5" hidden="1" x14ac:dyDescent="0.3">
      <c r="A255" s="74">
        <v>349</v>
      </c>
      <c r="B255" s="75" t="s">
        <v>657</v>
      </c>
      <c r="C255" s="73" t="s">
        <v>1053</v>
      </c>
    </row>
    <row r="256" spans="1:3" ht="51.75" hidden="1" x14ac:dyDescent="0.3">
      <c r="A256" s="74">
        <v>350</v>
      </c>
      <c r="B256" s="75" t="s">
        <v>657</v>
      </c>
      <c r="C256" s="73" t="s">
        <v>1054</v>
      </c>
    </row>
    <row r="257" spans="1:3" ht="34.5" hidden="1" x14ac:dyDescent="0.3">
      <c r="A257" s="74">
        <v>351</v>
      </c>
      <c r="B257" s="75" t="s">
        <v>657</v>
      </c>
      <c r="C257" s="73" t="s">
        <v>1055</v>
      </c>
    </row>
    <row r="258" spans="1:3" ht="34.5" hidden="1" x14ac:dyDescent="0.3">
      <c r="A258" s="74">
        <v>352</v>
      </c>
      <c r="B258" s="75" t="s">
        <v>657</v>
      </c>
      <c r="C258" s="73" t="s">
        <v>1056</v>
      </c>
    </row>
    <row r="259" spans="1:3" ht="17.25" hidden="1" x14ac:dyDescent="0.3">
      <c r="A259" s="74">
        <v>353</v>
      </c>
      <c r="B259" s="75" t="s">
        <v>657</v>
      </c>
      <c r="C259" s="73" t="s">
        <v>1057</v>
      </c>
    </row>
    <row r="260" spans="1:3" ht="34.5" hidden="1" x14ac:dyDescent="0.3">
      <c r="A260" s="74">
        <v>354</v>
      </c>
      <c r="B260" s="75" t="s">
        <v>411</v>
      </c>
      <c r="C260" s="73" t="s">
        <v>1058</v>
      </c>
    </row>
    <row r="261" spans="1:3" ht="34.5" hidden="1" x14ac:dyDescent="0.3">
      <c r="A261" s="74">
        <v>355</v>
      </c>
      <c r="B261" s="75" t="s">
        <v>411</v>
      </c>
      <c r="C261" s="73" t="s">
        <v>1059</v>
      </c>
    </row>
    <row r="262" spans="1:3" ht="17.25" hidden="1" x14ac:dyDescent="0.3">
      <c r="A262" s="74">
        <v>356</v>
      </c>
      <c r="B262" s="75" t="s">
        <v>411</v>
      </c>
      <c r="C262" s="73" t="s">
        <v>1060</v>
      </c>
    </row>
    <row r="263" spans="1:3" ht="17.25" hidden="1" x14ac:dyDescent="0.3">
      <c r="A263" s="74">
        <v>357</v>
      </c>
      <c r="B263" s="75" t="s">
        <v>411</v>
      </c>
      <c r="C263" s="73" t="s">
        <v>1061</v>
      </c>
    </row>
    <row r="264" spans="1:3" ht="17.25" hidden="1" x14ac:dyDescent="0.3">
      <c r="A264" s="74">
        <v>358</v>
      </c>
      <c r="B264" s="75" t="s">
        <v>411</v>
      </c>
      <c r="C264" s="73" t="s">
        <v>776</v>
      </c>
    </row>
    <row r="265" spans="1:3" ht="17.25" hidden="1" x14ac:dyDescent="0.3">
      <c r="A265" s="74">
        <v>359</v>
      </c>
      <c r="B265" s="75" t="s">
        <v>411</v>
      </c>
      <c r="C265" s="73" t="s">
        <v>1062</v>
      </c>
    </row>
    <row r="266" spans="1:3" ht="17.25" hidden="1" x14ac:dyDescent="0.3">
      <c r="A266" s="74">
        <v>360</v>
      </c>
      <c r="B266" s="75" t="s">
        <v>411</v>
      </c>
      <c r="C266" s="73" t="s">
        <v>1063</v>
      </c>
    </row>
    <row r="267" spans="1:3" ht="34.5" hidden="1" x14ac:dyDescent="0.3">
      <c r="A267" s="74">
        <v>361</v>
      </c>
      <c r="B267" s="75" t="s">
        <v>411</v>
      </c>
      <c r="C267" s="73" t="s">
        <v>1064</v>
      </c>
    </row>
    <row r="268" spans="1:3" ht="34.5" hidden="1" x14ac:dyDescent="0.3">
      <c r="A268" s="74">
        <v>362</v>
      </c>
      <c r="B268" s="75" t="s">
        <v>411</v>
      </c>
      <c r="C268" s="73" t="s">
        <v>1065</v>
      </c>
    </row>
    <row r="269" spans="1:3" ht="17.25" hidden="1" x14ac:dyDescent="0.3">
      <c r="A269" s="74">
        <v>363</v>
      </c>
      <c r="B269" s="75" t="s">
        <v>411</v>
      </c>
      <c r="C269" s="73" t="s">
        <v>1066</v>
      </c>
    </row>
    <row r="270" spans="1:3" ht="17.25" hidden="1" x14ac:dyDescent="0.3">
      <c r="A270" s="74">
        <v>364</v>
      </c>
      <c r="B270" s="75" t="s">
        <v>411</v>
      </c>
      <c r="C270" s="73" t="s">
        <v>1067</v>
      </c>
    </row>
    <row r="271" spans="1:3" ht="17.25" hidden="1" x14ac:dyDescent="0.3">
      <c r="A271" s="74">
        <v>365</v>
      </c>
      <c r="B271" s="75" t="s">
        <v>411</v>
      </c>
      <c r="C271" s="73" t="s">
        <v>1068</v>
      </c>
    </row>
    <row r="272" spans="1:3" ht="17.25" hidden="1" x14ac:dyDescent="0.3">
      <c r="A272" s="74">
        <v>366</v>
      </c>
      <c r="B272" s="75" t="s">
        <v>411</v>
      </c>
      <c r="C272" s="73" t="s">
        <v>1069</v>
      </c>
    </row>
    <row r="273" spans="1:3" ht="17.25" hidden="1" x14ac:dyDescent="0.3">
      <c r="A273" s="74">
        <v>367</v>
      </c>
      <c r="B273" s="75" t="s">
        <v>411</v>
      </c>
      <c r="C273" s="73" t="s">
        <v>1070</v>
      </c>
    </row>
    <row r="274" spans="1:3" ht="17.25" hidden="1" x14ac:dyDescent="0.3">
      <c r="A274" s="74">
        <v>368</v>
      </c>
      <c r="B274" s="75" t="s">
        <v>411</v>
      </c>
      <c r="C274" s="73" t="s">
        <v>408</v>
      </c>
    </row>
    <row r="275" spans="1:3" ht="17.25" hidden="1" x14ac:dyDescent="0.3">
      <c r="A275" s="74">
        <v>369</v>
      </c>
      <c r="B275" s="75" t="s">
        <v>411</v>
      </c>
      <c r="C275" s="73" t="s">
        <v>1071</v>
      </c>
    </row>
    <row r="276" spans="1:3" ht="17.25" hidden="1" x14ac:dyDescent="0.3">
      <c r="A276" s="74">
        <v>370</v>
      </c>
      <c r="B276" s="75" t="s">
        <v>411</v>
      </c>
      <c r="C276" s="73" t="s">
        <v>1072</v>
      </c>
    </row>
    <row r="277" spans="1:3" ht="17.25" hidden="1" x14ac:dyDescent="0.3">
      <c r="A277" s="74">
        <v>371</v>
      </c>
      <c r="B277" s="75" t="s">
        <v>411</v>
      </c>
      <c r="C277" s="73" t="s">
        <v>492</v>
      </c>
    </row>
    <row r="278" spans="1:3" ht="17.25" hidden="1" x14ac:dyDescent="0.3">
      <c r="A278" s="74">
        <v>372</v>
      </c>
      <c r="B278" s="75" t="s">
        <v>411</v>
      </c>
      <c r="C278" s="73" t="s">
        <v>1073</v>
      </c>
    </row>
    <row r="279" spans="1:3" ht="17.25" hidden="1" x14ac:dyDescent="0.3">
      <c r="A279" s="74">
        <v>373</v>
      </c>
      <c r="B279" s="75" t="s">
        <v>615</v>
      </c>
      <c r="C279" s="73" t="s">
        <v>1074</v>
      </c>
    </row>
    <row r="280" spans="1:3" ht="34.5" hidden="1" x14ac:dyDescent="0.3">
      <c r="A280" s="74">
        <v>374</v>
      </c>
      <c r="B280" s="75" t="s">
        <v>615</v>
      </c>
      <c r="C280" s="73" t="s">
        <v>1075</v>
      </c>
    </row>
    <row r="281" spans="1:3" ht="34.5" hidden="1" x14ac:dyDescent="0.3">
      <c r="A281" s="74">
        <v>375</v>
      </c>
      <c r="B281" s="75" t="s">
        <v>615</v>
      </c>
      <c r="C281" s="73" t="s">
        <v>1076</v>
      </c>
    </row>
    <row r="282" spans="1:3" ht="17.25" hidden="1" x14ac:dyDescent="0.3">
      <c r="A282" s="74">
        <v>376</v>
      </c>
      <c r="B282" s="75" t="s">
        <v>613</v>
      </c>
      <c r="C282" s="73" t="s">
        <v>1077</v>
      </c>
    </row>
    <row r="283" spans="1:3" ht="17.25" hidden="1" x14ac:dyDescent="0.3">
      <c r="A283" s="74">
        <v>377</v>
      </c>
      <c r="B283" s="75" t="s">
        <v>613</v>
      </c>
      <c r="C283" s="73" t="s">
        <v>1078</v>
      </c>
    </row>
    <row r="284" spans="1:3" ht="34.5" hidden="1" x14ac:dyDescent="0.3">
      <c r="A284" s="74">
        <v>378</v>
      </c>
      <c r="B284" s="75" t="s">
        <v>689</v>
      </c>
      <c r="C284" s="73" t="s">
        <v>1079</v>
      </c>
    </row>
    <row r="285" spans="1:3" ht="17.25" hidden="1" x14ac:dyDescent="0.3">
      <c r="A285" s="74">
        <v>379</v>
      </c>
      <c r="B285" s="75" t="s">
        <v>689</v>
      </c>
      <c r="C285" s="73" t="s">
        <v>1080</v>
      </c>
    </row>
    <row r="286" spans="1:3" ht="17.25" hidden="1" x14ac:dyDescent="0.3">
      <c r="A286" s="74">
        <v>380</v>
      </c>
      <c r="B286" s="75"/>
      <c r="C286" s="73"/>
    </row>
    <row r="287" spans="1:3" ht="17.25" hidden="1" x14ac:dyDescent="0.3">
      <c r="A287" s="74">
        <v>381</v>
      </c>
      <c r="B287" s="75"/>
      <c r="C287" s="76"/>
    </row>
    <row r="288" spans="1:3" ht="17.25" hidden="1" x14ac:dyDescent="0.3">
      <c r="A288" s="74">
        <v>382</v>
      </c>
      <c r="B288" s="75"/>
      <c r="C288" s="76"/>
    </row>
    <row r="289" spans="1:3" ht="17.25" hidden="1" x14ac:dyDescent="0.3">
      <c r="A289" s="74">
        <v>383</v>
      </c>
      <c r="B289" s="75"/>
      <c r="C289" s="76"/>
    </row>
    <row r="290" spans="1:3" ht="17.25" hidden="1" x14ac:dyDescent="0.3">
      <c r="A290" s="74">
        <v>384</v>
      </c>
      <c r="B290" s="75"/>
      <c r="C290" s="76"/>
    </row>
    <row r="291" spans="1:3" ht="17.25" hidden="1" x14ac:dyDescent="0.3">
      <c r="A291" s="74">
        <v>385</v>
      </c>
      <c r="B291" s="75"/>
      <c r="C291" s="76"/>
    </row>
    <row r="292" spans="1:3" ht="17.25" hidden="1" x14ac:dyDescent="0.3">
      <c r="A292" s="74">
        <v>386</v>
      </c>
      <c r="B292" s="75"/>
      <c r="C292" s="76"/>
    </row>
    <row r="293" spans="1:3" ht="17.25" hidden="1" x14ac:dyDescent="0.3">
      <c r="A293" s="74">
        <v>387</v>
      </c>
      <c r="B293" s="75"/>
      <c r="C293" s="76"/>
    </row>
    <row r="294" spans="1:3" ht="17.25" hidden="1" x14ac:dyDescent="0.3">
      <c r="A294" s="74">
        <v>388</v>
      </c>
      <c r="B294" s="75"/>
      <c r="C294" s="76"/>
    </row>
    <row r="295" spans="1:3" ht="17.25" hidden="1" x14ac:dyDescent="0.3">
      <c r="A295" s="74">
        <v>389</v>
      </c>
      <c r="B295" s="75"/>
      <c r="C295" s="76"/>
    </row>
    <row r="296" spans="1:3" ht="17.25" hidden="1" x14ac:dyDescent="0.3">
      <c r="A296" s="74">
        <v>390</v>
      </c>
      <c r="B296" s="75"/>
      <c r="C296" s="76"/>
    </row>
    <row r="297" spans="1:3" ht="17.25" hidden="1" x14ac:dyDescent="0.3">
      <c r="A297" s="74">
        <v>391</v>
      </c>
      <c r="B297" s="75"/>
      <c r="C297" s="76"/>
    </row>
    <row r="298" spans="1:3" ht="17.25" hidden="1" x14ac:dyDescent="0.3">
      <c r="A298" s="74">
        <v>392</v>
      </c>
      <c r="B298" s="75"/>
      <c r="C298" s="76"/>
    </row>
    <row r="299" spans="1:3" ht="17.25" hidden="1" x14ac:dyDescent="0.3">
      <c r="A299" s="74">
        <v>393</v>
      </c>
      <c r="B299" s="75"/>
      <c r="C299" s="76"/>
    </row>
    <row r="300" spans="1:3" ht="17.25" hidden="1" x14ac:dyDescent="0.3">
      <c r="A300" s="74">
        <v>394</v>
      </c>
      <c r="B300" s="75"/>
      <c r="C300" s="76"/>
    </row>
    <row r="301" spans="1:3" ht="17.25" hidden="1" x14ac:dyDescent="0.3">
      <c r="A301" s="74">
        <v>395</v>
      </c>
      <c r="B301" s="75"/>
      <c r="C301" s="76"/>
    </row>
    <row r="302" spans="1:3" ht="17.25" hidden="1" x14ac:dyDescent="0.3">
      <c r="A302" s="74">
        <v>396</v>
      </c>
      <c r="B302" s="75"/>
      <c r="C302" s="76"/>
    </row>
    <row r="303" spans="1:3" ht="17.25" hidden="1" x14ac:dyDescent="0.3">
      <c r="A303" s="74">
        <v>397</v>
      </c>
      <c r="B303" s="75"/>
      <c r="C303" s="76"/>
    </row>
    <row r="304" spans="1:3" ht="17.25" hidden="1" x14ac:dyDescent="0.3">
      <c r="A304" s="74">
        <v>398</v>
      </c>
      <c r="B304" s="75"/>
      <c r="C304" s="76"/>
    </row>
    <row r="305" spans="1:3" ht="17.25" hidden="1" x14ac:dyDescent="0.3">
      <c r="A305" s="74">
        <v>399</v>
      </c>
      <c r="B305" s="75"/>
      <c r="C305" s="76"/>
    </row>
    <row r="306" spans="1:3" ht="17.25" hidden="1" x14ac:dyDescent="0.3">
      <c r="A306" s="74">
        <v>400</v>
      </c>
      <c r="B306" s="75"/>
      <c r="C306" s="76"/>
    </row>
    <row r="307" spans="1:3" hidden="1" x14ac:dyDescent="0.3">
      <c r="A307" s="35"/>
      <c r="C307" s="18"/>
    </row>
    <row r="308" spans="1:3" hidden="1" x14ac:dyDescent="0.3">
      <c r="A308" s="35"/>
      <c r="C308" s="18"/>
    </row>
    <row r="309" spans="1:3" hidden="1" x14ac:dyDescent="0.3">
      <c r="A309" s="35"/>
      <c r="C309" s="18"/>
    </row>
    <row r="310" spans="1:3" hidden="1" x14ac:dyDescent="0.3">
      <c r="A310" s="35"/>
      <c r="C310" s="18"/>
    </row>
    <row r="311" spans="1:3" hidden="1" x14ac:dyDescent="0.3">
      <c r="A311" s="35"/>
      <c r="C311" s="18"/>
    </row>
    <row r="312" spans="1:3" hidden="1" x14ac:dyDescent="0.3">
      <c r="A312" s="35"/>
      <c r="C312" s="18"/>
    </row>
    <row r="313" spans="1:3" hidden="1" x14ac:dyDescent="0.3">
      <c r="A313" s="35"/>
      <c r="C313" s="18"/>
    </row>
    <row r="314" spans="1:3" hidden="1" x14ac:dyDescent="0.3">
      <c r="A314" s="35"/>
      <c r="C314" s="18"/>
    </row>
    <row r="315" spans="1:3" hidden="1" x14ac:dyDescent="0.3">
      <c r="A315" s="35"/>
      <c r="C315" s="18"/>
    </row>
    <row r="316" spans="1:3" hidden="1" x14ac:dyDescent="0.3">
      <c r="A316" s="35"/>
      <c r="C316" s="18"/>
    </row>
    <row r="317" spans="1:3" hidden="1" x14ac:dyDescent="0.3">
      <c r="A317" s="35"/>
      <c r="C317" s="18"/>
    </row>
    <row r="318" spans="1:3" hidden="1" x14ac:dyDescent="0.3">
      <c r="A318" s="35"/>
      <c r="C318" s="18"/>
    </row>
    <row r="319" spans="1:3" hidden="1" x14ac:dyDescent="0.3">
      <c r="A319" s="35"/>
      <c r="C319" s="18"/>
    </row>
    <row r="320" spans="1:3" hidden="1" x14ac:dyDescent="0.3">
      <c r="A320" s="35"/>
      <c r="C320" s="18"/>
    </row>
    <row r="321" spans="1:3" hidden="1" x14ac:dyDescent="0.3">
      <c r="A321" s="35"/>
      <c r="C321" s="18"/>
    </row>
    <row r="322" spans="1:3" hidden="1" x14ac:dyDescent="0.3">
      <c r="A322" s="35"/>
      <c r="C322" s="18"/>
    </row>
    <row r="323" spans="1:3" hidden="1" x14ac:dyDescent="0.3">
      <c r="A323" s="35"/>
      <c r="C323" s="18"/>
    </row>
    <row r="324" spans="1:3" hidden="1" x14ac:dyDescent="0.3">
      <c r="A324" s="35"/>
      <c r="C324" s="18"/>
    </row>
    <row r="325" spans="1:3" hidden="1" x14ac:dyDescent="0.3">
      <c r="A325" s="35"/>
      <c r="C325" s="18"/>
    </row>
    <row r="326" spans="1:3" hidden="1" x14ac:dyDescent="0.3">
      <c r="A326" s="35"/>
      <c r="C326" s="18"/>
    </row>
    <row r="327" spans="1:3" hidden="1" x14ac:dyDescent="0.3">
      <c r="A327" s="35"/>
      <c r="C327" s="18"/>
    </row>
    <row r="328" spans="1:3" hidden="1" x14ac:dyDescent="0.3">
      <c r="A328" s="35"/>
      <c r="C328" s="18"/>
    </row>
    <row r="329" spans="1:3" hidden="1" x14ac:dyDescent="0.3">
      <c r="A329" s="35"/>
      <c r="C329" s="18"/>
    </row>
    <row r="330" spans="1:3" hidden="1" x14ac:dyDescent="0.3">
      <c r="A330" s="35"/>
      <c r="C330" s="18"/>
    </row>
    <row r="331" spans="1:3" hidden="1" x14ac:dyDescent="0.3">
      <c r="A331" s="35"/>
      <c r="C331" s="18"/>
    </row>
    <row r="332" spans="1:3" hidden="1" x14ac:dyDescent="0.3">
      <c r="A332" s="35"/>
      <c r="C332" s="18"/>
    </row>
    <row r="333" spans="1:3" hidden="1" x14ac:dyDescent="0.3">
      <c r="A333" s="35"/>
      <c r="C333" s="18"/>
    </row>
    <row r="334" spans="1:3" hidden="1" x14ac:dyDescent="0.3">
      <c r="A334" s="35"/>
      <c r="C334" s="18"/>
    </row>
    <row r="335" spans="1:3" hidden="1" x14ac:dyDescent="0.3">
      <c r="A335" s="35"/>
      <c r="C335" s="18"/>
    </row>
    <row r="336" spans="1:3" hidden="1" x14ac:dyDescent="0.3">
      <c r="A336" s="35"/>
      <c r="C336" s="18"/>
    </row>
    <row r="337" spans="1:3" hidden="1" x14ac:dyDescent="0.3">
      <c r="A337" s="35"/>
      <c r="C337" s="19"/>
    </row>
    <row r="338" spans="1:3" hidden="1" x14ac:dyDescent="0.3">
      <c r="A338" s="35"/>
      <c r="C338" s="18"/>
    </row>
    <row r="339" spans="1:3" hidden="1" x14ac:dyDescent="0.3">
      <c r="A339" s="35"/>
      <c r="C339" s="18"/>
    </row>
    <row r="340" spans="1:3" hidden="1" x14ac:dyDescent="0.3">
      <c r="A340" s="35"/>
      <c r="C340" s="18"/>
    </row>
    <row r="341" spans="1:3" hidden="1" x14ac:dyDescent="0.3">
      <c r="A341" s="35"/>
      <c r="C341" s="18"/>
    </row>
    <row r="342" spans="1:3" hidden="1" x14ac:dyDescent="0.3">
      <c r="A342" s="35"/>
      <c r="C342" s="18"/>
    </row>
    <row r="343" spans="1:3" hidden="1" x14ac:dyDescent="0.3">
      <c r="A343" s="35"/>
      <c r="C343" s="18"/>
    </row>
    <row r="344" spans="1:3" hidden="1" x14ac:dyDescent="0.3">
      <c r="A344" s="35"/>
      <c r="C344" s="18"/>
    </row>
    <row r="345" spans="1:3" hidden="1" x14ac:dyDescent="0.3">
      <c r="A345" s="35"/>
      <c r="C345" s="18"/>
    </row>
    <row r="346" spans="1:3" hidden="1" x14ac:dyDescent="0.3">
      <c r="A346" s="35"/>
      <c r="C346" s="18"/>
    </row>
    <row r="347" spans="1:3" hidden="1" x14ac:dyDescent="0.3">
      <c r="A347" s="35"/>
      <c r="C347" s="18"/>
    </row>
    <row r="348" spans="1:3" hidden="1" x14ac:dyDescent="0.3">
      <c r="A348" s="35"/>
      <c r="C348" s="18"/>
    </row>
    <row r="349" spans="1:3" hidden="1" x14ac:dyDescent="0.3">
      <c r="A349" s="35"/>
      <c r="C349" s="18"/>
    </row>
    <row r="350" spans="1:3" hidden="1" x14ac:dyDescent="0.3">
      <c r="A350" s="35"/>
      <c r="C350" s="18"/>
    </row>
    <row r="351" spans="1:3" hidden="1" x14ac:dyDescent="0.3">
      <c r="A351" s="35"/>
      <c r="C351" s="18"/>
    </row>
    <row r="352" spans="1:3" hidden="1" x14ac:dyDescent="0.3">
      <c r="A352" s="35"/>
      <c r="C352" s="18"/>
    </row>
    <row r="353" spans="1:3" hidden="1" x14ac:dyDescent="0.3">
      <c r="A353" s="35"/>
      <c r="C353" s="18"/>
    </row>
    <row r="354" spans="1:3" hidden="1" x14ac:dyDescent="0.3">
      <c r="A354" s="35"/>
      <c r="C354" s="18"/>
    </row>
    <row r="355" spans="1:3" hidden="1" x14ac:dyDescent="0.3">
      <c r="A355" s="35"/>
      <c r="C355" s="18"/>
    </row>
    <row r="356" spans="1:3" hidden="1" x14ac:dyDescent="0.3">
      <c r="A356" s="35"/>
      <c r="C356" s="18"/>
    </row>
    <row r="357" spans="1:3" hidden="1" x14ac:dyDescent="0.3">
      <c r="A357" s="35"/>
      <c r="C357" s="18"/>
    </row>
    <row r="358" spans="1:3" hidden="1" x14ac:dyDescent="0.3">
      <c r="A358" s="35"/>
      <c r="C358" s="18"/>
    </row>
    <row r="359" spans="1:3" hidden="1" x14ac:dyDescent="0.3">
      <c r="A359" s="35"/>
      <c r="C359" s="18"/>
    </row>
    <row r="360" spans="1:3" hidden="1" x14ac:dyDescent="0.3">
      <c r="A360" s="35"/>
      <c r="C360" s="18"/>
    </row>
    <row r="361" spans="1:3" hidden="1" x14ac:dyDescent="0.3">
      <c r="A361" s="35"/>
      <c r="C361" s="18"/>
    </row>
    <row r="362" spans="1:3" hidden="1" x14ac:dyDescent="0.3">
      <c r="A362" s="35"/>
      <c r="C362" s="18"/>
    </row>
    <row r="363" spans="1:3" hidden="1" x14ac:dyDescent="0.3">
      <c r="A363" s="35"/>
      <c r="C363" s="18"/>
    </row>
    <row r="364" spans="1:3" hidden="1" x14ac:dyDescent="0.3">
      <c r="A364" s="35"/>
      <c r="C364" s="18"/>
    </row>
    <row r="365" spans="1:3" hidden="1" x14ac:dyDescent="0.3">
      <c r="A365" s="35"/>
      <c r="C365" s="18"/>
    </row>
    <row r="366" spans="1:3" hidden="1" x14ac:dyDescent="0.3">
      <c r="A366" s="35"/>
      <c r="C366" s="18"/>
    </row>
    <row r="367" spans="1:3" hidden="1" x14ac:dyDescent="0.3">
      <c r="A367" s="35"/>
      <c r="C367" s="18"/>
    </row>
    <row r="368" spans="1:3" hidden="1" x14ac:dyDescent="0.3">
      <c r="A368" s="35"/>
      <c r="C368" s="18"/>
    </row>
    <row r="369" spans="1:3" hidden="1" x14ac:dyDescent="0.3">
      <c r="A369" s="35"/>
      <c r="C369" s="18"/>
    </row>
    <row r="370" spans="1:3" hidden="1" x14ac:dyDescent="0.3">
      <c r="A370" s="35"/>
      <c r="C370" s="18"/>
    </row>
    <row r="371" spans="1:3" hidden="1" x14ac:dyDescent="0.3">
      <c r="A371" s="35"/>
      <c r="C371" s="18"/>
    </row>
    <row r="372" spans="1:3" hidden="1" x14ac:dyDescent="0.3">
      <c r="A372" s="35"/>
      <c r="C372" s="18"/>
    </row>
    <row r="373" spans="1:3" hidden="1" x14ac:dyDescent="0.3">
      <c r="A373" s="35"/>
      <c r="C373" s="18"/>
    </row>
    <row r="374" spans="1:3" hidden="1" x14ac:dyDescent="0.3">
      <c r="A374" s="35"/>
      <c r="C374" s="18"/>
    </row>
    <row r="375" spans="1:3" hidden="1" x14ac:dyDescent="0.3">
      <c r="A375" s="35"/>
      <c r="C375" s="18"/>
    </row>
    <row r="376" spans="1:3" hidden="1" x14ac:dyDescent="0.3">
      <c r="A376" s="35"/>
      <c r="C376" s="18"/>
    </row>
    <row r="377" spans="1:3" hidden="1" x14ac:dyDescent="0.3">
      <c r="A377" s="35"/>
      <c r="C377" s="18"/>
    </row>
    <row r="378" spans="1:3" hidden="1" x14ac:dyDescent="0.3">
      <c r="A378" s="35"/>
      <c r="C378" s="18"/>
    </row>
    <row r="379" spans="1:3" hidden="1" x14ac:dyDescent="0.3">
      <c r="A379" s="35"/>
      <c r="C379" s="18"/>
    </row>
    <row r="380" spans="1:3" hidden="1" x14ac:dyDescent="0.3">
      <c r="A380" s="35"/>
      <c r="C380" s="18"/>
    </row>
    <row r="381" spans="1:3" hidden="1" x14ac:dyDescent="0.3">
      <c r="A381" s="35"/>
      <c r="C381" s="18"/>
    </row>
    <row r="382" spans="1:3" hidden="1" x14ac:dyDescent="0.3">
      <c r="A382" s="35"/>
      <c r="C382" s="18"/>
    </row>
    <row r="383" spans="1:3" hidden="1" x14ac:dyDescent="0.3">
      <c r="A383" s="35"/>
      <c r="C383" s="18"/>
    </row>
    <row r="384" spans="1:3" hidden="1" x14ac:dyDescent="0.3">
      <c r="A384" s="35"/>
      <c r="C384" s="18"/>
    </row>
    <row r="385" spans="1:3" hidden="1" x14ac:dyDescent="0.3">
      <c r="A385" s="35"/>
      <c r="C385" s="18"/>
    </row>
    <row r="386" spans="1:3" hidden="1" x14ac:dyDescent="0.3">
      <c r="A386" s="35"/>
      <c r="C386" s="18"/>
    </row>
    <row r="387" spans="1:3" hidden="1" x14ac:dyDescent="0.3">
      <c r="A387" s="35"/>
      <c r="C387" s="18"/>
    </row>
    <row r="388" spans="1:3" hidden="1" x14ac:dyDescent="0.3">
      <c r="A388" s="35"/>
      <c r="C388" s="18"/>
    </row>
    <row r="389" spans="1:3" hidden="1" x14ac:dyDescent="0.3">
      <c r="A389" s="35"/>
      <c r="C389" s="18"/>
    </row>
    <row r="390" spans="1:3" hidden="1" x14ac:dyDescent="0.3">
      <c r="A390" s="35"/>
      <c r="C390" s="18"/>
    </row>
    <row r="391" spans="1:3" hidden="1" x14ac:dyDescent="0.3">
      <c r="A391" s="35"/>
      <c r="C391" s="18"/>
    </row>
    <row r="392" spans="1:3" hidden="1" x14ac:dyDescent="0.3">
      <c r="A392" s="35"/>
      <c r="C392" s="18"/>
    </row>
    <row r="393" spans="1:3" hidden="1" x14ac:dyDescent="0.3">
      <c r="A393" s="35"/>
      <c r="C393" s="18"/>
    </row>
    <row r="394" spans="1:3" hidden="1" x14ac:dyDescent="0.3">
      <c r="A394" s="35"/>
      <c r="C394" s="18"/>
    </row>
    <row r="395" spans="1:3" hidden="1" x14ac:dyDescent="0.3">
      <c r="A395" s="35"/>
      <c r="C395" s="18"/>
    </row>
    <row r="396" spans="1:3" hidden="1" x14ac:dyDescent="0.3">
      <c r="A396" s="35"/>
      <c r="C396" s="18"/>
    </row>
    <row r="397" spans="1:3" hidden="1" x14ac:dyDescent="0.3">
      <c r="A397" s="35"/>
      <c r="C397" s="18"/>
    </row>
    <row r="398" spans="1:3" hidden="1" x14ac:dyDescent="0.3">
      <c r="A398" s="35"/>
      <c r="C398" s="18"/>
    </row>
    <row r="399" spans="1:3" hidden="1" x14ac:dyDescent="0.3">
      <c r="A399" s="35"/>
      <c r="C399" s="18"/>
    </row>
    <row r="400" spans="1:3" hidden="1" x14ac:dyDescent="0.3">
      <c r="A400" s="35"/>
      <c r="C400" s="18"/>
    </row>
    <row r="401" spans="1:3" hidden="1" x14ac:dyDescent="0.3">
      <c r="A401" s="35"/>
      <c r="C401" s="18"/>
    </row>
    <row r="402" spans="1:3" hidden="1" x14ac:dyDescent="0.3">
      <c r="A402" s="35"/>
      <c r="C402" s="18"/>
    </row>
    <row r="403" spans="1:3" hidden="1" x14ac:dyDescent="0.3">
      <c r="A403" s="35"/>
      <c r="C403" s="18"/>
    </row>
    <row r="404" spans="1:3" hidden="1" x14ac:dyDescent="0.3">
      <c r="A404" s="35"/>
      <c r="C404" s="18"/>
    </row>
    <row r="405" spans="1:3" hidden="1" x14ac:dyDescent="0.3">
      <c r="A405" s="35"/>
      <c r="C405" s="18"/>
    </row>
    <row r="406" spans="1:3" hidden="1" x14ac:dyDescent="0.3">
      <c r="A406" s="35"/>
      <c r="C406" s="18"/>
    </row>
    <row r="407" spans="1:3" hidden="1" x14ac:dyDescent="0.3">
      <c r="A407" s="35"/>
      <c r="C407" s="18"/>
    </row>
    <row r="408" spans="1:3" hidden="1" x14ac:dyDescent="0.3">
      <c r="A408" s="35"/>
      <c r="C408" s="18"/>
    </row>
    <row r="409" spans="1:3" hidden="1" x14ac:dyDescent="0.3">
      <c r="A409" s="35"/>
      <c r="C409" s="18"/>
    </row>
    <row r="410" spans="1:3" hidden="1" x14ac:dyDescent="0.3">
      <c r="A410" s="35"/>
      <c r="C410" s="18"/>
    </row>
    <row r="411" spans="1:3" hidden="1" x14ac:dyDescent="0.3">
      <c r="A411" s="35"/>
      <c r="C411" s="18"/>
    </row>
    <row r="412" spans="1:3" hidden="1" x14ac:dyDescent="0.3">
      <c r="A412" s="35"/>
      <c r="C412" s="18"/>
    </row>
    <row r="413" spans="1:3" hidden="1" x14ac:dyDescent="0.3">
      <c r="A413" s="35"/>
      <c r="C413" s="18"/>
    </row>
    <row r="414" spans="1:3" hidden="1" x14ac:dyDescent="0.3">
      <c r="A414" s="35"/>
      <c r="C414" s="18"/>
    </row>
    <row r="415" spans="1:3" hidden="1" x14ac:dyDescent="0.3">
      <c r="A415" s="35"/>
      <c r="C415" s="18"/>
    </row>
    <row r="416" spans="1:3" hidden="1" x14ac:dyDescent="0.3">
      <c r="A416" s="35"/>
      <c r="C416" s="18"/>
    </row>
    <row r="417" spans="1:3" hidden="1" x14ac:dyDescent="0.3">
      <c r="A417" s="35"/>
      <c r="C417" s="18"/>
    </row>
    <row r="418" spans="1:3" hidden="1" x14ac:dyDescent="0.3">
      <c r="A418" s="35"/>
      <c r="C418" s="18"/>
    </row>
    <row r="419" spans="1:3" hidden="1" x14ac:dyDescent="0.3">
      <c r="A419" s="35"/>
      <c r="C419" s="18"/>
    </row>
    <row r="420" spans="1:3" hidden="1" x14ac:dyDescent="0.3">
      <c r="A420" s="35"/>
      <c r="C420" s="18"/>
    </row>
    <row r="421" spans="1:3" hidden="1" x14ac:dyDescent="0.3">
      <c r="A421" s="35"/>
      <c r="C421" s="18"/>
    </row>
    <row r="422" spans="1:3" hidden="1" x14ac:dyDescent="0.3">
      <c r="A422" s="35"/>
      <c r="C422" s="18"/>
    </row>
    <row r="423" spans="1:3" hidden="1" x14ac:dyDescent="0.3">
      <c r="A423" s="35"/>
      <c r="C423" s="18"/>
    </row>
    <row r="424" spans="1:3" hidden="1" x14ac:dyDescent="0.3">
      <c r="A424" s="35"/>
      <c r="C424" s="18"/>
    </row>
    <row r="425" spans="1:3" hidden="1" x14ac:dyDescent="0.3">
      <c r="A425" s="35"/>
      <c r="C425" s="18"/>
    </row>
    <row r="426" spans="1:3" hidden="1" x14ac:dyDescent="0.3">
      <c r="A426" s="35"/>
      <c r="C426" s="18"/>
    </row>
    <row r="427" spans="1:3" hidden="1" x14ac:dyDescent="0.3">
      <c r="A427" s="35"/>
      <c r="C427" s="18"/>
    </row>
    <row r="428" spans="1:3" hidden="1" x14ac:dyDescent="0.3">
      <c r="A428" s="35"/>
      <c r="C428" s="18"/>
    </row>
    <row r="429" spans="1:3" hidden="1" x14ac:dyDescent="0.3">
      <c r="A429" s="35"/>
      <c r="C429" s="18"/>
    </row>
    <row r="430" spans="1:3" hidden="1" x14ac:dyDescent="0.3">
      <c r="A430" s="35"/>
      <c r="C430" s="18"/>
    </row>
    <row r="431" spans="1:3" hidden="1" x14ac:dyDescent="0.3">
      <c r="A431" s="35"/>
      <c r="C431" s="18"/>
    </row>
    <row r="432" spans="1:3" hidden="1" x14ac:dyDescent="0.3">
      <c r="A432" s="35"/>
      <c r="C432" s="18"/>
    </row>
    <row r="433" spans="1:3" hidden="1" x14ac:dyDescent="0.3">
      <c r="A433" s="35"/>
      <c r="C433" s="18"/>
    </row>
    <row r="434" spans="1:3" hidden="1" x14ac:dyDescent="0.3">
      <c r="A434" s="35"/>
      <c r="C434" s="18"/>
    </row>
    <row r="435" spans="1:3" hidden="1" x14ac:dyDescent="0.3">
      <c r="A435" s="35"/>
      <c r="C435" s="18"/>
    </row>
    <row r="436" spans="1:3" hidden="1" x14ac:dyDescent="0.3">
      <c r="A436" s="35"/>
      <c r="C436" s="18"/>
    </row>
    <row r="437" spans="1:3" hidden="1" x14ac:dyDescent="0.3">
      <c r="A437" s="35"/>
      <c r="C437" s="18"/>
    </row>
    <row r="438" spans="1:3" hidden="1" x14ac:dyDescent="0.3">
      <c r="A438" s="35"/>
      <c r="C438" s="18"/>
    </row>
    <row r="439" spans="1:3" hidden="1" x14ac:dyDescent="0.3">
      <c r="A439" s="35"/>
      <c r="C439" s="18"/>
    </row>
    <row r="440" spans="1:3" hidden="1" x14ac:dyDescent="0.3">
      <c r="A440" s="35"/>
      <c r="C440" s="18"/>
    </row>
    <row r="441" spans="1:3" hidden="1" x14ac:dyDescent="0.3">
      <c r="A441" s="35"/>
      <c r="C441" s="18"/>
    </row>
    <row r="442" spans="1:3" hidden="1" x14ac:dyDescent="0.3">
      <c r="A442" s="35"/>
      <c r="C442" s="18"/>
    </row>
    <row r="443" spans="1:3" hidden="1" x14ac:dyDescent="0.3">
      <c r="A443" s="35"/>
      <c r="C443" s="18"/>
    </row>
    <row r="444" spans="1:3" hidden="1" x14ac:dyDescent="0.3">
      <c r="A444" s="35"/>
      <c r="C444" s="18"/>
    </row>
    <row r="445" spans="1:3" hidden="1" x14ac:dyDescent="0.3">
      <c r="A445" s="35"/>
      <c r="C445" s="18"/>
    </row>
    <row r="446" spans="1:3" hidden="1" x14ac:dyDescent="0.3">
      <c r="A446" s="35"/>
      <c r="C446" s="18"/>
    </row>
    <row r="447" spans="1:3" hidden="1" x14ac:dyDescent="0.3">
      <c r="A447" s="35"/>
      <c r="C447" s="18"/>
    </row>
    <row r="448" spans="1:3" hidden="1" x14ac:dyDescent="0.3">
      <c r="A448" s="35"/>
      <c r="C448" s="18"/>
    </row>
    <row r="449" spans="1:3" hidden="1" x14ac:dyDescent="0.3">
      <c r="A449" s="35"/>
      <c r="C449" s="18"/>
    </row>
    <row r="450" spans="1:3" hidden="1" x14ac:dyDescent="0.3">
      <c r="A450" s="35"/>
      <c r="C450" s="18"/>
    </row>
    <row r="451" spans="1:3" hidden="1" x14ac:dyDescent="0.3">
      <c r="A451" s="35"/>
      <c r="C451" s="18"/>
    </row>
    <row r="452" spans="1:3" hidden="1" x14ac:dyDescent="0.3">
      <c r="A452" s="35"/>
      <c r="C452" s="18"/>
    </row>
    <row r="453" spans="1:3" hidden="1" x14ac:dyDescent="0.3">
      <c r="A453" s="35"/>
      <c r="C453" s="18"/>
    </row>
    <row r="454" spans="1:3" hidden="1" x14ac:dyDescent="0.3">
      <c r="A454" s="35"/>
      <c r="C454" s="18"/>
    </row>
    <row r="455" spans="1:3" hidden="1" x14ac:dyDescent="0.3">
      <c r="A455" s="35"/>
      <c r="C455" s="18"/>
    </row>
    <row r="456" spans="1:3" hidden="1" x14ac:dyDescent="0.3">
      <c r="A456" s="35"/>
      <c r="C456" s="18"/>
    </row>
    <row r="457" spans="1:3" hidden="1" x14ac:dyDescent="0.3">
      <c r="A457" s="35"/>
      <c r="C457" s="18"/>
    </row>
    <row r="458" spans="1:3" hidden="1" x14ac:dyDescent="0.3">
      <c r="A458" s="35"/>
      <c r="C458" s="18"/>
    </row>
    <row r="459" spans="1:3" hidden="1" x14ac:dyDescent="0.3">
      <c r="A459" s="35"/>
      <c r="C459" s="18"/>
    </row>
    <row r="460" spans="1:3" hidden="1" x14ac:dyDescent="0.3">
      <c r="A460" s="35"/>
      <c r="C460" s="18"/>
    </row>
    <row r="461" spans="1:3" hidden="1" x14ac:dyDescent="0.3">
      <c r="A461" s="35"/>
      <c r="C461" s="18"/>
    </row>
    <row r="462" spans="1:3" hidden="1" x14ac:dyDescent="0.3">
      <c r="A462" s="35"/>
      <c r="C462" s="18"/>
    </row>
    <row r="463" spans="1:3" hidden="1" x14ac:dyDescent="0.3">
      <c r="A463" s="35"/>
      <c r="C463" s="18"/>
    </row>
    <row r="464" spans="1:3" hidden="1" x14ac:dyDescent="0.3">
      <c r="A464" s="35"/>
      <c r="C464" s="18"/>
    </row>
    <row r="465" spans="1:3" hidden="1" x14ac:dyDescent="0.3">
      <c r="A465" s="35"/>
      <c r="C465" s="18"/>
    </row>
    <row r="466" spans="1:3" hidden="1" x14ac:dyDescent="0.3">
      <c r="A466" s="35"/>
      <c r="C466" s="18"/>
    </row>
    <row r="467" spans="1:3" hidden="1" x14ac:dyDescent="0.3">
      <c r="A467" s="35"/>
      <c r="C467" s="18"/>
    </row>
    <row r="468" spans="1:3" hidden="1" x14ac:dyDescent="0.3">
      <c r="A468" s="35"/>
      <c r="C468" s="18"/>
    </row>
    <row r="469" spans="1:3" hidden="1" x14ac:dyDescent="0.3">
      <c r="A469" s="35"/>
      <c r="C469" s="18"/>
    </row>
    <row r="470" spans="1:3" hidden="1" x14ac:dyDescent="0.3">
      <c r="A470" s="35"/>
      <c r="C470" s="18"/>
    </row>
    <row r="471" spans="1:3" hidden="1" x14ac:dyDescent="0.3">
      <c r="A471" s="35"/>
      <c r="C471" s="18"/>
    </row>
    <row r="472" spans="1:3" hidden="1" x14ac:dyDescent="0.3">
      <c r="A472" s="35"/>
      <c r="C472" s="18"/>
    </row>
    <row r="473" spans="1:3" hidden="1" x14ac:dyDescent="0.3">
      <c r="A473" s="35"/>
      <c r="C473" s="18"/>
    </row>
    <row r="474" spans="1:3" hidden="1" x14ac:dyDescent="0.3">
      <c r="A474" s="35"/>
      <c r="C474" s="18"/>
    </row>
    <row r="475" spans="1:3" hidden="1" x14ac:dyDescent="0.3">
      <c r="A475" s="35"/>
      <c r="C475" s="18"/>
    </row>
    <row r="476" spans="1:3" hidden="1" x14ac:dyDescent="0.3">
      <c r="A476" s="35"/>
      <c r="C476" s="18"/>
    </row>
    <row r="477" spans="1:3" hidden="1" x14ac:dyDescent="0.3">
      <c r="A477" s="35"/>
      <c r="C477" s="18"/>
    </row>
    <row r="478" spans="1:3" hidden="1" x14ac:dyDescent="0.3">
      <c r="A478" s="35"/>
      <c r="C478" s="18"/>
    </row>
    <row r="479" spans="1:3" hidden="1" x14ac:dyDescent="0.3">
      <c r="A479" s="35"/>
      <c r="C479" s="18"/>
    </row>
    <row r="480" spans="1:3" hidden="1" x14ac:dyDescent="0.3">
      <c r="A480" s="35"/>
      <c r="C480" s="18"/>
    </row>
    <row r="481" spans="1:3" hidden="1" x14ac:dyDescent="0.3">
      <c r="A481" s="35"/>
      <c r="C481" s="18"/>
    </row>
    <row r="482" spans="1:3" hidden="1" x14ac:dyDescent="0.3">
      <c r="A482" s="35"/>
      <c r="C482" s="18"/>
    </row>
    <row r="483" spans="1:3" hidden="1" x14ac:dyDescent="0.3">
      <c r="A483" s="35"/>
      <c r="C483" s="18"/>
    </row>
    <row r="484" spans="1:3" hidden="1" x14ac:dyDescent="0.3">
      <c r="A484" s="35"/>
      <c r="C484" s="18"/>
    </row>
    <row r="485" spans="1:3" hidden="1" x14ac:dyDescent="0.3">
      <c r="A485" s="35"/>
      <c r="C485" s="18"/>
    </row>
    <row r="486" spans="1:3" hidden="1" x14ac:dyDescent="0.3">
      <c r="A486" s="35"/>
      <c r="C486" s="18"/>
    </row>
    <row r="487" spans="1:3" hidden="1" x14ac:dyDescent="0.3">
      <c r="A487" s="35"/>
      <c r="C487" s="18"/>
    </row>
    <row r="488" spans="1:3" hidden="1" x14ac:dyDescent="0.3">
      <c r="A488" s="35"/>
      <c r="C488" s="18"/>
    </row>
    <row r="489" spans="1:3" hidden="1" x14ac:dyDescent="0.3">
      <c r="A489" s="35"/>
      <c r="C489" s="18"/>
    </row>
    <row r="490" spans="1:3" hidden="1" x14ac:dyDescent="0.3">
      <c r="A490" s="35"/>
      <c r="C490" s="18"/>
    </row>
    <row r="491" spans="1:3" hidden="1" x14ac:dyDescent="0.3">
      <c r="A491" s="35"/>
      <c r="C491" s="18"/>
    </row>
    <row r="492" spans="1:3" hidden="1" x14ac:dyDescent="0.3">
      <c r="A492" s="35"/>
      <c r="C492" s="18"/>
    </row>
    <row r="493" spans="1:3" hidden="1" x14ac:dyDescent="0.3">
      <c r="A493" s="35"/>
      <c r="C493" s="18"/>
    </row>
    <row r="494" spans="1:3" hidden="1" x14ac:dyDescent="0.3">
      <c r="A494" s="35"/>
      <c r="C494" s="18"/>
    </row>
    <row r="495" spans="1:3" hidden="1" x14ac:dyDescent="0.3">
      <c r="A495" s="35"/>
      <c r="C495" s="18"/>
    </row>
    <row r="496" spans="1:3" hidden="1" x14ac:dyDescent="0.3">
      <c r="A496" s="35"/>
      <c r="C496" s="18"/>
    </row>
    <row r="497" spans="1:3" hidden="1" x14ac:dyDescent="0.3">
      <c r="A497" s="35"/>
      <c r="C497" s="18"/>
    </row>
    <row r="498" spans="1:3" hidden="1" x14ac:dyDescent="0.3">
      <c r="A498" s="35"/>
      <c r="C498" s="18"/>
    </row>
    <row r="499" spans="1:3" hidden="1" x14ac:dyDescent="0.3">
      <c r="A499" s="35"/>
      <c r="C499" s="18"/>
    </row>
    <row r="500" spans="1:3" hidden="1" x14ac:dyDescent="0.3">
      <c r="A500" s="35"/>
      <c r="C500" s="18"/>
    </row>
    <row r="501" spans="1:3" hidden="1" x14ac:dyDescent="0.3">
      <c r="A501" s="35"/>
      <c r="C501" s="18"/>
    </row>
    <row r="502" spans="1:3" hidden="1" x14ac:dyDescent="0.3">
      <c r="A502" s="35"/>
      <c r="C502" s="18"/>
    </row>
    <row r="503" spans="1:3" hidden="1" x14ac:dyDescent="0.3">
      <c r="A503" s="35"/>
      <c r="C503" s="18"/>
    </row>
    <row r="504" spans="1:3" hidden="1" x14ac:dyDescent="0.3">
      <c r="A504" s="35"/>
      <c r="C504" s="18"/>
    </row>
    <row r="505" spans="1:3" hidden="1" x14ac:dyDescent="0.3">
      <c r="A505" s="35"/>
      <c r="C505" s="18"/>
    </row>
    <row r="506" spans="1:3" hidden="1" x14ac:dyDescent="0.3">
      <c r="A506" s="35"/>
      <c r="C506" s="18"/>
    </row>
    <row r="507" spans="1:3" hidden="1" x14ac:dyDescent="0.3">
      <c r="A507" s="35"/>
      <c r="C507" s="18"/>
    </row>
    <row r="508" spans="1:3" hidden="1" x14ac:dyDescent="0.3">
      <c r="A508" s="35"/>
      <c r="C508" s="18"/>
    </row>
    <row r="509" spans="1:3" hidden="1" x14ac:dyDescent="0.3">
      <c r="A509" s="35"/>
      <c r="C509" s="18"/>
    </row>
    <row r="510" spans="1:3" hidden="1" x14ac:dyDescent="0.3">
      <c r="A510" s="35"/>
      <c r="C510" s="18"/>
    </row>
    <row r="511" spans="1:3" hidden="1" x14ac:dyDescent="0.3">
      <c r="A511" s="35"/>
      <c r="C511" s="18"/>
    </row>
    <row r="512" spans="1:3" hidden="1" x14ac:dyDescent="0.3">
      <c r="A512" s="35"/>
      <c r="C512" s="18"/>
    </row>
    <row r="513" spans="1:3" hidden="1" x14ac:dyDescent="0.3">
      <c r="A513" s="35"/>
      <c r="C513" s="18"/>
    </row>
    <row r="514" spans="1:3" hidden="1" x14ac:dyDescent="0.3">
      <c r="A514" s="35"/>
      <c r="C514" s="18"/>
    </row>
    <row r="515" spans="1:3" hidden="1" x14ac:dyDescent="0.3">
      <c r="A515" s="35"/>
      <c r="C515" s="18"/>
    </row>
    <row r="516" spans="1:3" hidden="1" x14ac:dyDescent="0.3">
      <c r="A516" s="35"/>
      <c r="C516" s="18"/>
    </row>
    <row r="517" spans="1:3" hidden="1" x14ac:dyDescent="0.3">
      <c r="A517" s="35"/>
      <c r="C517" s="18"/>
    </row>
    <row r="518" spans="1:3" hidden="1" x14ac:dyDescent="0.3">
      <c r="A518" s="35"/>
      <c r="C518" s="18"/>
    </row>
    <row r="519" spans="1:3" hidden="1" x14ac:dyDescent="0.3">
      <c r="A519" s="35"/>
      <c r="C519" s="18"/>
    </row>
    <row r="520" spans="1:3" hidden="1" x14ac:dyDescent="0.3">
      <c r="A520" s="35"/>
      <c r="C520" s="18"/>
    </row>
    <row r="521" spans="1:3" hidden="1" x14ac:dyDescent="0.3">
      <c r="A521" s="35"/>
      <c r="C521" s="18"/>
    </row>
    <row r="522" spans="1:3" hidden="1" x14ac:dyDescent="0.3">
      <c r="A522" s="35"/>
      <c r="C522" s="18"/>
    </row>
    <row r="523" spans="1:3" hidden="1" x14ac:dyDescent="0.3">
      <c r="A523" s="35"/>
      <c r="C523" s="18"/>
    </row>
    <row r="524" spans="1:3" hidden="1" x14ac:dyDescent="0.3">
      <c r="A524" s="35"/>
      <c r="C524" s="18"/>
    </row>
    <row r="525" spans="1:3" hidden="1" x14ac:dyDescent="0.3">
      <c r="A525" s="35"/>
      <c r="C525" s="18"/>
    </row>
    <row r="526" spans="1:3" hidden="1" x14ac:dyDescent="0.3">
      <c r="A526" s="35"/>
      <c r="C526" s="18"/>
    </row>
    <row r="527" spans="1:3" hidden="1" x14ac:dyDescent="0.3">
      <c r="A527" s="35"/>
      <c r="C527" s="18"/>
    </row>
    <row r="528" spans="1:3" hidden="1" x14ac:dyDescent="0.3">
      <c r="A528" s="35"/>
      <c r="C528" s="18"/>
    </row>
    <row r="529" spans="1:3" hidden="1" x14ac:dyDescent="0.3">
      <c r="A529" s="35"/>
      <c r="C529" s="18"/>
    </row>
    <row r="530" spans="1:3" hidden="1" x14ac:dyDescent="0.3">
      <c r="A530" s="35"/>
      <c r="C530" s="18"/>
    </row>
    <row r="531" spans="1:3" hidden="1" x14ac:dyDescent="0.3">
      <c r="A531" s="35"/>
      <c r="C531" s="18"/>
    </row>
    <row r="532" spans="1:3" hidden="1" x14ac:dyDescent="0.3">
      <c r="A532" s="35"/>
      <c r="C532" s="18"/>
    </row>
    <row r="533" spans="1:3" hidden="1" x14ac:dyDescent="0.3">
      <c r="A533" s="35"/>
      <c r="C533" s="18"/>
    </row>
    <row r="534" spans="1:3" hidden="1" x14ac:dyDescent="0.3">
      <c r="A534" s="35"/>
      <c r="C534" s="18"/>
    </row>
    <row r="535" spans="1:3" hidden="1" x14ac:dyDescent="0.3">
      <c r="A535" s="35"/>
      <c r="C535" s="18"/>
    </row>
    <row r="536" spans="1:3" hidden="1" x14ac:dyDescent="0.3">
      <c r="A536" s="35"/>
      <c r="C536" s="18"/>
    </row>
    <row r="537" spans="1:3" hidden="1" x14ac:dyDescent="0.3">
      <c r="A537" s="35"/>
    </row>
    <row r="538" spans="1:3" hidden="1" x14ac:dyDescent="0.3">
      <c r="A538" s="35"/>
    </row>
    <row r="539" spans="1:3" hidden="1" x14ac:dyDescent="0.3">
      <c r="A539" s="35"/>
    </row>
    <row r="540" spans="1:3" hidden="1" x14ac:dyDescent="0.3">
      <c r="A540" s="35"/>
    </row>
    <row r="541" spans="1:3" hidden="1" x14ac:dyDescent="0.3">
      <c r="A541" s="35"/>
    </row>
    <row r="542" spans="1:3" hidden="1" x14ac:dyDescent="0.3">
      <c r="A542" s="35"/>
    </row>
    <row r="543" spans="1:3" hidden="1" x14ac:dyDescent="0.3">
      <c r="A543" s="35"/>
    </row>
    <row r="544" spans="1:3" hidden="1" x14ac:dyDescent="0.3">
      <c r="A544" s="35"/>
    </row>
    <row r="545" spans="1:1" hidden="1" x14ac:dyDescent="0.3">
      <c r="A545" s="35"/>
    </row>
    <row r="546" spans="1:1" hidden="1" x14ac:dyDescent="0.3">
      <c r="A546" s="35"/>
    </row>
    <row r="547" spans="1:1" hidden="1" x14ac:dyDescent="0.3">
      <c r="A547" s="35"/>
    </row>
    <row r="548" spans="1:1" hidden="1" x14ac:dyDescent="0.3">
      <c r="A548" s="35"/>
    </row>
    <row r="549" spans="1:1" hidden="1" x14ac:dyDescent="0.3">
      <c r="A549" s="35"/>
    </row>
    <row r="550" spans="1:1" hidden="1" x14ac:dyDescent="0.3">
      <c r="A550" s="35"/>
    </row>
    <row r="551" spans="1:1" hidden="1" x14ac:dyDescent="0.3">
      <c r="A551" s="35"/>
    </row>
    <row r="552" spans="1:1" hidden="1" x14ac:dyDescent="0.3">
      <c r="A552" s="35"/>
    </row>
    <row r="553" spans="1:1" hidden="1" x14ac:dyDescent="0.3">
      <c r="A553" s="35"/>
    </row>
    <row r="554" spans="1:1" hidden="1" x14ac:dyDescent="0.3">
      <c r="A554" s="35"/>
    </row>
    <row r="555" spans="1:1" hidden="1" x14ac:dyDescent="0.3">
      <c r="A555" s="35"/>
    </row>
    <row r="556" spans="1:1" hidden="1" x14ac:dyDescent="0.3">
      <c r="A556" s="35"/>
    </row>
    <row r="557" spans="1:1" hidden="1" x14ac:dyDescent="0.3">
      <c r="A557" s="35"/>
    </row>
    <row r="558" spans="1:1" hidden="1" x14ac:dyDescent="0.3">
      <c r="A558" s="35"/>
    </row>
    <row r="559" spans="1:1" hidden="1" x14ac:dyDescent="0.3">
      <c r="A559" s="35"/>
    </row>
    <row r="560" spans="1:1" hidden="1" x14ac:dyDescent="0.3">
      <c r="A560" s="35"/>
    </row>
    <row r="561" spans="1:1" hidden="1" x14ac:dyDescent="0.3">
      <c r="A561" s="35"/>
    </row>
    <row r="562" spans="1:1" hidden="1" x14ac:dyDescent="0.3">
      <c r="A562" s="35"/>
    </row>
    <row r="563" spans="1:1" hidden="1" x14ac:dyDescent="0.3">
      <c r="A563" s="35"/>
    </row>
    <row r="564" spans="1:1" hidden="1" x14ac:dyDescent="0.3">
      <c r="A564" s="35"/>
    </row>
    <row r="565" spans="1:1" hidden="1" x14ac:dyDescent="0.3">
      <c r="A565" s="35"/>
    </row>
    <row r="566" spans="1:1" hidden="1" x14ac:dyDescent="0.3">
      <c r="A566" s="35"/>
    </row>
    <row r="567" spans="1:1" hidden="1" x14ac:dyDescent="0.3">
      <c r="A567" s="35"/>
    </row>
    <row r="568" spans="1:1" hidden="1" x14ac:dyDescent="0.3">
      <c r="A568" s="35"/>
    </row>
    <row r="569" spans="1:1" hidden="1" x14ac:dyDescent="0.3">
      <c r="A569" s="35"/>
    </row>
    <row r="570" spans="1:1" hidden="1" x14ac:dyDescent="0.3">
      <c r="A570" s="35"/>
    </row>
    <row r="571" spans="1:1" hidden="1" x14ac:dyDescent="0.3">
      <c r="A571" s="35"/>
    </row>
    <row r="572" spans="1:1" hidden="1" x14ac:dyDescent="0.3">
      <c r="A572" s="35"/>
    </row>
    <row r="573" spans="1:1" hidden="1" x14ac:dyDescent="0.3">
      <c r="A573" s="35"/>
    </row>
    <row r="574" spans="1:1" hidden="1" x14ac:dyDescent="0.3">
      <c r="A574" s="35"/>
    </row>
    <row r="575" spans="1:1" hidden="1" x14ac:dyDescent="0.3">
      <c r="A575" s="35"/>
    </row>
    <row r="576" spans="1:1" hidden="1" x14ac:dyDescent="0.3">
      <c r="A576" s="35"/>
    </row>
    <row r="577" spans="1:1" hidden="1" x14ac:dyDescent="0.3">
      <c r="A577" s="35"/>
    </row>
    <row r="578" spans="1:1" hidden="1" x14ac:dyDescent="0.3">
      <c r="A578" s="35"/>
    </row>
    <row r="579" spans="1:1" hidden="1" x14ac:dyDescent="0.3">
      <c r="A579" s="35"/>
    </row>
    <row r="580" spans="1:1" hidden="1" x14ac:dyDescent="0.3">
      <c r="A580" s="35"/>
    </row>
    <row r="581" spans="1:1" hidden="1" x14ac:dyDescent="0.3">
      <c r="A581" s="35"/>
    </row>
    <row r="582" spans="1:1" hidden="1" x14ac:dyDescent="0.3">
      <c r="A582" s="35"/>
    </row>
    <row r="583" spans="1:1" hidden="1" x14ac:dyDescent="0.3">
      <c r="A583" s="35"/>
    </row>
    <row r="584" spans="1:1" hidden="1" x14ac:dyDescent="0.3">
      <c r="A584" s="35"/>
    </row>
    <row r="585" spans="1:1" hidden="1" x14ac:dyDescent="0.3">
      <c r="A585" s="35"/>
    </row>
    <row r="586" spans="1:1" hidden="1" x14ac:dyDescent="0.3">
      <c r="A586" s="35"/>
    </row>
    <row r="587" spans="1:1" hidden="1" x14ac:dyDescent="0.3">
      <c r="A587" s="35"/>
    </row>
    <row r="588" spans="1:1" hidden="1" x14ac:dyDescent="0.3">
      <c r="A588" s="35"/>
    </row>
    <row r="589" spans="1:1" hidden="1" x14ac:dyDescent="0.3">
      <c r="A589" s="35"/>
    </row>
    <row r="590" spans="1:1" hidden="1" x14ac:dyDescent="0.3">
      <c r="A590" s="35"/>
    </row>
    <row r="591" spans="1:1" hidden="1" x14ac:dyDescent="0.3">
      <c r="A591" s="35"/>
    </row>
    <row r="592" spans="1:1" hidden="1" x14ac:dyDescent="0.3">
      <c r="A592" s="35"/>
    </row>
    <row r="593" spans="1:1" hidden="1" x14ac:dyDescent="0.3">
      <c r="A593" s="35"/>
    </row>
    <row r="594" spans="1:1" hidden="1" x14ac:dyDescent="0.3">
      <c r="A594" s="35"/>
    </row>
    <row r="595" spans="1:1" hidden="1" x14ac:dyDescent="0.3">
      <c r="A595" s="35"/>
    </row>
    <row r="596" spans="1:1" hidden="1" x14ac:dyDescent="0.3">
      <c r="A596" s="35"/>
    </row>
    <row r="597" spans="1:1" hidden="1" x14ac:dyDescent="0.3">
      <c r="A597" s="35"/>
    </row>
    <row r="598" spans="1:1" hidden="1" x14ac:dyDescent="0.3">
      <c r="A598" s="35"/>
    </row>
    <row r="599" spans="1:1" hidden="1" x14ac:dyDescent="0.3">
      <c r="A599" s="35"/>
    </row>
    <row r="600" spans="1:1" hidden="1" x14ac:dyDescent="0.3">
      <c r="A600" s="35"/>
    </row>
    <row r="601" spans="1:1" hidden="1" x14ac:dyDescent="0.3">
      <c r="A601" s="35"/>
    </row>
    <row r="602" spans="1:1" hidden="1" x14ac:dyDescent="0.3">
      <c r="A602" s="35"/>
    </row>
    <row r="603" spans="1:1" hidden="1" x14ac:dyDescent="0.3">
      <c r="A603" s="35"/>
    </row>
    <row r="604" spans="1:1" hidden="1" x14ac:dyDescent="0.3">
      <c r="A604" s="35"/>
    </row>
    <row r="605" spans="1:1" hidden="1" x14ac:dyDescent="0.3">
      <c r="A605" s="35"/>
    </row>
    <row r="606" spans="1:1" hidden="1" x14ac:dyDescent="0.3">
      <c r="A606" s="35"/>
    </row>
    <row r="607" spans="1:1" hidden="1" x14ac:dyDescent="0.3">
      <c r="A607" s="35"/>
    </row>
    <row r="608" spans="1:1" hidden="1" x14ac:dyDescent="0.3">
      <c r="A608" s="35"/>
    </row>
    <row r="609" spans="1:1" hidden="1" x14ac:dyDescent="0.3">
      <c r="A609" s="35"/>
    </row>
    <row r="610" spans="1:1" hidden="1" x14ac:dyDescent="0.3">
      <c r="A610" s="35"/>
    </row>
    <row r="611" spans="1:1" hidden="1" x14ac:dyDescent="0.3">
      <c r="A611" s="35"/>
    </row>
    <row r="612" spans="1:1" hidden="1" x14ac:dyDescent="0.3">
      <c r="A612" s="35"/>
    </row>
    <row r="613" spans="1:1" hidden="1" x14ac:dyDescent="0.3">
      <c r="A613" s="35"/>
    </row>
    <row r="614" spans="1:1" hidden="1" x14ac:dyDescent="0.3">
      <c r="A614" s="35"/>
    </row>
    <row r="615" spans="1:1" hidden="1" x14ac:dyDescent="0.3">
      <c r="A615" s="35"/>
    </row>
    <row r="616" spans="1:1" hidden="1" x14ac:dyDescent="0.3">
      <c r="A616" s="35"/>
    </row>
    <row r="617" spans="1:1" hidden="1" x14ac:dyDescent="0.3">
      <c r="A617" s="35"/>
    </row>
    <row r="618" spans="1:1" hidden="1" x14ac:dyDescent="0.3">
      <c r="A618" s="35"/>
    </row>
    <row r="619" spans="1:1" hidden="1" x14ac:dyDescent="0.3">
      <c r="A619" s="35"/>
    </row>
    <row r="620" spans="1:1" hidden="1" x14ac:dyDescent="0.3">
      <c r="A620" s="35"/>
    </row>
    <row r="621" spans="1:1" hidden="1" x14ac:dyDescent="0.3">
      <c r="A621" s="35"/>
    </row>
    <row r="622" spans="1:1" hidden="1" x14ac:dyDescent="0.3">
      <c r="A622" s="35"/>
    </row>
    <row r="623" spans="1:1" hidden="1" x14ac:dyDescent="0.3">
      <c r="A623" s="35"/>
    </row>
    <row r="624" spans="1:1" hidden="1" x14ac:dyDescent="0.3">
      <c r="A624" s="35"/>
    </row>
    <row r="625" spans="1:1" hidden="1" x14ac:dyDescent="0.3">
      <c r="A625" s="35"/>
    </row>
    <row r="626" spans="1:1" hidden="1" x14ac:dyDescent="0.3">
      <c r="A626" s="35"/>
    </row>
    <row r="627" spans="1:1" hidden="1" x14ac:dyDescent="0.3">
      <c r="A627" s="35"/>
    </row>
    <row r="628" spans="1:1" hidden="1" x14ac:dyDescent="0.3">
      <c r="A628" s="35"/>
    </row>
    <row r="629" spans="1:1" hidden="1" x14ac:dyDescent="0.3">
      <c r="A629" s="35"/>
    </row>
    <row r="630" spans="1:1" hidden="1" x14ac:dyDescent="0.3">
      <c r="A630" s="35"/>
    </row>
    <row r="631" spans="1:1" hidden="1" x14ac:dyDescent="0.3">
      <c r="A631" s="35"/>
    </row>
    <row r="632" spans="1:1" hidden="1" x14ac:dyDescent="0.3">
      <c r="A632" s="35"/>
    </row>
    <row r="633" spans="1:1" hidden="1" x14ac:dyDescent="0.3">
      <c r="A633" s="35"/>
    </row>
    <row r="634" spans="1:1" hidden="1" x14ac:dyDescent="0.3">
      <c r="A634" s="35"/>
    </row>
    <row r="635" spans="1:1" hidden="1" x14ac:dyDescent="0.3">
      <c r="A635" s="35"/>
    </row>
    <row r="636" spans="1:1" hidden="1" x14ac:dyDescent="0.3">
      <c r="A636" s="35"/>
    </row>
    <row r="637" spans="1:1" hidden="1" x14ac:dyDescent="0.3">
      <c r="A637" s="35"/>
    </row>
    <row r="638" spans="1:1" hidden="1" x14ac:dyDescent="0.3">
      <c r="A638" s="35"/>
    </row>
    <row r="639" spans="1:1" hidden="1" x14ac:dyDescent="0.3">
      <c r="A639" s="35"/>
    </row>
    <row r="640" spans="1:1" hidden="1" x14ac:dyDescent="0.3">
      <c r="A640" s="35"/>
    </row>
    <row r="641" spans="1:1" hidden="1" x14ac:dyDescent="0.3">
      <c r="A641" s="35"/>
    </row>
    <row r="642" spans="1:1" hidden="1" x14ac:dyDescent="0.3">
      <c r="A642" s="35"/>
    </row>
    <row r="643" spans="1:1" hidden="1" x14ac:dyDescent="0.3">
      <c r="A643" s="35"/>
    </row>
    <row r="644" spans="1:1" hidden="1" x14ac:dyDescent="0.3">
      <c r="A644" s="35"/>
    </row>
    <row r="645" spans="1:1" hidden="1" x14ac:dyDescent="0.3">
      <c r="A645" s="35"/>
    </row>
    <row r="646" spans="1:1" hidden="1" x14ac:dyDescent="0.3">
      <c r="A646" s="35"/>
    </row>
    <row r="647" spans="1:1" hidden="1" x14ac:dyDescent="0.3">
      <c r="A647" s="35"/>
    </row>
    <row r="648" spans="1:1" hidden="1" x14ac:dyDescent="0.3">
      <c r="A648" s="35"/>
    </row>
    <row r="649" spans="1:1" hidden="1" x14ac:dyDescent="0.3">
      <c r="A649" s="35"/>
    </row>
    <row r="650" spans="1:1" hidden="1" x14ac:dyDescent="0.3">
      <c r="A650" s="35"/>
    </row>
    <row r="651" spans="1:1" hidden="1" x14ac:dyDescent="0.3">
      <c r="A651" s="35"/>
    </row>
    <row r="652" spans="1:1" hidden="1" x14ac:dyDescent="0.3">
      <c r="A652" s="35"/>
    </row>
    <row r="653" spans="1:1" hidden="1" x14ac:dyDescent="0.3">
      <c r="A653" s="35"/>
    </row>
    <row r="654" spans="1:1" hidden="1" x14ac:dyDescent="0.3">
      <c r="A654" s="35"/>
    </row>
    <row r="655" spans="1:1" hidden="1" x14ac:dyDescent="0.3">
      <c r="A655" s="35"/>
    </row>
    <row r="656" spans="1:1" hidden="1" x14ac:dyDescent="0.3">
      <c r="A656" s="35"/>
    </row>
    <row r="657" spans="1:1" hidden="1" x14ac:dyDescent="0.3">
      <c r="A657" s="35"/>
    </row>
    <row r="658" spans="1:1" hidden="1" x14ac:dyDescent="0.3">
      <c r="A658" s="35"/>
    </row>
    <row r="659" spans="1:1" hidden="1" x14ac:dyDescent="0.3">
      <c r="A659" s="35"/>
    </row>
    <row r="660" spans="1:1" hidden="1" x14ac:dyDescent="0.3">
      <c r="A660" s="35"/>
    </row>
    <row r="661" spans="1:1" hidden="1" x14ac:dyDescent="0.3">
      <c r="A661" s="35"/>
    </row>
    <row r="662" spans="1:1" hidden="1" x14ac:dyDescent="0.3">
      <c r="A662" s="35"/>
    </row>
    <row r="663" spans="1:1" hidden="1" x14ac:dyDescent="0.3">
      <c r="A663" s="35"/>
    </row>
    <row r="664" spans="1:1" hidden="1" x14ac:dyDescent="0.3">
      <c r="A664" s="35"/>
    </row>
    <row r="665" spans="1:1" hidden="1" x14ac:dyDescent="0.3">
      <c r="A665" s="35"/>
    </row>
    <row r="666" spans="1:1" hidden="1" x14ac:dyDescent="0.3">
      <c r="A666" s="35"/>
    </row>
    <row r="667" spans="1:1" hidden="1" x14ac:dyDescent="0.3">
      <c r="A667" s="35"/>
    </row>
    <row r="668" spans="1:1" hidden="1" x14ac:dyDescent="0.3">
      <c r="A668" s="35"/>
    </row>
    <row r="669" spans="1:1" hidden="1" x14ac:dyDescent="0.3">
      <c r="A669" s="35"/>
    </row>
    <row r="670" spans="1:1" hidden="1" x14ac:dyDescent="0.3">
      <c r="A670" s="35"/>
    </row>
    <row r="671" spans="1:1" hidden="1" x14ac:dyDescent="0.3">
      <c r="A671" s="35"/>
    </row>
    <row r="672" spans="1:1" hidden="1" x14ac:dyDescent="0.3">
      <c r="A672" s="35"/>
    </row>
    <row r="673" spans="1:1" hidden="1" x14ac:dyDescent="0.3">
      <c r="A673" s="35"/>
    </row>
    <row r="674" spans="1:1" hidden="1" x14ac:dyDescent="0.3">
      <c r="A674" s="35"/>
    </row>
    <row r="675" spans="1:1" hidden="1" x14ac:dyDescent="0.3">
      <c r="A675" s="35"/>
    </row>
    <row r="676" spans="1:1" hidden="1" x14ac:dyDescent="0.3">
      <c r="A676" s="35"/>
    </row>
    <row r="677" spans="1:1" hidden="1" x14ac:dyDescent="0.3">
      <c r="A677" s="35"/>
    </row>
    <row r="678" spans="1:1" hidden="1" x14ac:dyDescent="0.3">
      <c r="A678" s="35"/>
    </row>
    <row r="679" spans="1:1" hidden="1" x14ac:dyDescent="0.3">
      <c r="A679" s="35"/>
    </row>
    <row r="680" spans="1:1" hidden="1" x14ac:dyDescent="0.3">
      <c r="A680" s="35"/>
    </row>
    <row r="681" spans="1:1" hidden="1" x14ac:dyDescent="0.3">
      <c r="A681" s="35"/>
    </row>
    <row r="682" spans="1:1" hidden="1" x14ac:dyDescent="0.3">
      <c r="A682" s="35"/>
    </row>
    <row r="683" spans="1:1" hidden="1" x14ac:dyDescent="0.3">
      <c r="A683" s="35"/>
    </row>
    <row r="684" spans="1:1" hidden="1" x14ac:dyDescent="0.3">
      <c r="A684" s="35"/>
    </row>
    <row r="685" spans="1:1" hidden="1" x14ac:dyDescent="0.3">
      <c r="A685" s="35"/>
    </row>
    <row r="686" spans="1:1" hidden="1" x14ac:dyDescent="0.3">
      <c r="A686" s="35"/>
    </row>
    <row r="687" spans="1:1" hidden="1" x14ac:dyDescent="0.3">
      <c r="A687" s="35"/>
    </row>
    <row r="688" spans="1:1" hidden="1" x14ac:dyDescent="0.3">
      <c r="A688" s="35"/>
    </row>
    <row r="689" spans="1:1" hidden="1" x14ac:dyDescent="0.3">
      <c r="A689" s="35"/>
    </row>
    <row r="690" spans="1:1" hidden="1" x14ac:dyDescent="0.3">
      <c r="A690" s="35"/>
    </row>
    <row r="691" spans="1:1" hidden="1" x14ac:dyDescent="0.3">
      <c r="A691" s="35"/>
    </row>
    <row r="692" spans="1:1" hidden="1" x14ac:dyDescent="0.3">
      <c r="A692" s="35"/>
    </row>
    <row r="693" spans="1:1" hidden="1" x14ac:dyDescent="0.3">
      <c r="A693" s="35"/>
    </row>
    <row r="694" spans="1:1" hidden="1" x14ac:dyDescent="0.3">
      <c r="A694" s="35"/>
    </row>
    <row r="695" spans="1:1" hidden="1" x14ac:dyDescent="0.3">
      <c r="A695" s="35"/>
    </row>
    <row r="696" spans="1:1" hidden="1" x14ac:dyDescent="0.3">
      <c r="A696" s="35"/>
    </row>
    <row r="697" spans="1:1" hidden="1" x14ac:dyDescent="0.3">
      <c r="A697" s="35"/>
    </row>
    <row r="698" spans="1:1" hidden="1" x14ac:dyDescent="0.3">
      <c r="A698" s="35"/>
    </row>
    <row r="699" spans="1:1" hidden="1" x14ac:dyDescent="0.3">
      <c r="A699" s="35"/>
    </row>
    <row r="700" spans="1:1" hidden="1" x14ac:dyDescent="0.3">
      <c r="A700" s="35"/>
    </row>
    <row r="701" spans="1:1" hidden="1" x14ac:dyDescent="0.3">
      <c r="A701" s="35"/>
    </row>
    <row r="702" spans="1:1" hidden="1" x14ac:dyDescent="0.3">
      <c r="A702" s="35"/>
    </row>
    <row r="703" spans="1:1" hidden="1" x14ac:dyDescent="0.3">
      <c r="A703" s="35"/>
    </row>
    <row r="704" spans="1:1" hidden="1" x14ac:dyDescent="0.3">
      <c r="A704" s="35"/>
    </row>
    <row r="705" spans="1:1" hidden="1" x14ac:dyDescent="0.3">
      <c r="A705" s="35"/>
    </row>
    <row r="706" spans="1:1" hidden="1" x14ac:dyDescent="0.3">
      <c r="A706" s="35"/>
    </row>
    <row r="707" spans="1:1" hidden="1" x14ac:dyDescent="0.3">
      <c r="A707" s="35"/>
    </row>
    <row r="708" spans="1:1" hidden="1" x14ac:dyDescent="0.3">
      <c r="A708" s="35"/>
    </row>
    <row r="709" spans="1:1" hidden="1" x14ac:dyDescent="0.3">
      <c r="A709" s="35"/>
    </row>
    <row r="710" spans="1:1" hidden="1" x14ac:dyDescent="0.3">
      <c r="A710" s="35"/>
    </row>
    <row r="711" spans="1:1" hidden="1" x14ac:dyDescent="0.3">
      <c r="A711" s="35"/>
    </row>
    <row r="712" spans="1:1" hidden="1" x14ac:dyDescent="0.3">
      <c r="A712" s="35"/>
    </row>
    <row r="713" spans="1:1" hidden="1" x14ac:dyDescent="0.3">
      <c r="A713" s="35"/>
    </row>
    <row r="714" spans="1:1" hidden="1" x14ac:dyDescent="0.3">
      <c r="A714" s="35"/>
    </row>
    <row r="715" spans="1:1" hidden="1" x14ac:dyDescent="0.3">
      <c r="A715" s="35"/>
    </row>
    <row r="716" spans="1:1" hidden="1" x14ac:dyDescent="0.3">
      <c r="A716" s="35"/>
    </row>
    <row r="717" spans="1:1" hidden="1" x14ac:dyDescent="0.3">
      <c r="A717" s="35"/>
    </row>
    <row r="718" spans="1:1" hidden="1" x14ac:dyDescent="0.3">
      <c r="A718" s="35"/>
    </row>
    <row r="719" spans="1:1" hidden="1" x14ac:dyDescent="0.3">
      <c r="A719" s="35"/>
    </row>
    <row r="720" spans="1:1" hidden="1" x14ac:dyDescent="0.3">
      <c r="A720" s="35"/>
    </row>
    <row r="721" spans="1:1" hidden="1" x14ac:dyDescent="0.3">
      <c r="A721" s="35"/>
    </row>
    <row r="722" spans="1:1" hidden="1" x14ac:dyDescent="0.3">
      <c r="A722" s="35"/>
    </row>
    <row r="723" spans="1:1" hidden="1" x14ac:dyDescent="0.3">
      <c r="A723" s="35"/>
    </row>
    <row r="724" spans="1:1" hidden="1" x14ac:dyDescent="0.3">
      <c r="A724" s="35"/>
    </row>
    <row r="725" spans="1:1" hidden="1" x14ac:dyDescent="0.3">
      <c r="A725" s="35"/>
    </row>
    <row r="726" spans="1:1" hidden="1" x14ac:dyDescent="0.3">
      <c r="A726" s="35"/>
    </row>
    <row r="727" spans="1:1" hidden="1" x14ac:dyDescent="0.3">
      <c r="A727" s="35"/>
    </row>
    <row r="728" spans="1:1" hidden="1" x14ac:dyDescent="0.3">
      <c r="A728" s="35"/>
    </row>
    <row r="729" spans="1:1" hidden="1" x14ac:dyDescent="0.3">
      <c r="A729" s="35"/>
    </row>
    <row r="730" spans="1:1" hidden="1" x14ac:dyDescent="0.3">
      <c r="A730" s="35"/>
    </row>
    <row r="731" spans="1:1" hidden="1" x14ac:dyDescent="0.3">
      <c r="A731" s="35"/>
    </row>
    <row r="732" spans="1:1" hidden="1" x14ac:dyDescent="0.3">
      <c r="A732" s="35"/>
    </row>
    <row r="733" spans="1:1" hidden="1" x14ac:dyDescent="0.3">
      <c r="A733" s="35"/>
    </row>
    <row r="734" spans="1:1" hidden="1" x14ac:dyDescent="0.3">
      <c r="A734" s="35"/>
    </row>
    <row r="735" spans="1:1" hidden="1" x14ac:dyDescent="0.3">
      <c r="A735" s="35"/>
    </row>
    <row r="736" spans="1:1" hidden="1" x14ac:dyDescent="0.3">
      <c r="A736" s="35"/>
    </row>
    <row r="737" spans="1:1" hidden="1" x14ac:dyDescent="0.3">
      <c r="A737" s="35"/>
    </row>
    <row r="738" spans="1:1" hidden="1" x14ac:dyDescent="0.3">
      <c r="A738" s="35"/>
    </row>
    <row r="739" spans="1:1" hidden="1" x14ac:dyDescent="0.3">
      <c r="A739" s="35"/>
    </row>
    <row r="740" spans="1:1" hidden="1" x14ac:dyDescent="0.3">
      <c r="A740" s="35"/>
    </row>
    <row r="741" spans="1:1" hidden="1" x14ac:dyDescent="0.3">
      <c r="A741" s="35"/>
    </row>
    <row r="742" spans="1:1" hidden="1" x14ac:dyDescent="0.3">
      <c r="A742" s="35"/>
    </row>
    <row r="743" spans="1:1" hidden="1" x14ac:dyDescent="0.3">
      <c r="A743" s="35"/>
    </row>
    <row r="744" spans="1:1" hidden="1" x14ac:dyDescent="0.3">
      <c r="A744" s="35"/>
    </row>
    <row r="745" spans="1:1" hidden="1" x14ac:dyDescent="0.3">
      <c r="A745" s="35"/>
    </row>
    <row r="746" spans="1:1" hidden="1" x14ac:dyDescent="0.3">
      <c r="A746" s="35"/>
    </row>
    <row r="747" spans="1:1" hidden="1" x14ac:dyDescent="0.3">
      <c r="A747" s="35"/>
    </row>
    <row r="748" spans="1:1" hidden="1" x14ac:dyDescent="0.3">
      <c r="A748" s="35"/>
    </row>
    <row r="749" spans="1:1" hidden="1" x14ac:dyDescent="0.3">
      <c r="A749" s="35"/>
    </row>
    <row r="750" spans="1:1" hidden="1" x14ac:dyDescent="0.3">
      <c r="A750" s="35"/>
    </row>
    <row r="751" spans="1:1" hidden="1" x14ac:dyDescent="0.3">
      <c r="A751" s="35"/>
    </row>
    <row r="752" spans="1:1" hidden="1" x14ac:dyDescent="0.3">
      <c r="A752" s="35"/>
    </row>
    <row r="753" spans="1:1" hidden="1" x14ac:dyDescent="0.3">
      <c r="A753" s="35"/>
    </row>
    <row r="754" spans="1:1" hidden="1" x14ac:dyDescent="0.3">
      <c r="A754" s="35"/>
    </row>
    <row r="755" spans="1:1" hidden="1" x14ac:dyDescent="0.3">
      <c r="A755" s="35"/>
    </row>
    <row r="756" spans="1:1" hidden="1" x14ac:dyDescent="0.3">
      <c r="A756" s="35"/>
    </row>
    <row r="757" spans="1:1" hidden="1" x14ac:dyDescent="0.3">
      <c r="A757" s="35"/>
    </row>
    <row r="758" spans="1:1" hidden="1" x14ac:dyDescent="0.3">
      <c r="A758" s="35"/>
    </row>
    <row r="759" spans="1:1" hidden="1" x14ac:dyDescent="0.3">
      <c r="A759" s="35"/>
    </row>
    <row r="760" spans="1:1" hidden="1" x14ac:dyDescent="0.3">
      <c r="A760" s="35"/>
    </row>
    <row r="761" spans="1:1" hidden="1" x14ac:dyDescent="0.3">
      <c r="A761" s="35"/>
    </row>
    <row r="762" spans="1:1" hidden="1" x14ac:dyDescent="0.3">
      <c r="A762" s="35"/>
    </row>
    <row r="763" spans="1:1" hidden="1" x14ac:dyDescent="0.3">
      <c r="A763" s="35"/>
    </row>
    <row r="764" spans="1:1" hidden="1" x14ac:dyDescent="0.3">
      <c r="A764" s="35"/>
    </row>
    <row r="765" spans="1:1" hidden="1" x14ac:dyDescent="0.3">
      <c r="A765" s="35"/>
    </row>
    <row r="766" spans="1:1" hidden="1" x14ac:dyDescent="0.3">
      <c r="A766" s="35"/>
    </row>
    <row r="767" spans="1:1" hidden="1" x14ac:dyDescent="0.3">
      <c r="A767" s="35"/>
    </row>
    <row r="768" spans="1:1" hidden="1" x14ac:dyDescent="0.3">
      <c r="A768" s="35"/>
    </row>
    <row r="769" spans="1:1" hidden="1" x14ac:dyDescent="0.3">
      <c r="A769" s="35"/>
    </row>
    <row r="770" spans="1:1" hidden="1" x14ac:dyDescent="0.3">
      <c r="A770" s="35"/>
    </row>
    <row r="771" spans="1:1" hidden="1" x14ac:dyDescent="0.3">
      <c r="A771" s="35"/>
    </row>
    <row r="772" spans="1:1" hidden="1" x14ac:dyDescent="0.3">
      <c r="A772" s="35"/>
    </row>
    <row r="773" spans="1:1" hidden="1" x14ac:dyDescent="0.3">
      <c r="A773" s="35"/>
    </row>
    <row r="774" spans="1:1" hidden="1" x14ac:dyDescent="0.3">
      <c r="A774" s="35"/>
    </row>
    <row r="775" spans="1:1" hidden="1" x14ac:dyDescent="0.3">
      <c r="A775" s="35"/>
    </row>
    <row r="776" spans="1:1" hidden="1" x14ac:dyDescent="0.3">
      <c r="A776" s="35"/>
    </row>
    <row r="777" spans="1:1" hidden="1" x14ac:dyDescent="0.3">
      <c r="A777" s="35"/>
    </row>
    <row r="778" spans="1:1" hidden="1" x14ac:dyDescent="0.3">
      <c r="A778" s="35"/>
    </row>
    <row r="779" spans="1:1" hidden="1" x14ac:dyDescent="0.3">
      <c r="A779" s="35"/>
    </row>
    <row r="780" spans="1:1" hidden="1" x14ac:dyDescent="0.3">
      <c r="A780" s="35"/>
    </row>
    <row r="781" spans="1:1" hidden="1" x14ac:dyDescent="0.3">
      <c r="A781" s="35"/>
    </row>
    <row r="782" spans="1:1" hidden="1" x14ac:dyDescent="0.3">
      <c r="A782" s="35"/>
    </row>
    <row r="783" spans="1:1" hidden="1" x14ac:dyDescent="0.3">
      <c r="A783" s="35"/>
    </row>
    <row r="784" spans="1:1" hidden="1" x14ac:dyDescent="0.3">
      <c r="A784" s="35"/>
    </row>
    <row r="785" spans="1:1" hidden="1" x14ac:dyDescent="0.3">
      <c r="A785" s="35"/>
    </row>
    <row r="786" spans="1:1" hidden="1" x14ac:dyDescent="0.3">
      <c r="A786" s="35"/>
    </row>
    <row r="787" spans="1:1" hidden="1" x14ac:dyDescent="0.3">
      <c r="A787" s="35"/>
    </row>
    <row r="788" spans="1:1" hidden="1" x14ac:dyDescent="0.3">
      <c r="A788" s="35"/>
    </row>
    <row r="789" spans="1:1" hidden="1" x14ac:dyDescent="0.3">
      <c r="A789" s="35"/>
    </row>
    <row r="790" spans="1:1" hidden="1" x14ac:dyDescent="0.3">
      <c r="A790" s="35"/>
    </row>
    <row r="791" spans="1:1" hidden="1" x14ac:dyDescent="0.3">
      <c r="A791" s="35"/>
    </row>
    <row r="792" spans="1:1" hidden="1" x14ac:dyDescent="0.3">
      <c r="A792" s="35"/>
    </row>
    <row r="793" spans="1:1" hidden="1" x14ac:dyDescent="0.3">
      <c r="A793" s="35"/>
    </row>
    <row r="794" spans="1:1" hidden="1" x14ac:dyDescent="0.3">
      <c r="A794" s="35"/>
    </row>
    <row r="795" spans="1:1" hidden="1" x14ac:dyDescent="0.3">
      <c r="A795" s="35"/>
    </row>
    <row r="796" spans="1:1" hidden="1" x14ac:dyDescent="0.3">
      <c r="A796" s="35"/>
    </row>
    <row r="797" spans="1:1" hidden="1" x14ac:dyDescent="0.3">
      <c r="A797" s="35"/>
    </row>
    <row r="798" spans="1:1" hidden="1" x14ac:dyDescent="0.3">
      <c r="A798" s="35"/>
    </row>
    <row r="799" spans="1:1" hidden="1" x14ac:dyDescent="0.3">
      <c r="A799" s="35"/>
    </row>
    <row r="800" spans="1:1" hidden="1" x14ac:dyDescent="0.3">
      <c r="A800" s="35"/>
    </row>
    <row r="801" spans="1:1" hidden="1" x14ac:dyDescent="0.3">
      <c r="A801" s="35"/>
    </row>
    <row r="802" spans="1:1" hidden="1" x14ac:dyDescent="0.3">
      <c r="A802" s="35"/>
    </row>
    <row r="803" spans="1:1" hidden="1" x14ac:dyDescent="0.3">
      <c r="A803" s="35"/>
    </row>
    <row r="804" spans="1:1" hidden="1" x14ac:dyDescent="0.3">
      <c r="A804" s="35"/>
    </row>
    <row r="805" spans="1:1" hidden="1" x14ac:dyDescent="0.3">
      <c r="A805" s="35"/>
    </row>
    <row r="806" spans="1:1" hidden="1" x14ac:dyDescent="0.3">
      <c r="A806" s="35"/>
    </row>
    <row r="807" spans="1:1" hidden="1" x14ac:dyDescent="0.3">
      <c r="A807" s="35"/>
    </row>
    <row r="808" spans="1:1" hidden="1" x14ac:dyDescent="0.3">
      <c r="A808" s="35"/>
    </row>
    <row r="809" spans="1:1" hidden="1" x14ac:dyDescent="0.3">
      <c r="A809" s="35"/>
    </row>
    <row r="810" spans="1:1" hidden="1" x14ac:dyDescent="0.3">
      <c r="A810" s="35"/>
    </row>
    <row r="811" spans="1:1" hidden="1" x14ac:dyDescent="0.3">
      <c r="A811" s="35"/>
    </row>
    <row r="812" spans="1:1" hidden="1" x14ac:dyDescent="0.3">
      <c r="A812" s="35"/>
    </row>
    <row r="813" spans="1:1" hidden="1" x14ac:dyDescent="0.3">
      <c r="A813" s="35"/>
    </row>
    <row r="814" spans="1:1" hidden="1" x14ac:dyDescent="0.3">
      <c r="A814" s="35"/>
    </row>
    <row r="815" spans="1:1" hidden="1" x14ac:dyDescent="0.3">
      <c r="A815" s="35"/>
    </row>
    <row r="816" spans="1:1" hidden="1" x14ac:dyDescent="0.3">
      <c r="A816" s="35"/>
    </row>
    <row r="817" spans="1:1" hidden="1" x14ac:dyDescent="0.3">
      <c r="A817" s="35"/>
    </row>
    <row r="818" spans="1:1" hidden="1" x14ac:dyDescent="0.3">
      <c r="A818" s="35"/>
    </row>
    <row r="819" spans="1:1" hidden="1" x14ac:dyDescent="0.3">
      <c r="A819" s="35"/>
    </row>
    <row r="820" spans="1:1" hidden="1" x14ac:dyDescent="0.3">
      <c r="A820" s="35"/>
    </row>
    <row r="821" spans="1:1" hidden="1" x14ac:dyDescent="0.3">
      <c r="A821" s="35"/>
    </row>
    <row r="822" spans="1:1" hidden="1" x14ac:dyDescent="0.3">
      <c r="A822" s="35"/>
    </row>
    <row r="823" spans="1:1" hidden="1" x14ac:dyDescent="0.3">
      <c r="A823" s="35"/>
    </row>
    <row r="824" spans="1:1" hidden="1" x14ac:dyDescent="0.3">
      <c r="A824" s="35"/>
    </row>
    <row r="825" spans="1:1" hidden="1" x14ac:dyDescent="0.3">
      <c r="A825" s="35"/>
    </row>
    <row r="826" spans="1:1" hidden="1" x14ac:dyDescent="0.3">
      <c r="A826" s="35"/>
    </row>
    <row r="827" spans="1:1" hidden="1" x14ac:dyDescent="0.3">
      <c r="A827" s="35"/>
    </row>
    <row r="828" spans="1:1" hidden="1" x14ac:dyDescent="0.3">
      <c r="A828" s="35"/>
    </row>
    <row r="829" spans="1:1" hidden="1" x14ac:dyDescent="0.3">
      <c r="A829" s="35"/>
    </row>
    <row r="830" spans="1:1" hidden="1" x14ac:dyDescent="0.3">
      <c r="A830" s="35"/>
    </row>
    <row r="831" spans="1:1" hidden="1" x14ac:dyDescent="0.3">
      <c r="A831" s="35"/>
    </row>
    <row r="832" spans="1:1" hidden="1" x14ac:dyDescent="0.3">
      <c r="A832" s="35"/>
    </row>
    <row r="833" spans="1:1" hidden="1" x14ac:dyDescent="0.3">
      <c r="A833" s="35"/>
    </row>
    <row r="834" spans="1:1" hidden="1" x14ac:dyDescent="0.3">
      <c r="A834" s="35"/>
    </row>
    <row r="835" spans="1:1" hidden="1" x14ac:dyDescent="0.3">
      <c r="A835" s="35"/>
    </row>
    <row r="836" spans="1:1" hidden="1" x14ac:dyDescent="0.3">
      <c r="A836" s="35"/>
    </row>
    <row r="837" spans="1:1" hidden="1" x14ac:dyDescent="0.3">
      <c r="A837" s="35"/>
    </row>
    <row r="838" spans="1:1" hidden="1" x14ac:dyDescent="0.3">
      <c r="A838" s="35"/>
    </row>
    <row r="839" spans="1:1" hidden="1" x14ac:dyDescent="0.3">
      <c r="A839" s="35"/>
    </row>
    <row r="840" spans="1:1" hidden="1" x14ac:dyDescent="0.3">
      <c r="A840" s="35"/>
    </row>
    <row r="841" spans="1:1" hidden="1" x14ac:dyDescent="0.3">
      <c r="A841" s="35"/>
    </row>
    <row r="842" spans="1:1" hidden="1" x14ac:dyDescent="0.3">
      <c r="A842" s="35"/>
    </row>
    <row r="843" spans="1:1" hidden="1" x14ac:dyDescent="0.3">
      <c r="A843" s="35"/>
    </row>
    <row r="844" spans="1:1" hidden="1" x14ac:dyDescent="0.3">
      <c r="A844" s="35"/>
    </row>
    <row r="845" spans="1:1" hidden="1" x14ac:dyDescent="0.3">
      <c r="A845" s="35"/>
    </row>
    <row r="846" spans="1:1" hidden="1" x14ac:dyDescent="0.3">
      <c r="A846" s="35"/>
    </row>
    <row r="847" spans="1:1" hidden="1" x14ac:dyDescent="0.3">
      <c r="A847" s="35"/>
    </row>
    <row r="848" spans="1:1" hidden="1" x14ac:dyDescent="0.3">
      <c r="A848" s="35"/>
    </row>
    <row r="849" spans="1:1" hidden="1" x14ac:dyDescent="0.3">
      <c r="A849" s="35"/>
    </row>
    <row r="850" spans="1:1" hidden="1" x14ac:dyDescent="0.3">
      <c r="A850" s="35"/>
    </row>
    <row r="851" spans="1:1" hidden="1" x14ac:dyDescent="0.3">
      <c r="A851" s="35"/>
    </row>
    <row r="852" spans="1:1" hidden="1" x14ac:dyDescent="0.3">
      <c r="A852" s="35"/>
    </row>
    <row r="853" spans="1:1" hidden="1" x14ac:dyDescent="0.3">
      <c r="A853" s="35"/>
    </row>
    <row r="854" spans="1:1" hidden="1" x14ac:dyDescent="0.3">
      <c r="A854" s="35"/>
    </row>
    <row r="855" spans="1:1" hidden="1" x14ac:dyDescent="0.3">
      <c r="A855" s="35"/>
    </row>
    <row r="856" spans="1:1" hidden="1" x14ac:dyDescent="0.3">
      <c r="A856" s="35"/>
    </row>
    <row r="857" spans="1:1" hidden="1" x14ac:dyDescent="0.3">
      <c r="A857" s="35"/>
    </row>
    <row r="858" spans="1:1" hidden="1" x14ac:dyDescent="0.3">
      <c r="A858" s="35"/>
    </row>
    <row r="859" spans="1:1" hidden="1" x14ac:dyDescent="0.3">
      <c r="A859" s="35"/>
    </row>
    <row r="860" spans="1:1" hidden="1" x14ac:dyDescent="0.3">
      <c r="A860" s="35"/>
    </row>
    <row r="861" spans="1:1" hidden="1" x14ac:dyDescent="0.3">
      <c r="A861" s="35"/>
    </row>
    <row r="862" spans="1:1" hidden="1" x14ac:dyDescent="0.3">
      <c r="A862" s="35"/>
    </row>
    <row r="863" spans="1:1" hidden="1" x14ac:dyDescent="0.3">
      <c r="A863" s="35"/>
    </row>
    <row r="864" spans="1:1" hidden="1" x14ac:dyDescent="0.3">
      <c r="A864" s="35"/>
    </row>
    <row r="865" spans="1:1" hidden="1" x14ac:dyDescent="0.3">
      <c r="A865" s="35"/>
    </row>
    <row r="866" spans="1:1" hidden="1" x14ac:dyDescent="0.3">
      <c r="A866" s="35"/>
    </row>
    <row r="867" spans="1:1" hidden="1" x14ac:dyDescent="0.3">
      <c r="A867" s="35"/>
    </row>
    <row r="868" spans="1:1" hidden="1" x14ac:dyDescent="0.3">
      <c r="A868" s="35"/>
    </row>
    <row r="869" spans="1:1" hidden="1" x14ac:dyDescent="0.3">
      <c r="A869" s="35"/>
    </row>
    <row r="870" spans="1:1" hidden="1" x14ac:dyDescent="0.3">
      <c r="A870" s="35"/>
    </row>
    <row r="871" spans="1:1" hidden="1" x14ac:dyDescent="0.3">
      <c r="A871" s="35"/>
    </row>
    <row r="872" spans="1:1" hidden="1" x14ac:dyDescent="0.3">
      <c r="A872" s="35"/>
    </row>
    <row r="873" spans="1:1" hidden="1" x14ac:dyDescent="0.3">
      <c r="A873" s="35"/>
    </row>
    <row r="874" spans="1:1" hidden="1" x14ac:dyDescent="0.3">
      <c r="A874" s="35"/>
    </row>
    <row r="875" spans="1:1" hidden="1" x14ac:dyDescent="0.3">
      <c r="A875" s="35"/>
    </row>
    <row r="876" spans="1:1" hidden="1" x14ac:dyDescent="0.3">
      <c r="A876" s="35"/>
    </row>
    <row r="877" spans="1:1" hidden="1" x14ac:dyDescent="0.3">
      <c r="A877" s="35"/>
    </row>
    <row r="878" spans="1:1" hidden="1" x14ac:dyDescent="0.3">
      <c r="A878" s="35"/>
    </row>
    <row r="879" spans="1:1" hidden="1" x14ac:dyDescent="0.3">
      <c r="A879" s="35"/>
    </row>
    <row r="880" spans="1:1" hidden="1" x14ac:dyDescent="0.3">
      <c r="A880" s="35"/>
    </row>
    <row r="881" spans="1:1" hidden="1" x14ac:dyDescent="0.3">
      <c r="A881" s="35"/>
    </row>
    <row r="882" spans="1:1" hidden="1" x14ac:dyDescent="0.3">
      <c r="A882" s="35"/>
    </row>
    <row r="883" spans="1:1" hidden="1" x14ac:dyDescent="0.3">
      <c r="A883" s="35"/>
    </row>
    <row r="884" spans="1:1" hidden="1" x14ac:dyDescent="0.3">
      <c r="A884" s="35"/>
    </row>
    <row r="885" spans="1:1" hidden="1" x14ac:dyDescent="0.3">
      <c r="A885" s="35"/>
    </row>
    <row r="886" spans="1:1" hidden="1" x14ac:dyDescent="0.3">
      <c r="A886" s="35"/>
    </row>
    <row r="887" spans="1:1" hidden="1" x14ac:dyDescent="0.3">
      <c r="A887" s="35"/>
    </row>
    <row r="888" spans="1:1" hidden="1" x14ac:dyDescent="0.3">
      <c r="A888" s="35"/>
    </row>
    <row r="889" spans="1:1" hidden="1" x14ac:dyDescent="0.3">
      <c r="A889" s="35"/>
    </row>
    <row r="890" spans="1:1" hidden="1" x14ac:dyDescent="0.3">
      <c r="A890" s="35"/>
    </row>
    <row r="891" spans="1:1" hidden="1" x14ac:dyDescent="0.3">
      <c r="A891" s="35"/>
    </row>
    <row r="892" spans="1:1" hidden="1" x14ac:dyDescent="0.3">
      <c r="A892" s="35"/>
    </row>
    <row r="893" spans="1:1" hidden="1" x14ac:dyDescent="0.3">
      <c r="A893" s="35"/>
    </row>
    <row r="894" spans="1:1" hidden="1" x14ac:dyDescent="0.3">
      <c r="A894" s="35"/>
    </row>
    <row r="895" spans="1:1" hidden="1" x14ac:dyDescent="0.3">
      <c r="A895" s="35"/>
    </row>
    <row r="896" spans="1:1" hidden="1" x14ac:dyDescent="0.3">
      <c r="A896" s="35"/>
    </row>
    <row r="897" spans="1:1" hidden="1" x14ac:dyDescent="0.3">
      <c r="A897" s="35"/>
    </row>
    <row r="898" spans="1:1" hidden="1" x14ac:dyDescent="0.3">
      <c r="A898" s="35"/>
    </row>
    <row r="899" spans="1:1" hidden="1" x14ac:dyDescent="0.3">
      <c r="A899" s="35"/>
    </row>
    <row r="900" spans="1:1" hidden="1" x14ac:dyDescent="0.3">
      <c r="A900" s="35"/>
    </row>
    <row r="901" spans="1:1" hidden="1" x14ac:dyDescent="0.3">
      <c r="A901" s="35"/>
    </row>
    <row r="902" spans="1:1" hidden="1" x14ac:dyDescent="0.3">
      <c r="A902" s="35"/>
    </row>
    <row r="903" spans="1:1" hidden="1" x14ac:dyDescent="0.3">
      <c r="A903" s="35"/>
    </row>
    <row r="904" spans="1:1" hidden="1" x14ac:dyDescent="0.3">
      <c r="A904" s="35"/>
    </row>
    <row r="905" spans="1:1" hidden="1" x14ac:dyDescent="0.3">
      <c r="A905" s="35"/>
    </row>
    <row r="906" spans="1:1" hidden="1" x14ac:dyDescent="0.3">
      <c r="A906" s="35"/>
    </row>
    <row r="907" spans="1:1" hidden="1" x14ac:dyDescent="0.3">
      <c r="A907" s="35"/>
    </row>
    <row r="908" spans="1:1" hidden="1" x14ac:dyDescent="0.3">
      <c r="A908" s="35"/>
    </row>
    <row r="909" spans="1:1" hidden="1" x14ac:dyDescent="0.3">
      <c r="A909" s="35"/>
    </row>
    <row r="910" spans="1:1" hidden="1" x14ac:dyDescent="0.3">
      <c r="A910" s="35"/>
    </row>
    <row r="911" spans="1:1" hidden="1" x14ac:dyDescent="0.3">
      <c r="A911" s="35"/>
    </row>
    <row r="912" spans="1:1" hidden="1" x14ac:dyDescent="0.3">
      <c r="A912" s="35"/>
    </row>
    <row r="913" spans="1:1" hidden="1" x14ac:dyDescent="0.3">
      <c r="A913" s="35"/>
    </row>
    <row r="914" spans="1:1" hidden="1" x14ac:dyDescent="0.3">
      <c r="A914" s="35"/>
    </row>
    <row r="915" spans="1:1" hidden="1" x14ac:dyDescent="0.3">
      <c r="A915" s="35"/>
    </row>
    <row r="916" spans="1:1" hidden="1" x14ac:dyDescent="0.3">
      <c r="A916" s="35"/>
    </row>
    <row r="917" spans="1:1" hidden="1" x14ac:dyDescent="0.3">
      <c r="A917" s="35"/>
    </row>
    <row r="918" spans="1:1" hidden="1" x14ac:dyDescent="0.3">
      <c r="A918" s="35"/>
    </row>
    <row r="919" spans="1:1" hidden="1" x14ac:dyDescent="0.3">
      <c r="A919" s="35"/>
    </row>
    <row r="920" spans="1:1" hidden="1" x14ac:dyDescent="0.3">
      <c r="A920" s="35"/>
    </row>
    <row r="921" spans="1:1" hidden="1" x14ac:dyDescent="0.3">
      <c r="A921" s="35"/>
    </row>
    <row r="922" spans="1:1" hidden="1" x14ac:dyDescent="0.3">
      <c r="A922" s="35"/>
    </row>
    <row r="923" spans="1:1" hidden="1" x14ac:dyDescent="0.3">
      <c r="A923" s="35"/>
    </row>
    <row r="924" spans="1:1" hidden="1" x14ac:dyDescent="0.3">
      <c r="A924" s="35"/>
    </row>
    <row r="925" spans="1:1" hidden="1" x14ac:dyDescent="0.3">
      <c r="A925" s="35"/>
    </row>
    <row r="926" spans="1:1" hidden="1" x14ac:dyDescent="0.3">
      <c r="A926" s="35"/>
    </row>
    <row r="927" spans="1:1" hidden="1" x14ac:dyDescent="0.3">
      <c r="A927" s="35"/>
    </row>
    <row r="928" spans="1:1" hidden="1" x14ac:dyDescent="0.3">
      <c r="A928" s="35"/>
    </row>
    <row r="929" spans="1:1" hidden="1" x14ac:dyDescent="0.3">
      <c r="A929" s="35"/>
    </row>
    <row r="930" spans="1:1" hidden="1" x14ac:dyDescent="0.3">
      <c r="A930" s="35"/>
    </row>
    <row r="931" spans="1:1" hidden="1" x14ac:dyDescent="0.3">
      <c r="A931" s="35"/>
    </row>
    <row r="932" spans="1:1" hidden="1" x14ac:dyDescent="0.3">
      <c r="A932" s="35"/>
    </row>
    <row r="933" spans="1:1" hidden="1" x14ac:dyDescent="0.3">
      <c r="A933" s="35"/>
    </row>
    <row r="934" spans="1:1" hidden="1" x14ac:dyDescent="0.3">
      <c r="A934" s="35"/>
    </row>
    <row r="935" spans="1:1" hidden="1" x14ac:dyDescent="0.3">
      <c r="A935" s="35"/>
    </row>
    <row r="936" spans="1:1" hidden="1" x14ac:dyDescent="0.3">
      <c r="A936" s="35"/>
    </row>
    <row r="937" spans="1:1" hidden="1" x14ac:dyDescent="0.3">
      <c r="A937" s="35"/>
    </row>
    <row r="938" spans="1:1" hidden="1" x14ac:dyDescent="0.3">
      <c r="A938" s="35"/>
    </row>
    <row r="939" spans="1:1" hidden="1" x14ac:dyDescent="0.3">
      <c r="A939" s="35"/>
    </row>
    <row r="940" spans="1:1" hidden="1" x14ac:dyDescent="0.3">
      <c r="A940" s="35"/>
    </row>
    <row r="941" spans="1:1" hidden="1" x14ac:dyDescent="0.3">
      <c r="A941" s="35"/>
    </row>
    <row r="942" spans="1:1" hidden="1" x14ac:dyDescent="0.3">
      <c r="A942" s="35"/>
    </row>
    <row r="943" spans="1:1" hidden="1" x14ac:dyDescent="0.3">
      <c r="A943" s="35"/>
    </row>
    <row r="944" spans="1:1" hidden="1" x14ac:dyDescent="0.3">
      <c r="A944" s="35"/>
    </row>
    <row r="945" spans="1:1" hidden="1" x14ac:dyDescent="0.3">
      <c r="A945" s="35"/>
    </row>
    <row r="946" spans="1:1" hidden="1" x14ac:dyDescent="0.3">
      <c r="A946" s="35"/>
    </row>
    <row r="947" spans="1:1" hidden="1" x14ac:dyDescent="0.3">
      <c r="A947" s="35"/>
    </row>
    <row r="948" spans="1:1" hidden="1" x14ac:dyDescent="0.3">
      <c r="A948" s="35"/>
    </row>
    <row r="949" spans="1:1" hidden="1" x14ac:dyDescent="0.3">
      <c r="A949" s="35"/>
    </row>
    <row r="950" spans="1:1" hidden="1" x14ac:dyDescent="0.3">
      <c r="A950" s="35"/>
    </row>
    <row r="951" spans="1:1" hidden="1" x14ac:dyDescent="0.3">
      <c r="A951" s="35"/>
    </row>
    <row r="952" spans="1:1" hidden="1" x14ac:dyDescent="0.3">
      <c r="A952" s="35"/>
    </row>
    <row r="953" spans="1:1" hidden="1" x14ac:dyDescent="0.3">
      <c r="A953" s="35"/>
    </row>
    <row r="954" spans="1:1" hidden="1" x14ac:dyDescent="0.3">
      <c r="A954" s="35"/>
    </row>
    <row r="955" spans="1:1" hidden="1" x14ac:dyDescent="0.3">
      <c r="A955" s="35"/>
    </row>
    <row r="956" spans="1:1" hidden="1" x14ac:dyDescent="0.3">
      <c r="A956" s="35"/>
    </row>
    <row r="957" spans="1:1" hidden="1" x14ac:dyDescent="0.3">
      <c r="A957" s="35"/>
    </row>
    <row r="958" spans="1:1" hidden="1" x14ac:dyDescent="0.3">
      <c r="A958" s="35"/>
    </row>
    <row r="959" spans="1:1" hidden="1" x14ac:dyDescent="0.3">
      <c r="A959" s="35"/>
    </row>
    <row r="960" spans="1:1" hidden="1" x14ac:dyDescent="0.3">
      <c r="A960" s="35"/>
    </row>
    <row r="961" spans="1:1" hidden="1" x14ac:dyDescent="0.3">
      <c r="A961" s="35"/>
    </row>
    <row r="962" spans="1:1" hidden="1" x14ac:dyDescent="0.3">
      <c r="A962" s="35"/>
    </row>
    <row r="963" spans="1:1" hidden="1" x14ac:dyDescent="0.3">
      <c r="A963" s="35"/>
    </row>
    <row r="964" spans="1:1" hidden="1" x14ac:dyDescent="0.3">
      <c r="A964" s="35"/>
    </row>
    <row r="965" spans="1:1" hidden="1" x14ac:dyDescent="0.3">
      <c r="A965" s="35"/>
    </row>
    <row r="966" spans="1:1" hidden="1" x14ac:dyDescent="0.3">
      <c r="A966" s="35"/>
    </row>
    <row r="967" spans="1:1" hidden="1" x14ac:dyDescent="0.3">
      <c r="A967" s="35"/>
    </row>
    <row r="968" spans="1:1" hidden="1" x14ac:dyDescent="0.3">
      <c r="A968" s="35"/>
    </row>
    <row r="969" spans="1:1" hidden="1" x14ac:dyDescent="0.3">
      <c r="A969" s="35"/>
    </row>
    <row r="970" spans="1:1" hidden="1" x14ac:dyDescent="0.3">
      <c r="A970" s="35"/>
    </row>
    <row r="971" spans="1:1" hidden="1" x14ac:dyDescent="0.3">
      <c r="A971" s="35"/>
    </row>
    <row r="972" spans="1:1" hidden="1" x14ac:dyDescent="0.3">
      <c r="A972" s="35"/>
    </row>
    <row r="973" spans="1:1" hidden="1" x14ac:dyDescent="0.3">
      <c r="A973" s="35"/>
    </row>
    <row r="974" spans="1:1" hidden="1" x14ac:dyDescent="0.3">
      <c r="A974" s="35"/>
    </row>
    <row r="975" spans="1:1" hidden="1" x14ac:dyDescent="0.3">
      <c r="A975" s="35"/>
    </row>
    <row r="976" spans="1:1" hidden="1" x14ac:dyDescent="0.3">
      <c r="A976" s="35"/>
    </row>
    <row r="977" spans="1:1" hidden="1" x14ac:dyDescent="0.3">
      <c r="A977" s="35"/>
    </row>
    <row r="978" spans="1:1" hidden="1" x14ac:dyDescent="0.3">
      <c r="A978" s="35"/>
    </row>
    <row r="979" spans="1:1" hidden="1" x14ac:dyDescent="0.3">
      <c r="A979" s="35"/>
    </row>
    <row r="980" spans="1:1" hidden="1" x14ac:dyDescent="0.3">
      <c r="A980" s="35"/>
    </row>
    <row r="981" spans="1:1" hidden="1" x14ac:dyDescent="0.3">
      <c r="A981" s="35"/>
    </row>
    <row r="982" spans="1:1" hidden="1" x14ac:dyDescent="0.3">
      <c r="A982" s="35"/>
    </row>
    <row r="983" spans="1:1" hidden="1" x14ac:dyDescent="0.3">
      <c r="A983" s="35"/>
    </row>
    <row r="984" spans="1:1" hidden="1" x14ac:dyDescent="0.3">
      <c r="A984" s="35"/>
    </row>
    <row r="985" spans="1:1" hidden="1" x14ac:dyDescent="0.3">
      <c r="A985" s="35"/>
    </row>
    <row r="986" spans="1:1" hidden="1" x14ac:dyDescent="0.3">
      <c r="A986" s="35"/>
    </row>
    <row r="987" spans="1:1" hidden="1" x14ac:dyDescent="0.3">
      <c r="A987" s="35"/>
    </row>
    <row r="988" spans="1:1" hidden="1" x14ac:dyDescent="0.3">
      <c r="A988" s="35"/>
    </row>
    <row r="989" spans="1:1" hidden="1" x14ac:dyDescent="0.3">
      <c r="A989" s="35"/>
    </row>
    <row r="990" spans="1:1" hidden="1" x14ac:dyDescent="0.3">
      <c r="A990" s="35"/>
    </row>
    <row r="991" spans="1:1" hidden="1" x14ac:dyDescent="0.3">
      <c r="A991" s="35"/>
    </row>
    <row r="992" spans="1:1" hidden="1" x14ac:dyDescent="0.3">
      <c r="A992" s="35"/>
    </row>
    <row r="993" spans="1:1" hidden="1" x14ac:dyDescent="0.3">
      <c r="A993" s="35"/>
    </row>
    <row r="994" spans="1:1" hidden="1" x14ac:dyDescent="0.3">
      <c r="A994" s="35"/>
    </row>
    <row r="995" spans="1:1" hidden="1" x14ac:dyDescent="0.3">
      <c r="A995" s="35"/>
    </row>
    <row r="996" spans="1:1" hidden="1" x14ac:dyDescent="0.3">
      <c r="A996" s="35"/>
    </row>
    <row r="997" spans="1:1" hidden="1" x14ac:dyDescent="0.3">
      <c r="A997" s="35"/>
    </row>
    <row r="998" spans="1:1" hidden="1" x14ac:dyDescent="0.3">
      <c r="A998" s="35"/>
    </row>
    <row r="999" spans="1:1" hidden="1" x14ac:dyDescent="0.3">
      <c r="A999" s="35"/>
    </row>
    <row r="1000" spans="1:1" hidden="1" x14ac:dyDescent="0.3">
      <c r="A1000" s="35"/>
    </row>
    <row r="1001" spans="1:1" hidden="1" x14ac:dyDescent="0.3">
      <c r="A1001" s="35"/>
    </row>
    <row r="1002" spans="1:1" hidden="1" x14ac:dyDescent="0.3">
      <c r="A1002" s="35"/>
    </row>
    <row r="1003" spans="1:1" hidden="1" x14ac:dyDescent="0.3">
      <c r="A1003" s="35"/>
    </row>
    <row r="1004" spans="1:1" hidden="1" x14ac:dyDescent="0.3">
      <c r="A1004" s="35"/>
    </row>
    <row r="1005" spans="1:1" hidden="1" x14ac:dyDescent="0.3">
      <c r="A1005" s="35"/>
    </row>
    <row r="1006" spans="1:1" hidden="1" x14ac:dyDescent="0.3">
      <c r="A1006" s="35"/>
    </row>
    <row r="1007" spans="1:1" hidden="1" x14ac:dyDescent="0.3">
      <c r="A1007" s="35"/>
    </row>
  </sheetData>
  <sheetProtection algorithmName="SHA-512" hashValue="tWDqWNLDooCTF7GqFzYtnsMXiUZczSQRgHXlSMry+2b4EweqQGgrCJuarsbuNS1NCN3wleDf/sZXaA9vJHSOjg==" saltValue="0ghZjsaNTMGVDqG9Zyw2Yg==" spinCount="100000" sheet="1" objects="1" scenarios="1" formatCells="0" formatRows="0" insertRows="0" deleteRows="0" selectLockedCells="1" sort="0" autoFilter="0"/>
  <autoFilter ref="A6:C1007">
    <filterColumn colId="1">
      <customFilters>
        <customFilter val="*창의성*"/>
      </customFilters>
    </filterColumn>
  </autoFilter>
  <mergeCells count="1">
    <mergeCell ref="A1:C1"/>
  </mergeCells>
  <phoneticPr fontId="18" type="noConversion"/>
  <dataValidations count="2">
    <dataValidation type="whole" allowBlank="1" showInputMessage="1" showErrorMessage="1" sqref="B4">
      <formula1>101</formula1>
      <formula2>1000</formula2>
    </dataValidation>
    <dataValidation type="list" allowBlank="1" showInputMessage="1" showErrorMessage="1" sqref="B2">
      <formula1>이름</formula1>
    </dataValidation>
  </dataValidations>
  <pageMargins left="0.7086111307144165" right="0.7086111307144165" top="0.55111110210418701" bottom="0.55111110210418701" header="0.31486111879348755" footer="0.31486111879348755"/>
  <pageSetup paperSize="9"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tabColor rgb="FF92D050"/>
  </sheetPr>
  <dimension ref="A1:C1007"/>
  <sheetViews>
    <sheetView view="pageBreakPreview" zoomScale="80" zoomScaleNormal="100" zoomScaleSheetLayoutView="80" workbookViewId="0">
      <pane ySplit="6" topLeftCell="A7" activePane="bottomLeft" state="frozen"/>
      <selection pane="bottomLeft" activeCell="C1018" sqref="C1018"/>
    </sheetView>
  </sheetViews>
  <sheetFormatPr defaultColWidth="8.75" defaultRowHeight="16.5" x14ac:dyDescent="0.3"/>
  <cols>
    <col min="1" max="1" width="11.5" style="8" customWidth="1"/>
    <col min="2" max="2" width="25.375" style="32" customWidth="1"/>
    <col min="3" max="3" width="91.25" style="9" customWidth="1"/>
    <col min="4" max="16384" width="8.75" style="9"/>
  </cols>
  <sheetData>
    <row r="1" spans="1:3" s="14" customFormat="1" ht="45" customHeight="1" x14ac:dyDescent="0.3">
      <c r="A1" s="86" t="s">
        <v>804</v>
      </c>
      <c r="B1" s="86"/>
      <c r="C1" s="86"/>
    </row>
    <row r="2" spans="1:3" s="14" customFormat="1" ht="30" customHeight="1" x14ac:dyDescent="0.3">
      <c r="A2" s="54" t="s">
        <v>667</v>
      </c>
      <c r="B2" s="68" t="s">
        <v>641</v>
      </c>
      <c r="C2" s="55" t="s">
        <v>433</v>
      </c>
    </row>
    <row r="3" spans="1:3" s="14" customFormat="1" ht="34.5" customHeight="1" x14ac:dyDescent="0.3">
      <c r="A3" s="56" t="s">
        <v>699</v>
      </c>
      <c r="B3" s="33">
        <f>VLOOKUP(B2,코드테이블,5,0)</f>
        <v>104</v>
      </c>
      <c r="C3" s="57" t="str">
        <f>VLOOKUP(B3,인성C코드,3)</f>
        <v xml:space="preserve">모둠 활동시 주도적으로 모둠 활동에 참여하여 모둠 문제를 해결해나가는 모습이 돋보임. </v>
      </c>
    </row>
    <row r="4" spans="1:3" s="14" customFormat="1" ht="34.5" customHeight="1" x14ac:dyDescent="0.3">
      <c r="A4" s="58" t="s">
        <v>684</v>
      </c>
      <c r="B4" s="69">
        <v>104</v>
      </c>
      <c r="C4" s="59" t="str">
        <f>VLOOKUP(B4,인성C코드,3,0)</f>
        <v xml:space="preserve">모둠 활동시 주도적으로 모둠 활동에 참여하여 모둠 문제를 해결해나가는 모습이 돋보임. </v>
      </c>
    </row>
    <row r="5" spans="1:3" s="14" customFormat="1" ht="7.5" customHeight="1" x14ac:dyDescent="0.3">
      <c r="A5" s="16"/>
      <c r="B5" s="30"/>
      <c r="C5" s="17"/>
    </row>
    <row r="6" spans="1:3" s="14" customFormat="1" ht="29.25" customHeight="1" x14ac:dyDescent="0.3">
      <c r="A6" s="46" t="s">
        <v>441</v>
      </c>
      <c r="B6" s="47" t="s">
        <v>429</v>
      </c>
      <c r="C6" s="46" t="s">
        <v>433</v>
      </c>
    </row>
    <row r="7" spans="1:3" ht="51.75" hidden="1" x14ac:dyDescent="0.3">
      <c r="A7" s="74">
        <v>101</v>
      </c>
      <c r="B7" s="75" t="s">
        <v>600</v>
      </c>
      <c r="C7" s="73" t="s">
        <v>839</v>
      </c>
    </row>
    <row r="8" spans="1:3" ht="17.25" hidden="1" x14ac:dyDescent="0.3">
      <c r="A8" s="74">
        <v>102</v>
      </c>
      <c r="B8" s="75" t="s">
        <v>601</v>
      </c>
      <c r="C8" s="73" t="s">
        <v>840</v>
      </c>
    </row>
    <row r="9" spans="1:3" ht="34.5" hidden="1" x14ac:dyDescent="0.3">
      <c r="A9" s="74">
        <v>103</v>
      </c>
      <c r="B9" s="75" t="s">
        <v>668</v>
      </c>
      <c r="C9" s="73" t="s">
        <v>841</v>
      </c>
    </row>
    <row r="10" spans="1:3" ht="17.25" hidden="1" x14ac:dyDescent="0.3">
      <c r="A10" s="74">
        <v>104</v>
      </c>
      <c r="B10" s="75" t="s">
        <v>676</v>
      </c>
      <c r="C10" s="73" t="s">
        <v>842</v>
      </c>
    </row>
    <row r="11" spans="1:3" ht="17.25" hidden="1" x14ac:dyDescent="0.3">
      <c r="A11" s="74">
        <v>105</v>
      </c>
      <c r="B11" s="75" t="s">
        <v>669</v>
      </c>
      <c r="C11" s="73" t="s">
        <v>843</v>
      </c>
    </row>
    <row r="12" spans="1:3" ht="34.5" hidden="1" x14ac:dyDescent="0.3">
      <c r="A12" s="74">
        <v>106</v>
      </c>
      <c r="B12" s="75" t="s">
        <v>525</v>
      </c>
      <c r="C12" s="73" t="s">
        <v>844</v>
      </c>
    </row>
    <row r="13" spans="1:3" ht="17.25" hidden="1" x14ac:dyDescent="0.3">
      <c r="A13" s="74">
        <v>107</v>
      </c>
      <c r="B13" s="75" t="s">
        <v>685</v>
      </c>
      <c r="C13" s="73" t="s">
        <v>845</v>
      </c>
    </row>
    <row r="14" spans="1:3" ht="51.75" hidden="1" x14ac:dyDescent="0.3">
      <c r="A14" s="74">
        <v>108</v>
      </c>
      <c r="B14" s="75" t="s">
        <v>573</v>
      </c>
      <c r="C14" s="73" t="s">
        <v>846</v>
      </c>
    </row>
    <row r="15" spans="1:3" ht="34.5" hidden="1" x14ac:dyDescent="0.3">
      <c r="A15" s="74">
        <v>109</v>
      </c>
      <c r="B15" s="75" t="s">
        <v>602</v>
      </c>
      <c r="C15" s="73" t="s">
        <v>847</v>
      </c>
    </row>
    <row r="16" spans="1:3" ht="51.75" hidden="1" x14ac:dyDescent="0.3">
      <c r="A16" s="74">
        <v>110</v>
      </c>
      <c r="B16" s="75" t="s">
        <v>529</v>
      </c>
      <c r="C16" s="73" t="s">
        <v>848</v>
      </c>
    </row>
    <row r="17" spans="1:3" ht="51.75" hidden="1" x14ac:dyDescent="0.3">
      <c r="A17" s="74">
        <v>111</v>
      </c>
      <c r="B17" s="75" t="s">
        <v>603</v>
      </c>
      <c r="C17" s="73" t="s">
        <v>849</v>
      </c>
    </row>
    <row r="18" spans="1:3" ht="17.25" hidden="1" x14ac:dyDescent="0.3">
      <c r="A18" s="74">
        <v>112</v>
      </c>
      <c r="B18" s="75" t="s">
        <v>702</v>
      </c>
      <c r="C18" s="73" t="s">
        <v>779</v>
      </c>
    </row>
    <row r="19" spans="1:3" ht="17.25" hidden="1" x14ac:dyDescent="0.3">
      <c r="A19" s="74">
        <v>113</v>
      </c>
      <c r="B19" s="75" t="s">
        <v>698</v>
      </c>
      <c r="C19" s="73" t="s">
        <v>577</v>
      </c>
    </row>
    <row r="20" spans="1:3" ht="34.5" hidden="1" x14ac:dyDescent="0.3">
      <c r="A20" s="74">
        <v>114</v>
      </c>
      <c r="B20" s="75" t="s">
        <v>705</v>
      </c>
      <c r="C20" s="73" t="s">
        <v>850</v>
      </c>
    </row>
    <row r="21" spans="1:3" ht="17.25" hidden="1" x14ac:dyDescent="0.3">
      <c r="A21" s="74">
        <v>115</v>
      </c>
      <c r="B21" s="75" t="s">
        <v>697</v>
      </c>
      <c r="C21" s="73" t="s">
        <v>851</v>
      </c>
    </row>
    <row r="22" spans="1:3" ht="17.25" hidden="1" x14ac:dyDescent="0.3">
      <c r="A22" s="74">
        <v>116</v>
      </c>
      <c r="B22" s="75" t="s">
        <v>608</v>
      </c>
      <c r="C22" s="73" t="s">
        <v>852</v>
      </c>
    </row>
    <row r="23" spans="1:3" ht="17.25" hidden="1" x14ac:dyDescent="0.3">
      <c r="A23" s="74">
        <v>117</v>
      </c>
      <c r="B23" s="75" t="s">
        <v>680</v>
      </c>
      <c r="C23" s="73" t="s">
        <v>853</v>
      </c>
    </row>
    <row r="24" spans="1:3" ht="34.5" hidden="1" x14ac:dyDescent="0.3">
      <c r="A24" s="74">
        <v>118</v>
      </c>
      <c r="B24" s="75" t="s">
        <v>537</v>
      </c>
      <c r="C24" s="73" t="s">
        <v>854</v>
      </c>
    </row>
    <row r="25" spans="1:3" ht="17.25" hidden="1" x14ac:dyDescent="0.3">
      <c r="A25" s="74">
        <v>119</v>
      </c>
      <c r="B25" s="75" t="s">
        <v>611</v>
      </c>
      <c r="C25" s="73" t="s">
        <v>855</v>
      </c>
    </row>
    <row r="26" spans="1:3" ht="17.25" hidden="1" x14ac:dyDescent="0.3">
      <c r="A26" s="74">
        <v>120</v>
      </c>
      <c r="B26" s="75" t="s">
        <v>609</v>
      </c>
      <c r="C26" s="73" t="s">
        <v>856</v>
      </c>
    </row>
    <row r="27" spans="1:3" ht="17.25" hidden="1" x14ac:dyDescent="0.3">
      <c r="A27" s="74">
        <v>121</v>
      </c>
      <c r="B27" s="75" t="s">
        <v>606</v>
      </c>
      <c r="C27" s="73" t="s">
        <v>176</v>
      </c>
    </row>
    <row r="28" spans="1:3" ht="17.25" hidden="1" x14ac:dyDescent="0.3">
      <c r="A28" s="74">
        <v>122</v>
      </c>
      <c r="B28" s="75" t="s">
        <v>694</v>
      </c>
      <c r="C28" s="73" t="s">
        <v>857</v>
      </c>
    </row>
    <row r="29" spans="1:3" ht="34.5" hidden="1" x14ac:dyDescent="0.3">
      <c r="A29" s="74">
        <v>123</v>
      </c>
      <c r="B29" s="75" t="s">
        <v>610</v>
      </c>
      <c r="C29" s="73" t="s">
        <v>858</v>
      </c>
    </row>
    <row r="30" spans="1:3" ht="17.25" hidden="1" x14ac:dyDescent="0.3">
      <c r="A30" s="74">
        <v>124</v>
      </c>
      <c r="B30" s="75" t="s">
        <v>605</v>
      </c>
      <c r="C30" s="73" t="s">
        <v>859</v>
      </c>
    </row>
    <row r="31" spans="1:3" ht="17.25" hidden="1" x14ac:dyDescent="0.3">
      <c r="A31" s="74">
        <v>125</v>
      </c>
      <c r="B31" s="75" t="s">
        <v>607</v>
      </c>
      <c r="C31" s="73" t="s">
        <v>860</v>
      </c>
    </row>
    <row r="32" spans="1:3" ht="34.5" hidden="1" x14ac:dyDescent="0.3">
      <c r="A32" s="74">
        <v>126</v>
      </c>
      <c r="B32" s="75" t="s">
        <v>536</v>
      </c>
      <c r="C32" s="73" t="s">
        <v>861</v>
      </c>
    </row>
    <row r="33" spans="1:3" ht="34.5" hidden="1" x14ac:dyDescent="0.3">
      <c r="A33" s="74">
        <v>127</v>
      </c>
      <c r="B33" s="75" t="s">
        <v>571</v>
      </c>
      <c r="C33" s="73" t="s">
        <v>116</v>
      </c>
    </row>
    <row r="34" spans="1:3" ht="34.5" hidden="1" x14ac:dyDescent="0.3">
      <c r="A34" s="74">
        <v>128</v>
      </c>
      <c r="B34" s="75" t="s">
        <v>604</v>
      </c>
      <c r="C34" s="73" t="s">
        <v>862</v>
      </c>
    </row>
    <row r="35" spans="1:3" ht="34.5" hidden="1" x14ac:dyDescent="0.3">
      <c r="A35" s="74">
        <v>129</v>
      </c>
      <c r="B35" s="75" t="s">
        <v>574</v>
      </c>
      <c r="C35" s="73" t="s">
        <v>863</v>
      </c>
    </row>
    <row r="36" spans="1:3" ht="34.5" hidden="1" x14ac:dyDescent="0.3">
      <c r="A36" s="74">
        <v>130</v>
      </c>
      <c r="B36" s="75" t="s">
        <v>532</v>
      </c>
      <c r="C36" s="73" t="s">
        <v>864</v>
      </c>
    </row>
    <row r="37" spans="1:3" ht="17.25" hidden="1" x14ac:dyDescent="0.3">
      <c r="A37" s="74">
        <v>131</v>
      </c>
      <c r="B37" s="75" t="s">
        <v>534</v>
      </c>
      <c r="C37" s="73" t="s">
        <v>726</v>
      </c>
    </row>
    <row r="38" spans="1:3" ht="34.5" hidden="1" x14ac:dyDescent="0.3">
      <c r="A38" s="74">
        <v>132</v>
      </c>
      <c r="B38" s="75" t="s">
        <v>538</v>
      </c>
      <c r="C38" s="73" t="s">
        <v>865</v>
      </c>
    </row>
    <row r="39" spans="1:3" ht="17.25" hidden="1" x14ac:dyDescent="0.3">
      <c r="A39" s="74">
        <v>133</v>
      </c>
      <c r="B39" s="75" t="s">
        <v>614</v>
      </c>
      <c r="C39" s="73" t="s">
        <v>498</v>
      </c>
    </row>
    <row r="40" spans="1:3" ht="17.25" hidden="1" x14ac:dyDescent="0.3">
      <c r="A40" s="74">
        <v>134</v>
      </c>
      <c r="B40" s="75" t="s">
        <v>612</v>
      </c>
      <c r="C40" s="73" t="s">
        <v>866</v>
      </c>
    </row>
    <row r="41" spans="1:3" ht="17.25" hidden="1" x14ac:dyDescent="0.3">
      <c r="A41" s="74">
        <v>135</v>
      </c>
      <c r="B41" s="75" t="s">
        <v>616</v>
      </c>
      <c r="C41" s="73" t="s">
        <v>867</v>
      </c>
    </row>
    <row r="42" spans="1:3" ht="17.25" hidden="1" x14ac:dyDescent="0.3">
      <c r="A42" s="74">
        <v>136</v>
      </c>
      <c r="B42" s="75" t="s">
        <v>616</v>
      </c>
      <c r="C42" s="73" t="s">
        <v>868</v>
      </c>
    </row>
    <row r="43" spans="1:3" ht="17.25" hidden="1" x14ac:dyDescent="0.3">
      <c r="A43" s="74">
        <v>137</v>
      </c>
      <c r="B43" s="75" t="s">
        <v>616</v>
      </c>
      <c r="C43" s="73" t="s">
        <v>869</v>
      </c>
    </row>
    <row r="44" spans="1:3" ht="17.25" hidden="1" x14ac:dyDescent="0.3">
      <c r="A44" s="74">
        <v>138</v>
      </c>
      <c r="B44" s="75" t="s">
        <v>807</v>
      </c>
      <c r="C44" s="73" t="s">
        <v>870</v>
      </c>
    </row>
    <row r="45" spans="1:3" ht="17.25" hidden="1" x14ac:dyDescent="0.3">
      <c r="A45" s="74">
        <v>139</v>
      </c>
      <c r="B45" s="75" t="s">
        <v>809</v>
      </c>
      <c r="C45" s="73" t="s">
        <v>871</v>
      </c>
    </row>
    <row r="46" spans="1:3" ht="17.25" hidden="1" x14ac:dyDescent="0.3">
      <c r="A46" s="74">
        <v>140</v>
      </c>
      <c r="B46" s="75" t="s">
        <v>811</v>
      </c>
      <c r="C46" s="73" t="s">
        <v>872</v>
      </c>
    </row>
    <row r="47" spans="1:3" ht="34.5" hidden="1" x14ac:dyDescent="0.3">
      <c r="A47" s="74">
        <v>141</v>
      </c>
      <c r="B47" s="75" t="s">
        <v>813</v>
      </c>
      <c r="C47" s="73" t="s">
        <v>815</v>
      </c>
    </row>
    <row r="48" spans="1:3" ht="34.5" hidden="1" x14ac:dyDescent="0.3">
      <c r="A48" s="74">
        <v>142</v>
      </c>
      <c r="B48" s="75" t="s">
        <v>817</v>
      </c>
      <c r="C48" s="73" t="s">
        <v>873</v>
      </c>
    </row>
    <row r="49" spans="1:3" ht="17.25" hidden="1" x14ac:dyDescent="0.3">
      <c r="A49" s="74">
        <v>143</v>
      </c>
      <c r="B49" s="75" t="s">
        <v>819</v>
      </c>
      <c r="C49" s="73" t="s">
        <v>874</v>
      </c>
    </row>
    <row r="50" spans="1:3" ht="34.5" hidden="1" x14ac:dyDescent="0.3">
      <c r="A50" s="74">
        <v>144</v>
      </c>
      <c r="B50" s="75" t="s">
        <v>821</v>
      </c>
      <c r="C50" s="73" t="s">
        <v>875</v>
      </c>
    </row>
    <row r="51" spans="1:3" ht="17.25" hidden="1" x14ac:dyDescent="0.3">
      <c r="A51" s="74">
        <v>145</v>
      </c>
      <c r="B51" s="75" t="s">
        <v>823</v>
      </c>
      <c r="C51" s="73" t="s">
        <v>167</v>
      </c>
    </row>
    <row r="52" spans="1:3" ht="17.25" hidden="1" x14ac:dyDescent="0.3">
      <c r="A52" s="74">
        <v>146</v>
      </c>
      <c r="B52" s="75" t="s">
        <v>825</v>
      </c>
      <c r="C52" s="73" t="s">
        <v>876</v>
      </c>
    </row>
    <row r="53" spans="1:3" ht="17.25" hidden="1" x14ac:dyDescent="0.3">
      <c r="A53" s="74">
        <v>147</v>
      </c>
      <c r="B53" s="75" t="s">
        <v>827</v>
      </c>
      <c r="C53" s="73" t="s">
        <v>877</v>
      </c>
    </row>
    <row r="54" spans="1:3" ht="17.25" hidden="1" x14ac:dyDescent="0.3">
      <c r="A54" s="74">
        <v>148</v>
      </c>
      <c r="B54" s="75" t="s">
        <v>829</v>
      </c>
      <c r="C54" s="73" t="s">
        <v>878</v>
      </c>
    </row>
    <row r="55" spans="1:3" ht="17.25" hidden="1" x14ac:dyDescent="0.3">
      <c r="A55" s="74">
        <v>149</v>
      </c>
      <c r="B55" s="75" t="s">
        <v>831</v>
      </c>
      <c r="C55" s="73" t="s">
        <v>74</v>
      </c>
    </row>
    <row r="56" spans="1:3" ht="34.5" hidden="1" x14ac:dyDescent="0.3">
      <c r="A56" s="74">
        <v>150</v>
      </c>
      <c r="B56" s="75" t="s">
        <v>833</v>
      </c>
      <c r="C56" s="73" t="s">
        <v>879</v>
      </c>
    </row>
    <row r="57" spans="1:3" ht="34.5" hidden="1" x14ac:dyDescent="0.3">
      <c r="A57" s="74">
        <v>151</v>
      </c>
      <c r="B57" s="75" t="s">
        <v>835</v>
      </c>
      <c r="C57" s="73" t="s">
        <v>880</v>
      </c>
    </row>
    <row r="58" spans="1:3" ht="34.5" hidden="1" x14ac:dyDescent="0.3">
      <c r="A58" s="74">
        <v>152</v>
      </c>
      <c r="B58" s="75" t="s">
        <v>817</v>
      </c>
      <c r="C58" s="73" t="s">
        <v>881</v>
      </c>
    </row>
    <row r="59" spans="1:3" ht="17.25" hidden="1" x14ac:dyDescent="0.3">
      <c r="A59" s="74">
        <v>153</v>
      </c>
      <c r="B59" s="75" t="s">
        <v>837</v>
      </c>
      <c r="C59" s="73" t="s">
        <v>558</v>
      </c>
    </row>
    <row r="60" spans="1:3" ht="34.5" hidden="1" x14ac:dyDescent="0.3">
      <c r="A60" s="74">
        <v>154</v>
      </c>
      <c r="B60" s="75" t="s">
        <v>436</v>
      </c>
      <c r="C60" s="73" t="s">
        <v>882</v>
      </c>
    </row>
    <row r="61" spans="1:3" ht="34.5" hidden="1" x14ac:dyDescent="0.3">
      <c r="A61" s="74">
        <v>155</v>
      </c>
      <c r="B61" s="75" t="s">
        <v>436</v>
      </c>
      <c r="C61" s="73" t="s">
        <v>882</v>
      </c>
    </row>
    <row r="62" spans="1:3" ht="17.25" hidden="1" x14ac:dyDescent="0.3">
      <c r="A62" s="74">
        <v>156</v>
      </c>
      <c r="B62" s="75" t="s">
        <v>436</v>
      </c>
      <c r="C62" s="73" t="s">
        <v>883</v>
      </c>
    </row>
    <row r="63" spans="1:3" ht="17.25" hidden="1" x14ac:dyDescent="0.3">
      <c r="A63" s="74">
        <v>157</v>
      </c>
      <c r="B63" s="75" t="s">
        <v>436</v>
      </c>
      <c r="C63" s="73" t="s">
        <v>884</v>
      </c>
    </row>
    <row r="64" spans="1:3" ht="17.25" hidden="1" x14ac:dyDescent="0.3">
      <c r="A64" s="74">
        <v>158</v>
      </c>
      <c r="B64" s="75" t="s">
        <v>436</v>
      </c>
      <c r="C64" s="73" t="s">
        <v>884</v>
      </c>
    </row>
    <row r="65" spans="1:3" ht="17.25" hidden="1" x14ac:dyDescent="0.3">
      <c r="A65" s="74">
        <v>159</v>
      </c>
      <c r="B65" s="75" t="s">
        <v>436</v>
      </c>
      <c r="C65" s="73" t="s">
        <v>885</v>
      </c>
    </row>
    <row r="66" spans="1:3" ht="17.25" hidden="1" x14ac:dyDescent="0.3">
      <c r="A66" s="74">
        <v>160</v>
      </c>
      <c r="B66" s="75" t="s">
        <v>436</v>
      </c>
      <c r="C66" s="73" t="s">
        <v>886</v>
      </c>
    </row>
    <row r="67" spans="1:3" ht="34.5" hidden="1" x14ac:dyDescent="0.3">
      <c r="A67" s="74">
        <v>161</v>
      </c>
      <c r="B67" s="75" t="s">
        <v>659</v>
      </c>
      <c r="C67" s="73" t="s">
        <v>887</v>
      </c>
    </row>
    <row r="68" spans="1:3" ht="34.5" hidden="1" x14ac:dyDescent="0.3">
      <c r="A68" s="74">
        <v>162</v>
      </c>
      <c r="B68" s="75" t="s">
        <v>659</v>
      </c>
      <c r="C68" s="73" t="s">
        <v>888</v>
      </c>
    </row>
    <row r="69" spans="1:3" ht="34.5" hidden="1" x14ac:dyDescent="0.3">
      <c r="A69" s="74">
        <v>163</v>
      </c>
      <c r="B69" s="75" t="s">
        <v>659</v>
      </c>
      <c r="C69" s="73" t="s">
        <v>889</v>
      </c>
    </row>
    <row r="70" spans="1:3" ht="17.25" hidden="1" x14ac:dyDescent="0.3">
      <c r="A70" s="74">
        <v>164</v>
      </c>
      <c r="B70" s="75" t="s">
        <v>659</v>
      </c>
      <c r="C70" s="73" t="s">
        <v>890</v>
      </c>
    </row>
    <row r="71" spans="1:3" ht="17.25" hidden="1" x14ac:dyDescent="0.3">
      <c r="A71" s="74">
        <v>165</v>
      </c>
      <c r="B71" s="75" t="s">
        <v>659</v>
      </c>
      <c r="C71" s="73" t="s">
        <v>891</v>
      </c>
    </row>
    <row r="72" spans="1:3" ht="34.5" hidden="1" x14ac:dyDescent="0.3">
      <c r="A72" s="74">
        <v>166</v>
      </c>
      <c r="B72" s="75" t="s">
        <v>659</v>
      </c>
      <c r="C72" s="73" t="s">
        <v>892</v>
      </c>
    </row>
    <row r="73" spans="1:3" ht="17.25" hidden="1" x14ac:dyDescent="0.3">
      <c r="A73" s="74">
        <v>167</v>
      </c>
      <c r="B73" s="75" t="s">
        <v>659</v>
      </c>
      <c r="C73" s="73" t="s">
        <v>893</v>
      </c>
    </row>
    <row r="74" spans="1:3" ht="34.5" hidden="1" x14ac:dyDescent="0.3">
      <c r="A74" s="74">
        <v>168</v>
      </c>
      <c r="B74" s="75" t="s">
        <v>659</v>
      </c>
      <c r="C74" s="73" t="s">
        <v>894</v>
      </c>
    </row>
    <row r="75" spans="1:3" ht="17.25" hidden="1" x14ac:dyDescent="0.3">
      <c r="A75" s="74">
        <v>169</v>
      </c>
      <c r="B75" s="75" t="s">
        <v>659</v>
      </c>
      <c r="C75" s="73" t="s">
        <v>895</v>
      </c>
    </row>
    <row r="76" spans="1:3" ht="17.25" hidden="1" x14ac:dyDescent="0.3">
      <c r="A76" s="74">
        <v>170</v>
      </c>
      <c r="B76" s="75" t="s">
        <v>659</v>
      </c>
      <c r="C76" s="73" t="s">
        <v>730</v>
      </c>
    </row>
    <row r="77" spans="1:3" ht="17.25" hidden="1" x14ac:dyDescent="0.3">
      <c r="A77" s="74">
        <v>171</v>
      </c>
      <c r="B77" s="75" t="s">
        <v>659</v>
      </c>
      <c r="C77" s="73" t="s">
        <v>896</v>
      </c>
    </row>
    <row r="78" spans="1:3" ht="34.5" hidden="1" x14ac:dyDescent="0.3">
      <c r="A78" s="74">
        <v>172</v>
      </c>
      <c r="B78" s="75" t="s">
        <v>659</v>
      </c>
      <c r="C78" s="73" t="s">
        <v>897</v>
      </c>
    </row>
    <row r="79" spans="1:3" ht="17.25" hidden="1" x14ac:dyDescent="0.3">
      <c r="A79" s="74">
        <v>173</v>
      </c>
      <c r="B79" s="75" t="s">
        <v>659</v>
      </c>
      <c r="C79" s="73" t="s">
        <v>731</v>
      </c>
    </row>
    <row r="80" spans="1:3" ht="17.25" hidden="1" x14ac:dyDescent="0.3">
      <c r="A80" s="74">
        <v>174</v>
      </c>
      <c r="B80" s="75" t="s">
        <v>659</v>
      </c>
      <c r="C80" s="73" t="s">
        <v>898</v>
      </c>
    </row>
    <row r="81" spans="1:3" ht="17.25" hidden="1" x14ac:dyDescent="0.3">
      <c r="A81" s="74">
        <v>175</v>
      </c>
      <c r="B81" s="75" t="s">
        <v>659</v>
      </c>
      <c r="C81" s="73" t="s">
        <v>899</v>
      </c>
    </row>
    <row r="82" spans="1:3" ht="17.25" hidden="1" x14ac:dyDescent="0.3">
      <c r="A82" s="74">
        <v>176</v>
      </c>
      <c r="B82" s="75" t="s">
        <v>659</v>
      </c>
      <c r="C82" s="73" t="s">
        <v>900</v>
      </c>
    </row>
    <row r="83" spans="1:3" ht="51.75" hidden="1" x14ac:dyDescent="0.3">
      <c r="A83" s="74">
        <v>177</v>
      </c>
      <c r="B83" s="75" t="s">
        <v>659</v>
      </c>
      <c r="C83" s="73" t="s">
        <v>901</v>
      </c>
    </row>
    <row r="84" spans="1:3" ht="17.25" hidden="1" x14ac:dyDescent="0.3">
      <c r="A84" s="74">
        <v>178</v>
      </c>
      <c r="B84" s="75" t="s">
        <v>659</v>
      </c>
      <c r="C84" s="73" t="s">
        <v>902</v>
      </c>
    </row>
    <row r="85" spans="1:3" ht="17.25" hidden="1" x14ac:dyDescent="0.3">
      <c r="A85" s="74">
        <v>179</v>
      </c>
      <c r="B85" s="75" t="s">
        <v>659</v>
      </c>
      <c r="C85" s="73" t="s">
        <v>903</v>
      </c>
    </row>
    <row r="86" spans="1:3" ht="17.25" hidden="1" x14ac:dyDescent="0.3">
      <c r="A86" s="74">
        <v>180</v>
      </c>
      <c r="B86" s="75" t="s">
        <v>659</v>
      </c>
      <c r="C86" s="73" t="s">
        <v>904</v>
      </c>
    </row>
    <row r="87" spans="1:3" ht="17.25" hidden="1" x14ac:dyDescent="0.3">
      <c r="A87" s="74">
        <v>181</v>
      </c>
      <c r="B87" s="75" t="s">
        <v>659</v>
      </c>
      <c r="C87" s="73" t="s">
        <v>905</v>
      </c>
    </row>
    <row r="88" spans="1:3" ht="17.25" hidden="1" x14ac:dyDescent="0.3">
      <c r="A88" s="74">
        <v>182</v>
      </c>
      <c r="B88" s="75" t="s">
        <v>659</v>
      </c>
      <c r="C88" s="73" t="s">
        <v>906</v>
      </c>
    </row>
    <row r="89" spans="1:3" ht="34.5" hidden="1" x14ac:dyDescent="0.3">
      <c r="A89" s="74">
        <v>183</v>
      </c>
      <c r="B89" s="75" t="s">
        <v>659</v>
      </c>
      <c r="C89" s="73" t="s">
        <v>907</v>
      </c>
    </row>
    <row r="90" spans="1:3" ht="17.25" hidden="1" x14ac:dyDescent="0.3">
      <c r="A90" s="74">
        <v>184</v>
      </c>
      <c r="B90" s="75" t="s">
        <v>659</v>
      </c>
      <c r="C90" s="73" t="s">
        <v>908</v>
      </c>
    </row>
    <row r="91" spans="1:3" ht="34.5" hidden="1" x14ac:dyDescent="0.3">
      <c r="A91" s="74">
        <v>185</v>
      </c>
      <c r="B91" s="75" t="s">
        <v>659</v>
      </c>
      <c r="C91" s="73" t="s">
        <v>909</v>
      </c>
    </row>
    <row r="92" spans="1:3" ht="17.25" hidden="1" x14ac:dyDescent="0.3">
      <c r="A92" s="74">
        <v>186</v>
      </c>
      <c r="B92" s="75" t="s">
        <v>645</v>
      </c>
      <c r="C92" s="73" t="s">
        <v>334</v>
      </c>
    </row>
    <row r="93" spans="1:3" ht="17.25" hidden="1" x14ac:dyDescent="0.3">
      <c r="A93" s="74">
        <v>187</v>
      </c>
      <c r="B93" s="75" t="s">
        <v>645</v>
      </c>
      <c r="C93" s="73" t="s">
        <v>910</v>
      </c>
    </row>
    <row r="94" spans="1:3" ht="17.25" hidden="1" x14ac:dyDescent="0.3">
      <c r="A94" s="74">
        <v>188</v>
      </c>
      <c r="B94" s="75" t="s">
        <v>645</v>
      </c>
      <c r="C94" s="73" t="s">
        <v>911</v>
      </c>
    </row>
    <row r="95" spans="1:3" ht="17.25" hidden="1" x14ac:dyDescent="0.3">
      <c r="A95" s="74">
        <v>189</v>
      </c>
      <c r="B95" s="75" t="s">
        <v>645</v>
      </c>
      <c r="C95" s="73" t="s">
        <v>912</v>
      </c>
    </row>
    <row r="96" spans="1:3" ht="17.25" hidden="1" x14ac:dyDescent="0.3">
      <c r="A96" s="74">
        <v>190</v>
      </c>
      <c r="B96" s="75" t="s">
        <v>645</v>
      </c>
      <c r="C96" s="73" t="s">
        <v>913</v>
      </c>
    </row>
    <row r="97" spans="1:3" ht="17.25" hidden="1" x14ac:dyDescent="0.3">
      <c r="A97" s="74">
        <v>191</v>
      </c>
      <c r="B97" s="75" t="s">
        <v>427</v>
      </c>
      <c r="C97" s="73" t="s">
        <v>38</v>
      </c>
    </row>
    <row r="98" spans="1:3" ht="17.25" hidden="1" x14ac:dyDescent="0.3">
      <c r="A98" s="74">
        <v>192</v>
      </c>
      <c r="B98" s="75" t="s">
        <v>427</v>
      </c>
      <c r="C98" s="73" t="s">
        <v>914</v>
      </c>
    </row>
    <row r="99" spans="1:3" ht="17.25" hidden="1" x14ac:dyDescent="0.3">
      <c r="A99" s="74">
        <v>193</v>
      </c>
      <c r="B99" s="75" t="s">
        <v>427</v>
      </c>
      <c r="C99" s="73" t="s">
        <v>915</v>
      </c>
    </row>
    <row r="100" spans="1:3" ht="34.5" hidden="1" x14ac:dyDescent="0.3">
      <c r="A100" s="74">
        <v>194</v>
      </c>
      <c r="B100" s="75" t="s">
        <v>427</v>
      </c>
      <c r="C100" s="73" t="s">
        <v>916</v>
      </c>
    </row>
    <row r="101" spans="1:3" ht="17.25" hidden="1" x14ac:dyDescent="0.3">
      <c r="A101" s="74">
        <v>195</v>
      </c>
      <c r="B101" s="75" t="s">
        <v>427</v>
      </c>
      <c r="C101" s="73" t="s">
        <v>917</v>
      </c>
    </row>
    <row r="102" spans="1:3" ht="17.25" hidden="1" x14ac:dyDescent="0.3">
      <c r="A102" s="74">
        <v>196</v>
      </c>
      <c r="B102" s="75" t="s">
        <v>427</v>
      </c>
      <c r="C102" s="73" t="s">
        <v>918</v>
      </c>
    </row>
    <row r="103" spans="1:3" ht="34.5" hidden="1" x14ac:dyDescent="0.3">
      <c r="A103" s="74">
        <v>197</v>
      </c>
      <c r="B103" s="75" t="s">
        <v>421</v>
      </c>
      <c r="C103" s="73" t="s">
        <v>919</v>
      </c>
    </row>
    <row r="104" spans="1:3" ht="34.5" hidden="1" x14ac:dyDescent="0.3">
      <c r="A104" s="74">
        <v>198</v>
      </c>
      <c r="B104" s="75" t="s">
        <v>421</v>
      </c>
      <c r="C104" s="73" t="s">
        <v>920</v>
      </c>
    </row>
    <row r="105" spans="1:3" ht="34.5" hidden="1" x14ac:dyDescent="0.3">
      <c r="A105" s="74">
        <v>199</v>
      </c>
      <c r="B105" s="75" t="s">
        <v>421</v>
      </c>
      <c r="C105" s="73" t="s">
        <v>919</v>
      </c>
    </row>
    <row r="106" spans="1:3" ht="17.25" hidden="1" x14ac:dyDescent="0.3">
      <c r="A106" s="74">
        <v>200</v>
      </c>
      <c r="B106" s="75" t="s">
        <v>421</v>
      </c>
      <c r="C106" s="73" t="s">
        <v>921</v>
      </c>
    </row>
    <row r="107" spans="1:3" ht="51.75" hidden="1" x14ac:dyDescent="0.3">
      <c r="A107" s="74">
        <v>201</v>
      </c>
      <c r="B107" s="75" t="s">
        <v>421</v>
      </c>
      <c r="C107" s="73" t="s">
        <v>922</v>
      </c>
    </row>
    <row r="108" spans="1:3" ht="17.25" hidden="1" x14ac:dyDescent="0.3">
      <c r="A108" s="74">
        <v>202</v>
      </c>
      <c r="B108" s="75" t="s">
        <v>421</v>
      </c>
      <c r="C108" s="73" t="s">
        <v>333</v>
      </c>
    </row>
    <row r="109" spans="1:3" ht="69" hidden="1" x14ac:dyDescent="0.3">
      <c r="A109" s="74">
        <v>203</v>
      </c>
      <c r="B109" s="75" t="s">
        <v>421</v>
      </c>
      <c r="C109" s="73" t="s">
        <v>923</v>
      </c>
    </row>
    <row r="110" spans="1:3" ht="34.5" hidden="1" x14ac:dyDescent="0.3">
      <c r="A110" s="74">
        <v>204</v>
      </c>
      <c r="B110" s="75" t="s">
        <v>421</v>
      </c>
      <c r="C110" s="73" t="s">
        <v>924</v>
      </c>
    </row>
    <row r="111" spans="1:3" ht="17.25" hidden="1" x14ac:dyDescent="0.3">
      <c r="A111" s="74">
        <v>205</v>
      </c>
      <c r="B111" s="75" t="s">
        <v>421</v>
      </c>
      <c r="C111" s="73" t="s">
        <v>925</v>
      </c>
    </row>
    <row r="112" spans="1:3" ht="17.25" hidden="1" x14ac:dyDescent="0.3">
      <c r="A112" s="74">
        <v>206</v>
      </c>
      <c r="B112" s="75" t="s">
        <v>421</v>
      </c>
      <c r="C112" s="73" t="s">
        <v>926</v>
      </c>
    </row>
    <row r="113" spans="1:3" ht="17.25" hidden="1" x14ac:dyDescent="0.3">
      <c r="A113" s="74">
        <v>207</v>
      </c>
      <c r="B113" s="75" t="s">
        <v>421</v>
      </c>
      <c r="C113" s="73" t="s">
        <v>927</v>
      </c>
    </row>
    <row r="114" spans="1:3" ht="17.25" hidden="1" x14ac:dyDescent="0.3">
      <c r="A114" s="74">
        <v>208</v>
      </c>
      <c r="B114" s="75" t="s">
        <v>421</v>
      </c>
      <c r="C114" s="73" t="s">
        <v>928</v>
      </c>
    </row>
    <row r="115" spans="1:3" ht="34.5" hidden="1" x14ac:dyDescent="0.3">
      <c r="A115" s="74">
        <v>209</v>
      </c>
      <c r="B115" s="75" t="s">
        <v>421</v>
      </c>
      <c r="C115" s="73" t="s">
        <v>929</v>
      </c>
    </row>
    <row r="116" spans="1:3" ht="34.5" hidden="1" x14ac:dyDescent="0.3">
      <c r="A116" s="74">
        <v>210</v>
      </c>
      <c r="B116" s="75" t="s">
        <v>437</v>
      </c>
      <c r="C116" s="73" t="s">
        <v>145</v>
      </c>
    </row>
    <row r="117" spans="1:3" ht="17.25" hidden="1" x14ac:dyDescent="0.3">
      <c r="A117" s="74">
        <v>211</v>
      </c>
      <c r="B117" s="75" t="s">
        <v>437</v>
      </c>
      <c r="C117" s="73" t="s">
        <v>930</v>
      </c>
    </row>
    <row r="118" spans="1:3" ht="34.5" hidden="1" x14ac:dyDescent="0.3">
      <c r="A118" s="74">
        <v>212</v>
      </c>
      <c r="B118" s="75" t="s">
        <v>437</v>
      </c>
      <c r="C118" s="73" t="s">
        <v>931</v>
      </c>
    </row>
    <row r="119" spans="1:3" ht="34.5" hidden="1" x14ac:dyDescent="0.3">
      <c r="A119" s="74">
        <v>213</v>
      </c>
      <c r="B119" s="75" t="s">
        <v>437</v>
      </c>
      <c r="C119" s="73" t="s">
        <v>932</v>
      </c>
    </row>
    <row r="120" spans="1:3" ht="34.5" hidden="1" x14ac:dyDescent="0.3">
      <c r="A120" s="74">
        <v>214</v>
      </c>
      <c r="B120" s="75" t="s">
        <v>437</v>
      </c>
      <c r="C120" s="73" t="s">
        <v>933</v>
      </c>
    </row>
    <row r="121" spans="1:3" ht="17.25" hidden="1" x14ac:dyDescent="0.3">
      <c r="A121" s="74">
        <v>215</v>
      </c>
      <c r="B121" s="75" t="s">
        <v>437</v>
      </c>
      <c r="C121" s="73" t="s">
        <v>934</v>
      </c>
    </row>
    <row r="122" spans="1:3" ht="17.25" hidden="1" x14ac:dyDescent="0.3">
      <c r="A122" s="74">
        <v>216</v>
      </c>
      <c r="B122" s="75" t="s">
        <v>437</v>
      </c>
      <c r="C122" s="73" t="s">
        <v>935</v>
      </c>
    </row>
    <row r="123" spans="1:3" ht="34.5" hidden="1" x14ac:dyDescent="0.3">
      <c r="A123" s="74">
        <v>217</v>
      </c>
      <c r="B123" s="75" t="s">
        <v>437</v>
      </c>
      <c r="C123" s="73" t="s">
        <v>936</v>
      </c>
    </row>
    <row r="124" spans="1:3" ht="17.25" hidden="1" x14ac:dyDescent="0.3">
      <c r="A124" s="74">
        <v>218</v>
      </c>
      <c r="B124" s="75" t="s">
        <v>437</v>
      </c>
      <c r="C124" s="73" t="s">
        <v>937</v>
      </c>
    </row>
    <row r="125" spans="1:3" ht="34.5" hidden="1" x14ac:dyDescent="0.3">
      <c r="A125" s="74">
        <v>219</v>
      </c>
      <c r="B125" s="75" t="s">
        <v>437</v>
      </c>
      <c r="C125" s="73" t="s">
        <v>938</v>
      </c>
    </row>
    <row r="126" spans="1:3" ht="34.5" hidden="1" x14ac:dyDescent="0.3">
      <c r="A126" s="74">
        <v>220</v>
      </c>
      <c r="B126" s="75" t="s">
        <v>437</v>
      </c>
      <c r="C126" s="73" t="s">
        <v>150</v>
      </c>
    </row>
    <row r="127" spans="1:3" ht="17.25" hidden="1" x14ac:dyDescent="0.3">
      <c r="A127" s="74">
        <v>221</v>
      </c>
      <c r="B127" s="75" t="s">
        <v>437</v>
      </c>
      <c r="C127" s="73" t="s">
        <v>939</v>
      </c>
    </row>
    <row r="128" spans="1:3" ht="34.5" hidden="1" x14ac:dyDescent="0.3">
      <c r="A128" s="74">
        <v>222</v>
      </c>
      <c r="B128" s="75" t="s">
        <v>437</v>
      </c>
      <c r="C128" s="73" t="s">
        <v>940</v>
      </c>
    </row>
    <row r="129" spans="1:3" ht="34.5" hidden="1" x14ac:dyDescent="0.3">
      <c r="A129" s="74">
        <v>223</v>
      </c>
      <c r="B129" s="75" t="s">
        <v>437</v>
      </c>
      <c r="C129" s="73" t="s">
        <v>941</v>
      </c>
    </row>
    <row r="130" spans="1:3" ht="34.5" hidden="1" x14ac:dyDescent="0.3">
      <c r="A130" s="74">
        <v>224</v>
      </c>
      <c r="B130" s="75" t="s">
        <v>437</v>
      </c>
      <c r="C130" s="73" t="s">
        <v>942</v>
      </c>
    </row>
    <row r="131" spans="1:3" ht="34.5" hidden="1" x14ac:dyDescent="0.3">
      <c r="A131" s="74">
        <v>225</v>
      </c>
      <c r="B131" s="75" t="s">
        <v>437</v>
      </c>
      <c r="C131" s="73" t="s">
        <v>943</v>
      </c>
    </row>
    <row r="132" spans="1:3" ht="34.5" hidden="1" x14ac:dyDescent="0.3">
      <c r="A132" s="74">
        <v>226</v>
      </c>
      <c r="B132" s="75" t="s">
        <v>437</v>
      </c>
      <c r="C132" s="73" t="s">
        <v>944</v>
      </c>
    </row>
    <row r="133" spans="1:3" ht="34.5" hidden="1" x14ac:dyDescent="0.3">
      <c r="A133" s="74">
        <v>227</v>
      </c>
      <c r="B133" s="75" t="s">
        <v>437</v>
      </c>
      <c r="C133" s="73" t="s">
        <v>945</v>
      </c>
    </row>
    <row r="134" spans="1:3" ht="17.25" hidden="1" x14ac:dyDescent="0.3">
      <c r="A134" s="74">
        <v>228</v>
      </c>
      <c r="B134" s="75" t="s">
        <v>437</v>
      </c>
      <c r="C134" s="73" t="s">
        <v>946</v>
      </c>
    </row>
    <row r="135" spans="1:3" ht="17.25" hidden="1" x14ac:dyDescent="0.3">
      <c r="A135" s="74">
        <v>229</v>
      </c>
      <c r="B135" s="75" t="s">
        <v>437</v>
      </c>
      <c r="C135" s="73" t="s">
        <v>947</v>
      </c>
    </row>
    <row r="136" spans="1:3" ht="34.5" hidden="1" x14ac:dyDescent="0.3">
      <c r="A136" s="74">
        <v>230</v>
      </c>
      <c r="B136" s="75" t="s">
        <v>437</v>
      </c>
      <c r="C136" s="73" t="s">
        <v>948</v>
      </c>
    </row>
    <row r="137" spans="1:3" ht="17.25" hidden="1" x14ac:dyDescent="0.3">
      <c r="A137" s="74">
        <v>231</v>
      </c>
      <c r="B137" s="75" t="s">
        <v>437</v>
      </c>
      <c r="C137" s="73" t="s">
        <v>949</v>
      </c>
    </row>
    <row r="138" spans="1:3" ht="17.25" hidden="1" x14ac:dyDescent="0.3">
      <c r="A138" s="74">
        <v>232</v>
      </c>
      <c r="B138" s="75" t="s">
        <v>437</v>
      </c>
      <c r="C138" s="73" t="s">
        <v>950</v>
      </c>
    </row>
    <row r="139" spans="1:3" ht="17.25" hidden="1" x14ac:dyDescent="0.3">
      <c r="A139" s="74">
        <v>233</v>
      </c>
      <c r="B139" s="75" t="s">
        <v>437</v>
      </c>
      <c r="C139" s="73" t="s">
        <v>951</v>
      </c>
    </row>
    <row r="140" spans="1:3" ht="17.25" hidden="1" x14ac:dyDescent="0.3">
      <c r="A140" s="74">
        <v>234</v>
      </c>
      <c r="B140" s="75" t="s">
        <v>437</v>
      </c>
      <c r="C140" s="73" t="s">
        <v>952</v>
      </c>
    </row>
    <row r="141" spans="1:3" ht="34.5" hidden="1" x14ac:dyDescent="0.3">
      <c r="A141" s="74">
        <v>235</v>
      </c>
      <c r="B141" s="75" t="s">
        <v>437</v>
      </c>
      <c r="C141" s="73" t="s">
        <v>953</v>
      </c>
    </row>
    <row r="142" spans="1:3" ht="34.5" hidden="1" x14ac:dyDescent="0.3">
      <c r="A142" s="74">
        <v>236</v>
      </c>
      <c r="B142" s="75" t="s">
        <v>443</v>
      </c>
      <c r="C142" s="73" t="s">
        <v>954</v>
      </c>
    </row>
    <row r="143" spans="1:3" ht="17.25" hidden="1" x14ac:dyDescent="0.3">
      <c r="A143" s="74">
        <v>237</v>
      </c>
      <c r="B143" s="75" t="s">
        <v>443</v>
      </c>
      <c r="C143" s="73" t="s">
        <v>955</v>
      </c>
    </row>
    <row r="144" spans="1:3" ht="17.25" hidden="1" x14ac:dyDescent="0.3">
      <c r="A144" s="74">
        <v>238</v>
      </c>
      <c r="B144" s="75" t="s">
        <v>443</v>
      </c>
      <c r="C144" s="73" t="s">
        <v>956</v>
      </c>
    </row>
    <row r="145" spans="1:3" ht="34.5" hidden="1" x14ac:dyDescent="0.3">
      <c r="A145" s="74">
        <v>239</v>
      </c>
      <c r="B145" s="75" t="s">
        <v>443</v>
      </c>
      <c r="C145" s="73" t="s">
        <v>919</v>
      </c>
    </row>
    <row r="146" spans="1:3" ht="34.5" hidden="1" x14ac:dyDescent="0.3">
      <c r="A146" s="74">
        <v>240</v>
      </c>
      <c r="B146" s="75" t="s">
        <v>443</v>
      </c>
      <c r="C146" s="73" t="s">
        <v>957</v>
      </c>
    </row>
    <row r="147" spans="1:3" ht="17.25" hidden="1" x14ac:dyDescent="0.3">
      <c r="A147" s="74">
        <v>241</v>
      </c>
      <c r="B147" s="75" t="s">
        <v>443</v>
      </c>
      <c r="C147" s="73" t="s">
        <v>958</v>
      </c>
    </row>
    <row r="148" spans="1:3" ht="34.5" hidden="1" x14ac:dyDescent="0.3">
      <c r="A148" s="74">
        <v>242</v>
      </c>
      <c r="B148" s="75" t="s">
        <v>438</v>
      </c>
      <c r="C148" s="73" t="s">
        <v>959</v>
      </c>
    </row>
    <row r="149" spans="1:3" ht="17.25" hidden="1" x14ac:dyDescent="0.3">
      <c r="A149" s="74">
        <v>243</v>
      </c>
      <c r="B149" s="75" t="s">
        <v>438</v>
      </c>
      <c r="C149" s="73" t="s">
        <v>960</v>
      </c>
    </row>
    <row r="150" spans="1:3" ht="17.25" hidden="1" x14ac:dyDescent="0.3">
      <c r="A150" s="74">
        <v>244</v>
      </c>
      <c r="B150" s="75" t="s">
        <v>438</v>
      </c>
      <c r="C150" s="73" t="s">
        <v>961</v>
      </c>
    </row>
    <row r="151" spans="1:3" ht="17.25" hidden="1" x14ac:dyDescent="0.3">
      <c r="A151" s="74">
        <v>245</v>
      </c>
      <c r="B151" s="75" t="s">
        <v>438</v>
      </c>
      <c r="C151" s="73" t="s">
        <v>962</v>
      </c>
    </row>
    <row r="152" spans="1:3" ht="17.25" hidden="1" x14ac:dyDescent="0.3">
      <c r="A152" s="74">
        <v>246</v>
      </c>
      <c r="B152" s="75" t="s">
        <v>438</v>
      </c>
      <c r="C152" s="73" t="s">
        <v>963</v>
      </c>
    </row>
    <row r="153" spans="1:3" ht="17.25" hidden="1" x14ac:dyDescent="0.3">
      <c r="A153" s="74">
        <v>247</v>
      </c>
      <c r="B153" s="75" t="s">
        <v>438</v>
      </c>
      <c r="C153" s="73" t="s">
        <v>964</v>
      </c>
    </row>
    <row r="154" spans="1:3" ht="17.25" hidden="1" x14ac:dyDescent="0.3">
      <c r="A154" s="74">
        <v>248</v>
      </c>
      <c r="B154" s="75" t="s">
        <v>438</v>
      </c>
      <c r="C154" s="73" t="s">
        <v>965</v>
      </c>
    </row>
    <row r="155" spans="1:3" ht="17.25" hidden="1" x14ac:dyDescent="0.3">
      <c r="A155" s="74">
        <v>249</v>
      </c>
      <c r="B155" s="75" t="s">
        <v>434</v>
      </c>
      <c r="C155" s="73" t="s">
        <v>966</v>
      </c>
    </row>
    <row r="156" spans="1:3" ht="17.25" hidden="1" x14ac:dyDescent="0.3">
      <c r="A156" s="74">
        <v>250</v>
      </c>
      <c r="B156" s="75" t="s">
        <v>434</v>
      </c>
      <c r="C156" s="73" t="s">
        <v>967</v>
      </c>
    </row>
    <row r="157" spans="1:3" ht="34.5" hidden="1" x14ac:dyDescent="0.3">
      <c r="A157" s="74">
        <v>251</v>
      </c>
      <c r="B157" s="75" t="s">
        <v>434</v>
      </c>
      <c r="C157" s="73" t="s">
        <v>968</v>
      </c>
    </row>
    <row r="158" spans="1:3" ht="17.25" hidden="1" x14ac:dyDescent="0.3">
      <c r="A158" s="74">
        <v>252</v>
      </c>
      <c r="B158" s="75" t="s">
        <v>434</v>
      </c>
      <c r="C158" s="73" t="s">
        <v>969</v>
      </c>
    </row>
    <row r="159" spans="1:3" ht="17.25" hidden="1" x14ac:dyDescent="0.3">
      <c r="A159" s="74">
        <v>253</v>
      </c>
      <c r="B159" s="75" t="s">
        <v>434</v>
      </c>
      <c r="C159" s="73" t="s">
        <v>970</v>
      </c>
    </row>
    <row r="160" spans="1:3" ht="17.25" hidden="1" x14ac:dyDescent="0.3">
      <c r="A160" s="74">
        <v>254</v>
      </c>
      <c r="B160" s="75" t="s">
        <v>434</v>
      </c>
      <c r="C160" s="73" t="s">
        <v>971</v>
      </c>
    </row>
    <row r="161" spans="1:3" ht="17.25" hidden="1" x14ac:dyDescent="0.3">
      <c r="A161" s="74">
        <v>255</v>
      </c>
      <c r="B161" s="75" t="s">
        <v>434</v>
      </c>
      <c r="C161" s="73" t="s">
        <v>972</v>
      </c>
    </row>
    <row r="162" spans="1:3" ht="34.5" hidden="1" x14ac:dyDescent="0.3">
      <c r="A162" s="74">
        <v>256</v>
      </c>
      <c r="B162" s="75" t="s">
        <v>434</v>
      </c>
      <c r="C162" s="73" t="s">
        <v>973</v>
      </c>
    </row>
    <row r="163" spans="1:3" ht="34.5" hidden="1" x14ac:dyDescent="0.3">
      <c r="A163" s="74">
        <v>257</v>
      </c>
      <c r="B163" s="75" t="s">
        <v>415</v>
      </c>
      <c r="C163" s="73" t="s">
        <v>974</v>
      </c>
    </row>
    <row r="164" spans="1:3" ht="34.5" hidden="1" x14ac:dyDescent="0.3">
      <c r="A164" s="74">
        <v>258</v>
      </c>
      <c r="B164" s="75" t="s">
        <v>415</v>
      </c>
      <c r="C164" s="73" t="s">
        <v>975</v>
      </c>
    </row>
    <row r="165" spans="1:3" ht="34.5" hidden="1" x14ac:dyDescent="0.3">
      <c r="A165" s="74">
        <v>259</v>
      </c>
      <c r="B165" s="75" t="s">
        <v>415</v>
      </c>
      <c r="C165" s="73" t="s">
        <v>976</v>
      </c>
    </row>
    <row r="166" spans="1:3" ht="17.25" hidden="1" x14ac:dyDescent="0.3">
      <c r="A166" s="74">
        <v>260</v>
      </c>
      <c r="B166" s="75" t="s">
        <v>415</v>
      </c>
      <c r="C166" s="73" t="s">
        <v>977</v>
      </c>
    </row>
    <row r="167" spans="1:3" ht="17.25" hidden="1" x14ac:dyDescent="0.3">
      <c r="A167" s="74">
        <v>261</v>
      </c>
      <c r="B167" s="75" t="s">
        <v>415</v>
      </c>
      <c r="C167" s="73" t="s">
        <v>978</v>
      </c>
    </row>
    <row r="168" spans="1:3" ht="17.25" hidden="1" x14ac:dyDescent="0.3">
      <c r="A168" s="74">
        <v>262</v>
      </c>
      <c r="B168" s="75" t="s">
        <v>415</v>
      </c>
      <c r="C168" s="73" t="s">
        <v>979</v>
      </c>
    </row>
    <row r="169" spans="1:3" ht="17.25" hidden="1" x14ac:dyDescent="0.3">
      <c r="A169" s="74">
        <v>263</v>
      </c>
      <c r="B169" s="75" t="s">
        <v>415</v>
      </c>
      <c r="C169" s="73" t="s">
        <v>980</v>
      </c>
    </row>
    <row r="170" spans="1:3" ht="17.25" hidden="1" x14ac:dyDescent="0.3">
      <c r="A170" s="74">
        <v>264</v>
      </c>
      <c r="B170" s="75" t="s">
        <v>415</v>
      </c>
      <c r="C170" s="73" t="s">
        <v>981</v>
      </c>
    </row>
    <row r="171" spans="1:3" ht="17.25" hidden="1" x14ac:dyDescent="0.3">
      <c r="A171" s="74">
        <v>265</v>
      </c>
      <c r="B171" s="75" t="s">
        <v>415</v>
      </c>
      <c r="C171" s="73" t="s">
        <v>982</v>
      </c>
    </row>
    <row r="172" spans="1:3" ht="17.25" hidden="1" x14ac:dyDescent="0.3">
      <c r="A172" s="74">
        <v>266</v>
      </c>
      <c r="B172" s="75" t="s">
        <v>415</v>
      </c>
      <c r="C172" s="73" t="s">
        <v>983</v>
      </c>
    </row>
    <row r="173" spans="1:3" ht="17.25" hidden="1" x14ac:dyDescent="0.3">
      <c r="A173" s="74">
        <v>267</v>
      </c>
      <c r="B173" s="75" t="s">
        <v>415</v>
      </c>
      <c r="C173" s="73" t="s">
        <v>984</v>
      </c>
    </row>
    <row r="174" spans="1:3" ht="17.25" hidden="1" x14ac:dyDescent="0.3">
      <c r="A174" s="74">
        <v>268</v>
      </c>
      <c r="B174" s="75" t="s">
        <v>415</v>
      </c>
      <c r="C174" s="73" t="s">
        <v>985</v>
      </c>
    </row>
    <row r="175" spans="1:3" ht="34.5" hidden="1" x14ac:dyDescent="0.3">
      <c r="A175" s="74">
        <v>269</v>
      </c>
      <c r="B175" s="75" t="s">
        <v>425</v>
      </c>
      <c r="C175" s="73" t="s">
        <v>986</v>
      </c>
    </row>
    <row r="176" spans="1:3" ht="17.25" hidden="1" x14ac:dyDescent="0.3">
      <c r="A176" s="74">
        <v>270</v>
      </c>
      <c r="B176" s="75" t="s">
        <v>425</v>
      </c>
      <c r="C176" s="73" t="s">
        <v>987</v>
      </c>
    </row>
    <row r="177" spans="1:3" ht="17.25" hidden="1" x14ac:dyDescent="0.3">
      <c r="A177" s="74">
        <v>271</v>
      </c>
      <c r="B177" s="75" t="s">
        <v>425</v>
      </c>
      <c r="C177" s="73" t="s">
        <v>988</v>
      </c>
    </row>
    <row r="178" spans="1:3" ht="17.25" hidden="1" x14ac:dyDescent="0.3">
      <c r="A178" s="74">
        <v>272</v>
      </c>
      <c r="B178" s="75" t="s">
        <v>425</v>
      </c>
      <c r="C178" s="73" t="s">
        <v>364</v>
      </c>
    </row>
    <row r="179" spans="1:3" ht="17.25" hidden="1" x14ac:dyDescent="0.3">
      <c r="A179" s="74">
        <v>273</v>
      </c>
      <c r="B179" s="75" t="s">
        <v>425</v>
      </c>
      <c r="C179" s="73" t="s">
        <v>784</v>
      </c>
    </row>
    <row r="180" spans="1:3" ht="17.25" hidden="1" x14ac:dyDescent="0.3">
      <c r="A180" s="74">
        <v>274</v>
      </c>
      <c r="B180" s="75" t="s">
        <v>425</v>
      </c>
      <c r="C180" s="73" t="s">
        <v>179</v>
      </c>
    </row>
    <row r="181" spans="1:3" ht="34.5" hidden="1" x14ac:dyDescent="0.3">
      <c r="A181" s="74">
        <v>275</v>
      </c>
      <c r="B181" s="75" t="s">
        <v>425</v>
      </c>
      <c r="C181" s="73" t="s">
        <v>989</v>
      </c>
    </row>
    <row r="182" spans="1:3" ht="34.5" hidden="1" x14ac:dyDescent="0.3">
      <c r="A182" s="74">
        <v>276</v>
      </c>
      <c r="B182" s="75" t="s">
        <v>440</v>
      </c>
      <c r="C182" s="73" t="s">
        <v>990</v>
      </c>
    </row>
    <row r="183" spans="1:3" ht="34.5" hidden="1" x14ac:dyDescent="0.3">
      <c r="A183" s="74">
        <v>277</v>
      </c>
      <c r="B183" s="75" t="s">
        <v>440</v>
      </c>
      <c r="C183" s="73" t="s">
        <v>991</v>
      </c>
    </row>
    <row r="184" spans="1:3" ht="17.25" hidden="1" x14ac:dyDescent="0.3">
      <c r="A184" s="74">
        <v>278</v>
      </c>
      <c r="B184" s="75" t="s">
        <v>440</v>
      </c>
      <c r="C184" s="73" t="s">
        <v>992</v>
      </c>
    </row>
    <row r="185" spans="1:3" ht="34.5" hidden="1" x14ac:dyDescent="0.3">
      <c r="A185" s="74">
        <v>279</v>
      </c>
      <c r="B185" s="75" t="s">
        <v>440</v>
      </c>
      <c r="C185" s="73" t="s">
        <v>993</v>
      </c>
    </row>
    <row r="186" spans="1:3" ht="17.25" hidden="1" x14ac:dyDescent="0.3">
      <c r="A186" s="74">
        <v>280</v>
      </c>
      <c r="B186" s="75" t="s">
        <v>440</v>
      </c>
      <c r="C186" s="73" t="s">
        <v>994</v>
      </c>
    </row>
    <row r="187" spans="1:3" ht="17.25" hidden="1" x14ac:dyDescent="0.3">
      <c r="A187" s="74">
        <v>281</v>
      </c>
      <c r="B187" s="75" t="s">
        <v>440</v>
      </c>
      <c r="C187" s="73" t="s">
        <v>995</v>
      </c>
    </row>
    <row r="188" spans="1:3" ht="17.25" hidden="1" x14ac:dyDescent="0.3">
      <c r="A188" s="74">
        <v>282</v>
      </c>
      <c r="B188" s="75" t="s">
        <v>440</v>
      </c>
      <c r="C188" s="73" t="s">
        <v>996</v>
      </c>
    </row>
    <row r="189" spans="1:3" ht="17.25" hidden="1" x14ac:dyDescent="0.3">
      <c r="A189" s="74">
        <v>283</v>
      </c>
      <c r="B189" s="75" t="s">
        <v>440</v>
      </c>
      <c r="C189" s="73" t="s">
        <v>997</v>
      </c>
    </row>
    <row r="190" spans="1:3" ht="34.5" hidden="1" x14ac:dyDescent="0.3">
      <c r="A190" s="74">
        <v>284</v>
      </c>
      <c r="B190" s="75" t="s">
        <v>440</v>
      </c>
      <c r="C190" s="73" t="s">
        <v>998</v>
      </c>
    </row>
    <row r="191" spans="1:3" ht="17.25" hidden="1" x14ac:dyDescent="0.3">
      <c r="A191" s="74">
        <v>285</v>
      </c>
      <c r="B191" s="75" t="s">
        <v>435</v>
      </c>
      <c r="C191" s="73" t="s">
        <v>999</v>
      </c>
    </row>
    <row r="192" spans="1:3" ht="17.25" hidden="1" x14ac:dyDescent="0.3">
      <c r="A192" s="74">
        <v>286</v>
      </c>
      <c r="B192" s="75" t="s">
        <v>435</v>
      </c>
      <c r="C192" s="73" t="s">
        <v>1000</v>
      </c>
    </row>
    <row r="193" spans="1:3" ht="17.25" hidden="1" x14ac:dyDescent="0.3">
      <c r="A193" s="74">
        <v>287</v>
      </c>
      <c r="B193" s="75" t="s">
        <v>661</v>
      </c>
      <c r="C193" s="73" t="s">
        <v>780</v>
      </c>
    </row>
    <row r="194" spans="1:3" ht="17.25" hidden="1" x14ac:dyDescent="0.3">
      <c r="A194" s="74">
        <v>288</v>
      </c>
      <c r="B194" s="75" t="s">
        <v>661</v>
      </c>
      <c r="C194" s="73" t="s">
        <v>1001</v>
      </c>
    </row>
    <row r="195" spans="1:3" ht="17.25" hidden="1" x14ac:dyDescent="0.3">
      <c r="A195" s="74">
        <v>289</v>
      </c>
      <c r="B195" s="75" t="s">
        <v>661</v>
      </c>
      <c r="C195" s="73" t="s">
        <v>1002</v>
      </c>
    </row>
    <row r="196" spans="1:3" ht="34.5" hidden="1" x14ac:dyDescent="0.3">
      <c r="A196" s="74">
        <v>290</v>
      </c>
      <c r="B196" s="75" t="s">
        <v>661</v>
      </c>
      <c r="C196" s="73" t="s">
        <v>1003</v>
      </c>
    </row>
    <row r="197" spans="1:3" ht="17.25" hidden="1" x14ac:dyDescent="0.3">
      <c r="A197" s="74">
        <v>291</v>
      </c>
      <c r="B197" s="75" t="s">
        <v>661</v>
      </c>
      <c r="C197" s="73" t="s">
        <v>1004</v>
      </c>
    </row>
    <row r="198" spans="1:3" ht="17.25" hidden="1" x14ac:dyDescent="0.3">
      <c r="A198" s="74">
        <v>292</v>
      </c>
      <c r="B198" s="75" t="s">
        <v>661</v>
      </c>
      <c r="C198" s="73" t="s">
        <v>368</v>
      </c>
    </row>
    <row r="199" spans="1:3" ht="34.5" hidden="1" x14ac:dyDescent="0.3">
      <c r="A199" s="74">
        <v>293</v>
      </c>
      <c r="B199" s="75" t="s">
        <v>661</v>
      </c>
      <c r="C199" s="73" t="s">
        <v>1005</v>
      </c>
    </row>
    <row r="200" spans="1:3" ht="17.25" hidden="1" x14ac:dyDescent="0.3">
      <c r="A200" s="74">
        <v>294</v>
      </c>
      <c r="B200" s="75" t="s">
        <v>638</v>
      </c>
      <c r="C200" s="73" t="s">
        <v>1006</v>
      </c>
    </row>
    <row r="201" spans="1:3" ht="17.25" hidden="1" x14ac:dyDescent="0.3">
      <c r="A201" s="74">
        <v>295</v>
      </c>
      <c r="B201" s="75" t="s">
        <v>638</v>
      </c>
      <c r="C201" s="73" t="s">
        <v>1007</v>
      </c>
    </row>
    <row r="202" spans="1:3" ht="17.25" hidden="1" x14ac:dyDescent="0.3">
      <c r="A202" s="74">
        <v>296</v>
      </c>
      <c r="B202" s="75" t="s">
        <v>638</v>
      </c>
      <c r="C202" s="73" t="s">
        <v>1008</v>
      </c>
    </row>
    <row r="203" spans="1:3" ht="17.25" hidden="1" x14ac:dyDescent="0.3">
      <c r="A203" s="74">
        <v>297</v>
      </c>
      <c r="B203" s="75" t="s">
        <v>638</v>
      </c>
      <c r="C203" s="73" t="s">
        <v>1009</v>
      </c>
    </row>
    <row r="204" spans="1:3" ht="17.25" hidden="1" x14ac:dyDescent="0.3">
      <c r="A204" s="74">
        <v>298</v>
      </c>
      <c r="B204" s="75" t="s">
        <v>638</v>
      </c>
      <c r="C204" s="73" t="s">
        <v>1010</v>
      </c>
    </row>
    <row r="205" spans="1:3" ht="17.25" hidden="1" x14ac:dyDescent="0.3">
      <c r="A205" s="74">
        <v>299</v>
      </c>
      <c r="B205" s="75" t="s">
        <v>638</v>
      </c>
      <c r="C205" s="73" t="s">
        <v>1011</v>
      </c>
    </row>
    <row r="206" spans="1:3" ht="17.25" hidden="1" x14ac:dyDescent="0.3">
      <c r="A206" s="74">
        <v>300</v>
      </c>
      <c r="B206" s="75" t="s">
        <v>423</v>
      </c>
      <c r="C206" s="73" t="s">
        <v>1012</v>
      </c>
    </row>
    <row r="207" spans="1:3" ht="17.25" hidden="1" x14ac:dyDescent="0.3">
      <c r="A207" s="74">
        <v>301</v>
      </c>
      <c r="B207" s="75" t="s">
        <v>423</v>
      </c>
      <c r="C207" s="73" t="s">
        <v>1013</v>
      </c>
    </row>
    <row r="208" spans="1:3" ht="17.25" hidden="1" x14ac:dyDescent="0.3">
      <c r="A208" s="74">
        <v>302</v>
      </c>
      <c r="B208" s="75" t="s">
        <v>423</v>
      </c>
      <c r="C208" s="73" t="s">
        <v>1014</v>
      </c>
    </row>
    <row r="209" spans="1:3" ht="17.25" hidden="1" x14ac:dyDescent="0.3">
      <c r="A209" s="74">
        <v>303</v>
      </c>
      <c r="B209" s="75" t="s">
        <v>423</v>
      </c>
      <c r="C209" s="73" t="s">
        <v>1015</v>
      </c>
    </row>
    <row r="210" spans="1:3" ht="34.5" hidden="1" x14ac:dyDescent="0.3">
      <c r="A210" s="74">
        <v>304</v>
      </c>
      <c r="B210" s="75" t="s">
        <v>423</v>
      </c>
      <c r="C210" s="73" t="s">
        <v>1016</v>
      </c>
    </row>
    <row r="211" spans="1:3" ht="34.5" hidden="1" x14ac:dyDescent="0.3">
      <c r="A211" s="74">
        <v>305</v>
      </c>
      <c r="B211" s="75" t="s">
        <v>423</v>
      </c>
      <c r="C211" s="73" t="s">
        <v>1017</v>
      </c>
    </row>
    <row r="212" spans="1:3" ht="17.25" hidden="1" x14ac:dyDescent="0.3">
      <c r="A212" s="74">
        <v>306</v>
      </c>
      <c r="B212" s="75" t="s">
        <v>416</v>
      </c>
      <c r="C212" s="73" t="s">
        <v>1018</v>
      </c>
    </row>
    <row r="213" spans="1:3" ht="34.5" hidden="1" x14ac:dyDescent="0.3">
      <c r="A213" s="74">
        <v>307</v>
      </c>
      <c r="B213" s="75" t="s">
        <v>416</v>
      </c>
      <c r="C213" s="73" t="s">
        <v>1019</v>
      </c>
    </row>
    <row r="214" spans="1:3" ht="34.5" hidden="1" x14ac:dyDescent="0.3">
      <c r="A214" s="74">
        <v>308</v>
      </c>
      <c r="B214" s="75" t="s">
        <v>416</v>
      </c>
      <c r="C214" s="73" t="s">
        <v>1020</v>
      </c>
    </row>
    <row r="215" spans="1:3" ht="17.25" x14ac:dyDescent="0.3">
      <c r="A215" s="74">
        <v>309</v>
      </c>
      <c r="B215" s="75" t="s">
        <v>419</v>
      </c>
      <c r="C215" s="73" t="s">
        <v>1021</v>
      </c>
    </row>
    <row r="216" spans="1:3" ht="34.5" x14ac:dyDescent="0.3">
      <c r="A216" s="74">
        <v>310</v>
      </c>
      <c r="B216" s="75" t="s">
        <v>419</v>
      </c>
      <c r="C216" s="73" t="s">
        <v>1022</v>
      </c>
    </row>
    <row r="217" spans="1:3" ht="17.25" x14ac:dyDescent="0.3">
      <c r="A217" s="74">
        <v>311</v>
      </c>
      <c r="B217" s="75" t="s">
        <v>419</v>
      </c>
      <c r="C217" s="73" t="s">
        <v>1023</v>
      </c>
    </row>
    <row r="218" spans="1:3" ht="17.25" x14ac:dyDescent="0.3">
      <c r="A218" s="74">
        <v>312</v>
      </c>
      <c r="B218" s="75" t="s">
        <v>419</v>
      </c>
      <c r="C218" s="73" t="s">
        <v>1024</v>
      </c>
    </row>
    <row r="219" spans="1:3" ht="34.5" hidden="1" x14ac:dyDescent="0.3">
      <c r="A219" s="74">
        <v>313</v>
      </c>
      <c r="B219" s="75" t="s">
        <v>422</v>
      </c>
      <c r="C219" s="73" t="s">
        <v>1025</v>
      </c>
    </row>
    <row r="220" spans="1:3" ht="34.5" hidden="1" x14ac:dyDescent="0.3">
      <c r="A220" s="74">
        <v>314</v>
      </c>
      <c r="B220" s="75" t="s">
        <v>422</v>
      </c>
      <c r="C220" s="73" t="s">
        <v>456</v>
      </c>
    </row>
    <row r="221" spans="1:3" ht="34.5" hidden="1" x14ac:dyDescent="0.3">
      <c r="A221" s="74">
        <v>315</v>
      </c>
      <c r="B221" s="75" t="s">
        <v>422</v>
      </c>
      <c r="C221" s="73" t="s">
        <v>1026</v>
      </c>
    </row>
    <row r="222" spans="1:3" ht="34.5" hidden="1" x14ac:dyDescent="0.3">
      <c r="A222" s="74">
        <v>316</v>
      </c>
      <c r="B222" s="75" t="s">
        <v>422</v>
      </c>
      <c r="C222" s="73" t="s">
        <v>512</v>
      </c>
    </row>
    <row r="223" spans="1:3" ht="17.25" hidden="1" x14ac:dyDescent="0.3">
      <c r="A223" s="74">
        <v>317</v>
      </c>
      <c r="B223" s="75" t="s">
        <v>422</v>
      </c>
      <c r="C223" s="73" t="s">
        <v>1027</v>
      </c>
    </row>
    <row r="224" spans="1:3" ht="34.5" hidden="1" x14ac:dyDescent="0.3">
      <c r="A224" s="74">
        <v>318</v>
      </c>
      <c r="B224" s="75" t="s">
        <v>422</v>
      </c>
      <c r="C224" s="73" t="s">
        <v>1028</v>
      </c>
    </row>
    <row r="225" spans="1:3" ht="34.5" hidden="1" x14ac:dyDescent="0.3">
      <c r="A225" s="74">
        <v>319</v>
      </c>
      <c r="B225" s="75" t="s">
        <v>422</v>
      </c>
      <c r="C225" s="73" t="s">
        <v>305</v>
      </c>
    </row>
    <row r="226" spans="1:3" ht="17.25" hidden="1" x14ac:dyDescent="0.3">
      <c r="A226" s="74">
        <v>320</v>
      </c>
      <c r="B226" s="75" t="s">
        <v>422</v>
      </c>
      <c r="C226" s="73" t="s">
        <v>572</v>
      </c>
    </row>
    <row r="227" spans="1:3" ht="17.25" hidden="1" x14ac:dyDescent="0.3">
      <c r="A227" s="74">
        <v>321</v>
      </c>
      <c r="B227" s="75" t="s">
        <v>422</v>
      </c>
      <c r="C227" s="73" t="s">
        <v>1029</v>
      </c>
    </row>
    <row r="228" spans="1:3" ht="17.25" hidden="1" x14ac:dyDescent="0.3">
      <c r="A228" s="74">
        <v>322</v>
      </c>
      <c r="B228" s="75" t="s">
        <v>422</v>
      </c>
      <c r="C228" s="73" t="s">
        <v>1030</v>
      </c>
    </row>
    <row r="229" spans="1:3" ht="17.25" hidden="1" x14ac:dyDescent="0.3">
      <c r="A229" s="74">
        <v>323</v>
      </c>
      <c r="B229" s="75" t="s">
        <v>422</v>
      </c>
      <c r="C229" s="73" t="s">
        <v>1031</v>
      </c>
    </row>
    <row r="230" spans="1:3" ht="17.25" hidden="1" x14ac:dyDescent="0.3">
      <c r="A230" s="74">
        <v>324</v>
      </c>
      <c r="B230" s="75" t="s">
        <v>422</v>
      </c>
      <c r="C230" s="73" t="s">
        <v>1032</v>
      </c>
    </row>
    <row r="231" spans="1:3" ht="34.5" hidden="1" x14ac:dyDescent="0.3">
      <c r="A231" s="74">
        <v>325</v>
      </c>
      <c r="B231" s="75" t="s">
        <v>422</v>
      </c>
      <c r="C231" s="73" t="s">
        <v>1033</v>
      </c>
    </row>
    <row r="232" spans="1:3" ht="34.5" hidden="1" x14ac:dyDescent="0.3">
      <c r="A232" s="74">
        <v>326</v>
      </c>
      <c r="B232" s="75" t="s">
        <v>422</v>
      </c>
      <c r="C232" s="73" t="s">
        <v>1034</v>
      </c>
    </row>
    <row r="233" spans="1:3" ht="34.5" hidden="1" x14ac:dyDescent="0.3">
      <c r="A233" s="74">
        <v>327</v>
      </c>
      <c r="B233" s="75" t="s">
        <v>422</v>
      </c>
      <c r="C233" s="73" t="s">
        <v>1035</v>
      </c>
    </row>
    <row r="234" spans="1:3" ht="17.25" hidden="1" x14ac:dyDescent="0.3">
      <c r="A234" s="74">
        <v>328</v>
      </c>
      <c r="B234" s="75" t="s">
        <v>422</v>
      </c>
      <c r="C234" s="73" t="s">
        <v>178</v>
      </c>
    </row>
    <row r="235" spans="1:3" ht="17.25" hidden="1" x14ac:dyDescent="0.3">
      <c r="A235" s="74">
        <v>329</v>
      </c>
      <c r="B235" s="75" t="s">
        <v>422</v>
      </c>
      <c r="C235" s="73" t="s">
        <v>555</v>
      </c>
    </row>
    <row r="236" spans="1:3" ht="34.5" hidden="1" x14ac:dyDescent="0.3">
      <c r="A236" s="74">
        <v>330</v>
      </c>
      <c r="B236" s="75" t="s">
        <v>422</v>
      </c>
      <c r="C236" s="73" t="s">
        <v>1036</v>
      </c>
    </row>
    <row r="237" spans="1:3" ht="34.5" hidden="1" x14ac:dyDescent="0.3">
      <c r="A237" s="74">
        <v>331</v>
      </c>
      <c r="B237" s="75" t="s">
        <v>422</v>
      </c>
      <c r="C237" s="73" t="s">
        <v>522</v>
      </c>
    </row>
    <row r="238" spans="1:3" ht="17.25" hidden="1" x14ac:dyDescent="0.3">
      <c r="A238" s="74">
        <v>332</v>
      </c>
      <c r="B238" s="75" t="s">
        <v>422</v>
      </c>
      <c r="C238" s="73" t="s">
        <v>1037</v>
      </c>
    </row>
    <row r="239" spans="1:3" ht="17.25" hidden="1" x14ac:dyDescent="0.3">
      <c r="A239" s="74">
        <v>333</v>
      </c>
      <c r="B239" s="75" t="s">
        <v>422</v>
      </c>
      <c r="C239" s="73" t="s">
        <v>1038</v>
      </c>
    </row>
    <row r="240" spans="1:3" ht="17.25" hidden="1" x14ac:dyDescent="0.3">
      <c r="A240" s="74">
        <v>334</v>
      </c>
      <c r="B240" s="75" t="s">
        <v>422</v>
      </c>
      <c r="C240" s="73" t="s">
        <v>1039</v>
      </c>
    </row>
    <row r="241" spans="1:3" ht="17.25" hidden="1" x14ac:dyDescent="0.3">
      <c r="A241" s="74">
        <v>335</v>
      </c>
      <c r="B241" s="75" t="s">
        <v>422</v>
      </c>
      <c r="C241" s="73" t="s">
        <v>1040</v>
      </c>
    </row>
    <row r="242" spans="1:3" ht="34.5" hidden="1" x14ac:dyDescent="0.3">
      <c r="A242" s="74">
        <v>336</v>
      </c>
      <c r="B242" s="75" t="s">
        <v>422</v>
      </c>
      <c r="C242" s="73" t="s">
        <v>1041</v>
      </c>
    </row>
    <row r="243" spans="1:3" ht="34.5" hidden="1" x14ac:dyDescent="0.3">
      <c r="A243" s="74">
        <v>337</v>
      </c>
      <c r="B243" s="75" t="s">
        <v>422</v>
      </c>
      <c r="C243" s="73" t="s">
        <v>1042</v>
      </c>
    </row>
    <row r="244" spans="1:3" ht="34.5" hidden="1" x14ac:dyDescent="0.3">
      <c r="A244" s="74">
        <v>338</v>
      </c>
      <c r="B244" s="75" t="s">
        <v>422</v>
      </c>
      <c r="C244" s="73" t="s">
        <v>95</v>
      </c>
    </row>
    <row r="245" spans="1:3" ht="17.25" hidden="1" x14ac:dyDescent="0.3">
      <c r="A245" s="74">
        <v>339</v>
      </c>
      <c r="B245" s="75" t="s">
        <v>422</v>
      </c>
      <c r="C245" s="73" t="s">
        <v>1043</v>
      </c>
    </row>
    <row r="246" spans="1:3" ht="34.5" hidden="1" x14ac:dyDescent="0.3">
      <c r="A246" s="74">
        <v>340</v>
      </c>
      <c r="B246" s="75" t="s">
        <v>424</v>
      </c>
      <c r="C246" s="73" t="s">
        <v>1044</v>
      </c>
    </row>
    <row r="247" spans="1:3" ht="17.25" hidden="1" x14ac:dyDescent="0.3">
      <c r="A247" s="74">
        <v>341</v>
      </c>
      <c r="B247" s="75" t="s">
        <v>424</v>
      </c>
      <c r="C247" s="73" t="s">
        <v>1045</v>
      </c>
    </row>
    <row r="248" spans="1:3" ht="17.25" hidden="1" x14ac:dyDescent="0.3">
      <c r="A248" s="74">
        <v>342</v>
      </c>
      <c r="B248" s="75" t="s">
        <v>424</v>
      </c>
      <c r="C248" s="73" t="s">
        <v>1046</v>
      </c>
    </row>
    <row r="249" spans="1:3" ht="34.5" hidden="1" x14ac:dyDescent="0.3">
      <c r="A249" s="74">
        <v>343</v>
      </c>
      <c r="B249" s="75" t="s">
        <v>424</v>
      </c>
      <c r="C249" s="73" t="s">
        <v>1047</v>
      </c>
    </row>
    <row r="250" spans="1:3" ht="17.25" hidden="1" x14ac:dyDescent="0.3">
      <c r="A250" s="74">
        <v>344</v>
      </c>
      <c r="B250" s="75" t="s">
        <v>424</v>
      </c>
      <c r="C250" s="73" t="s">
        <v>1048</v>
      </c>
    </row>
    <row r="251" spans="1:3" ht="34.5" hidden="1" x14ac:dyDescent="0.3">
      <c r="A251" s="74">
        <v>345</v>
      </c>
      <c r="B251" s="75" t="s">
        <v>424</v>
      </c>
      <c r="C251" s="73" t="s">
        <v>1049</v>
      </c>
    </row>
    <row r="252" spans="1:3" ht="34.5" hidden="1" x14ac:dyDescent="0.3">
      <c r="A252" s="74">
        <v>346</v>
      </c>
      <c r="B252" s="75" t="s">
        <v>657</v>
      </c>
      <c r="C252" s="73" t="s">
        <v>1050</v>
      </c>
    </row>
    <row r="253" spans="1:3" ht="34.5" hidden="1" x14ac:dyDescent="0.3">
      <c r="A253" s="74">
        <v>347</v>
      </c>
      <c r="B253" s="75" t="s">
        <v>657</v>
      </c>
      <c r="C253" s="73" t="s">
        <v>1051</v>
      </c>
    </row>
    <row r="254" spans="1:3" ht="34.5" hidden="1" x14ac:dyDescent="0.3">
      <c r="A254" s="74">
        <v>348</v>
      </c>
      <c r="B254" s="75" t="s">
        <v>657</v>
      </c>
      <c r="C254" s="73" t="s">
        <v>1052</v>
      </c>
    </row>
    <row r="255" spans="1:3" ht="34.5" hidden="1" x14ac:dyDescent="0.3">
      <c r="A255" s="74">
        <v>349</v>
      </c>
      <c r="B255" s="75" t="s">
        <v>657</v>
      </c>
      <c r="C255" s="73" t="s">
        <v>1053</v>
      </c>
    </row>
    <row r="256" spans="1:3" ht="51.75" hidden="1" x14ac:dyDescent="0.3">
      <c r="A256" s="74">
        <v>350</v>
      </c>
      <c r="B256" s="75" t="s">
        <v>657</v>
      </c>
      <c r="C256" s="73" t="s">
        <v>1054</v>
      </c>
    </row>
    <row r="257" spans="1:3" ht="34.5" hidden="1" x14ac:dyDescent="0.3">
      <c r="A257" s="74">
        <v>351</v>
      </c>
      <c r="B257" s="75" t="s">
        <v>657</v>
      </c>
      <c r="C257" s="73" t="s">
        <v>1055</v>
      </c>
    </row>
    <row r="258" spans="1:3" ht="34.5" hidden="1" x14ac:dyDescent="0.3">
      <c r="A258" s="74">
        <v>352</v>
      </c>
      <c r="B258" s="75" t="s">
        <v>657</v>
      </c>
      <c r="C258" s="73" t="s">
        <v>1056</v>
      </c>
    </row>
    <row r="259" spans="1:3" ht="17.25" hidden="1" x14ac:dyDescent="0.3">
      <c r="A259" s="74">
        <v>353</v>
      </c>
      <c r="B259" s="75" t="s">
        <v>657</v>
      </c>
      <c r="C259" s="73" t="s">
        <v>1057</v>
      </c>
    </row>
    <row r="260" spans="1:3" ht="34.5" hidden="1" x14ac:dyDescent="0.3">
      <c r="A260" s="74">
        <v>354</v>
      </c>
      <c r="B260" s="75" t="s">
        <v>411</v>
      </c>
      <c r="C260" s="73" t="s">
        <v>1058</v>
      </c>
    </row>
    <row r="261" spans="1:3" ht="34.5" hidden="1" x14ac:dyDescent="0.3">
      <c r="A261" s="74">
        <v>355</v>
      </c>
      <c r="B261" s="75" t="s">
        <v>411</v>
      </c>
      <c r="C261" s="73" t="s">
        <v>1059</v>
      </c>
    </row>
    <row r="262" spans="1:3" ht="17.25" hidden="1" x14ac:dyDescent="0.3">
      <c r="A262" s="74">
        <v>356</v>
      </c>
      <c r="B262" s="75" t="s">
        <v>411</v>
      </c>
      <c r="C262" s="73" t="s">
        <v>1060</v>
      </c>
    </row>
    <row r="263" spans="1:3" ht="17.25" hidden="1" x14ac:dyDescent="0.3">
      <c r="A263" s="74">
        <v>357</v>
      </c>
      <c r="B263" s="75" t="s">
        <v>411</v>
      </c>
      <c r="C263" s="73" t="s">
        <v>1061</v>
      </c>
    </row>
    <row r="264" spans="1:3" ht="17.25" hidden="1" x14ac:dyDescent="0.3">
      <c r="A264" s="74">
        <v>358</v>
      </c>
      <c r="B264" s="75" t="s">
        <v>411</v>
      </c>
      <c r="C264" s="73" t="s">
        <v>776</v>
      </c>
    </row>
    <row r="265" spans="1:3" ht="17.25" hidden="1" x14ac:dyDescent="0.3">
      <c r="A265" s="74">
        <v>359</v>
      </c>
      <c r="B265" s="75" t="s">
        <v>411</v>
      </c>
      <c r="C265" s="73" t="s">
        <v>1062</v>
      </c>
    </row>
    <row r="266" spans="1:3" ht="17.25" hidden="1" x14ac:dyDescent="0.3">
      <c r="A266" s="74">
        <v>360</v>
      </c>
      <c r="B266" s="75" t="s">
        <v>411</v>
      </c>
      <c r="C266" s="73" t="s">
        <v>1063</v>
      </c>
    </row>
    <row r="267" spans="1:3" ht="34.5" hidden="1" x14ac:dyDescent="0.3">
      <c r="A267" s="74">
        <v>361</v>
      </c>
      <c r="B267" s="75" t="s">
        <v>411</v>
      </c>
      <c r="C267" s="73" t="s">
        <v>1064</v>
      </c>
    </row>
    <row r="268" spans="1:3" ht="34.5" hidden="1" x14ac:dyDescent="0.3">
      <c r="A268" s="74">
        <v>362</v>
      </c>
      <c r="B268" s="75" t="s">
        <v>411</v>
      </c>
      <c r="C268" s="73" t="s">
        <v>1065</v>
      </c>
    </row>
    <row r="269" spans="1:3" ht="17.25" hidden="1" x14ac:dyDescent="0.3">
      <c r="A269" s="74">
        <v>363</v>
      </c>
      <c r="B269" s="75" t="s">
        <v>411</v>
      </c>
      <c r="C269" s="73" t="s">
        <v>1066</v>
      </c>
    </row>
    <row r="270" spans="1:3" ht="17.25" hidden="1" x14ac:dyDescent="0.3">
      <c r="A270" s="74">
        <v>364</v>
      </c>
      <c r="B270" s="75" t="s">
        <v>411</v>
      </c>
      <c r="C270" s="73" t="s">
        <v>1067</v>
      </c>
    </row>
    <row r="271" spans="1:3" ht="17.25" hidden="1" x14ac:dyDescent="0.3">
      <c r="A271" s="74">
        <v>365</v>
      </c>
      <c r="B271" s="75" t="s">
        <v>411</v>
      </c>
      <c r="C271" s="73" t="s">
        <v>1068</v>
      </c>
    </row>
    <row r="272" spans="1:3" ht="17.25" hidden="1" x14ac:dyDescent="0.3">
      <c r="A272" s="74">
        <v>366</v>
      </c>
      <c r="B272" s="75" t="s">
        <v>411</v>
      </c>
      <c r="C272" s="73" t="s">
        <v>1069</v>
      </c>
    </row>
    <row r="273" spans="1:3" ht="17.25" hidden="1" x14ac:dyDescent="0.3">
      <c r="A273" s="74">
        <v>367</v>
      </c>
      <c r="B273" s="75" t="s">
        <v>411</v>
      </c>
      <c r="C273" s="73" t="s">
        <v>1070</v>
      </c>
    </row>
    <row r="274" spans="1:3" ht="17.25" hidden="1" x14ac:dyDescent="0.3">
      <c r="A274" s="74">
        <v>368</v>
      </c>
      <c r="B274" s="75" t="s">
        <v>411</v>
      </c>
      <c r="C274" s="73" t="s">
        <v>408</v>
      </c>
    </row>
    <row r="275" spans="1:3" ht="17.25" hidden="1" x14ac:dyDescent="0.3">
      <c r="A275" s="74">
        <v>369</v>
      </c>
      <c r="B275" s="75" t="s">
        <v>411</v>
      </c>
      <c r="C275" s="73" t="s">
        <v>1071</v>
      </c>
    </row>
    <row r="276" spans="1:3" ht="17.25" hidden="1" x14ac:dyDescent="0.3">
      <c r="A276" s="74">
        <v>370</v>
      </c>
      <c r="B276" s="75" t="s">
        <v>411</v>
      </c>
      <c r="C276" s="73" t="s">
        <v>1072</v>
      </c>
    </row>
    <row r="277" spans="1:3" ht="17.25" hidden="1" x14ac:dyDescent="0.3">
      <c r="A277" s="74">
        <v>371</v>
      </c>
      <c r="B277" s="75" t="s">
        <v>411</v>
      </c>
      <c r="C277" s="73" t="s">
        <v>492</v>
      </c>
    </row>
    <row r="278" spans="1:3" ht="17.25" hidden="1" x14ac:dyDescent="0.3">
      <c r="A278" s="74">
        <v>372</v>
      </c>
      <c r="B278" s="75" t="s">
        <v>411</v>
      </c>
      <c r="C278" s="73" t="s">
        <v>1073</v>
      </c>
    </row>
    <row r="279" spans="1:3" ht="17.25" hidden="1" x14ac:dyDescent="0.3">
      <c r="A279" s="74">
        <v>373</v>
      </c>
      <c r="B279" s="75" t="s">
        <v>615</v>
      </c>
      <c r="C279" s="73" t="s">
        <v>1074</v>
      </c>
    </row>
    <row r="280" spans="1:3" ht="34.5" hidden="1" x14ac:dyDescent="0.3">
      <c r="A280" s="74">
        <v>374</v>
      </c>
      <c r="B280" s="75" t="s">
        <v>615</v>
      </c>
      <c r="C280" s="73" t="s">
        <v>1075</v>
      </c>
    </row>
    <row r="281" spans="1:3" ht="34.5" hidden="1" x14ac:dyDescent="0.3">
      <c r="A281" s="74">
        <v>375</v>
      </c>
      <c r="B281" s="75" t="s">
        <v>615</v>
      </c>
      <c r="C281" s="73" t="s">
        <v>1076</v>
      </c>
    </row>
    <row r="282" spans="1:3" ht="17.25" hidden="1" x14ac:dyDescent="0.3">
      <c r="A282" s="74">
        <v>376</v>
      </c>
      <c r="B282" s="75" t="s">
        <v>613</v>
      </c>
      <c r="C282" s="73" t="s">
        <v>1077</v>
      </c>
    </row>
    <row r="283" spans="1:3" ht="17.25" hidden="1" x14ac:dyDescent="0.3">
      <c r="A283" s="74">
        <v>377</v>
      </c>
      <c r="B283" s="75" t="s">
        <v>613</v>
      </c>
      <c r="C283" s="73" t="s">
        <v>1078</v>
      </c>
    </row>
    <row r="284" spans="1:3" ht="34.5" hidden="1" x14ac:dyDescent="0.3">
      <c r="A284" s="74">
        <v>378</v>
      </c>
      <c r="B284" s="75" t="s">
        <v>689</v>
      </c>
      <c r="C284" s="73" t="s">
        <v>1079</v>
      </c>
    </row>
    <row r="285" spans="1:3" ht="17.25" hidden="1" x14ac:dyDescent="0.3">
      <c r="A285" s="74">
        <v>379</v>
      </c>
      <c r="B285" s="75" t="s">
        <v>689</v>
      </c>
      <c r="C285" s="73" t="s">
        <v>1080</v>
      </c>
    </row>
    <row r="286" spans="1:3" ht="17.25" hidden="1" x14ac:dyDescent="0.3">
      <c r="A286" s="74">
        <v>380</v>
      </c>
      <c r="B286" s="75"/>
      <c r="C286" s="73"/>
    </row>
    <row r="287" spans="1:3" ht="17.25" hidden="1" x14ac:dyDescent="0.3">
      <c r="A287" s="74">
        <v>381</v>
      </c>
      <c r="B287" s="75"/>
      <c r="C287" s="76"/>
    </row>
    <row r="288" spans="1:3" ht="17.25" hidden="1" x14ac:dyDescent="0.3">
      <c r="A288" s="74">
        <v>382</v>
      </c>
      <c r="B288" s="75"/>
      <c r="C288" s="76"/>
    </row>
    <row r="289" spans="1:3" ht="17.25" hidden="1" x14ac:dyDescent="0.3">
      <c r="A289" s="74">
        <v>383</v>
      </c>
      <c r="B289" s="75"/>
      <c r="C289" s="76"/>
    </row>
    <row r="290" spans="1:3" ht="17.25" hidden="1" x14ac:dyDescent="0.3">
      <c r="A290" s="74">
        <v>384</v>
      </c>
      <c r="B290" s="75"/>
      <c r="C290" s="76"/>
    </row>
    <row r="291" spans="1:3" ht="17.25" hidden="1" x14ac:dyDescent="0.3">
      <c r="A291" s="74">
        <v>385</v>
      </c>
      <c r="B291" s="75"/>
      <c r="C291" s="76"/>
    </row>
    <row r="292" spans="1:3" ht="17.25" hidden="1" x14ac:dyDescent="0.3">
      <c r="A292" s="74">
        <v>386</v>
      </c>
      <c r="B292" s="75"/>
      <c r="C292" s="76"/>
    </row>
    <row r="293" spans="1:3" ht="17.25" hidden="1" x14ac:dyDescent="0.3">
      <c r="A293" s="74">
        <v>387</v>
      </c>
      <c r="B293" s="75"/>
      <c r="C293" s="76"/>
    </row>
    <row r="294" spans="1:3" ht="17.25" hidden="1" x14ac:dyDescent="0.3">
      <c r="A294" s="74">
        <v>388</v>
      </c>
      <c r="B294" s="75"/>
      <c r="C294" s="76"/>
    </row>
    <row r="295" spans="1:3" ht="17.25" hidden="1" x14ac:dyDescent="0.3">
      <c r="A295" s="74">
        <v>389</v>
      </c>
      <c r="B295" s="75"/>
      <c r="C295" s="76"/>
    </row>
    <row r="296" spans="1:3" ht="17.25" hidden="1" x14ac:dyDescent="0.3">
      <c r="A296" s="74">
        <v>390</v>
      </c>
      <c r="B296" s="75"/>
      <c r="C296" s="76"/>
    </row>
    <row r="297" spans="1:3" ht="17.25" hidden="1" x14ac:dyDescent="0.3">
      <c r="A297" s="74">
        <v>391</v>
      </c>
      <c r="B297" s="75"/>
      <c r="C297" s="76"/>
    </row>
    <row r="298" spans="1:3" ht="17.25" hidden="1" x14ac:dyDescent="0.3">
      <c r="A298" s="74">
        <v>392</v>
      </c>
      <c r="B298" s="75"/>
      <c r="C298" s="76"/>
    </row>
    <row r="299" spans="1:3" ht="17.25" hidden="1" x14ac:dyDescent="0.3">
      <c r="A299" s="74">
        <v>393</v>
      </c>
      <c r="B299" s="75"/>
      <c r="C299" s="76"/>
    </row>
    <row r="300" spans="1:3" ht="17.25" hidden="1" x14ac:dyDescent="0.3">
      <c r="A300" s="74">
        <v>394</v>
      </c>
      <c r="B300" s="75"/>
      <c r="C300" s="76"/>
    </row>
    <row r="301" spans="1:3" ht="17.25" hidden="1" x14ac:dyDescent="0.3">
      <c r="A301" s="74">
        <v>395</v>
      </c>
      <c r="B301" s="75"/>
      <c r="C301" s="76"/>
    </row>
    <row r="302" spans="1:3" ht="17.25" hidden="1" x14ac:dyDescent="0.3">
      <c r="A302" s="74">
        <v>396</v>
      </c>
      <c r="B302" s="75"/>
      <c r="C302" s="76"/>
    </row>
    <row r="303" spans="1:3" ht="17.25" hidden="1" x14ac:dyDescent="0.3">
      <c r="A303" s="74">
        <v>397</v>
      </c>
      <c r="B303" s="75"/>
      <c r="C303" s="76"/>
    </row>
    <row r="304" spans="1:3" ht="17.25" hidden="1" x14ac:dyDescent="0.3">
      <c r="A304" s="74">
        <v>398</v>
      </c>
      <c r="B304" s="75"/>
      <c r="C304" s="76"/>
    </row>
    <row r="305" spans="1:3" ht="17.25" hidden="1" x14ac:dyDescent="0.3">
      <c r="A305" s="74">
        <v>399</v>
      </c>
      <c r="B305" s="75"/>
      <c r="C305" s="76"/>
    </row>
    <row r="306" spans="1:3" ht="17.25" hidden="1" x14ac:dyDescent="0.3">
      <c r="A306" s="74">
        <v>400</v>
      </c>
      <c r="B306" s="75"/>
      <c r="C306" s="76"/>
    </row>
    <row r="307" spans="1:3" hidden="1" x14ac:dyDescent="0.3">
      <c r="A307" s="35"/>
      <c r="C307" s="18"/>
    </row>
    <row r="308" spans="1:3" hidden="1" x14ac:dyDescent="0.3">
      <c r="A308" s="35"/>
      <c r="C308" s="18"/>
    </row>
    <row r="309" spans="1:3" hidden="1" x14ac:dyDescent="0.3">
      <c r="A309" s="35"/>
      <c r="C309" s="18"/>
    </row>
    <row r="310" spans="1:3" hidden="1" x14ac:dyDescent="0.3">
      <c r="A310" s="35"/>
      <c r="C310" s="18"/>
    </row>
    <row r="311" spans="1:3" hidden="1" x14ac:dyDescent="0.3">
      <c r="A311" s="35"/>
      <c r="C311" s="18"/>
    </row>
    <row r="312" spans="1:3" hidden="1" x14ac:dyDescent="0.3">
      <c r="A312" s="35"/>
      <c r="C312" s="18"/>
    </row>
    <row r="313" spans="1:3" hidden="1" x14ac:dyDescent="0.3">
      <c r="A313" s="35"/>
      <c r="C313" s="18"/>
    </row>
    <row r="314" spans="1:3" hidden="1" x14ac:dyDescent="0.3">
      <c r="A314" s="35"/>
      <c r="C314" s="18"/>
    </row>
    <row r="315" spans="1:3" hidden="1" x14ac:dyDescent="0.3">
      <c r="A315" s="35"/>
      <c r="C315" s="18"/>
    </row>
    <row r="316" spans="1:3" hidden="1" x14ac:dyDescent="0.3">
      <c r="A316" s="35"/>
      <c r="C316" s="18"/>
    </row>
    <row r="317" spans="1:3" hidden="1" x14ac:dyDescent="0.3">
      <c r="A317" s="35"/>
      <c r="C317" s="18"/>
    </row>
    <row r="318" spans="1:3" hidden="1" x14ac:dyDescent="0.3">
      <c r="A318" s="35"/>
      <c r="C318" s="18"/>
    </row>
    <row r="319" spans="1:3" hidden="1" x14ac:dyDescent="0.3">
      <c r="A319" s="35"/>
      <c r="C319" s="18"/>
    </row>
    <row r="320" spans="1:3" hidden="1" x14ac:dyDescent="0.3">
      <c r="A320" s="35"/>
      <c r="C320" s="18"/>
    </row>
    <row r="321" spans="1:3" hidden="1" x14ac:dyDescent="0.3">
      <c r="A321" s="35"/>
      <c r="C321" s="18"/>
    </row>
    <row r="322" spans="1:3" hidden="1" x14ac:dyDescent="0.3">
      <c r="A322" s="35"/>
      <c r="C322" s="18"/>
    </row>
    <row r="323" spans="1:3" hidden="1" x14ac:dyDescent="0.3">
      <c r="A323" s="35"/>
      <c r="C323" s="18"/>
    </row>
    <row r="324" spans="1:3" hidden="1" x14ac:dyDescent="0.3">
      <c r="A324" s="35"/>
      <c r="C324" s="18"/>
    </row>
    <row r="325" spans="1:3" hidden="1" x14ac:dyDescent="0.3">
      <c r="A325" s="35"/>
      <c r="C325" s="18"/>
    </row>
    <row r="326" spans="1:3" hidden="1" x14ac:dyDescent="0.3">
      <c r="A326" s="35"/>
      <c r="C326" s="18"/>
    </row>
    <row r="327" spans="1:3" hidden="1" x14ac:dyDescent="0.3">
      <c r="A327" s="35"/>
      <c r="C327" s="18"/>
    </row>
    <row r="328" spans="1:3" hidden="1" x14ac:dyDescent="0.3">
      <c r="A328" s="35"/>
      <c r="C328" s="18"/>
    </row>
    <row r="329" spans="1:3" hidden="1" x14ac:dyDescent="0.3">
      <c r="A329" s="35"/>
      <c r="C329" s="18"/>
    </row>
    <row r="330" spans="1:3" hidden="1" x14ac:dyDescent="0.3">
      <c r="A330" s="35"/>
      <c r="C330" s="18"/>
    </row>
    <row r="331" spans="1:3" hidden="1" x14ac:dyDescent="0.3">
      <c r="A331" s="35"/>
      <c r="C331" s="18"/>
    </row>
    <row r="332" spans="1:3" hidden="1" x14ac:dyDescent="0.3">
      <c r="A332" s="35"/>
      <c r="C332" s="18"/>
    </row>
    <row r="333" spans="1:3" hidden="1" x14ac:dyDescent="0.3">
      <c r="A333" s="35"/>
      <c r="C333" s="18"/>
    </row>
    <row r="334" spans="1:3" hidden="1" x14ac:dyDescent="0.3">
      <c r="A334" s="35"/>
      <c r="C334" s="18"/>
    </row>
    <row r="335" spans="1:3" hidden="1" x14ac:dyDescent="0.3">
      <c r="A335" s="35"/>
      <c r="C335" s="18"/>
    </row>
    <row r="336" spans="1:3" hidden="1" x14ac:dyDescent="0.3">
      <c r="A336" s="35"/>
      <c r="C336" s="18"/>
    </row>
    <row r="337" spans="1:3" hidden="1" x14ac:dyDescent="0.3">
      <c r="A337" s="35"/>
      <c r="C337" s="19"/>
    </row>
    <row r="338" spans="1:3" hidden="1" x14ac:dyDescent="0.3">
      <c r="A338" s="35"/>
      <c r="C338" s="18"/>
    </row>
    <row r="339" spans="1:3" hidden="1" x14ac:dyDescent="0.3">
      <c r="A339" s="35"/>
      <c r="C339" s="18"/>
    </row>
    <row r="340" spans="1:3" hidden="1" x14ac:dyDescent="0.3">
      <c r="A340" s="35"/>
      <c r="C340" s="18"/>
    </row>
    <row r="341" spans="1:3" hidden="1" x14ac:dyDescent="0.3">
      <c r="A341" s="35"/>
      <c r="C341" s="18"/>
    </row>
    <row r="342" spans="1:3" hidden="1" x14ac:dyDescent="0.3">
      <c r="A342" s="35"/>
      <c r="C342" s="18"/>
    </row>
    <row r="343" spans="1:3" hidden="1" x14ac:dyDescent="0.3">
      <c r="A343" s="35"/>
      <c r="C343" s="18"/>
    </row>
    <row r="344" spans="1:3" hidden="1" x14ac:dyDescent="0.3">
      <c r="A344" s="35"/>
      <c r="C344" s="18"/>
    </row>
    <row r="345" spans="1:3" hidden="1" x14ac:dyDescent="0.3">
      <c r="A345" s="35"/>
      <c r="C345" s="18"/>
    </row>
    <row r="346" spans="1:3" hidden="1" x14ac:dyDescent="0.3">
      <c r="A346" s="35"/>
      <c r="C346" s="18"/>
    </row>
    <row r="347" spans="1:3" hidden="1" x14ac:dyDescent="0.3">
      <c r="A347" s="35"/>
      <c r="C347" s="18"/>
    </row>
    <row r="348" spans="1:3" hidden="1" x14ac:dyDescent="0.3">
      <c r="A348" s="35"/>
      <c r="C348" s="18"/>
    </row>
    <row r="349" spans="1:3" hidden="1" x14ac:dyDescent="0.3">
      <c r="A349" s="35"/>
      <c r="C349" s="18"/>
    </row>
    <row r="350" spans="1:3" hidden="1" x14ac:dyDescent="0.3">
      <c r="A350" s="35"/>
      <c r="C350" s="18"/>
    </row>
    <row r="351" spans="1:3" hidden="1" x14ac:dyDescent="0.3">
      <c r="A351" s="35"/>
      <c r="C351" s="18"/>
    </row>
    <row r="352" spans="1:3" hidden="1" x14ac:dyDescent="0.3">
      <c r="A352" s="35"/>
      <c r="C352" s="18"/>
    </row>
    <row r="353" spans="1:3" hidden="1" x14ac:dyDescent="0.3">
      <c r="A353" s="35"/>
      <c r="C353" s="18"/>
    </row>
    <row r="354" spans="1:3" hidden="1" x14ac:dyDescent="0.3">
      <c r="A354" s="35"/>
      <c r="C354" s="18"/>
    </row>
    <row r="355" spans="1:3" hidden="1" x14ac:dyDescent="0.3">
      <c r="A355" s="35"/>
      <c r="C355" s="18"/>
    </row>
    <row r="356" spans="1:3" hidden="1" x14ac:dyDescent="0.3">
      <c r="A356" s="35"/>
      <c r="C356" s="18"/>
    </row>
    <row r="357" spans="1:3" hidden="1" x14ac:dyDescent="0.3">
      <c r="A357" s="35"/>
      <c r="C357" s="18"/>
    </row>
    <row r="358" spans="1:3" hidden="1" x14ac:dyDescent="0.3">
      <c r="A358" s="35"/>
      <c r="C358" s="18"/>
    </row>
    <row r="359" spans="1:3" hidden="1" x14ac:dyDescent="0.3">
      <c r="A359" s="35"/>
      <c r="C359" s="18"/>
    </row>
    <row r="360" spans="1:3" hidden="1" x14ac:dyDescent="0.3">
      <c r="A360" s="35"/>
      <c r="C360" s="18"/>
    </row>
    <row r="361" spans="1:3" hidden="1" x14ac:dyDescent="0.3">
      <c r="A361" s="35"/>
      <c r="C361" s="18"/>
    </row>
    <row r="362" spans="1:3" hidden="1" x14ac:dyDescent="0.3">
      <c r="A362" s="35"/>
      <c r="C362" s="18"/>
    </row>
    <row r="363" spans="1:3" hidden="1" x14ac:dyDescent="0.3">
      <c r="A363" s="35"/>
      <c r="C363" s="18"/>
    </row>
    <row r="364" spans="1:3" hidden="1" x14ac:dyDescent="0.3">
      <c r="A364" s="35"/>
      <c r="C364" s="18"/>
    </row>
    <row r="365" spans="1:3" hidden="1" x14ac:dyDescent="0.3">
      <c r="A365" s="35"/>
      <c r="C365" s="18"/>
    </row>
    <row r="366" spans="1:3" hidden="1" x14ac:dyDescent="0.3">
      <c r="A366" s="35"/>
      <c r="C366" s="18"/>
    </row>
    <row r="367" spans="1:3" hidden="1" x14ac:dyDescent="0.3">
      <c r="A367" s="35"/>
      <c r="C367" s="18"/>
    </row>
    <row r="368" spans="1:3" hidden="1" x14ac:dyDescent="0.3">
      <c r="A368" s="35"/>
      <c r="C368" s="18"/>
    </row>
    <row r="369" spans="1:3" hidden="1" x14ac:dyDescent="0.3">
      <c r="A369" s="35"/>
      <c r="C369" s="18"/>
    </row>
    <row r="370" spans="1:3" hidden="1" x14ac:dyDescent="0.3">
      <c r="A370" s="35"/>
      <c r="C370" s="18"/>
    </row>
    <row r="371" spans="1:3" hidden="1" x14ac:dyDescent="0.3">
      <c r="A371" s="35"/>
      <c r="C371" s="18"/>
    </row>
    <row r="372" spans="1:3" hidden="1" x14ac:dyDescent="0.3">
      <c r="A372" s="35"/>
      <c r="C372" s="18"/>
    </row>
    <row r="373" spans="1:3" hidden="1" x14ac:dyDescent="0.3">
      <c r="A373" s="35"/>
      <c r="C373" s="18"/>
    </row>
    <row r="374" spans="1:3" hidden="1" x14ac:dyDescent="0.3">
      <c r="A374" s="35"/>
      <c r="C374" s="18"/>
    </row>
    <row r="375" spans="1:3" hidden="1" x14ac:dyDescent="0.3">
      <c r="A375" s="35"/>
      <c r="C375" s="18"/>
    </row>
    <row r="376" spans="1:3" hidden="1" x14ac:dyDescent="0.3">
      <c r="A376" s="35"/>
      <c r="C376" s="18"/>
    </row>
    <row r="377" spans="1:3" hidden="1" x14ac:dyDescent="0.3">
      <c r="A377" s="35"/>
      <c r="C377" s="18"/>
    </row>
    <row r="378" spans="1:3" hidden="1" x14ac:dyDescent="0.3">
      <c r="A378" s="35"/>
      <c r="C378" s="18"/>
    </row>
    <row r="379" spans="1:3" hidden="1" x14ac:dyDescent="0.3">
      <c r="A379" s="35"/>
      <c r="C379" s="18"/>
    </row>
    <row r="380" spans="1:3" hidden="1" x14ac:dyDescent="0.3">
      <c r="A380" s="35"/>
      <c r="C380" s="18"/>
    </row>
    <row r="381" spans="1:3" hidden="1" x14ac:dyDescent="0.3">
      <c r="A381" s="35"/>
      <c r="C381" s="18"/>
    </row>
    <row r="382" spans="1:3" hidden="1" x14ac:dyDescent="0.3">
      <c r="A382" s="35"/>
      <c r="C382" s="18"/>
    </row>
    <row r="383" spans="1:3" hidden="1" x14ac:dyDescent="0.3">
      <c r="A383" s="35"/>
      <c r="C383" s="18"/>
    </row>
    <row r="384" spans="1:3" hidden="1" x14ac:dyDescent="0.3">
      <c r="A384" s="35"/>
      <c r="C384" s="18"/>
    </row>
    <row r="385" spans="1:3" hidden="1" x14ac:dyDescent="0.3">
      <c r="A385" s="35"/>
      <c r="C385" s="18"/>
    </row>
    <row r="386" spans="1:3" hidden="1" x14ac:dyDescent="0.3">
      <c r="A386" s="35"/>
      <c r="C386" s="18"/>
    </row>
    <row r="387" spans="1:3" hidden="1" x14ac:dyDescent="0.3">
      <c r="A387" s="35"/>
      <c r="C387" s="18"/>
    </row>
    <row r="388" spans="1:3" hidden="1" x14ac:dyDescent="0.3">
      <c r="A388" s="35"/>
      <c r="C388" s="18"/>
    </row>
    <row r="389" spans="1:3" hidden="1" x14ac:dyDescent="0.3">
      <c r="A389" s="35"/>
      <c r="C389" s="18"/>
    </row>
    <row r="390" spans="1:3" hidden="1" x14ac:dyDescent="0.3">
      <c r="A390" s="35"/>
      <c r="C390" s="18"/>
    </row>
    <row r="391" spans="1:3" hidden="1" x14ac:dyDescent="0.3">
      <c r="A391" s="35"/>
      <c r="C391" s="18"/>
    </row>
    <row r="392" spans="1:3" hidden="1" x14ac:dyDescent="0.3">
      <c r="A392" s="35"/>
      <c r="C392" s="18"/>
    </row>
    <row r="393" spans="1:3" hidden="1" x14ac:dyDescent="0.3">
      <c r="A393" s="35"/>
      <c r="C393" s="18"/>
    </row>
    <row r="394" spans="1:3" hidden="1" x14ac:dyDescent="0.3">
      <c r="A394" s="35"/>
      <c r="C394" s="18"/>
    </row>
    <row r="395" spans="1:3" hidden="1" x14ac:dyDescent="0.3">
      <c r="A395" s="35"/>
      <c r="C395" s="18"/>
    </row>
    <row r="396" spans="1:3" hidden="1" x14ac:dyDescent="0.3">
      <c r="A396" s="35"/>
      <c r="C396" s="18"/>
    </row>
    <row r="397" spans="1:3" hidden="1" x14ac:dyDescent="0.3">
      <c r="A397" s="35"/>
      <c r="C397" s="18"/>
    </row>
    <row r="398" spans="1:3" hidden="1" x14ac:dyDescent="0.3">
      <c r="A398" s="35"/>
      <c r="C398" s="18"/>
    </row>
    <row r="399" spans="1:3" hidden="1" x14ac:dyDescent="0.3">
      <c r="A399" s="35"/>
      <c r="C399" s="18"/>
    </row>
    <row r="400" spans="1:3" hidden="1" x14ac:dyDescent="0.3">
      <c r="A400" s="35"/>
      <c r="C400" s="18"/>
    </row>
    <row r="401" spans="1:3" hidden="1" x14ac:dyDescent="0.3">
      <c r="A401" s="35"/>
      <c r="C401" s="18"/>
    </row>
    <row r="402" spans="1:3" hidden="1" x14ac:dyDescent="0.3">
      <c r="A402" s="35"/>
      <c r="C402" s="18"/>
    </row>
    <row r="403" spans="1:3" hidden="1" x14ac:dyDescent="0.3">
      <c r="A403" s="35"/>
      <c r="C403" s="18"/>
    </row>
    <row r="404" spans="1:3" hidden="1" x14ac:dyDescent="0.3">
      <c r="A404" s="35"/>
      <c r="C404" s="18"/>
    </row>
    <row r="405" spans="1:3" hidden="1" x14ac:dyDescent="0.3">
      <c r="A405" s="35"/>
      <c r="C405" s="18"/>
    </row>
    <row r="406" spans="1:3" hidden="1" x14ac:dyDescent="0.3">
      <c r="A406" s="35"/>
      <c r="C406" s="18"/>
    </row>
    <row r="407" spans="1:3" hidden="1" x14ac:dyDescent="0.3">
      <c r="A407" s="35"/>
      <c r="C407" s="18"/>
    </row>
    <row r="408" spans="1:3" hidden="1" x14ac:dyDescent="0.3">
      <c r="A408" s="35"/>
      <c r="C408" s="18"/>
    </row>
    <row r="409" spans="1:3" hidden="1" x14ac:dyDescent="0.3">
      <c r="A409" s="35"/>
      <c r="C409" s="18"/>
    </row>
    <row r="410" spans="1:3" hidden="1" x14ac:dyDescent="0.3">
      <c r="A410" s="35"/>
      <c r="C410" s="18"/>
    </row>
    <row r="411" spans="1:3" hidden="1" x14ac:dyDescent="0.3">
      <c r="A411" s="35"/>
      <c r="C411" s="18"/>
    </row>
    <row r="412" spans="1:3" hidden="1" x14ac:dyDescent="0.3">
      <c r="A412" s="35"/>
      <c r="C412" s="18"/>
    </row>
    <row r="413" spans="1:3" hidden="1" x14ac:dyDescent="0.3">
      <c r="A413" s="35"/>
      <c r="C413" s="18"/>
    </row>
    <row r="414" spans="1:3" hidden="1" x14ac:dyDescent="0.3">
      <c r="A414" s="35"/>
      <c r="C414" s="18"/>
    </row>
    <row r="415" spans="1:3" hidden="1" x14ac:dyDescent="0.3">
      <c r="A415" s="35"/>
      <c r="C415" s="18"/>
    </row>
    <row r="416" spans="1:3" hidden="1" x14ac:dyDescent="0.3">
      <c r="A416" s="35"/>
      <c r="C416" s="18"/>
    </row>
    <row r="417" spans="1:3" hidden="1" x14ac:dyDescent="0.3">
      <c r="A417" s="35"/>
      <c r="C417" s="18"/>
    </row>
    <row r="418" spans="1:3" hidden="1" x14ac:dyDescent="0.3">
      <c r="A418" s="35"/>
      <c r="C418" s="18"/>
    </row>
    <row r="419" spans="1:3" hidden="1" x14ac:dyDescent="0.3">
      <c r="A419" s="35"/>
      <c r="C419" s="18"/>
    </row>
    <row r="420" spans="1:3" hidden="1" x14ac:dyDescent="0.3">
      <c r="A420" s="35"/>
      <c r="C420" s="18"/>
    </row>
    <row r="421" spans="1:3" hidden="1" x14ac:dyDescent="0.3">
      <c r="A421" s="35"/>
      <c r="C421" s="18"/>
    </row>
    <row r="422" spans="1:3" hidden="1" x14ac:dyDescent="0.3">
      <c r="A422" s="35"/>
      <c r="C422" s="18"/>
    </row>
    <row r="423" spans="1:3" hidden="1" x14ac:dyDescent="0.3">
      <c r="A423" s="35"/>
      <c r="C423" s="18"/>
    </row>
    <row r="424" spans="1:3" hidden="1" x14ac:dyDescent="0.3">
      <c r="A424" s="35"/>
      <c r="C424" s="18"/>
    </row>
    <row r="425" spans="1:3" hidden="1" x14ac:dyDescent="0.3">
      <c r="A425" s="35"/>
      <c r="C425" s="18"/>
    </row>
    <row r="426" spans="1:3" hidden="1" x14ac:dyDescent="0.3">
      <c r="A426" s="35"/>
      <c r="C426" s="18"/>
    </row>
    <row r="427" spans="1:3" hidden="1" x14ac:dyDescent="0.3">
      <c r="A427" s="35"/>
      <c r="C427" s="18"/>
    </row>
    <row r="428" spans="1:3" hidden="1" x14ac:dyDescent="0.3">
      <c r="A428" s="35"/>
      <c r="C428" s="18"/>
    </row>
    <row r="429" spans="1:3" hidden="1" x14ac:dyDescent="0.3">
      <c r="A429" s="35"/>
      <c r="C429" s="18"/>
    </row>
    <row r="430" spans="1:3" hidden="1" x14ac:dyDescent="0.3">
      <c r="A430" s="35"/>
      <c r="C430" s="18"/>
    </row>
    <row r="431" spans="1:3" hidden="1" x14ac:dyDescent="0.3">
      <c r="A431" s="35"/>
      <c r="C431" s="18"/>
    </row>
    <row r="432" spans="1:3" hidden="1" x14ac:dyDescent="0.3">
      <c r="A432" s="35"/>
      <c r="C432" s="18"/>
    </row>
    <row r="433" spans="1:3" hidden="1" x14ac:dyDescent="0.3">
      <c r="A433" s="35"/>
      <c r="C433" s="18"/>
    </row>
    <row r="434" spans="1:3" hidden="1" x14ac:dyDescent="0.3">
      <c r="A434" s="35"/>
      <c r="C434" s="18"/>
    </row>
    <row r="435" spans="1:3" hidden="1" x14ac:dyDescent="0.3">
      <c r="A435" s="35"/>
      <c r="C435" s="18"/>
    </row>
    <row r="436" spans="1:3" hidden="1" x14ac:dyDescent="0.3">
      <c r="A436" s="35"/>
      <c r="C436" s="18"/>
    </row>
    <row r="437" spans="1:3" hidden="1" x14ac:dyDescent="0.3">
      <c r="A437" s="35"/>
      <c r="C437" s="18"/>
    </row>
    <row r="438" spans="1:3" hidden="1" x14ac:dyDescent="0.3">
      <c r="A438" s="35"/>
      <c r="C438" s="18"/>
    </row>
    <row r="439" spans="1:3" hidden="1" x14ac:dyDescent="0.3">
      <c r="A439" s="35"/>
      <c r="C439" s="18"/>
    </row>
    <row r="440" spans="1:3" hidden="1" x14ac:dyDescent="0.3">
      <c r="A440" s="35"/>
      <c r="C440" s="18"/>
    </row>
    <row r="441" spans="1:3" hidden="1" x14ac:dyDescent="0.3">
      <c r="A441" s="35"/>
      <c r="C441" s="18"/>
    </row>
    <row r="442" spans="1:3" hidden="1" x14ac:dyDescent="0.3">
      <c r="A442" s="35"/>
      <c r="C442" s="18"/>
    </row>
    <row r="443" spans="1:3" hidden="1" x14ac:dyDescent="0.3">
      <c r="A443" s="35"/>
      <c r="C443" s="18"/>
    </row>
    <row r="444" spans="1:3" hidden="1" x14ac:dyDescent="0.3">
      <c r="A444" s="35"/>
      <c r="C444" s="18"/>
    </row>
    <row r="445" spans="1:3" hidden="1" x14ac:dyDescent="0.3">
      <c r="A445" s="35"/>
      <c r="C445" s="18"/>
    </row>
    <row r="446" spans="1:3" hidden="1" x14ac:dyDescent="0.3">
      <c r="A446" s="35"/>
      <c r="C446" s="18"/>
    </row>
    <row r="447" spans="1:3" hidden="1" x14ac:dyDescent="0.3">
      <c r="A447" s="35"/>
      <c r="C447" s="18"/>
    </row>
    <row r="448" spans="1:3" hidden="1" x14ac:dyDescent="0.3">
      <c r="A448" s="35"/>
      <c r="C448" s="18"/>
    </row>
    <row r="449" spans="1:3" hidden="1" x14ac:dyDescent="0.3">
      <c r="A449" s="35"/>
      <c r="C449" s="18"/>
    </row>
    <row r="450" spans="1:3" hidden="1" x14ac:dyDescent="0.3">
      <c r="A450" s="35"/>
      <c r="C450" s="18"/>
    </row>
    <row r="451" spans="1:3" hidden="1" x14ac:dyDescent="0.3">
      <c r="A451" s="35"/>
      <c r="C451" s="18"/>
    </row>
    <row r="452" spans="1:3" hidden="1" x14ac:dyDescent="0.3">
      <c r="A452" s="35"/>
      <c r="C452" s="18"/>
    </row>
    <row r="453" spans="1:3" hidden="1" x14ac:dyDescent="0.3">
      <c r="A453" s="35"/>
      <c r="C453" s="18"/>
    </row>
    <row r="454" spans="1:3" hidden="1" x14ac:dyDescent="0.3">
      <c r="A454" s="35"/>
      <c r="C454" s="18"/>
    </row>
    <row r="455" spans="1:3" hidden="1" x14ac:dyDescent="0.3">
      <c r="A455" s="35"/>
      <c r="C455" s="18"/>
    </row>
    <row r="456" spans="1:3" hidden="1" x14ac:dyDescent="0.3">
      <c r="A456" s="35"/>
      <c r="C456" s="18"/>
    </row>
    <row r="457" spans="1:3" hidden="1" x14ac:dyDescent="0.3">
      <c r="A457" s="35"/>
      <c r="C457" s="18"/>
    </row>
    <row r="458" spans="1:3" hidden="1" x14ac:dyDescent="0.3">
      <c r="A458" s="35"/>
      <c r="C458" s="18"/>
    </row>
    <row r="459" spans="1:3" hidden="1" x14ac:dyDescent="0.3">
      <c r="A459" s="35"/>
      <c r="C459" s="18"/>
    </row>
    <row r="460" spans="1:3" hidden="1" x14ac:dyDescent="0.3">
      <c r="A460" s="35"/>
      <c r="C460" s="18"/>
    </row>
    <row r="461" spans="1:3" hidden="1" x14ac:dyDescent="0.3">
      <c r="A461" s="35"/>
      <c r="C461" s="18"/>
    </row>
    <row r="462" spans="1:3" hidden="1" x14ac:dyDescent="0.3">
      <c r="A462" s="35"/>
      <c r="C462" s="18"/>
    </row>
    <row r="463" spans="1:3" hidden="1" x14ac:dyDescent="0.3">
      <c r="A463" s="35"/>
      <c r="C463" s="18"/>
    </row>
    <row r="464" spans="1:3" hidden="1" x14ac:dyDescent="0.3">
      <c r="A464" s="35"/>
      <c r="C464" s="18"/>
    </row>
    <row r="465" spans="1:3" hidden="1" x14ac:dyDescent="0.3">
      <c r="A465" s="35"/>
      <c r="C465" s="18"/>
    </row>
    <row r="466" spans="1:3" hidden="1" x14ac:dyDescent="0.3">
      <c r="A466" s="35"/>
      <c r="C466" s="18"/>
    </row>
    <row r="467" spans="1:3" hidden="1" x14ac:dyDescent="0.3">
      <c r="A467" s="35"/>
      <c r="C467" s="18"/>
    </row>
    <row r="468" spans="1:3" hidden="1" x14ac:dyDescent="0.3">
      <c r="A468" s="35"/>
      <c r="C468" s="18"/>
    </row>
    <row r="469" spans="1:3" hidden="1" x14ac:dyDescent="0.3">
      <c r="A469" s="35"/>
      <c r="C469" s="18"/>
    </row>
    <row r="470" spans="1:3" hidden="1" x14ac:dyDescent="0.3">
      <c r="A470" s="35"/>
      <c r="C470" s="18"/>
    </row>
    <row r="471" spans="1:3" hidden="1" x14ac:dyDescent="0.3">
      <c r="A471" s="35"/>
      <c r="C471" s="18"/>
    </row>
    <row r="472" spans="1:3" hidden="1" x14ac:dyDescent="0.3">
      <c r="A472" s="35"/>
      <c r="C472" s="18"/>
    </row>
    <row r="473" spans="1:3" hidden="1" x14ac:dyDescent="0.3">
      <c r="A473" s="35"/>
      <c r="C473" s="18"/>
    </row>
    <row r="474" spans="1:3" hidden="1" x14ac:dyDescent="0.3">
      <c r="A474" s="35"/>
      <c r="C474" s="18"/>
    </row>
    <row r="475" spans="1:3" hidden="1" x14ac:dyDescent="0.3">
      <c r="A475" s="35"/>
      <c r="C475" s="18"/>
    </row>
    <row r="476" spans="1:3" hidden="1" x14ac:dyDescent="0.3">
      <c r="A476" s="35"/>
      <c r="C476" s="18"/>
    </row>
    <row r="477" spans="1:3" hidden="1" x14ac:dyDescent="0.3">
      <c r="A477" s="35"/>
      <c r="C477" s="18"/>
    </row>
    <row r="478" spans="1:3" hidden="1" x14ac:dyDescent="0.3">
      <c r="A478" s="35"/>
      <c r="C478" s="18"/>
    </row>
    <row r="479" spans="1:3" hidden="1" x14ac:dyDescent="0.3">
      <c r="A479" s="35"/>
      <c r="C479" s="18"/>
    </row>
    <row r="480" spans="1:3" hidden="1" x14ac:dyDescent="0.3">
      <c r="A480" s="35"/>
      <c r="C480" s="18"/>
    </row>
    <row r="481" spans="1:3" hidden="1" x14ac:dyDescent="0.3">
      <c r="A481" s="35"/>
      <c r="C481" s="18"/>
    </row>
    <row r="482" spans="1:3" hidden="1" x14ac:dyDescent="0.3">
      <c r="A482" s="35"/>
      <c r="C482" s="18"/>
    </row>
    <row r="483" spans="1:3" hidden="1" x14ac:dyDescent="0.3">
      <c r="A483" s="35"/>
      <c r="C483" s="18"/>
    </row>
    <row r="484" spans="1:3" hidden="1" x14ac:dyDescent="0.3">
      <c r="A484" s="35"/>
      <c r="C484" s="18"/>
    </row>
    <row r="485" spans="1:3" hidden="1" x14ac:dyDescent="0.3">
      <c r="A485" s="35"/>
      <c r="C485" s="18"/>
    </row>
    <row r="486" spans="1:3" hidden="1" x14ac:dyDescent="0.3">
      <c r="A486" s="35"/>
      <c r="C486" s="18"/>
    </row>
    <row r="487" spans="1:3" hidden="1" x14ac:dyDescent="0.3">
      <c r="A487" s="35"/>
      <c r="C487" s="18"/>
    </row>
    <row r="488" spans="1:3" hidden="1" x14ac:dyDescent="0.3">
      <c r="A488" s="35"/>
      <c r="C488" s="18"/>
    </row>
    <row r="489" spans="1:3" hidden="1" x14ac:dyDescent="0.3">
      <c r="A489" s="35"/>
      <c r="C489" s="18"/>
    </row>
    <row r="490" spans="1:3" hidden="1" x14ac:dyDescent="0.3">
      <c r="A490" s="35"/>
      <c r="C490" s="18"/>
    </row>
    <row r="491" spans="1:3" hidden="1" x14ac:dyDescent="0.3">
      <c r="A491" s="35"/>
      <c r="C491" s="18"/>
    </row>
    <row r="492" spans="1:3" hidden="1" x14ac:dyDescent="0.3">
      <c r="A492" s="35"/>
      <c r="C492" s="18"/>
    </row>
    <row r="493" spans="1:3" hidden="1" x14ac:dyDescent="0.3">
      <c r="A493" s="35"/>
      <c r="C493" s="18"/>
    </row>
    <row r="494" spans="1:3" hidden="1" x14ac:dyDescent="0.3">
      <c r="A494" s="35"/>
      <c r="C494" s="18"/>
    </row>
    <row r="495" spans="1:3" hidden="1" x14ac:dyDescent="0.3">
      <c r="A495" s="35"/>
      <c r="C495" s="18"/>
    </row>
    <row r="496" spans="1:3" hidden="1" x14ac:dyDescent="0.3">
      <c r="A496" s="35"/>
      <c r="C496" s="18"/>
    </row>
    <row r="497" spans="1:3" hidden="1" x14ac:dyDescent="0.3">
      <c r="A497" s="35"/>
      <c r="C497" s="18"/>
    </row>
    <row r="498" spans="1:3" hidden="1" x14ac:dyDescent="0.3">
      <c r="A498" s="35"/>
      <c r="C498" s="18"/>
    </row>
    <row r="499" spans="1:3" hidden="1" x14ac:dyDescent="0.3">
      <c r="A499" s="35"/>
      <c r="C499" s="18"/>
    </row>
    <row r="500" spans="1:3" hidden="1" x14ac:dyDescent="0.3">
      <c r="A500" s="35"/>
      <c r="C500" s="18"/>
    </row>
    <row r="501" spans="1:3" hidden="1" x14ac:dyDescent="0.3">
      <c r="A501" s="35"/>
      <c r="C501" s="18"/>
    </row>
    <row r="502" spans="1:3" hidden="1" x14ac:dyDescent="0.3">
      <c r="A502" s="35"/>
      <c r="C502" s="18"/>
    </row>
    <row r="503" spans="1:3" hidden="1" x14ac:dyDescent="0.3">
      <c r="A503" s="35"/>
      <c r="C503" s="18"/>
    </row>
    <row r="504" spans="1:3" hidden="1" x14ac:dyDescent="0.3">
      <c r="A504" s="35"/>
      <c r="C504" s="18"/>
    </row>
    <row r="505" spans="1:3" hidden="1" x14ac:dyDescent="0.3">
      <c r="A505" s="35"/>
      <c r="C505" s="18"/>
    </row>
    <row r="506" spans="1:3" hidden="1" x14ac:dyDescent="0.3">
      <c r="A506" s="35"/>
      <c r="C506" s="18"/>
    </row>
    <row r="507" spans="1:3" hidden="1" x14ac:dyDescent="0.3">
      <c r="A507" s="35"/>
      <c r="C507" s="18"/>
    </row>
    <row r="508" spans="1:3" hidden="1" x14ac:dyDescent="0.3">
      <c r="A508" s="35"/>
      <c r="C508" s="18"/>
    </row>
    <row r="509" spans="1:3" hidden="1" x14ac:dyDescent="0.3">
      <c r="A509" s="35"/>
      <c r="C509" s="18"/>
    </row>
    <row r="510" spans="1:3" hidden="1" x14ac:dyDescent="0.3">
      <c r="A510" s="35"/>
      <c r="C510" s="18"/>
    </row>
    <row r="511" spans="1:3" hidden="1" x14ac:dyDescent="0.3">
      <c r="A511" s="35"/>
      <c r="C511" s="18"/>
    </row>
    <row r="512" spans="1:3" hidden="1" x14ac:dyDescent="0.3">
      <c r="A512" s="35"/>
      <c r="C512" s="18"/>
    </row>
    <row r="513" spans="1:3" hidden="1" x14ac:dyDescent="0.3">
      <c r="A513" s="35"/>
      <c r="C513" s="18"/>
    </row>
    <row r="514" spans="1:3" hidden="1" x14ac:dyDescent="0.3">
      <c r="A514" s="35"/>
      <c r="C514" s="18"/>
    </row>
    <row r="515" spans="1:3" hidden="1" x14ac:dyDescent="0.3">
      <c r="A515" s="35"/>
      <c r="C515" s="18"/>
    </row>
    <row r="516" spans="1:3" hidden="1" x14ac:dyDescent="0.3">
      <c r="A516" s="35"/>
      <c r="C516" s="18"/>
    </row>
    <row r="517" spans="1:3" hidden="1" x14ac:dyDescent="0.3">
      <c r="A517" s="35"/>
      <c r="C517" s="18"/>
    </row>
    <row r="518" spans="1:3" hidden="1" x14ac:dyDescent="0.3">
      <c r="A518" s="35"/>
      <c r="C518" s="18"/>
    </row>
    <row r="519" spans="1:3" hidden="1" x14ac:dyDescent="0.3">
      <c r="A519" s="35"/>
      <c r="C519" s="18"/>
    </row>
    <row r="520" spans="1:3" hidden="1" x14ac:dyDescent="0.3">
      <c r="A520" s="35"/>
      <c r="C520" s="18"/>
    </row>
    <row r="521" spans="1:3" hidden="1" x14ac:dyDescent="0.3">
      <c r="A521" s="35"/>
      <c r="C521" s="18"/>
    </row>
    <row r="522" spans="1:3" hidden="1" x14ac:dyDescent="0.3">
      <c r="A522" s="35"/>
      <c r="C522" s="18"/>
    </row>
    <row r="523" spans="1:3" hidden="1" x14ac:dyDescent="0.3">
      <c r="A523" s="35"/>
      <c r="C523" s="18"/>
    </row>
    <row r="524" spans="1:3" hidden="1" x14ac:dyDescent="0.3">
      <c r="A524" s="35"/>
      <c r="C524" s="18"/>
    </row>
    <row r="525" spans="1:3" hidden="1" x14ac:dyDescent="0.3">
      <c r="A525" s="35"/>
      <c r="C525" s="18"/>
    </row>
    <row r="526" spans="1:3" hidden="1" x14ac:dyDescent="0.3">
      <c r="A526" s="35"/>
      <c r="C526" s="18"/>
    </row>
    <row r="527" spans="1:3" hidden="1" x14ac:dyDescent="0.3">
      <c r="A527" s="35"/>
      <c r="C527" s="18"/>
    </row>
    <row r="528" spans="1:3" hidden="1" x14ac:dyDescent="0.3">
      <c r="A528" s="35"/>
      <c r="C528" s="18"/>
    </row>
    <row r="529" spans="1:3" hidden="1" x14ac:dyDescent="0.3">
      <c r="A529" s="35"/>
      <c r="C529" s="18"/>
    </row>
    <row r="530" spans="1:3" hidden="1" x14ac:dyDescent="0.3">
      <c r="A530" s="35"/>
      <c r="C530" s="18"/>
    </row>
    <row r="531" spans="1:3" hidden="1" x14ac:dyDescent="0.3">
      <c r="A531" s="35"/>
      <c r="C531" s="18"/>
    </row>
    <row r="532" spans="1:3" hidden="1" x14ac:dyDescent="0.3">
      <c r="A532" s="35"/>
      <c r="C532" s="18"/>
    </row>
    <row r="533" spans="1:3" hidden="1" x14ac:dyDescent="0.3">
      <c r="A533" s="35"/>
      <c r="C533" s="18"/>
    </row>
    <row r="534" spans="1:3" hidden="1" x14ac:dyDescent="0.3">
      <c r="A534" s="35"/>
      <c r="C534" s="18"/>
    </row>
    <row r="535" spans="1:3" hidden="1" x14ac:dyDescent="0.3">
      <c r="A535" s="35"/>
      <c r="C535" s="18"/>
    </row>
    <row r="536" spans="1:3" hidden="1" x14ac:dyDescent="0.3">
      <c r="A536" s="35"/>
      <c r="C536" s="18"/>
    </row>
    <row r="537" spans="1:3" hidden="1" x14ac:dyDescent="0.3">
      <c r="A537" s="35"/>
    </row>
    <row r="538" spans="1:3" hidden="1" x14ac:dyDescent="0.3">
      <c r="A538" s="35"/>
    </row>
    <row r="539" spans="1:3" hidden="1" x14ac:dyDescent="0.3">
      <c r="A539" s="35"/>
    </row>
    <row r="540" spans="1:3" hidden="1" x14ac:dyDescent="0.3">
      <c r="A540" s="35"/>
    </row>
    <row r="541" spans="1:3" hidden="1" x14ac:dyDescent="0.3">
      <c r="A541" s="35"/>
    </row>
    <row r="542" spans="1:3" hidden="1" x14ac:dyDescent="0.3">
      <c r="A542" s="35"/>
    </row>
    <row r="543" spans="1:3" hidden="1" x14ac:dyDescent="0.3">
      <c r="A543" s="35"/>
    </row>
    <row r="544" spans="1:3" hidden="1" x14ac:dyDescent="0.3">
      <c r="A544" s="35"/>
    </row>
    <row r="545" spans="1:1" hidden="1" x14ac:dyDescent="0.3">
      <c r="A545" s="35"/>
    </row>
    <row r="546" spans="1:1" hidden="1" x14ac:dyDescent="0.3">
      <c r="A546" s="35"/>
    </row>
    <row r="547" spans="1:1" hidden="1" x14ac:dyDescent="0.3">
      <c r="A547" s="35"/>
    </row>
    <row r="548" spans="1:1" hidden="1" x14ac:dyDescent="0.3">
      <c r="A548" s="35"/>
    </row>
    <row r="549" spans="1:1" hidden="1" x14ac:dyDescent="0.3">
      <c r="A549" s="35"/>
    </row>
    <row r="550" spans="1:1" hidden="1" x14ac:dyDescent="0.3">
      <c r="A550" s="35"/>
    </row>
    <row r="551" spans="1:1" hidden="1" x14ac:dyDescent="0.3">
      <c r="A551" s="35"/>
    </row>
    <row r="552" spans="1:1" hidden="1" x14ac:dyDescent="0.3">
      <c r="A552" s="35"/>
    </row>
    <row r="553" spans="1:1" hidden="1" x14ac:dyDescent="0.3">
      <c r="A553" s="35"/>
    </row>
    <row r="554" spans="1:1" hidden="1" x14ac:dyDescent="0.3">
      <c r="A554" s="35"/>
    </row>
    <row r="555" spans="1:1" hidden="1" x14ac:dyDescent="0.3">
      <c r="A555" s="35"/>
    </row>
    <row r="556" spans="1:1" hidden="1" x14ac:dyDescent="0.3">
      <c r="A556" s="35"/>
    </row>
    <row r="557" spans="1:1" hidden="1" x14ac:dyDescent="0.3">
      <c r="A557" s="35"/>
    </row>
    <row r="558" spans="1:1" hidden="1" x14ac:dyDescent="0.3">
      <c r="A558" s="35"/>
    </row>
    <row r="559" spans="1:1" hidden="1" x14ac:dyDescent="0.3">
      <c r="A559" s="35"/>
    </row>
    <row r="560" spans="1:1" hidden="1" x14ac:dyDescent="0.3">
      <c r="A560" s="35"/>
    </row>
    <row r="561" spans="1:1" hidden="1" x14ac:dyDescent="0.3">
      <c r="A561" s="35"/>
    </row>
    <row r="562" spans="1:1" hidden="1" x14ac:dyDescent="0.3">
      <c r="A562" s="35"/>
    </row>
    <row r="563" spans="1:1" hidden="1" x14ac:dyDescent="0.3">
      <c r="A563" s="35"/>
    </row>
    <row r="564" spans="1:1" hidden="1" x14ac:dyDescent="0.3">
      <c r="A564" s="35"/>
    </row>
    <row r="565" spans="1:1" hidden="1" x14ac:dyDescent="0.3">
      <c r="A565" s="35"/>
    </row>
    <row r="566" spans="1:1" hidden="1" x14ac:dyDescent="0.3">
      <c r="A566" s="35"/>
    </row>
    <row r="567" spans="1:1" hidden="1" x14ac:dyDescent="0.3">
      <c r="A567" s="35"/>
    </row>
    <row r="568" spans="1:1" hidden="1" x14ac:dyDescent="0.3">
      <c r="A568" s="35"/>
    </row>
    <row r="569" spans="1:1" hidden="1" x14ac:dyDescent="0.3">
      <c r="A569" s="35"/>
    </row>
    <row r="570" spans="1:1" hidden="1" x14ac:dyDescent="0.3">
      <c r="A570" s="35"/>
    </row>
    <row r="571" spans="1:1" hidden="1" x14ac:dyDescent="0.3">
      <c r="A571" s="35"/>
    </row>
    <row r="572" spans="1:1" hidden="1" x14ac:dyDescent="0.3">
      <c r="A572" s="35"/>
    </row>
    <row r="573" spans="1:1" hidden="1" x14ac:dyDescent="0.3">
      <c r="A573" s="35"/>
    </row>
    <row r="574" spans="1:1" hidden="1" x14ac:dyDescent="0.3">
      <c r="A574" s="35"/>
    </row>
    <row r="575" spans="1:1" hidden="1" x14ac:dyDescent="0.3">
      <c r="A575" s="35"/>
    </row>
    <row r="576" spans="1:1" hidden="1" x14ac:dyDescent="0.3">
      <c r="A576" s="35"/>
    </row>
    <row r="577" spans="1:1" hidden="1" x14ac:dyDescent="0.3">
      <c r="A577" s="35"/>
    </row>
    <row r="578" spans="1:1" hidden="1" x14ac:dyDescent="0.3">
      <c r="A578" s="35"/>
    </row>
    <row r="579" spans="1:1" hidden="1" x14ac:dyDescent="0.3">
      <c r="A579" s="35"/>
    </row>
    <row r="580" spans="1:1" hidden="1" x14ac:dyDescent="0.3">
      <c r="A580" s="35"/>
    </row>
    <row r="581" spans="1:1" hidden="1" x14ac:dyDescent="0.3">
      <c r="A581" s="35"/>
    </row>
    <row r="582" spans="1:1" hidden="1" x14ac:dyDescent="0.3">
      <c r="A582" s="35"/>
    </row>
    <row r="583" spans="1:1" hidden="1" x14ac:dyDescent="0.3">
      <c r="A583" s="35"/>
    </row>
    <row r="584" spans="1:1" hidden="1" x14ac:dyDescent="0.3">
      <c r="A584" s="35"/>
    </row>
    <row r="585" spans="1:1" hidden="1" x14ac:dyDescent="0.3">
      <c r="A585" s="35"/>
    </row>
    <row r="586" spans="1:1" hidden="1" x14ac:dyDescent="0.3">
      <c r="A586" s="35"/>
    </row>
    <row r="587" spans="1:1" hidden="1" x14ac:dyDescent="0.3">
      <c r="A587" s="35"/>
    </row>
    <row r="588" spans="1:1" hidden="1" x14ac:dyDescent="0.3">
      <c r="A588" s="35"/>
    </row>
    <row r="589" spans="1:1" hidden="1" x14ac:dyDescent="0.3">
      <c r="A589" s="35"/>
    </row>
    <row r="590" spans="1:1" hidden="1" x14ac:dyDescent="0.3">
      <c r="A590" s="35"/>
    </row>
    <row r="591" spans="1:1" hidden="1" x14ac:dyDescent="0.3">
      <c r="A591" s="35"/>
    </row>
    <row r="592" spans="1:1" hidden="1" x14ac:dyDescent="0.3">
      <c r="A592" s="35"/>
    </row>
    <row r="593" spans="1:1" hidden="1" x14ac:dyDescent="0.3">
      <c r="A593" s="35"/>
    </row>
    <row r="594" spans="1:1" hidden="1" x14ac:dyDescent="0.3">
      <c r="A594" s="35"/>
    </row>
    <row r="595" spans="1:1" hidden="1" x14ac:dyDescent="0.3">
      <c r="A595" s="35"/>
    </row>
    <row r="596" spans="1:1" hidden="1" x14ac:dyDescent="0.3">
      <c r="A596" s="35"/>
    </row>
    <row r="597" spans="1:1" hidden="1" x14ac:dyDescent="0.3">
      <c r="A597" s="35"/>
    </row>
    <row r="598" spans="1:1" hidden="1" x14ac:dyDescent="0.3">
      <c r="A598" s="35"/>
    </row>
    <row r="599" spans="1:1" hidden="1" x14ac:dyDescent="0.3">
      <c r="A599" s="35"/>
    </row>
    <row r="600" spans="1:1" hidden="1" x14ac:dyDescent="0.3">
      <c r="A600" s="35"/>
    </row>
    <row r="601" spans="1:1" hidden="1" x14ac:dyDescent="0.3">
      <c r="A601" s="35"/>
    </row>
    <row r="602" spans="1:1" hidden="1" x14ac:dyDescent="0.3">
      <c r="A602" s="35"/>
    </row>
    <row r="603" spans="1:1" hidden="1" x14ac:dyDescent="0.3">
      <c r="A603" s="35"/>
    </row>
    <row r="604" spans="1:1" hidden="1" x14ac:dyDescent="0.3">
      <c r="A604" s="35"/>
    </row>
    <row r="605" spans="1:1" hidden="1" x14ac:dyDescent="0.3">
      <c r="A605" s="35"/>
    </row>
    <row r="606" spans="1:1" hidden="1" x14ac:dyDescent="0.3">
      <c r="A606" s="35"/>
    </row>
    <row r="607" spans="1:1" hidden="1" x14ac:dyDescent="0.3">
      <c r="A607" s="35"/>
    </row>
    <row r="608" spans="1:1" hidden="1" x14ac:dyDescent="0.3">
      <c r="A608" s="35"/>
    </row>
    <row r="609" spans="1:1" hidden="1" x14ac:dyDescent="0.3">
      <c r="A609" s="35"/>
    </row>
    <row r="610" spans="1:1" hidden="1" x14ac:dyDescent="0.3">
      <c r="A610" s="35"/>
    </row>
    <row r="611" spans="1:1" hidden="1" x14ac:dyDescent="0.3">
      <c r="A611" s="35"/>
    </row>
    <row r="612" spans="1:1" hidden="1" x14ac:dyDescent="0.3">
      <c r="A612" s="35"/>
    </row>
    <row r="613" spans="1:1" hidden="1" x14ac:dyDescent="0.3">
      <c r="A613" s="35"/>
    </row>
    <row r="614" spans="1:1" hidden="1" x14ac:dyDescent="0.3">
      <c r="A614" s="35"/>
    </row>
    <row r="615" spans="1:1" hidden="1" x14ac:dyDescent="0.3">
      <c r="A615" s="35"/>
    </row>
    <row r="616" spans="1:1" hidden="1" x14ac:dyDescent="0.3">
      <c r="A616" s="35"/>
    </row>
    <row r="617" spans="1:1" hidden="1" x14ac:dyDescent="0.3">
      <c r="A617" s="35"/>
    </row>
    <row r="618" spans="1:1" hidden="1" x14ac:dyDescent="0.3">
      <c r="A618" s="35"/>
    </row>
    <row r="619" spans="1:1" hidden="1" x14ac:dyDescent="0.3">
      <c r="A619" s="35"/>
    </row>
    <row r="620" spans="1:1" hidden="1" x14ac:dyDescent="0.3">
      <c r="A620" s="35"/>
    </row>
    <row r="621" spans="1:1" hidden="1" x14ac:dyDescent="0.3">
      <c r="A621" s="35"/>
    </row>
    <row r="622" spans="1:1" hidden="1" x14ac:dyDescent="0.3">
      <c r="A622" s="35"/>
    </row>
    <row r="623" spans="1:1" hidden="1" x14ac:dyDescent="0.3">
      <c r="A623" s="35"/>
    </row>
    <row r="624" spans="1:1" hidden="1" x14ac:dyDescent="0.3">
      <c r="A624" s="35"/>
    </row>
    <row r="625" spans="1:1" hidden="1" x14ac:dyDescent="0.3">
      <c r="A625" s="35"/>
    </row>
    <row r="626" spans="1:1" hidden="1" x14ac:dyDescent="0.3">
      <c r="A626" s="35"/>
    </row>
    <row r="627" spans="1:1" hidden="1" x14ac:dyDescent="0.3">
      <c r="A627" s="35"/>
    </row>
    <row r="628" spans="1:1" hidden="1" x14ac:dyDescent="0.3">
      <c r="A628" s="35"/>
    </row>
    <row r="629" spans="1:1" hidden="1" x14ac:dyDescent="0.3">
      <c r="A629" s="35"/>
    </row>
    <row r="630" spans="1:1" hidden="1" x14ac:dyDescent="0.3">
      <c r="A630" s="35"/>
    </row>
    <row r="631" spans="1:1" hidden="1" x14ac:dyDescent="0.3">
      <c r="A631" s="35"/>
    </row>
    <row r="632" spans="1:1" hidden="1" x14ac:dyDescent="0.3">
      <c r="A632" s="35"/>
    </row>
    <row r="633" spans="1:1" hidden="1" x14ac:dyDescent="0.3">
      <c r="A633" s="35"/>
    </row>
    <row r="634" spans="1:1" hidden="1" x14ac:dyDescent="0.3">
      <c r="A634" s="35"/>
    </row>
    <row r="635" spans="1:1" hidden="1" x14ac:dyDescent="0.3">
      <c r="A635" s="35"/>
    </row>
    <row r="636" spans="1:1" hidden="1" x14ac:dyDescent="0.3">
      <c r="A636" s="35"/>
    </row>
    <row r="637" spans="1:1" hidden="1" x14ac:dyDescent="0.3">
      <c r="A637" s="35"/>
    </row>
    <row r="638" spans="1:1" hidden="1" x14ac:dyDescent="0.3">
      <c r="A638" s="35"/>
    </row>
    <row r="639" spans="1:1" hidden="1" x14ac:dyDescent="0.3">
      <c r="A639" s="35"/>
    </row>
    <row r="640" spans="1:1" hidden="1" x14ac:dyDescent="0.3">
      <c r="A640" s="35"/>
    </row>
    <row r="641" spans="1:1" hidden="1" x14ac:dyDescent="0.3">
      <c r="A641" s="35"/>
    </row>
    <row r="642" spans="1:1" hidden="1" x14ac:dyDescent="0.3">
      <c r="A642" s="35"/>
    </row>
    <row r="643" spans="1:1" hidden="1" x14ac:dyDescent="0.3">
      <c r="A643" s="35"/>
    </row>
    <row r="644" spans="1:1" hidden="1" x14ac:dyDescent="0.3">
      <c r="A644" s="35"/>
    </row>
    <row r="645" spans="1:1" hidden="1" x14ac:dyDescent="0.3">
      <c r="A645" s="35"/>
    </row>
    <row r="646" spans="1:1" hidden="1" x14ac:dyDescent="0.3">
      <c r="A646" s="35"/>
    </row>
    <row r="647" spans="1:1" hidden="1" x14ac:dyDescent="0.3">
      <c r="A647" s="35"/>
    </row>
    <row r="648" spans="1:1" hidden="1" x14ac:dyDescent="0.3">
      <c r="A648" s="35"/>
    </row>
    <row r="649" spans="1:1" hidden="1" x14ac:dyDescent="0.3">
      <c r="A649" s="35"/>
    </row>
    <row r="650" spans="1:1" hidden="1" x14ac:dyDescent="0.3">
      <c r="A650" s="35"/>
    </row>
    <row r="651" spans="1:1" hidden="1" x14ac:dyDescent="0.3">
      <c r="A651" s="35"/>
    </row>
    <row r="652" spans="1:1" hidden="1" x14ac:dyDescent="0.3">
      <c r="A652" s="35"/>
    </row>
    <row r="653" spans="1:1" hidden="1" x14ac:dyDescent="0.3">
      <c r="A653" s="35"/>
    </row>
    <row r="654" spans="1:1" hidden="1" x14ac:dyDescent="0.3">
      <c r="A654" s="35"/>
    </row>
    <row r="655" spans="1:1" hidden="1" x14ac:dyDescent="0.3">
      <c r="A655" s="35"/>
    </row>
    <row r="656" spans="1:1" hidden="1" x14ac:dyDescent="0.3">
      <c r="A656" s="35"/>
    </row>
    <row r="657" spans="1:1" hidden="1" x14ac:dyDescent="0.3">
      <c r="A657" s="35"/>
    </row>
    <row r="658" spans="1:1" hidden="1" x14ac:dyDescent="0.3">
      <c r="A658" s="35"/>
    </row>
    <row r="659" spans="1:1" hidden="1" x14ac:dyDescent="0.3">
      <c r="A659" s="35"/>
    </row>
    <row r="660" spans="1:1" hidden="1" x14ac:dyDescent="0.3">
      <c r="A660" s="35"/>
    </row>
    <row r="661" spans="1:1" hidden="1" x14ac:dyDescent="0.3">
      <c r="A661" s="35"/>
    </row>
    <row r="662" spans="1:1" hidden="1" x14ac:dyDescent="0.3">
      <c r="A662" s="35"/>
    </row>
    <row r="663" spans="1:1" hidden="1" x14ac:dyDescent="0.3">
      <c r="A663" s="35"/>
    </row>
    <row r="664" spans="1:1" hidden="1" x14ac:dyDescent="0.3">
      <c r="A664" s="35"/>
    </row>
    <row r="665" spans="1:1" hidden="1" x14ac:dyDescent="0.3">
      <c r="A665" s="35"/>
    </row>
    <row r="666" spans="1:1" hidden="1" x14ac:dyDescent="0.3">
      <c r="A666" s="35"/>
    </row>
    <row r="667" spans="1:1" hidden="1" x14ac:dyDescent="0.3">
      <c r="A667" s="35"/>
    </row>
    <row r="668" spans="1:1" hidden="1" x14ac:dyDescent="0.3">
      <c r="A668" s="35"/>
    </row>
    <row r="669" spans="1:1" hidden="1" x14ac:dyDescent="0.3">
      <c r="A669" s="35"/>
    </row>
    <row r="670" spans="1:1" hidden="1" x14ac:dyDescent="0.3">
      <c r="A670" s="35"/>
    </row>
    <row r="671" spans="1:1" hidden="1" x14ac:dyDescent="0.3">
      <c r="A671" s="35"/>
    </row>
    <row r="672" spans="1:1" hidden="1" x14ac:dyDescent="0.3">
      <c r="A672" s="35"/>
    </row>
    <row r="673" spans="1:1" hidden="1" x14ac:dyDescent="0.3">
      <c r="A673" s="35"/>
    </row>
    <row r="674" spans="1:1" hidden="1" x14ac:dyDescent="0.3">
      <c r="A674" s="35"/>
    </row>
    <row r="675" spans="1:1" hidden="1" x14ac:dyDescent="0.3">
      <c r="A675" s="35"/>
    </row>
    <row r="676" spans="1:1" hidden="1" x14ac:dyDescent="0.3">
      <c r="A676" s="35"/>
    </row>
    <row r="677" spans="1:1" hidden="1" x14ac:dyDescent="0.3">
      <c r="A677" s="35"/>
    </row>
    <row r="678" spans="1:1" hidden="1" x14ac:dyDescent="0.3">
      <c r="A678" s="35"/>
    </row>
    <row r="679" spans="1:1" hidden="1" x14ac:dyDescent="0.3">
      <c r="A679" s="35"/>
    </row>
    <row r="680" spans="1:1" hidden="1" x14ac:dyDescent="0.3">
      <c r="A680" s="35"/>
    </row>
    <row r="681" spans="1:1" hidden="1" x14ac:dyDescent="0.3">
      <c r="A681" s="35"/>
    </row>
    <row r="682" spans="1:1" hidden="1" x14ac:dyDescent="0.3">
      <c r="A682" s="35"/>
    </row>
    <row r="683" spans="1:1" hidden="1" x14ac:dyDescent="0.3">
      <c r="A683" s="35"/>
    </row>
    <row r="684" spans="1:1" hidden="1" x14ac:dyDescent="0.3">
      <c r="A684" s="35"/>
    </row>
    <row r="685" spans="1:1" hidden="1" x14ac:dyDescent="0.3">
      <c r="A685" s="35"/>
    </row>
    <row r="686" spans="1:1" hidden="1" x14ac:dyDescent="0.3">
      <c r="A686" s="35"/>
    </row>
    <row r="687" spans="1:1" hidden="1" x14ac:dyDescent="0.3">
      <c r="A687" s="35"/>
    </row>
    <row r="688" spans="1:1" hidden="1" x14ac:dyDescent="0.3">
      <c r="A688" s="35"/>
    </row>
    <row r="689" spans="1:1" hidden="1" x14ac:dyDescent="0.3">
      <c r="A689" s="35"/>
    </row>
    <row r="690" spans="1:1" hidden="1" x14ac:dyDescent="0.3">
      <c r="A690" s="35"/>
    </row>
    <row r="691" spans="1:1" hidden="1" x14ac:dyDescent="0.3">
      <c r="A691" s="35"/>
    </row>
    <row r="692" spans="1:1" hidden="1" x14ac:dyDescent="0.3">
      <c r="A692" s="35"/>
    </row>
    <row r="693" spans="1:1" hidden="1" x14ac:dyDescent="0.3">
      <c r="A693" s="35"/>
    </row>
    <row r="694" spans="1:1" hidden="1" x14ac:dyDescent="0.3">
      <c r="A694" s="35"/>
    </row>
    <row r="695" spans="1:1" hidden="1" x14ac:dyDescent="0.3">
      <c r="A695" s="35"/>
    </row>
    <row r="696" spans="1:1" hidden="1" x14ac:dyDescent="0.3">
      <c r="A696" s="35"/>
    </row>
    <row r="697" spans="1:1" hidden="1" x14ac:dyDescent="0.3">
      <c r="A697" s="35"/>
    </row>
    <row r="698" spans="1:1" hidden="1" x14ac:dyDescent="0.3">
      <c r="A698" s="35"/>
    </row>
    <row r="699" spans="1:1" hidden="1" x14ac:dyDescent="0.3">
      <c r="A699" s="35"/>
    </row>
    <row r="700" spans="1:1" hidden="1" x14ac:dyDescent="0.3">
      <c r="A700" s="35"/>
    </row>
    <row r="701" spans="1:1" hidden="1" x14ac:dyDescent="0.3">
      <c r="A701" s="35"/>
    </row>
    <row r="702" spans="1:1" hidden="1" x14ac:dyDescent="0.3">
      <c r="A702" s="35"/>
    </row>
    <row r="703" spans="1:1" hidden="1" x14ac:dyDescent="0.3">
      <c r="A703" s="35"/>
    </row>
    <row r="704" spans="1:1" hidden="1" x14ac:dyDescent="0.3">
      <c r="A704" s="35"/>
    </row>
    <row r="705" spans="1:1" hidden="1" x14ac:dyDescent="0.3">
      <c r="A705" s="35"/>
    </row>
    <row r="706" spans="1:1" hidden="1" x14ac:dyDescent="0.3">
      <c r="A706" s="35"/>
    </row>
    <row r="707" spans="1:1" hidden="1" x14ac:dyDescent="0.3">
      <c r="A707" s="35"/>
    </row>
    <row r="708" spans="1:1" hidden="1" x14ac:dyDescent="0.3">
      <c r="A708" s="35"/>
    </row>
    <row r="709" spans="1:1" hidden="1" x14ac:dyDescent="0.3">
      <c r="A709" s="35"/>
    </row>
    <row r="710" spans="1:1" hidden="1" x14ac:dyDescent="0.3">
      <c r="A710" s="35"/>
    </row>
    <row r="711" spans="1:1" hidden="1" x14ac:dyDescent="0.3">
      <c r="A711" s="35"/>
    </row>
    <row r="712" spans="1:1" hidden="1" x14ac:dyDescent="0.3">
      <c r="A712" s="35"/>
    </row>
    <row r="713" spans="1:1" hidden="1" x14ac:dyDescent="0.3">
      <c r="A713" s="35"/>
    </row>
    <row r="714" spans="1:1" hidden="1" x14ac:dyDescent="0.3">
      <c r="A714" s="35"/>
    </row>
    <row r="715" spans="1:1" hidden="1" x14ac:dyDescent="0.3">
      <c r="A715" s="35"/>
    </row>
    <row r="716" spans="1:1" hidden="1" x14ac:dyDescent="0.3">
      <c r="A716" s="35"/>
    </row>
    <row r="717" spans="1:1" hidden="1" x14ac:dyDescent="0.3">
      <c r="A717" s="35"/>
    </row>
    <row r="718" spans="1:1" hidden="1" x14ac:dyDescent="0.3">
      <c r="A718" s="35"/>
    </row>
    <row r="719" spans="1:1" hidden="1" x14ac:dyDescent="0.3">
      <c r="A719" s="35"/>
    </row>
    <row r="720" spans="1:1" hidden="1" x14ac:dyDescent="0.3">
      <c r="A720" s="35"/>
    </row>
    <row r="721" spans="1:1" hidden="1" x14ac:dyDescent="0.3">
      <c r="A721" s="35"/>
    </row>
    <row r="722" spans="1:1" hidden="1" x14ac:dyDescent="0.3">
      <c r="A722" s="35"/>
    </row>
    <row r="723" spans="1:1" hidden="1" x14ac:dyDescent="0.3">
      <c r="A723" s="35"/>
    </row>
    <row r="724" spans="1:1" hidden="1" x14ac:dyDescent="0.3">
      <c r="A724" s="35"/>
    </row>
    <row r="725" spans="1:1" hidden="1" x14ac:dyDescent="0.3">
      <c r="A725" s="35"/>
    </row>
    <row r="726" spans="1:1" hidden="1" x14ac:dyDescent="0.3">
      <c r="A726" s="35"/>
    </row>
    <row r="727" spans="1:1" hidden="1" x14ac:dyDescent="0.3">
      <c r="A727" s="35"/>
    </row>
    <row r="728" spans="1:1" hidden="1" x14ac:dyDescent="0.3">
      <c r="A728" s="35"/>
    </row>
    <row r="729" spans="1:1" hidden="1" x14ac:dyDescent="0.3">
      <c r="A729" s="35"/>
    </row>
    <row r="730" spans="1:1" hidden="1" x14ac:dyDescent="0.3">
      <c r="A730" s="35"/>
    </row>
    <row r="731" spans="1:1" hidden="1" x14ac:dyDescent="0.3">
      <c r="A731" s="35"/>
    </row>
    <row r="732" spans="1:1" hidden="1" x14ac:dyDescent="0.3">
      <c r="A732" s="35"/>
    </row>
    <row r="733" spans="1:1" hidden="1" x14ac:dyDescent="0.3">
      <c r="A733" s="35"/>
    </row>
    <row r="734" spans="1:1" hidden="1" x14ac:dyDescent="0.3">
      <c r="A734" s="35"/>
    </row>
    <row r="735" spans="1:1" hidden="1" x14ac:dyDescent="0.3">
      <c r="A735" s="35"/>
    </row>
    <row r="736" spans="1:1" hidden="1" x14ac:dyDescent="0.3">
      <c r="A736" s="35"/>
    </row>
    <row r="737" spans="1:1" hidden="1" x14ac:dyDescent="0.3">
      <c r="A737" s="35"/>
    </row>
    <row r="738" spans="1:1" hidden="1" x14ac:dyDescent="0.3">
      <c r="A738" s="35"/>
    </row>
    <row r="739" spans="1:1" hidden="1" x14ac:dyDescent="0.3">
      <c r="A739" s="35"/>
    </row>
    <row r="740" spans="1:1" hidden="1" x14ac:dyDescent="0.3">
      <c r="A740" s="35"/>
    </row>
    <row r="741" spans="1:1" hidden="1" x14ac:dyDescent="0.3">
      <c r="A741" s="35"/>
    </row>
    <row r="742" spans="1:1" hidden="1" x14ac:dyDescent="0.3">
      <c r="A742" s="35"/>
    </row>
    <row r="743" spans="1:1" hidden="1" x14ac:dyDescent="0.3">
      <c r="A743" s="35"/>
    </row>
    <row r="744" spans="1:1" hidden="1" x14ac:dyDescent="0.3">
      <c r="A744" s="35"/>
    </row>
    <row r="745" spans="1:1" hidden="1" x14ac:dyDescent="0.3">
      <c r="A745" s="35"/>
    </row>
    <row r="746" spans="1:1" hidden="1" x14ac:dyDescent="0.3">
      <c r="A746" s="35"/>
    </row>
    <row r="747" spans="1:1" hidden="1" x14ac:dyDescent="0.3">
      <c r="A747" s="35"/>
    </row>
    <row r="748" spans="1:1" hidden="1" x14ac:dyDescent="0.3">
      <c r="A748" s="35"/>
    </row>
    <row r="749" spans="1:1" hidden="1" x14ac:dyDescent="0.3">
      <c r="A749" s="35"/>
    </row>
    <row r="750" spans="1:1" hidden="1" x14ac:dyDescent="0.3">
      <c r="A750" s="35"/>
    </row>
    <row r="751" spans="1:1" hidden="1" x14ac:dyDescent="0.3">
      <c r="A751" s="35"/>
    </row>
    <row r="752" spans="1:1" hidden="1" x14ac:dyDescent="0.3">
      <c r="A752" s="35"/>
    </row>
    <row r="753" spans="1:1" hidden="1" x14ac:dyDescent="0.3">
      <c r="A753" s="35"/>
    </row>
    <row r="754" spans="1:1" hidden="1" x14ac:dyDescent="0.3">
      <c r="A754" s="35"/>
    </row>
    <row r="755" spans="1:1" hidden="1" x14ac:dyDescent="0.3">
      <c r="A755" s="35"/>
    </row>
    <row r="756" spans="1:1" hidden="1" x14ac:dyDescent="0.3">
      <c r="A756" s="35"/>
    </row>
    <row r="757" spans="1:1" hidden="1" x14ac:dyDescent="0.3">
      <c r="A757" s="35"/>
    </row>
    <row r="758" spans="1:1" hidden="1" x14ac:dyDescent="0.3">
      <c r="A758" s="35"/>
    </row>
    <row r="759" spans="1:1" hidden="1" x14ac:dyDescent="0.3">
      <c r="A759" s="35"/>
    </row>
    <row r="760" spans="1:1" hidden="1" x14ac:dyDescent="0.3">
      <c r="A760" s="35"/>
    </row>
    <row r="761" spans="1:1" hidden="1" x14ac:dyDescent="0.3">
      <c r="A761" s="35"/>
    </row>
    <row r="762" spans="1:1" hidden="1" x14ac:dyDescent="0.3">
      <c r="A762" s="35"/>
    </row>
    <row r="763" spans="1:1" hidden="1" x14ac:dyDescent="0.3">
      <c r="A763" s="35"/>
    </row>
    <row r="764" spans="1:1" hidden="1" x14ac:dyDescent="0.3">
      <c r="A764" s="35"/>
    </row>
    <row r="765" spans="1:1" hidden="1" x14ac:dyDescent="0.3">
      <c r="A765" s="35"/>
    </row>
    <row r="766" spans="1:1" hidden="1" x14ac:dyDescent="0.3">
      <c r="A766" s="35"/>
    </row>
    <row r="767" spans="1:1" hidden="1" x14ac:dyDescent="0.3">
      <c r="A767" s="35"/>
    </row>
    <row r="768" spans="1:1" hidden="1" x14ac:dyDescent="0.3">
      <c r="A768" s="35"/>
    </row>
    <row r="769" spans="1:1" hidden="1" x14ac:dyDescent="0.3">
      <c r="A769" s="35"/>
    </row>
    <row r="770" spans="1:1" hidden="1" x14ac:dyDescent="0.3">
      <c r="A770" s="35"/>
    </row>
    <row r="771" spans="1:1" hidden="1" x14ac:dyDescent="0.3">
      <c r="A771" s="35"/>
    </row>
    <row r="772" spans="1:1" hidden="1" x14ac:dyDescent="0.3">
      <c r="A772" s="35"/>
    </row>
    <row r="773" spans="1:1" hidden="1" x14ac:dyDescent="0.3">
      <c r="A773" s="35"/>
    </row>
    <row r="774" spans="1:1" hidden="1" x14ac:dyDescent="0.3">
      <c r="A774" s="35"/>
    </row>
    <row r="775" spans="1:1" hidden="1" x14ac:dyDescent="0.3">
      <c r="A775" s="35"/>
    </row>
    <row r="776" spans="1:1" hidden="1" x14ac:dyDescent="0.3">
      <c r="A776" s="35"/>
    </row>
    <row r="777" spans="1:1" hidden="1" x14ac:dyDescent="0.3">
      <c r="A777" s="35"/>
    </row>
    <row r="778" spans="1:1" hidden="1" x14ac:dyDescent="0.3">
      <c r="A778" s="35"/>
    </row>
    <row r="779" spans="1:1" hidden="1" x14ac:dyDescent="0.3">
      <c r="A779" s="35"/>
    </row>
    <row r="780" spans="1:1" hidden="1" x14ac:dyDescent="0.3">
      <c r="A780" s="35"/>
    </row>
    <row r="781" spans="1:1" hidden="1" x14ac:dyDescent="0.3">
      <c r="A781" s="35"/>
    </row>
    <row r="782" spans="1:1" hidden="1" x14ac:dyDescent="0.3">
      <c r="A782" s="35"/>
    </row>
    <row r="783" spans="1:1" hidden="1" x14ac:dyDescent="0.3">
      <c r="A783" s="35"/>
    </row>
    <row r="784" spans="1:1" hidden="1" x14ac:dyDescent="0.3">
      <c r="A784" s="35"/>
    </row>
    <row r="785" spans="1:1" hidden="1" x14ac:dyDescent="0.3">
      <c r="A785" s="35"/>
    </row>
    <row r="786" spans="1:1" hidden="1" x14ac:dyDescent="0.3">
      <c r="A786" s="35"/>
    </row>
    <row r="787" spans="1:1" hidden="1" x14ac:dyDescent="0.3">
      <c r="A787" s="35"/>
    </row>
    <row r="788" spans="1:1" hidden="1" x14ac:dyDescent="0.3">
      <c r="A788" s="35"/>
    </row>
    <row r="789" spans="1:1" hidden="1" x14ac:dyDescent="0.3">
      <c r="A789" s="35"/>
    </row>
    <row r="790" spans="1:1" hidden="1" x14ac:dyDescent="0.3">
      <c r="A790" s="35"/>
    </row>
    <row r="791" spans="1:1" hidden="1" x14ac:dyDescent="0.3">
      <c r="A791" s="35"/>
    </row>
    <row r="792" spans="1:1" hidden="1" x14ac:dyDescent="0.3">
      <c r="A792" s="35"/>
    </row>
    <row r="793" spans="1:1" hidden="1" x14ac:dyDescent="0.3">
      <c r="A793" s="35"/>
    </row>
    <row r="794" spans="1:1" hidden="1" x14ac:dyDescent="0.3">
      <c r="A794" s="35"/>
    </row>
    <row r="795" spans="1:1" hidden="1" x14ac:dyDescent="0.3">
      <c r="A795" s="35"/>
    </row>
    <row r="796" spans="1:1" hidden="1" x14ac:dyDescent="0.3">
      <c r="A796" s="35"/>
    </row>
    <row r="797" spans="1:1" hidden="1" x14ac:dyDescent="0.3">
      <c r="A797" s="35"/>
    </row>
    <row r="798" spans="1:1" hidden="1" x14ac:dyDescent="0.3">
      <c r="A798" s="35"/>
    </row>
    <row r="799" spans="1:1" hidden="1" x14ac:dyDescent="0.3">
      <c r="A799" s="35"/>
    </row>
    <row r="800" spans="1:1" hidden="1" x14ac:dyDescent="0.3">
      <c r="A800" s="35"/>
    </row>
    <row r="801" spans="1:1" hidden="1" x14ac:dyDescent="0.3">
      <c r="A801" s="35"/>
    </row>
    <row r="802" spans="1:1" hidden="1" x14ac:dyDescent="0.3">
      <c r="A802" s="35"/>
    </row>
    <row r="803" spans="1:1" hidden="1" x14ac:dyDescent="0.3">
      <c r="A803" s="35"/>
    </row>
    <row r="804" spans="1:1" hidden="1" x14ac:dyDescent="0.3">
      <c r="A804" s="35"/>
    </row>
    <row r="805" spans="1:1" hidden="1" x14ac:dyDescent="0.3">
      <c r="A805" s="35"/>
    </row>
    <row r="806" spans="1:1" hidden="1" x14ac:dyDescent="0.3">
      <c r="A806" s="35"/>
    </row>
    <row r="807" spans="1:1" hidden="1" x14ac:dyDescent="0.3">
      <c r="A807" s="35"/>
    </row>
    <row r="808" spans="1:1" hidden="1" x14ac:dyDescent="0.3">
      <c r="A808" s="35"/>
    </row>
    <row r="809" spans="1:1" hidden="1" x14ac:dyDescent="0.3">
      <c r="A809" s="35"/>
    </row>
    <row r="810" spans="1:1" hidden="1" x14ac:dyDescent="0.3">
      <c r="A810" s="35"/>
    </row>
    <row r="811" spans="1:1" hidden="1" x14ac:dyDescent="0.3">
      <c r="A811" s="35"/>
    </row>
    <row r="812" spans="1:1" hidden="1" x14ac:dyDescent="0.3">
      <c r="A812" s="35"/>
    </row>
    <row r="813" spans="1:1" hidden="1" x14ac:dyDescent="0.3">
      <c r="A813" s="35"/>
    </row>
    <row r="814" spans="1:1" hidden="1" x14ac:dyDescent="0.3">
      <c r="A814" s="35"/>
    </row>
    <row r="815" spans="1:1" hidden="1" x14ac:dyDescent="0.3">
      <c r="A815" s="35"/>
    </row>
    <row r="816" spans="1:1" hidden="1" x14ac:dyDescent="0.3">
      <c r="A816" s="35"/>
    </row>
    <row r="817" spans="1:1" hidden="1" x14ac:dyDescent="0.3">
      <c r="A817" s="35"/>
    </row>
    <row r="818" spans="1:1" hidden="1" x14ac:dyDescent="0.3">
      <c r="A818" s="35"/>
    </row>
    <row r="819" spans="1:1" hidden="1" x14ac:dyDescent="0.3">
      <c r="A819" s="35"/>
    </row>
    <row r="820" spans="1:1" hidden="1" x14ac:dyDescent="0.3">
      <c r="A820" s="35"/>
    </row>
    <row r="821" spans="1:1" hidden="1" x14ac:dyDescent="0.3">
      <c r="A821" s="35"/>
    </row>
    <row r="822" spans="1:1" hidden="1" x14ac:dyDescent="0.3">
      <c r="A822" s="35"/>
    </row>
    <row r="823" spans="1:1" hidden="1" x14ac:dyDescent="0.3">
      <c r="A823" s="35"/>
    </row>
    <row r="824" spans="1:1" hidden="1" x14ac:dyDescent="0.3">
      <c r="A824" s="35"/>
    </row>
    <row r="825" spans="1:1" hidden="1" x14ac:dyDescent="0.3">
      <c r="A825" s="35"/>
    </row>
    <row r="826" spans="1:1" hidden="1" x14ac:dyDescent="0.3">
      <c r="A826" s="35"/>
    </row>
    <row r="827" spans="1:1" hidden="1" x14ac:dyDescent="0.3">
      <c r="A827" s="35"/>
    </row>
    <row r="828" spans="1:1" hidden="1" x14ac:dyDescent="0.3">
      <c r="A828" s="35"/>
    </row>
    <row r="829" spans="1:1" hidden="1" x14ac:dyDescent="0.3">
      <c r="A829" s="35"/>
    </row>
    <row r="830" spans="1:1" hidden="1" x14ac:dyDescent="0.3">
      <c r="A830" s="35"/>
    </row>
    <row r="831" spans="1:1" hidden="1" x14ac:dyDescent="0.3">
      <c r="A831" s="35"/>
    </row>
    <row r="832" spans="1:1" hidden="1" x14ac:dyDescent="0.3">
      <c r="A832" s="35"/>
    </row>
    <row r="833" spans="1:1" hidden="1" x14ac:dyDescent="0.3">
      <c r="A833" s="35"/>
    </row>
    <row r="834" spans="1:1" hidden="1" x14ac:dyDescent="0.3">
      <c r="A834" s="35"/>
    </row>
    <row r="835" spans="1:1" hidden="1" x14ac:dyDescent="0.3">
      <c r="A835" s="35"/>
    </row>
    <row r="836" spans="1:1" hidden="1" x14ac:dyDescent="0.3">
      <c r="A836" s="35"/>
    </row>
    <row r="837" spans="1:1" hidden="1" x14ac:dyDescent="0.3">
      <c r="A837" s="35"/>
    </row>
    <row r="838" spans="1:1" hidden="1" x14ac:dyDescent="0.3">
      <c r="A838" s="35"/>
    </row>
    <row r="839" spans="1:1" hidden="1" x14ac:dyDescent="0.3">
      <c r="A839" s="35"/>
    </row>
    <row r="840" spans="1:1" hidden="1" x14ac:dyDescent="0.3">
      <c r="A840" s="35"/>
    </row>
    <row r="841" spans="1:1" hidden="1" x14ac:dyDescent="0.3">
      <c r="A841" s="35"/>
    </row>
    <row r="842" spans="1:1" hidden="1" x14ac:dyDescent="0.3">
      <c r="A842" s="35"/>
    </row>
    <row r="843" spans="1:1" hidden="1" x14ac:dyDescent="0.3">
      <c r="A843" s="35"/>
    </row>
    <row r="844" spans="1:1" hidden="1" x14ac:dyDescent="0.3">
      <c r="A844" s="35"/>
    </row>
    <row r="845" spans="1:1" hidden="1" x14ac:dyDescent="0.3">
      <c r="A845" s="35"/>
    </row>
    <row r="846" spans="1:1" hidden="1" x14ac:dyDescent="0.3">
      <c r="A846" s="35"/>
    </row>
    <row r="847" spans="1:1" hidden="1" x14ac:dyDescent="0.3">
      <c r="A847" s="35"/>
    </row>
    <row r="848" spans="1:1" hidden="1" x14ac:dyDescent="0.3">
      <c r="A848" s="35"/>
    </row>
    <row r="849" spans="1:1" hidden="1" x14ac:dyDescent="0.3">
      <c r="A849" s="35"/>
    </row>
    <row r="850" spans="1:1" hidden="1" x14ac:dyDescent="0.3">
      <c r="A850" s="35"/>
    </row>
    <row r="851" spans="1:1" hidden="1" x14ac:dyDescent="0.3">
      <c r="A851" s="35"/>
    </row>
    <row r="852" spans="1:1" hidden="1" x14ac:dyDescent="0.3">
      <c r="A852" s="35"/>
    </row>
    <row r="853" spans="1:1" hidden="1" x14ac:dyDescent="0.3">
      <c r="A853" s="35"/>
    </row>
    <row r="854" spans="1:1" hidden="1" x14ac:dyDescent="0.3">
      <c r="A854" s="35"/>
    </row>
    <row r="855" spans="1:1" hidden="1" x14ac:dyDescent="0.3">
      <c r="A855" s="35"/>
    </row>
    <row r="856" spans="1:1" hidden="1" x14ac:dyDescent="0.3">
      <c r="A856" s="35"/>
    </row>
    <row r="857" spans="1:1" hidden="1" x14ac:dyDescent="0.3">
      <c r="A857" s="35"/>
    </row>
    <row r="858" spans="1:1" hidden="1" x14ac:dyDescent="0.3">
      <c r="A858" s="35"/>
    </row>
    <row r="859" spans="1:1" hidden="1" x14ac:dyDescent="0.3">
      <c r="A859" s="35"/>
    </row>
    <row r="860" spans="1:1" hidden="1" x14ac:dyDescent="0.3">
      <c r="A860" s="35"/>
    </row>
    <row r="861" spans="1:1" hidden="1" x14ac:dyDescent="0.3">
      <c r="A861" s="35"/>
    </row>
    <row r="862" spans="1:1" hidden="1" x14ac:dyDescent="0.3">
      <c r="A862" s="35"/>
    </row>
    <row r="863" spans="1:1" hidden="1" x14ac:dyDescent="0.3">
      <c r="A863" s="35"/>
    </row>
    <row r="864" spans="1:1" hidden="1" x14ac:dyDescent="0.3">
      <c r="A864" s="35"/>
    </row>
    <row r="865" spans="1:1" hidden="1" x14ac:dyDescent="0.3">
      <c r="A865" s="35"/>
    </row>
    <row r="866" spans="1:1" hidden="1" x14ac:dyDescent="0.3">
      <c r="A866" s="35"/>
    </row>
    <row r="867" spans="1:1" hidden="1" x14ac:dyDescent="0.3">
      <c r="A867" s="35"/>
    </row>
    <row r="868" spans="1:1" hidden="1" x14ac:dyDescent="0.3">
      <c r="A868" s="35"/>
    </row>
    <row r="869" spans="1:1" hidden="1" x14ac:dyDescent="0.3">
      <c r="A869" s="35"/>
    </row>
    <row r="870" spans="1:1" hidden="1" x14ac:dyDescent="0.3">
      <c r="A870" s="35"/>
    </row>
    <row r="871" spans="1:1" hidden="1" x14ac:dyDescent="0.3">
      <c r="A871" s="35"/>
    </row>
    <row r="872" spans="1:1" hidden="1" x14ac:dyDescent="0.3">
      <c r="A872" s="35"/>
    </row>
    <row r="873" spans="1:1" hidden="1" x14ac:dyDescent="0.3">
      <c r="A873" s="35"/>
    </row>
    <row r="874" spans="1:1" hidden="1" x14ac:dyDescent="0.3">
      <c r="A874" s="35"/>
    </row>
    <row r="875" spans="1:1" hidden="1" x14ac:dyDescent="0.3">
      <c r="A875" s="35"/>
    </row>
    <row r="876" spans="1:1" hidden="1" x14ac:dyDescent="0.3">
      <c r="A876" s="35"/>
    </row>
    <row r="877" spans="1:1" hidden="1" x14ac:dyDescent="0.3">
      <c r="A877" s="35"/>
    </row>
    <row r="878" spans="1:1" hidden="1" x14ac:dyDescent="0.3">
      <c r="A878" s="35"/>
    </row>
    <row r="879" spans="1:1" hidden="1" x14ac:dyDescent="0.3">
      <c r="A879" s="35"/>
    </row>
    <row r="880" spans="1:1" hidden="1" x14ac:dyDescent="0.3">
      <c r="A880" s="35"/>
    </row>
    <row r="881" spans="1:1" hidden="1" x14ac:dyDescent="0.3">
      <c r="A881" s="35"/>
    </row>
    <row r="882" spans="1:1" hidden="1" x14ac:dyDescent="0.3">
      <c r="A882" s="35"/>
    </row>
    <row r="883" spans="1:1" hidden="1" x14ac:dyDescent="0.3">
      <c r="A883" s="35"/>
    </row>
    <row r="884" spans="1:1" hidden="1" x14ac:dyDescent="0.3">
      <c r="A884" s="35"/>
    </row>
    <row r="885" spans="1:1" hidden="1" x14ac:dyDescent="0.3">
      <c r="A885" s="35"/>
    </row>
    <row r="886" spans="1:1" hidden="1" x14ac:dyDescent="0.3">
      <c r="A886" s="35"/>
    </row>
    <row r="887" spans="1:1" hidden="1" x14ac:dyDescent="0.3">
      <c r="A887" s="35"/>
    </row>
    <row r="888" spans="1:1" hidden="1" x14ac:dyDescent="0.3">
      <c r="A888" s="35"/>
    </row>
    <row r="889" spans="1:1" hidden="1" x14ac:dyDescent="0.3">
      <c r="A889" s="35"/>
    </row>
    <row r="890" spans="1:1" hidden="1" x14ac:dyDescent="0.3">
      <c r="A890" s="35"/>
    </row>
    <row r="891" spans="1:1" hidden="1" x14ac:dyDescent="0.3">
      <c r="A891" s="35"/>
    </row>
    <row r="892" spans="1:1" hidden="1" x14ac:dyDescent="0.3">
      <c r="A892" s="35"/>
    </row>
    <row r="893" spans="1:1" hidden="1" x14ac:dyDescent="0.3">
      <c r="A893" s="35"/>
    </row>
    <row r="894" spans="1:1" hidden="1" x14ac:dyDescent="0.3">
      <c r="A894" s="35"/>
    </row>
    <row r="895" spans="1:1" hidden="1" x14ac:dyDescent="0.3">
      <c r="A895" s="35"/>
    </row>
    <row r="896" spans="1:1" hidden="1" x14ac:dyDescent="0.3">
      <c r="A896" s="35"/>
    </row>
    <row r="897" spans="1:1" hidden="1" x14ac:dyDescent="0.3">
      <c r="A897" s="35"/>
    </row>
    <row r="898" spans="1:1" hidden="1" x14ac:dyDescent="0.3">
      <c r="A898" s="35"/>
    </row>
    <row r="899" spans="1:1" hidden="1" x14ac:dyDescent="0.3">
      <c r="A899" s="35"/>
    </row>
    <row r="900" spans="1:1" hidden="1" x14ac:dyDescent="0.3">
      <c r="A900" s="35"/>
    </row>
    <row r="901" spans="1:1" hidden="1" x14ac:dyDescent="0.3">
      <c r="A901" s="35"/>
    </row>
    <row r="902" spans="1:1" hidden="1" x14ac:dyDescent="0.3">
      <c r="A902" s="35"/>
    </row>
    <row r="903" spans="1:1" hidden="1" x14ac:dyDescent="0.3">
      <c r="A903" s="35"/>
    </row>
    <row r="904" spans="1:1" hidden="1" x14ac:dyDescent="0.3">
      <c r="A904" s="35"/>
    </row>
    <row r="905" spans="1:1" hidden="1" x14ac:dyDescent="0.3">
      <c r="A905" s="35"/>
    </row>
    <row r="906" spans="1:1" hidden="1" x14ac:dyDescent="0.3">
      <c r="A906" s="35"/>
    </row>
    <row r="907" spans="1:1" hidden="1" x14ac:dyDescent="0.3">
      <c r="A907" s="35"/>
    </row>
    <row r="908" spans="1:1" hidden="1" x14ac:dyDescent="0.3">
      <c r="A908" s="35"/>
    </row>
    <row r="909" spans="1:1" hidden="1" x14ac:dyDescent="0.3">
      <c r="A909" s="35"/>
    </row>
    <row r="910" spans="1:1" hidden="1" x14ac:dyDescent="0.3">
      <c r="A910" s="35"/>
    </row>
    <row r="911" spans="1:1" hidden="1" x14ac:dyDescent="0.3">
      <c r="A911" s="35"/>
    </row>
    <row r="912" spans="1:1" hidden="1" x14ac:dyDescent="0.3">
      <c r="A912" s="35"/>
    </row>
    <row r="913" spans="1:1" hidden="1" x14ac:dyDescent="0.3">
      <c r="A913" s="35"/>
    </row>
    <row r="914" spans="1:1" hidden="1" x14ac:dyDescent="0.3">
      <c r="A914" s="35"/>
    </row>
    <row r="915" spans="1:1" hidden="1" x14ac:dyDescent="0.3">
      <c r="A915" s="35"/>
    </row>
    <row r="916" spans="1:1" hidden="1" x14ac:dyDescent="0.3">
      <c r="A916" s="35"/>
    </row>
    <row r="917" spans="1:1" hidden="1" x14ac:dyDescent="0.3">
      <c r="A917" s="35"/>
    </row>
    <row r="918" spans="1:1" hidden="1" x14ac:dyDescent="0.3">
      <c r="A918" s="35"/>
    </row>
    <row r="919" spans="1:1" hidden="1" x14ac:dyDescent="0.3">
      <c r="A919" s="35"/>
    </row>
    <row r="920" spans="1:1" hidden="1" x14ac:dyDescent="0.3">
      <c r="A920" s="35"/>
    </row>
    <row r="921" spans="1:1" hidden="1" x14ac:dyDescent="0.3">
      <c r="A921" s="35"/>
    </row>
    <row r="922" spans="1:1" hidden="1" x14ac:dyDescent="0.3">
      <c r="A922" s="35"/>
    </row>
    <row r="923" spans="1:1" hidden="1" x14ac:dyDescent="0.3">
      <c r="A923" s="35"/>
    </row>
    <row r="924" spans="1:1" hidden="1" x14ac:dyDescent="0.3">
      <c r="A924" s="35"/>
    </row>
    <row r="925" spans="1:1" hidden="1" x14ac:dyDescent="0.3">
      <c r="A925" s="35"/>
    </row>
    <row r="926" spans="1:1" hidden="1" x14ac:dyDescent="0.3">
      <c r="A926" s="35"/>
    </row>
    <row r="927" spans="1:1" hidden="1" x14ac:dyDescent="0.3">
      <c r="A927" s="35"/>
    </row>
    <row r="928" spans="1:1" hidden="1" x14ac:dyDescent="0.3">
      <c r="A928" s="35"/>
    </row>
    <row r="929" spans="1:1" hidden="1" x14ac:dyDescent="0.3">
      <c r="A929" s="35"/>
    </row>
    <row r="930" spans="1:1" hidden="1" x14ac:dyDescent="0.3">
      <c r="A930" s="35"/>
    </row>
    <row r="931" spans="1:1" hidden="1" x14ac:dyDescent="0.3">
      <c r="A931" s="35"/>
    </row>
    <row r="932" spans="1:1" hidden="1" x14ac:dyDescent="0.3">
      <c r="A932" s="35"/>
    </row>
    <row r="933" spans="1:1" hidden="1" x14ac:dyDescent="0.3">
      <c r="A933" s="35"/>
    </row>
    <row r="934" spans="1:1" hidden="1" x14ac:dyDescent="0.3">
      <c r="A934" s="35"/>
    </row>
    <row r="935" spans="1:1" hidden="1" x14ac:dyDescent="0.3">
      <c r="A935" s="35"/>
    </row>
    <row r="936" spans="1:1" hidden="1" x14ac:dyDescent="0.3">
      <c r="A936" s="35"/>
    </row>
    <row r="937" spans="1:1" hidden="1" x14ac:dyDescent="0.3">
      <c r="A937" s="35"/>
    </row>
    <row r="938" spans="1:1" hidden="1" x14ac:dyDescent="0.3">
      <c r="A938" s="35"/>
    </row>
    <row r="939" spans="1:1" hidden="1" x14ac:dyDescent="0.3">
      <c r="A939" s="35"/>
    </row>
    <row r="940" spans="1:1" hidden="1" x14ac:dyDescent="0.3">
      <c r="A940" s="35"/>
    </row>
    <row r="941" spans="1:1" hidden="1" x14ac:dyDescent="0.3">
      <c r="A941" s="35"/>
    </row>
    <row r="942" spans="1:1" hidden="1" x14ac:dyDescent="0.3">
      <c r="A942" s="35"/>
    </row>
    <row r="943" spans="1:1" hidden="1" x14ac:dyDescent="0.3">
      <c r="A943" s="35"/>
    </row>
    <row r="944" spans="1:1" hidden="1" x14ac:dyDescent="0.3">
      <c r="A944" s="35"/>
    </row>
    <row r="945" spans="1:1" hidden="1" x14ac:dyDescent="0.3">
      <c r="A945" s="35"/>
    </row>
    <row r="946" spans="1:1" hidden="1" x14ac:dyDescent="0.3">
      <c r="A946" s="35"/>
    </row>
    <row r="947" spans="1:1" hidden="1" x14ac:dyDescent="0.3">
      <c r="A947" s="35"/>
    </row>
    <row r="948" spans="1:1" hidden="1" x14ac:dyDescent="0.3">
      <c r="A948" s="35"/>
    </row>
    <row r="949" spans="1:1" hidden="1" x14ac:dyDescent="0.3">
      <c r="A949" s="35"/>
    </row>
    <row r="950" spans="1:1" hidden="1" x14ac:dyDescent="0.3">
      <c r="A950" s="35"/>
    </row>
    <row r="951" spans="1:1" hidden="1" x14ac:dyDescent="0.3">
      <c r="A951" s="35"/>
    </row>
    <row r="952" spans="1:1" hidden="1" x14ac:dyDescent="0.3">
      <c r="A952" s="35"/>
    </row>
    <row r="953" spans="1:1" hidden="1" x14ac:dyDescent="0.3">
      <c r="A953" s="35"/>
    </row>
    <row r="954" spans="1:1" hidden="1" x14ac:dyDescent="0.3">
      <c r="A954" s="35"/>
    </row>
    <row r="955" spans="1:1" hidden="1" x14ac:dyDescent="0.3">
      <c r="A955" s="35"/>
    </row>
    <row r="956" spans="1:1" hidden="1" x14ac:dyDescent="0.3">
      <c r="A956" s="35"/>
    </row>
    <row r="957" spans="1:1" hidden="1" x14ac:dyDescent="0.3">
      <c r="A957" s="35"/>
    </row>
    <row r="958" spans="1:1" hidden="1" x14ac:dyDescent="0.3">
      <c r="A958" s="35"/>
    </row>
    <row r="959" spans="1:1" hidden="1" x14ac:dyDescent="0.3">
      <c r="A959" s="35"/>
    </row>
    <row r="960" spans="1:1" hidden="1" x14ac:dyDescent="0.3">
      <c r="A960" s="35"/>
    </row>
    <row r="961" spans="1:1" hidden="1" x14ac:dyDescent="0.3">
      <c r="A961" s="35"/>
    </row>
    <row r="962" spans="1:1" hidden="1" x14ac:dyDescent="0.3">
      <c r="A962" s="35"/>
    </row>
    <row r="963" spans="1:1" hidden="1" x14ac:dyDescent="0.3">
      <c r="A963" s="35"/>
    </row>
    <row r="964" spans="1:1" hidden="1" x14ac:dyDescent="0.3">
      <c r="A964" s="35"/>
    </row>
    <row r="965" spans="1:1" hidden="1" x14ac:dyDescent="0.3">
      <c r="A965" s="35"/>
    </row>
    <row r="966" spans="1:1" hidden="1" x14ac:dyDescent="0.3">
      <c r="A966" s="35"/>
    </row>
    <row r="967" spans="1:1" hidden="1" x14ac:dyDescent="0.3">
      <c r="A967" s="35"/>
    </row>
    <row r="968" spans="1:1" hidden="1" x14ac:dyDescent="0.3">
      <c r="A968" s="35"/>
    </row>
    <row r="969" spans="1:1" hidden="1" x14ac:dyDescent="0.3">
      <c r="A969" s="35"/>
    </row>
    <row r="970" spans="1:1" hidden="1" x14ac:dyDescent="0.3">
      <c r="A970" s="35"/>
    </row>
    <row r="971" spans="1:1" hidden="1" x14ac:dyDescent="0.3">
      <c r="A971" s="35"/>
    </row>
    <row r="972" spans="1:1" hidden="1" x14ac:dyDescent="0.3">
      <c r="A972" s="35"/>
    </row>
    <row r="973" spans="1:1" hidden="1" x14ac:dyDescent="0.3">
      <c r="A973" s="35"/>
    </row>
    <row r="974" spans="1:1" hidden="1" x14ac:dyDescent="0.3">
      <c r="A974" s="35"/>
    </row>
    <row r="975" spans="1:1" hidden="1" x14ac:dyDescent="0.3">
      <c r="A975" s="35"/>
    </row>
    <row r="976" spans="1:1" hidden="1" x14ac:dyDescent="0.3">
      <c r="A976" s="35"/>
    </row>
    <row r="977" spans="1:1" hidden="1" x14ac:dyDescent="0.3">
      <c r="A977" s="35"/>
    </row>
    <row r="978" spans="1:1" hidden="1" x14ac:dyDescent="0.3">
      <c r="A978" s="35"/>
    </row>
    <row r="979" spans="1:1" hidden="1" x14ac:dyDescent="0.3">
      <c r="A979" s="35"/>
    </row>
    <row r="980" spans="1:1" hidden="1" x14ac:dyDescent="0.3">
      <c r="A980" s="35"/>
    </row>
    <row r="981" spans="1:1" hidden="1" x14ac:dyDescent="0.3">
      <c r="A981" s="35"/>
    </row>
    <row r="982" spans="1:1" hidden="1" x14ac:dyDescent="0.3">
      <c r="A982" s="35"/>
    </row>
    <row r="983" spans="1:1" hidden="1" x14ac:dyDescent="0.3">
      <c r="A983" s="35"/>
    </row>
    <row r="984" spans="1:1" hidden="1" x14ac:dyDescent="0.3">
      <c r="A984" s="35"/>
    </row>
    <row r="985" spans="1:1" hidden="1" x14ac:dyDescent="0.3">
      <c r="A985" s="35"/>
    </row>
    <row r="986" spans="1:1" hidden="1" x14ac:dyDescent="0.3">
      <c r="A986" s="35"/>
    </row>
    <row r="987" spans="1:1" hidden="1" x14ac:dyDescent="0.3">
      <c r="A987" s="35"/>
    </row>
    <row r="988" spans="1:1" hidden="1" x14ac:dyDescent="0.3">
      <c r="A988" s="35"/>
    </row>
    <row r="989" spans="1:1" hidden="1" x14ac:dyDescent="0.3">
      <c r="A989" s="35"/>
    </row>
    <row r="990" spans="1:1" hidden="1" x14ac:dyDescent="0.3">
      <c r="A990" s="35"/>
    </row>
    <row r="991" spans="1:1" hidden="1" x14ac:dyDescent="0.3">
      <c r="A991" s="35"/>
    </row>
    <row r="992" spans="1:1" hidden="1" x14ac:dyDescent="0.3">
      <c r="A992" s="35"/>
    </row>
    <row r="993" spans="1:1" hidden="1" x14ac:dyDescent="0.3">
      <c r="A993" s="35"/>
    </row>
    <row r="994" spans="1:1" hidden="1" x14ac:dyDescent="0.3">
      <c r="A994" s="35"/>
    </row>
    <row r="995" spans="1:1" hidden="1" x14ac:dyDescent="0.3">
      <c r="A995" s="35"/>
    </row>
    <row r="996" spans="1:1" hidden="1" x14ac:dyDescent="0.3">
      <c r="A996" s="35"/>
    </row>
    <row r="997" spans="1:1" hidden="1" x14ac:dyDescent="0.3">
      <c r="A997" s="35"/>
    </row>
    <row r="998" spans="1:1" hidden="1" x14ac:dyDescent="0.3">
      <c r="A998" s="35"/>
    </row>
    <row r="999" spans="1:1" hidden="1" x14ac:dyDescent="0.3">
      <c r="A999" s="35"/>
    </row>
    <row r="1000" spans="1:1" hidden="1" x14ac:dyDescent="0.3">
      <c r="A1000" s="35"/>
    </row>
    <row r="1001" spans="1:1" hidden="1" x14ac:dyDescent="0.3">
      <c r="A1001" s="35"/>
    </row>
    <row r="1002" spans="1:1" hidden="1" x14ac:dyDescent="0.3">
      <c r="A1002" s="35"/>
    </row>
    <row r="1003" spans="1:1" hidden="1" x14ac:dyDescent="0.3">
      <c r="A1003" s="35"/>
    </row>
    <row r="1004" spans="1:1" hidden="1" x14ac:dyDescent="0.3">
      <c r="A1004" s="35"/>
    </row>
    <row r="1005" spans="1:1" hidden="1" x14ac:dyDescent="0.3">
      <c r="A1005" s="35"/>
    </row>
    <row r="1006" spans="1:1" hidden="1" x14ac:dyDescent="0.3">
      <c r="A1006" s="35"/>
    </row>
    <row r="1007" spans="1:1" hidden="1" x14ac:dyDescent="0.3">
      <c r="A1007" s="35"/>
    </row>
  </sheetData>
  <sheetProtection algorithmName="SHA-512" hashValue="ghm2PZqs8M53iCU3I3nbJw0Ty5XuEE48uR00Vwt15R1e9pMuVhY+WC1NKOxeOMlBTjPmDClXPLSzBwaOOpBw5Q==" saltValue="B+XVo+04Y57SK0AOqU/UKA==" spinCount="100000" sheet="1" objects="1" scenarios="1" formatCells="0" formatRows="0" insertRows="0" deleteRows="0" selectLockedCells="1" sort="0" autoFilter="0"/>
  <autoFilter ref="A6:C1007">
    <filterColumn colId="1">
      <customFilters>
        <customFilter val="*창의성*"/>
      </customFilters>
    </filterColumn>
  </autoFilter>
  <mergeCells count="1">
    <mergeCell ref="A1:C1"/>
  </mergeCells>
  <phoneticPr fontId="18" type="noConversion"/>
  <dataValidations count="2">
    <dataValidation type="list" allowBlank="1" showInputMessage="1" showErrorMessage="1" sqref="B2">
      <formula1>이름</formula1>
    </dataValidation>
    <dataValidation type="whole" allowBlank="1" showInputMessage="1" showErrorMessage="1" sqref="B4">
      <formula1>101</formula1>
      <formula2>1000</formula2>
    </dataValidation>
  </dataValidations>
  <pageMargins left="0.7086111307144165" right="0.7086111307144165" top="0.55111110210418701" bottom="0.55111110210418701" header="0.31486111879348755" footer="0.31486111879348755"/>
  <pageSetup paperSize="9" scale="6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7"/>
  </sheetPr>
  <dimension ref="A1:C1007"/>
  <sheetViews>
    <sheetView view="pageBreakPreview" zoomScaleNormal="100" zoomScaleSheetLayoutView="100" workbookViewId="0">
      <pane ySplit="6" topLeftCell="A31" activePane="bottomLeft" state="frozen"/>
      <selection pane="bottomLeft" activeCell="C18" sqref="C18"/>
    </sheetView>
  </sheetViews>
  <sheetFormatPr defaultColWidth="8.75" defaultRowHeight="16.5" x14ac:dyDescent="0.3"/>
  <cols>
    <col min="1" max="1" width="11.5" style="8" customWidth="1"/>
    <col min="2" max="2" width="25.375" style="32" customWidth="1"/>
    <col min="3" max="3" width="91.25" style="9" customWidth="1"/>
    <col min="4" max="16384" width="8.75" style="9"/>
  </cols>
  <sheetData>
    <row r="1" spans="1:3" s="14" customFormat="1" ht="45" customHeight="1" x14ac:dyDescent="0.3">
      <c r="A1" s="86" t="s">
        <v>687</v>
      </c>
      <c r="B1" s="86"/>
      <c r="C1" s="86"/>
    </row>
    <row r="2" spans="1:3" s="14" customFormat="1" ht="30" customHeight="1" x14ac:dyDescent="0.3">
      <c r="A2" s="54" t="s">
        <v>667</v>
      </c>
      <c r="B2" s="68" t="s">
        <v>674</v>
      </c>
      <c r="C2" s="55" t="s">
        <v>433</v>
      </c>
    </row>
    <row r="3" spans="1:3" s="14" customFormat="1" ht="34.5" customHeight="1" x14ac:dyDescent="0.3">
      <c r="A3" s="56" t="s">
        <v>699</v>
      </c>
      <c r="B3" s="33">
        <f>VLOOKUP(B2,코드테이블,6,0)</f>
        <v>105</v>
      </c>
      <c r="C3" s="57" t="str">
        <f>VLOOKUP(B3,학습코드,3)</f>
        <v xml:space="preserve">그림을 구상해내는 아이디어가 좋으며 악기를 차분하게 잘 다루고 연주하고 체육활동에 최선을 다함. </v>
      </c>
    </row>
    <row r="4" spans="1:3" s="14" customFormat="1" ht="34.5" customHeight="1" x14ac:dyDescent="0.3">
      <c r="A4" s="58" t="s">
        <v>684</v>
      </c>
      <c r="B4" s="69">
        <v>105</v>
      </c>
      <c r="C4" s="59" t="str">
        <f>VLOOKUP(B4,학습코드,3,0)</f>
        <v xml:space="preserve">그림을 구상해내는 아이디어가 좋으며 악기를 차분하게 잘 다루고 연주하고 체육활동에 최선을 다함. </v>
      </c>
    </row>
    <row r="5" spans="1:3" s="14" customFormat="1" ht="7.5" customHeight="1" x14ac:dyDescent="0.3">
      <c r="A5" s="16"/>
      <c r="B5" s="30"/>
      <c r="C5" s="17"/>
    </row>
    <row r="6" spans="1:3" s="14" customFormat="1" ht="29.25" customHeight="1" x14ac:dyDescent="0.3">
      <c r="A6" s="46" t="s">
        <v>441</v>
      </c>
      <c r="B6" s="47" t="s">
        <v>429</v>
      </c>
      <c r="C6" s="46" t="s">
        <v>433</v>
      </c>
    </row>
    <row r="7" spans="1:3" ht="17.25" x14ac:dyDescent="0.3">
      <c r="A7" s="48">
        <v>101</v>
      </c>
      <c r="B7" s="49" t="s">
        <v>420</v>
      </c>
      <c r="C7" s="50" t="s">
        <v>399</v>
      </c>
    </row>
    <row r="8" spans="1:3" ht="17.25" x14ac:dyDescent="0.3">
      <c r="A8" s="48">
        <v>102</v>
      </c>
      <c r="B8" s="49" t="s">
        <v>414</v>
      </c>
      <c r="C8" s="50" t="s">
        <v>54</v>
      </c>
    </row>
    <row r="9" spans="1:3" ht="17.25" x14ac:dyDescent="0.3">
      <c r="A9" s="48">
        <v>103</v>
      </c>
      <c r="B9" s="49" t="s">
        <v>192</v>
      </c>
      <c r="C9" s="50" t="s">
        <v>625</v>
      </c>
    </row>
    <row r="10" spans="1:3" ht="17.25" x14ac:dyDescent="0.3">
      <c r="A10" s="48">
        <v>104</v>
      </c>
      <c r="B10" s="49" t="s">
        <v>690</v>
      </c>
      <c r="C10" s="50" t="s">
        <v>623</v>
      </c>
    </row>
    <row r="11" spans="1:3" ht="34.5" x14ac:dyDescent="0.3">
      <c r="A11" s="48">
        <v>105</v>
      </c>
      <c r="B11" s="49" t="s">
        <v>189</v>
      </c>
      <c r="C11" s="50" t="s">
        <v>444</v>
      </c>
    </row>
    <row r="12" spans="1:3" ht="34.5" x14ac:dyDescent="0.3">
      <c r="A12" s="48">
        <v>106</v>
      </c>
      <c r="B12" s="49" t="s">
        <v>191</v>
      </c>
      <c r="C12" s="50" t="s">
        <v>154</v>
      </c>
    </row>
    <row r="13" spans="1:3" ht="17.25" x14ac:dyDescent="0.3">
      <c r="A13" s="48">
        <v>107</v>
      </c>
      <c r="B13" s="49" t="s">
        <v>194</v>
      </c>
      <c r="C13" s="50" t="s">
        <v>70</v>
      </c>
    </row>
    <row r="14" spans="1:3" ht="34.5" x14ac:dyDescent="0.3">
      <c r="A14" s="48">
        <v>108</v>
      </c>
      <c r="B14" s="49" t="s">
        <v>528</v>
      </c>
      <c r="C14" s="50" t="s">
        <v>155</v>
      </c>
    </row>
    <row r="15" spans="1:3" ht="17.25" x14ac:dyDescent="0.3">
      <c r="A15" s="48">
        <v>109</v>
      </c>
      <c r="B15" s="49" t="s">
        <v>700</v>
      </c>
      <c r="C15" s="50" t="s">
        <v>61</v>
      </c>
    </row>
    <row r="16" spans="1:3" ht="34.5" x14ac:dyDescent="0.3">
      <c r="A16" s="48">
        <v>110</v>
      </c>
      <c r="B16" s="49" t="s">
        <v>195</v>
      </c>
      <c r="C16" s="50" t="s">
        <v>255</v>
      </c>
    </row>
    <row r="17" spans="1:3" ht="17.25" x14ac:dyDescent="0.3">
      <c r="A17" s="48">
        <v>111</v>
      </c>
      <c r="B17" s="49" t="s">
        <v>190</v>
      </c>
      <c r="C17" s="50" t="s">
        <v>617</v>
      </c>
    </row>
    <row r="18" spans="1:3" ht="34.5" x14ac:dyDescent="0.3">
      <c r="A18" s="48">
        <v>112</v>
      </c>
      <c r="B18" s="49" t="s">
        <v>193</v>
      </c>
      <c r="C18" s="50" t="s">
        <v>141</v>
      </c>
    </row>
    <row r="19" spans="1:3" ht="17.25" x14ac:dyDescent="0.3">
      <c r="A19" s="48">
        <v>113</v>
      </c>
      <c r="B19" s="49" t="s">
        <v>703</v>
      </c>
      <c r="C19" s="50" t="s">
        <v>389</v>
      </c>
    </row>
    <row r="20" spans="1:3" ht="17.25" x14ac:dyDescent="0.3">
      <c r="A20" s="48">
        <v>114</v>
      </c>
      <c r="B20" s="49" t="s">
        <v>193</v>
      </c>
      <c r="C20" s="50" t="s">
        <v>445</v>
      </c>
    </row>
    <row r="21" spans="1:3" ht="17.25" x14ac:dyDescent="0.3">
      <c r="A21" s="48">
        <v>115</v>
      </c>
      <c r="B21" s="49" t="s">
        <v>417</v>
      </c>
      <c r="C21" s="50" t="s">
        <v>376</v>
      </c>
    </row>
    <row r="22" spans="1:3" ht="34.5" x14ac:dyDescent="0.3">
      <c r="A22" s="48">
        <v>116</v>
      </c>
      <c r="B22" s="49" t="s">
        <v>531</v>
      </c>
      <c r="C22" s="50" t="s">
        <v>276</v>
      </c>
    </row>
    <row r="23" spans="1:3" ht="17.25" x14ac:dyDescent="0.3">
      <c r="A23" s="48">
        <v>117</v>
      </c>
      <c r="B23" s="49" t="s">
        <v>199</v>
      </c>
      <c r="C23" s="50" t="s">
        <v>618</v>
      </c>
    </row>
    <row r="24" spans="1:3" ht="17.25" x14ac:dyDescent="0.3">
      <c r="A24" s="48">
        <v>118</v>
      </c>
      <c r="B24" s="49" t="s">
        <v>198</v>
      </c>
      <c r="C24" s="50" t="s">
        <v>383</v>
      </c>
    </row>
    <row r="25" spans="1:3" ht="34.5" x14ac:dyDescent="0.3">
      <c r="A25" s="48">
        <v>119</v>
      </c>
      <c r="B25" s="49" t="s">
        <v>197</v>
      </c>
      <c r="C25" s="50" t="s">
        <v>253</v>
      </c>
    </row>
    <row r="26" spans="1:3" ht="17.25" x14ac:dyDescent="0.3">
      <c r="A26" s="48">
        <v>120</v>
      </c>
      <c r="B26" s="49" t="s">
        <v>413</v>
      </c>
      <c r="C26" s="50" t="s">
        <v>71</v>
      </c>
    </row>
    <row r="27" spans="1:3" ht="17.25" x14ac:dyDescent="0.3">
      <c r="A27" s="48">
        <v>121</v>
      </c>
      <c r="B27" s="49" t="s">
        <v>190</v>
      </c>
      <c r="C27" s="50" t="s">
        <v>62</v>
      </c>
    </row>
    <row r="28" spans="1:3" ht="17.25" x14ac:dyDescent="0.3">
      <c r="A28" s="48">
        <v>122</v>
      </c>
      <c r="B28" s="49" t="s">
        <v>196</v>
      </c>
      <c r="C28" s="50" t="s">
        <v>624</v>
      </c>
    </row>
    <row r="29" spans="1:3" ht="17.25" x14ac:dyDescent="0.3">
      <c r="A29" s="48">
        <v>123</v>
      </c>
      <c r="B29" s="49" t="s">
        <v>420</v>
      </c>
      <c r="C29" s="50" t="s">
        <v>391</v>
      </c>
    </row>
    <row r="30" spans="1:3" ht="17.25" x14ac:dyDescent="0.3">
      <c r="A30" s="48">
        <v>124</v>
      </c>
      <c r="B30" s="49" t="s">
        <v>706</v>
      </c>
      <c r="C30" s="50" t="s">
        <v>67</v>
      </c>
    </row>
    <row r="31" spans="1:3" ht="17.25" x14ac:dyDescent="0.3">
      <c r="A31" s="48">
        <v>125</v>
      </c>
      <c r="B31" s="49" t="s">
        <v>706</v>
      </c>
      <c r="C31" s="50" t="s">
        <v>765</v>
      </c>
    </row>
    <row r="32" spans="1:3" ht="17.25" x14ac:dyDescent="0.3">
      <c r="A32" s="48">
        <v>126</v>
      </c>
      <c r="B32" s="49" t="s">
        <v>706</v>
      </c>
      <c r="C32" s="50" t="s">
        <v>546</v>
      </c>
    </row>
    <row r="33" spans="1:3" ht="17.25" x14ac:dyDescent="0.3">
      <c r="A33" s="48">
        <v>127</v>
      </c>
      <c r="B33" s="49" t="s">
        <v>706</v>
      </c>
      <c r="C33" s="50" t="s">
        <v>400</v>
      </c>
    </row>
    <row r="34" spans="1:3" ht="17.25" x14ac:dyDescent="0.3">
      <c r="A34" s="48">
        <v>128</v>
      </c>
      <c r="B34" s="49" t="s">
        <v>692</v>
      </c>
      <c r="C34" s="50" t="s">
        <v>374</v>
      </c>
    </row>
    <row r="35" spans="1:3" ht="17.25" x14ac:dyDescent="0.3">
      <c r="A35" s="48">
        <v>129</v>
      </c>
      <c r="B35" s="49" t="s">
        <v>681</v>
      </c>
      <c r="C35" s="50" t="s">
        <v>68</v>
      </c>
    </row>
    <row r="36" spans="1:3" ht="17.25" x14ac:dyDescent="0.3">
      <c r="A36" s="48">
        <v>130</v>
      </c>
      <c r="B36" s="49" t="s">
        <v>414</v>
      </c>
      <c r="C36" s="50" t="s">
        <v>69</v>
      </c>
    </row>
    <row r="37" spans="1:3" ht="17.25" x14ac:dyDescent="0.3">
      <c r="A37" s="48">
        <v>131</v>
      </c>
      <c r="B37" s="49" t="s">
        <v>696</v>
      </c>
      <c r="C37" s="50" t="s">
        <v>626</v>
      </c>
    </row>
    <row r="38" spans="1:3" ht="17.25" x14ac:dyDescent="0.3">
      <c r="A38" s="48">
        <v>132</v>
      </c>
      <c r="B38" s="49" t="s">
        <v>414</v>
      </c>
      <c r="C38" s="50" t="s">
        <v>549</v>
      </c>
    </row>
    <row r="39" spans="1:3" ht="17.25" x14ac:dyDescent="0.3">
      <c r="A39" s="48">
        <v>133</v>
      </c>
      <c r="B39" s="49" t="s">
        <v>414</v>
      </c>
      <c r="C39" s="50" t="s">
        <v>373</v>
      </c>
    </row>
    <row r="40" spans="1:3" ht="17.25" x14ac:dyDescent="0.3">
      <c r="A40" s="48">
        <v>134</v>
      </c>
      <c r="B40" s="49" t="s">
        <v>414</v>
      </c>
      <c r="C40" s="50" t="s">
        <v>768</v>
      </c>
    </row>
    <row r="41" spans="1:3" ht="17.25" x14ac:dyDescent="0.3">
      <c r="A41" s="48">
        <v>135</v>
      </c>
      <c r="B41" s="49" t="s">
        <v>414</v>
      </c>
      <c r="C41" s="50" t="s">
        <v>620</v>
      </c>
    </row>
    <row r="42" spans="1:3" ht="34.5" x14ac:dyDescent="0.3">
      <c r="A42" s="48">
        <v>136</v>
      </c>
      <c r="B42" s="49" t="s">
        <v>414</v>
      </c>
      <c r="C42" s="50" t="s">
        <v>142</v>
      </c>
    </row>
    <row r="43" spans="1:3" ht="17.25" x14ac:dyDescent="0.3">
      <c r="A43" s="48">
        <v>137</v>
      </c>
      <c r="B43" s="49" t="s">
        <v>413</v>
      </c>
      <c r="C43" s="50" t="s">
        <v>402</v>
      </c>
    </row>
    <row r="44" spans="1:3" ht="17.25" x14ac:dyDescent="0.3">
      <c r="A44" s="48">
        <v>138</v>
      </c>
      <c r="B44" s="49" t="s">
        <v>413</v>
      </c>
      <c r="C44" s="50" t="s">
        <v>381</v>
      </c>
    </row>
    <row r="45" spans="1:3" ht="17.25" x14ac:dyDescent="0.3">
      <c r="A45" s="48">
        <v>139</v>
      </c>
      <c r="B45" s="49" t="s">
        <v>413</v>
      </c>
      <c r="C45" s="50" t="s">
        <v>621</v>
      </c>
    </row>
    <row r="46" spans="1:3" ht="34.5" x14ac:dyDescent="0.3">
      <c r="A46" s="48">
        <v>140</v>
      </c>
      <c r="B46" s="49" t="s">
        <v>413</v>
      </c>
      <c r="C46" s="50" t="s">
        <v>523</v>
      </c>
    </row>
    <row r="47" spans="1:3" ht="17.25" x14ac:dyDescent="0.3">
      <c r="A47" s="48">
        <v>141</v>
      </c>
      <c r="B47" s="49" t="s">
        <v>417</v>
      </c>
      <c r="C47" s="50" t="s">
        <v>766</v>
      </c>
    </row>
    <row r="48" spans="1:3" ht="17.25" x14ac:dyDescent="0.3">
      <c r="A48" s="48">
        <v>142</v>
      </c>
      <c r="B48" s="49"/>
      <c r="C48" s="50"/>
    </row>
    <row r="49" spans="1:3" ht="17.25" x14ac:dyDescent="0.3">
      <c r="A49" s="48">
        <v>143</v>
      </c>
      <c r="B49" s="49"/>
      <c r="C49" s="50"/>
    </row>
    <row r="50" spans="1:3" ht="17.25" x14ac:dyDescent="0.3">
      <c r="A50" s="48">
        <v>144</v>
      </c>
      <c r="B50" s="49"/>
      <c r="C50" s="50"/>
    </row>
    <row r="51" spans="1:3" ht="17.25" x14ac:dyDescent="0.3">
      <c r="A51" s="48">
        <v>145</v>
      </c>
      <c r="B51" s="49"/>
      <c r="C51" s="50"/>
    </row>
    <row r="52" spans="1:3" ht="17.25" x14ac:dyDescent="0.3">
      <c r="A52" s="48">
        <v>146</v>
      </c>
      <c r="B52" s="49"/>
      <c r="C52" s="50"/>
    </row>
    <row r="53" spans="1:3" ht="17.25" x14ac:dyDescent="0.3">
      <c r="A53" s="48">
        <v>147</v>
      </c>
      <c r="B53" s="49"/>
      <c r="C53" s="50"/>
    </row>
    <row r="54" spans="1:3" ht="17.25" x14ac:dyDescent="0.3">
      <c r="A54" s="48">
        <v>148</v>
      </c>
      <c r="B54" s="49"/>
      <c r="C54" s="50"/>
    </row>
    <row r="55" spans="1:3" ht="17.25" x14ac:dyDescent="0.3">
      <c r="A55" s="48">
        <v>149</v>
      </c>
      <c r="B55" s="49"/>
      <c r="C55" s="50"/>
    </row>
    <row r="56" spans="1:3" ht="17.25" x14ac:dyDescent="0.3">
      <c r="A56" s="48">
        <v>150</v>
      </c>
      <c r="B56" s="49"/>
      <c r="C56" s="50"/>
    </row>
    <row r="57" spans="1:3" ht="17.25" x14ac:dyDescent="0.3">
      <c r="A57" s="48">
        <v>151</v>
      </c>
      <c r="B57" s="49"/>
      <c r="C57" s="50"/>
    </row>
    <row r="58" spans="1:3" ht="17.25" x14ac:dyDescent="0.3">
      <c r="A58" s="48">
        <v>152</v>
      </c>
      <c r="B58" s="49"/>
      <c r="C58" s="50"/>
    </row>
    <row r="59" spans="1:3" ht="17.25" x14ac:dyDescent="0.3">
      <c r="A59" s="48">
        <v>153</v>
      </c>
      <c r="B59" s="49"/>
      <c r="C59" s="50"/>
    </row>
    <row r="60" spans="1:3" ht="17.25" x14ac:dyDescent="0.3">
      <c r="A60" s="48">
        <v>154</v>
      </c>
      <c r="B60" s="49"/>
      <c r="C60" s="50"/>
    </row>
    <row r="61" spans="1:3" ht="17.25" x14ac:dyDescent="0.3">
      <c r="A61" s="48">
        <v>155</v>
      </c>
      <c r="B61" s="49"/>
      <c r="C61" s="50"/>
    </row>
    <row r="62" spans="1:3" ht="17.25" x14ac:dyDescent="0.3">
      <c r="A62" s="48">
        <v>156</v>
      </c>
      <c r="B62" s="49"/>
      <c r="C62" s="50"/>
    </row>
    <row r="63" spans="1:3" ht="17.25" x14ac:dyDescent="0.3">
      <c r="A63" s="48">
        <v>157</v>
      </c>
      <c r="B63" s="49"/>
      <c r="C63" s="50"/>
    </row>
    <row r="64" spans="1:3" ht="17.25" x14ac:dyDescent="0.3">
      <c r="A64" s="48">
        <v>158</v>
      </c>
      <c r="B64" s="49"/>
      <c r="C64" s="50"/>
    </row>
    <row r="65" spans="1:3" ht="17.25" x14ac:dyDescent="0.3">
      <c r="A65" s="48">
        <v>159</v>
      </c>
      <c r="B65" s="49"/>
      <c r="C65" s="50"/>
    </row>
    <row r="66" spans="1:3" ht="17.25" x14ac:dyDescent="0.3">
      <c r="A66" s="48">
        <v>160</v>
      </c>
      <c r="B66" s="49"/>
      <c r="C66" s="50"/>
    </row>
    <row r="67" spans="1:3" ht="17.25" x14ac:dyDescent="0.3">
      <c r="A67" s="48">
        <v>161</v>
      </c>
      <c r="B67" s="49"/>
      <c r="C67" s="50"/>
    </row>
    <row r="68" spans="1:3" ht="17.25" x14ac:dyDescent="0.3">
      <c r="A68" s="48">
        <v>162</v>
      </c>
      <c r="B68" s="49"/>
      <c r="C68" s="50"/>
    </row>
    <row r="69" spans="1:3" ht="17.25" x14ac:dyDescent="0.3">
      <c r="A69" s="48">
        <v>163</v>
      </c>
      <c r="B69" s="49"/>
      <c r="C69" s="50"/>
    </row>
    <row r="70" spans="1:3" ht="17.25" x14ac:dyDescent="0.3">
      <c r="A70" s="48">
        <v>164</v>
      </c>
      <c r="B70" s="49"/>
      <c r="C70" s="50"/>
    </row>
    <row r="71" spans="1:3" ht="17.25" x14ac:dyDescent="0.3">
      <c r="A71" s="48">
        <v>165</v>
      </c>
      <c r="B71" s="49"/>
      <c r="C71" s="50"/>
    </row>
    <row r="72" spans="1:3" ht="17.25" x14ac:dyDescent="0.3">
      <c r="A72" s="48">
        <v>166</v>
      </c>
      <c r="B72" s="49"/>
      <c r="C72" s="50"/>
    </row>
    <row r="73" spans="1:3" ht="17.25" x14ac:dyDescent="0.3">
      <c r="A73" s="48">
        <v>167</v>
      </c>
      <c r="B73" s="49"/>
      <c r="C73" s="50"/>
    </row>
    <row r="74" spans="1:3" ht="17.25" x14ac:dyDescent="0.3">
      <c r="A74" s="48">
        <v>168</v>
      </c>
      <c r="B74" s="49"/>
      <c r="C74" s="50"/>
    </row>
    <row r="75" spans="1:3" ht="17.25" x14ac:dyDescent="0.3">
      <c r="A75" s="48">
        <v>169</v>
      </c>
      <c r="B75" s="49"/>
      <c r="C75" s="50"/>
    </row>
    <row r="76" spans="1:3" ht="17.25" x14ac:dyDescent="0.3">
      <c r="A76" s="48">
        <v>170</v>
      </c>
      <c r="B76" s="49"/>
      <c r="C76" s="50"/>
    </row>
    <row r="77" spans="1:3" ht="17.25" x14ac:dyDescent="0.3">
      <c r="A77" s="48">
        <v>171</v>
      </c>
      <c r="B77" s="49"/>
      <c r="C77" s="50"/>
    </row>
    <row r="78" spans="1:3" ht="17.25" x14ac:dyDescent="0.3">
      <c r="A78" s="48">
        <v>172</v>
      </c>
      <c r="B78" s="49"/>
      <c r="C78" s="50"/>
    </row>
    <row r="79" spans="1:3" ht="17.25" x14ac:dyDescent="0.3">
      <c r="A79" s="48">
        <v>173</v>
      </c>
      <c r="B79" s="49"/>
      <c r="C79" s="50"/>
    </row>
    <row r="80" spans="1:3" ht="17.25" x14ac:dyDescent="0.3">
      <c r="A80" s="48">
        <v>174</v>
      </c>
      <c r="B80" s="49"/>
      <c r="C80" s="50"/>
    </row>
    <row r="81" spans="1:3" ht="17.25" x14ac:dyDescent="0.3">
      <c r="A81" s="48">
        <v>175</v>
      </c>
      <c r="B81" s="49"/>
      <c r="C81" s="50"/>
    </row>
    <row r="82" spans="1:3" ht="17.25" x14ac:dyDescent="0.3">
      <c r="A82" s="48">
        <v>176</v>
      </c>
      <c r="B82" s="49"/>
      <c r="C82" s="50"/>
    </row>
    <row r="83" spans="1:3" ht="17.25" x14ac:dyDescent="0.3">
      <c r="A83" s="48">
        <v>177</v>
      </c>
      <c r="B83" s="49"/>
      <c r="C83" s="50"/>
    </row>
    <row r="84" spans="1:3" ht="17.25" x14ac:dyDescent="0.3">
      <c r="A84" s="48">
        <v>178</v>
      </c>
      <c r="B84" s="49"/>
      <c r="C84" s="50"/>
    </row>
    <row r="85" spans="1:3" ht="17.25" x14ac:dyDescent="0.3">
      <c r="A85" s="48">
        <v>179</v>
      </c>
      <c r="B85" s="49"/>
      <c r="C85" s="50"/>
    </row>
    <row r="86" spans="1:3" ht="17.25" x14ac:dyDescent="0.3">
      <c r="A86" s="48">
        <v>180</v>
      </c>
      <c r="B86" s="49"/>
      <c r="C86" s="50"/>
    </row>
    <row r="87" spans="1:3" ht="17.25" x14ac:dyDescent="0.3">
      <c r="A87" s="48">
        <v>181</v>
      </c>
      <c r="B87" s="49"/>
      <c r="C87" s="50"/>
    </row>
    <row r="88" spans="1:3" ht="17.25" x14ac:dyDescent="0.3">
      <c r="A88" s="48">
        <v>182</v>
      </c>
      <c r="B88" s="49"/>
      <c r="C88" s="50"/>
    </row>
    <row r="89" spans="1:3" ht="17.25" x14ac:dyDescent="0.3">
      <c r="A89" s="48">
        <v>183</v>
      </c>
      <c r="B89" s="49"/>
      <c r="C89" s="50"/>
    </row>
    <row r="90" spans="1:3" ht="17.25" x14ac:dyDescent="0.3">
      <c r="A90" s="48">
        <v>184</v>
      </c>
      <c r="B90" s="49"/>
      <c r="C90" s="50"/>
    </row>
    <row r="91" spans="1:3" ht="17.25" x14ac:dyDescent="0.3">
      <c r="A91" s="48">
        <v>185</v>
      </c>
      <c r="B91" s="49"/>
      <c r="C91" s="50"/>
    </row>
    <row r="92" spans="1:3" ht="17.25" x14ac:dyDescent="0.3">
      <c r="A92" s="48">
        <v>186</v>
      </c>
      <c r="B92" s="49"/>
      <c r="C92" s="50"/>
    </row>
    <row r="93" spans="1:3" ht="17.25" x14ac:dyDescent="0.3">
      <c r="A93" s="48">
        <v>187</v>
      </c>
      <c r="B93" s="49"/>
      <c r="C93" s="50"/>
    </row>
    <row r="94" spans="1:3" ht="17.25" x14ac:dyDescent="0.3">
      <c r="A94" s="48">
        <v>188</v>
      </c>
      <c r="B94" s="49"/>
      <c r="C94" s="50"/>
    </row>
    <row r="95" spans="1:3" ht="17.25" x14ac:dyDescent="0.3">
      <c r="A95" s="48">
        <v>189</v>
      </c>
      <c r="B95" s="49"/>
      <c r="C95" s="50"/>
    </row>
    <row r="96" spans="1:3" ht="17.25" x14ac:dyDescent="0.3">
      <c r="A96" s="48">
        <v>190</v>
      </c>
      <c r="B96" s="49"/>
      <c r="C96" s="50"/>
    </row>
    <row r="97" spans="1:3" ht="17.25" x14ac:dyDescent="0.3">
      <c r="A97" s="48">
        <v>191</v>
      </c>
      <c r="B97" s="49"/>
      <c r="C97" s="50"/>
    </row>
    <row r="98" spans="1:3" ht="17.25" x14ac:dyDescent="0.3">
      <c r="A98" s="48">
        <v>192</v>
      </c>
      <c r="B98" s="49"/>
      <c r="C98" s="50"/>
    </row>
    <row r="99" spans="1:3" ht="17.25" x14ac:dyDescent="0.3">
      <c r="A99" s="48">
        <v>193</v>
      </c>
      <c r="B99" s="49"/>
      <c r="C99" s="50"/>
    </row>
    <row r="100" spans="1:3" ht="17.25" x14ac:dyDescent="0.3">
      <c r="A100" s="48">
        <v>194</v>
      </c>
      <c r="B100" s="49"/>
      <c r="C100" s="50"/>
    </row>
    <row r="101" spans="1:3" ht="17.25" x14ac:dyDescent="0.3">
      <c r="A101" s="48">
        <v>195</v>
      </c>
      <c r="B101" s="49"/>
      <c r="C101" s="50"/>
    </row>
    <row r="102" spans="1:3" ht="17.25" x14ac:dyDescent="0.3">
      <c r="A102" s="48">
        <v>196</v>
      </c>
      <c r="B102" s="49"/>
      <c r="C102" s="50"/>
    </row>
    <row r="103" spans="1:3" ht="17.25" x14ac:dyDescent="0.3">
      <c r="A103" s="48">
        <v>197</v>
      </c>
      <c r="B103" s="49"/>
      <c r="C103" s="50"/>
    </row>
    <row r="104" spans="1:3" ht="17.25" x14ac:dyDescent="0.3">
      <c r="A104" s="48">
        <v>198</v>
      </c>
      <c r="B104" s="49"/>
      <c r="C104" s="50"/>
    </row>
    <row r="105" spans="1:3" ht="17.25" x14ac:dyDescent="0.3">
      <c r="A105" s="48">
        <v>199</v>
      </c>
      <c r="B105" s="49"/>
      <c r="C105" s="50"/>
    </row>
    <row r="106" spans="1:3" ht="17.25" x14ac:dyDescent="0.3">
      <c r="A106" s="48">
        <v>200</v>
      </c>
      <c r="B106" s="49"/>
      <c r="C106" s="50"/>
    </row>
    <row r="107" spans="1:3" ht="17.25" x14ac:dyDescent="0.3">
      <c r="A107" s="48">
        <v>201</v>
      </c>
      <c r="B107" s="49"/>
      <c r="C107" s="50"/>
    </row>
    <row r="108" spans="1:3" ht="17.25" x14ac:dyDescent="0.3">
      <c r="A108" s="48">
        <v>202</v>
      </c>
      <c r="B108" s="49"/>
      <c r="C108" s="50"/>
    </row>
    <row r="109" spans="1:3" ht="17.25" x14ac:dyDescent="0.3">
      <c r="A109" s="48">
        <v>203</v>
      </c>
      <c r="B109" s="49"/>
      <c r="C109" s="50"/>
    </row>
    <row r="110" spans="1:3" ht="17.25" x14ac:dyDescent="0.3">
      <c r="A110" s="48">
        <v>204</v>
      </c>
      <c r="B110" s="49"/>
      <c r="C110" s="50"/>
    </row>
    <row r="111" spans="1:3" ht="17.25" x14ac:dyDescent="0.3">
      <c r="A111" s="48">
        <v>205</v>
      </c>
      <c r="B111" s="49"/>
      <c r="C111" s="50"/>
    </row>
    <row r="112" spans="1:3" ht="17.25" x14ac:dyDescent="0.3">
      <c r="A112" s="48">
        <v>206</v>
      </c>
      <c r="B112" s="49"/>
      <c r="C112" s="50"/>
    </row>
    <row r="113" spans="1:3" ht="17.25" x14ac:dyDescent="0.3">
      <c r="A113" s="48">
        <v>207</v>
      </c>
      <c r="B113" s="49"/>
      <c r="C113" s="50"/>
    </row>
    <row r="114" spans="1:3" ht="17.25" x14ac:dyDescent="0.3">
      <c r="A114" s="48">
        <v>208</v>
      </c>
      <c r="B114" s="49"/>
      <c r="C114" s="50"/>
    </row>
    <row r="115" spans="1:3" ht="17.25" x14ac:dyDescent="0.3">
      <c r="A115" s="48">
        <v>209</v>
      </c>
      <c r="B115" s="49"/>
      <c r="C115" s="50"/>
    </row>
    <row r="116" spans="1:3" ht="17.25" x14ac:dyDescent="0.3">
      <c r="A116" s="48">
        <v>210</v>
      </c>
      <c r="B116" s="49"/>
      <c r="C116" s="50"/>
    </row>
    <row r="117" spans="1:3" ht="17.25" x14ac:dyDescent="0.3">
      <c r="A117" s="48">
        <v>211</v>
      </c>
      <c r="B117" s="49"/>
      <c r="C117" s="50"/>
    </row>
    <row r="118" spans="1:3" ht="17.25" x14ac:dyDescent="0.3">
      <c r="A118" s="48">
        <v>212</v>
      </c>
      <c r="B118" s="49"/>
      <c r="C118" s="50"/>
    </row>
    <row r="119" spans="1:3" ht="17.25" x14ac:dyDescent="0.3">
      <c r="A119" s="48">
        <v>213</v>
      </c>
      <c r="B119" s="49"/>
      <c r="C119" s="50"/>
    </row>
    <row r="120" spans="1:3" ht="17.25" x14ac:dyDescent="0.3">
      <c r="A120" s="48">
        <v>214</v>
      </c>
      <c r="B120" s="49"/>
      <c r="C120" s="50"/>
    </row>
    <row r="121" spans="1:3" ht="17.25" x14ac:dyDescent="0.3">
      <c r="A121" s="48">
        <v>215</v>
      </c>
      <c r="B121" s="49"/>
      <c r="C121" s="50"/>
    </row>
    <row r="122" spans="1:3" ht="17.25" x14ac:dyDescent="0.3">
      <c r="A122" s="48">
        <v>216</v>
      </c>
      <c r="B122" s="49"/>
      <c r="C122" s="50"/>
    </row>
    <row r="123" spans="1:3" ht="17.25" x14ac:dyDescent="0.3">
      <c r="A123" s="48">
        <v>217</v>
      </c>
      <c r="B123" s="49"/>
      <c r="C123" s="50"/>
    </row>
    <row r="124" spans="1:3" ht="17.25" x14ac:dyDescent="0.3">
      <c r="A124" s="48">
        <v>218</v>
      </c>
      <c r="B124" s="49"/>
      <c r="C124" s="50"/>
    </row>
    <row r="125" spans="1:3" ht="17.25" x14ac:dyDescent="0.3">
      <c r="A125" s="48">
        <v>219</v>
      </c>
      <c r="B125" s="49"/>
      <c r="C125" s="50"/>
    </row>
    <row r="126" spans="1:3" ht="17.25" x14ac:dyDescent="0.3">
      <c r="A126" s="48">
        <v>220</v>
      </c>
      <c r="B126" s="49"/>
      <c r="C126" s="50"/>
    </row>
    <row r="127" spans="1:3" ht="17.25" x14ac:dyDescent="0.3">
      <c r="A127" s="48">
        <v>221</v>
      </c>
      <c r="B127" s="49"/>
      <c r="C127" s="50"/>
    </row>
    <row r="128" spans="1:3" ht="17.25" x14ac:dyDescent="0.3">
      <c r="A128" s="48">
        <v>222</v>
      </c>
      <c r="B128" s="49"/>
      <c r="C128" s="50"/>
    </row>
    <row r="129" spans="1:3" ht="17.25" x14ac:dyDescent="0.3">
      <c r="A129" s="48">
        <v>223</v>
      </c>
      <c r="B129" s="49"/>
      <c r="C129" s="50"/>
    </row>
    <row r="130" spans="1:3" ht="17.25" x14ac:dyDescent="0.3">
      <c r="A130" s="48">
        <v>224</v>
      </c>
      <c r="B130" s="49"/>
      <c r="C130" s="50"/>
    </row>
    <row r="131" spans="1:3" ht="17.25" x14ac:dyDescent="0.3">
      <c r="A131" s="48">
        <v>225</v>
      </c>
      <c r="B131" s="49"/>
      <c r="C131" s="50"/>
    </row>
    <row r="132" spans="1:3" ht="17.25" x14ac:dyDescent="0.3">
      <c r="A132" s="48">
        <v>226</v>
      </c>
      <c r="B132" s="49"/>
      <c r="C132" s="50"/>
    </row>
    <row r="133" spans="1:3" ht="17.25" x14ac:dyDescent="0.3">
      <c r="A133" s="48">
        <v>227</v>
      </c>
      <c r="B133" s="49"/>
      <c r="C133" s="50"/>
    </row>
    <row r="134" spans="1:3" ht="17.25" x14ac:dyDescent="0.3">
      <c r="A134" s="48">
        <v>228</v>
      </c>
      <c r="B134" s="49"/>
      <c r="C134" s="50"/>
    </row>
    <row r="135" spans="1:3" ht="17.25" x14ac:dyDescent="0.3">
      <c r="A135" s="48">
        <v>229</v>
      </c>
      <c r="B135" s="49"/>
      <c r="C135" s="50"/>
    </row>
    <row r="136" spans="1:3" ht="17.25" x14ac:dyDescent="0.3">
      <c r="A136" s="48">
        <v>230</v>
      </c>
      <c r="B136" s="49"/>
      <c r="C136" s="50"/>
    </row>
    <row r="137" spans="1:3" ht="17.25" x14ac:dyDescent="0.3">
      <c r="A137" s="48">
        <v>231</v>
      </c>
      <c r="B137" s="49"/>
      <c r="C137" s="50"/>
    </row>
    <row r="138" spans="1:3" ht="17.25" x14ac:dyDescent="0.3">
      <c r="A138" s="48">
        <v>232</v>
      </c>
      <c r="B138" s="49"/>
      <c r="C138" s="50"/>
    </row>
    <row r="139" spans="1:3" ht="17.25" x14ac:dyDescent="0.3">
      <c r="A139" s="48">
        <v>233</v>
      </c>
      <c r="B139" s="49"/>
      <c r="C139" s="50"/>
    </row>
    <row r="140" spans="1:3" ht="17.25" x14ac:dyDescent="0.3">
      <c r="A140" s="48">
        <v>234</v>
      </c>
      <c r="B140" s="49"/>
      <c r="C140" s="50"/>
    </row>
    <row r="141" spans="1:3" ht="17.25" x14ac:dyDescent="0.3">
      <c r="A141" s="48">
        <v>235</v>
      </c>
      <c r="B141" s="49"/>
      <c r="C141" s="50"/>
    </row>
    <row r="142" spans="1:3" ht="17.25" x14ac:dyDescent="0.3">
      <c r="A142" s="48">
        <v>236</v>
      </c>
      <c r="B142" s="49"/>
      <c r="C142" s="50"/>
    </row>
    <row r="143" spans="1:3" ht="17.25" x14ac:dyDescent="0.3">
      <c r="A143" s="48">
        <v>237</v>
      </c>
      <c r="B143" s="49"/>
      <c r="C143" s="50"/>
    </row>
    <row r="144" spans="1:3" ht="17.25" x14ac:dyDescent="0.3">
      <c r="A144" s="48">
        <v>238</v>
      </c>
      <c r="B144" s="49"/>
      <c r="C144" s="50"/>
    </row>
    <row r="145" spans="1:3" ht="17.25" x14ac:dyDescent="0.3">
      <c r="A145" s="48">
        <v>239</v>
      </c>
      <c r="B145" s="49"/>
      <c r="C145" s="50"/>
    </row>
    <row r="146" spans="1:3" ht="17.25" x14ac:dyDescent="0.3">
      <c r="A146" s="48">
        <v>240</v>
      </c>
      <c r="B146" s="49"/>
      <c r="C146" s="50"/>
    </row>
    <row r="147" spans="1:3" ht="17.25" x14ac:dyDescent="0.3">
      <c r="A147" s="48">
        <v>241</v>
      </c>
      <c r="B147" s="49"/>
      <c r="C147" s="50"/>
    </row>
    <row r="148" spans="1:3" ht="17.25" x14ac:dyDescent="0.3">
      <c r="A148" s="48">
        <v>242</v>
      </c>
      <c r="B148" s="49"/>
      <c r="C148" s="50"/>
    </row>
    <row r="149" spans="1:3" ht="17.25" x14ac:dyDescent="0.3">
      <c r="A149" s="48">
        <v>243</v>
      </c>
      <c r="B149" s="49"/>
      <c r="C149" s="50"/>
    </row>
    <row r="150" spans="1:3" ht="17.25" x14ac:dyDescent="0.3">
      <c r="A150" s="48">
        <v>244</v>
      </c>
      <c r="B150" s="49"/>
      <c r="C150" s="50"/>
    </row>
    <row r="151" spans="1:3" ht="17.25" x14ac:dyDescent="0.3">
      <c r="A151" s="48">
        <v>245</v>
      </c>
      <c r="B151" s="49"/>
      <c r="C151" s="50"/>
    </row>
    <row r="152" spans="1:3" ht="17.25" x14ac:dyDescent="0.3">
      <c r="A152" s="48">
        <v>246</v>
      </c>
      <c r="B152" s="49"/>
      <c r="C152" s="50"/>
    </row>
    <row r="153" spans="1:3" ht="17.25" x14ac:dyDescent="0.3">
      <c r="A153" s="48">
        <v>247</v>
      </c>
      <c r="B153" s="49"/>
      <c r="C153" s="50"/>
    </row>
    <row r="154" spans="1:3" ht="17.25" x14ac:dyDescent="0.3">
      <c r="A154" s="48">
        <v>248</v>
      </c>
      <c r="B154" s="49"/>
      <c r="C154" s="50"/>
    </row>
    <row r="155" spans="1:3" ht="17.25" x14ac:dyDescent="0.3">
      <c r="A155" s="48">
        <v>249</v>
      </c>
      <c r="B155" s="49"/>
      <c r="C155" s="50"/>
    </row>
    <row r="156" spans="1:3" ht="17.25" x14ac:dyDescent="0.3">
      <c r="A156" s="48">
        <v>250</v>
      </c>
      <c r="B156" s="49"/>
      <c r="C156" s="50"/>
    </row>
    <row r="157" spans="1:3" ht="17.25" x14ac:dyDescent="0.3">
      <c r="A157" s="48">
        <v>251</v>
      </c>
      <c r="B157" s="49"/>
      <c r="C157" s="50"/>
    </row>
    <row r="158" spans="1:3" ht="17.25" x14ac:dyDescent="0.3">
      <c r="A158" s="48">
        <v>252</v>
      </c>
      <c r="B158" s="49"/>
      <c r="C158" s="50"/>
    </row>
    <row r="159" spans="1:3" ht="17.25" x14ac:dyDescent="0.3">
      <c r="A159" s="48">
        <v>253</v>
      </c>
      <c r="B159" s="49"/>
      <c r="C159" s="50"/>
    </row>
    <row r="160" spans="1:3" ht="17.25" x14ac:dyDescent="0.3">
      <c r="A160" s="48">
        <v>254</v>
      </c>
      <c r="B160" s="49"/>
      <c r="C160" s="50"/>
    </row>
    <row r="161" spans="1:3" ht="17.25" x14ac:dyDescent="0.3">
      <c r="A161" s="48">
        <v>255</v>
      </c>
      <c r="B161" s="49"/>
      <c r="C161" s="50"/>
    </row>
    <row r="162" spans="1:3" ht="17.25" x14ac:dyDescent="0.3">
      <c r="A162" s="48">
        <v>256</v>
      </c>
      <c r="B162" s="49"/>
      <c r="C162" s="50"/>
    </row>
    <row r="163" spans="1:3" ht="17.25" x14ac:dyDescent="0.3">
      <c r="A163" s="48">
        <v>257</v>
      </c>
      <c r="B163" s="49"/>
      <c r="C163" s="50"/>
    </row>
    <row r="164" spans="1:3" ht="17.25" x14ac:dyDescent="0.3">
      <c r="A164" s="48">
        <v>258</v>
      </c>
      <c r="B164" s="49"/>
      <c r="C164" s="50"/>
    </row>
    <row r="165" spans="1:3" ht="17.25" x14ac:dyDescent="0.3">
      <c r="A165" s="48">
        <v>259</v>
      </c>
      <c r="B165" s="49"/>
      <c r="C165" s="50"/>
    </row>
    <row r="166" spans="1:3" ht="17.25" x14ac:dyDescent="0.3">
      <c r="A166" s="48">
        <v>260</v>
      </c>
      <c r="B166" s="49"/>
      <c r="C166" s="50"/>
    </row>
    <row r="167" spans="1:3" ht="17.25" x14ac:dyDescent="0.3">
      <c r="A167" s="48">
        <v>261</v>
      </c>
      <c r="B167" s="49"/>
      <c r="C167" s="50"/>
    </row>
    <row r="168" spans="1:3" ht="17.25" x14ac:dyDescent="0.3">
      <c r="A168" s="48">
        <v>262</v>
      </c>
      <c r="B168" s="49"/>
      <c r="C168" s="50"/>
    </row>
    <row r="169" spans="1:3" ht="17.25" x14ac:dyDescent="0.3">
      <c r="A169" s="48">
        <v>263</v>
      </c>
      <c r="B169" s="49"/>
      <c r="C169" s="50"/>
    </row>
    <row r="170" spans="1:3" ht="17.25" x14ac:dyDescent="0.3">
      <c r="A170" s="48">
        <v>264</v>
      </c>
      <c r="B170" s="49"/>
      <c r="C170" s="50"/>
    </row>
    <row r="171" spans="1:3" ht="17.25" x14ac:dyDescent="0.3">
      <c r="A171" s="48">
        <v>265</v>
      </c>
      <c r="B171" s="49"/>
      <c r="C171" s="50"/>
    </row>
    <row r="172" spans="1:3" ht="17.25" x14ac:dyDescent="0.3">
      <c r="A172" s="48">
        <v>266</v>
      </c>
      <c r="B172" s="49"/>
      <c r="C172" s="50"/>
    </row>
    <row r="173" spans="1:3" ht="17.25" x14ac:dyDescent="0.3">
      <c r="A173" s="48">
        <v>267</v>
      </c>
      <c r="B173" s="49"/>
      <c r="C173" s="50"/>
    </row>
    <row r="174" spans="1:3" ht="17.25" x14ac:dyDescent="0.3">
      <c r="A174" s="48">
        <v>268</v>
      </c>
      <c r="B174" s="49"/>
      <c r="C174" s="50"/>
    </row>
    <row r="175" spans="1:3" ht="17.25" x14ac:dyDescent="0.3">
      <c r="A175" s="48">
        <v>269</v>
      </c>
      <c r="B175" s="49"/>
      <c r="C175" s="50"/>
    </row>
    <row r="176" spans="1:3" ht="17.25" x14ac:dyDescent="0.3">
      <c r="A176" s="48">
        <v>270</v>
      </c>
      <c r="B176" s="49"/>
      <c r="C176" s="50"/>
    </row>
    <row r="177" spans="1:3" ht="17.25" x14ac:dyDescent="0.3">
      <c r="A177" s="48">
        <v>271</v>
      </c>
      <c r="B177" s="49"/>
      <c r="C177" s="50"/>
    </row>
    <row r="178" spans="1:3" ht="17.25" x14ac:dyDescent="0.3">
      <c r="A178" s="48">
        <v>272</v>
      </c>
      <c r="B178" s="49"/>
      <c r="C178" s="50"/>
    </row>
    <row r="179" spans="1:3" ht="17.25" x14ac:dyDescent="0.3">
      <c r="A179" s="48">
        <v>273</v>
      </c>
      <c r="B179" s="49"/>
      <c r="C179" s="50"/>
    </row>
    <row r="180" spans="1:3" ht="17.25" x14ac:dyDescent="0.3">
      <c r="A180" s="48">
        <v>274</v>
      </c>
      <c r="B180" s="49"/>
      <c r="C180" s="50"/>
    </row>
    <row r="181" spans="1:3" ht="17.25" x14ac:dyDescent="0.3">
      <c r="A181" s="48">
        <v>275</v>
      </c>
      <c r="B181" s="49"/>
      <c r="C181" s="50"/>
    </row>
    <row r="182" spans="1:3" ht="17.25" x14ac:dyDescent="0.3">
      <c r="A182" s="48">
        <v>276</v>
      </c>
      <c r="B182" s="49"/>
      <c r="C182" s="50"/>
    </row>
    <row r="183" spans="1:3" ht="17.25" x14ac:dyDescent="0.3">
      <c r="A183" s="48">
        <v>277</v>
      </c>
      <c r="B183" s="49"/>
      <c r="C183" s="50"/>
    </row>
    <row r="184" spans="1:3" ht="17.25" x14ac:dyDescent="0.3">
      <c r="A184" s="48">
        <v>278</v>
      </c>
      <c r="B184" s="49"/>
      <c r="C184" s="50"/>
    </row>
    <row r="185" spans="1:3" ht="17.25" x14ac:dyDescent="0.3">
      <c r="A185" s="48">
        <v>279</v>
      </c>
      <c r="B185" s="49"/>
      <c r="C185" s="50"/>
    </row>
    <row r="186" spans="1:3" ht="17.25" x14ac:dyDescent="0.3">
      <c r="A186" s="48">
        <v>280</v>
      </c>
      <c r="B186" s="49"/>
      <c r="C186" s="50"/>
    </row>
    <row r="187" spans="1:3" ht="17.25" x14ac:dyDescent="0.3">
      <c r="A187" s="48">
        <v>281</v>
      </c>
      <c r="B187" s="49"/>
      <c r="C187" s="50"/>
    </row>
    <row r="188" spans="1:3" ht="17.25" x14ac:dyDescent="0.3">
      <c r="A188" s="48">
        <v>282</v>
      </c>
      <c r="B188" s="49"/>
      <c r="C188" s="50"/>
    </row>
    <row r="189" spans="1:3" ht="17.25" x14ac:dyDescent="0.3">
      <c r="A189" s="48">
        <v>283</v>
      </c>
      <c r="B189" s="49"/>
      <c r="C189" s="50"/>
    </row>
    <row r="190" spans="1:3" ht="17.25" x14ac:dyDescent="0.3">
      <c r="A190" s="48">
        <v>284</v>
      </c>
      <c r="B190" s="49"/>
      <c r="C190" s="50"/>
    </row>
    <row r="191" spans="1:3" ht="17.25" x14ac:dyDescent="0.3">
      <c r="A191" s="48">
        <v>285</v>
      </c>
      <c r="B191" s="49"/>
      <c r="C191" s="50"/>
    </row>
    <row r="192" spans="1:3" ht="17.25" x14ac:dyDescent="0.3">
      <c r="A192" s="48">
        <v>286</v>
      </c>
      <c r="B192" s="49"/>
      <c r="C192" s="50"/>
    </row>
    <row r="193" spans="1:3" ht="17.25" x14ac:dyDescent="0.3">
      <c r="A193" s="48">
        <v>287</v>
      </c>
      <c r="B193" s="49"/>
      <c r="C193" s="50"/>
    </row>
    <row r="194" spans="1:3" ht="17.25" x14ac:dyDescent="0.3">
      <c r="A194" s="48">
        <v>288</v>
      </c>
      <c r="B194" s="49"/>
      <c r="C194" s="50"/>
    </row>
    <row r="195" spans="1:3" ht="17.25" x14ac:dyDescent="0.3">
      <c r="A195" s="48">
        <v>289</v>
      </c>
      <c r="B195" s="49"/>
      <c r="C195" s="50"/>
    </row>
    <row r="196" spans="1:3" ht="17.25" x14ac:dyDescent="0.3">
      <c r="A196" s="48">
        <v>290</v>
      </c>
      <c r="B196" s="49"/>
      <c r="C196" s="50"/>
    </row>
    <row r="197" spans="1:3" ht="17.25" x14ac:dyDescent="0.3">
      <c r="A197" s="48">
        <v>291</v>
      </c>
      <c r="B197" s="49"/>
      <c r="C197" s="50"/>
    </row>
    <row r="198" spans="1:3" ht="17.25" x14ac:dyDescent="0.3">
      <c r="A198" s="48">
        <v>292</v>
      </c>
      <c r="B198" s="49"/>
      <c r="C198" s="50"/>
    </row>
    <row r="199" spans="1:3" ht="17.25" x14ac:dyDescent="0.3">
      <c r="A199" s="48">
        <v>293</v>
      </c>
      <c r="B199" s="49"/>
      <c r="C199" s="50"/>
    </row>
    <row r="200" spans="1:3" ht="17.25" x14ac:dyDescent="0.3">
      <c r="A200" s="48">
        <v>294</v>
      </c>
      <c r="B200" s="49"/>
      <c r="C200" s="50"/>
    </row>
    <row r="201" spans="1:3" ht="17.25" x14ac:dyDescent="0.3">
      <c r="A201" s="48">
        <v>295</v>
      </c>
      <c r="B201" s="49"/>
      <c r="C201" s="50"/>
    </row>
    <row r="202" spans="1:3" ht="17.25" x14ac:dyDescent="0.3">
      <c r="A202" s="48">
        <v>296</v>
      </c>
      <c r="B202" s="49"/>
      <c r="C202" s="50"/>
    </row>
    <row r="203" spans="1:3" ht="17.25" x14ac:dyDescent="0.3">
      <c r="A203" s="48">
        <v>297</v>
      </c>
      <c r="B203" s="49"/>
      <c r="C203" s="50"/>
    </row>
    <row r="204" spans="1:3" ht="17.25" x14ac:dyDescent="0.3">
      <c r="A204" s="48">
        <v>298</v>
      </c>
      <c r="B204" s="49"/>
      <c r="C204" s="50"/>
    </row>
    <row r="205" spans="1:3" ht="17.25" x14ac:dyDescent="0.3">
      <c r="A205" s="48">
        <v>299</v>
      </c>
      <c r="B205" s="49"/>
      <c r="C205" s="50"/>
    </row>
    <row r="206" spans="1:3" ht="17.25" x14ac:dyDescent="0.3">
      <c r="A206" s="48">
        <v>300</v>
      </c>
      <c r="B206" s="49"/>
      <c r="C206" s="50"/>
    </row>
    <row r="207" spans="1:3" ht="17.25" x14ac:dyDescent="0.3">
      <c r="A207" s="48">
        <v>301</v>
      </c>
      <c r="B207" s="49"/>
      <c r="C207" s="50"/>
    </row>
    <row r="208" spans="1:3" ht="17.25" x14ac:dyDescent="0.3">
      <c r="A208" s="48">
        <v>302</v>
      </c>
      <c r="B208" s="49"/>
      <c r="C208" s="50"/>
    </row>
    <row r="209" spans="1:3" ht="17.25" x14ac:dyDescent="0.3">
      <c r="A209" s="48">
        <v>303</v>
      </c>
      <c r="B209" s="49"/>
      <c r="C209" s="50"/>
    </row>
    <row r="210" spans="1:3" ht="17.25" x14ac:dyDescent="0.3">
      <c r="A210" s="48">
        <v>304</v>
      </c>
      <c r="B210" s="49"/>
      <c r="C210" s="50"/>
    </row>
    <row r="211" spans="1:3" ht="17.25" x14ac:dyDescent="0.3">
      <c r="A211" s="48">
        <v>305</v>
      </c>
      <c r="B211" s="49"/>
      <c r="C211" s="50"/>
    </row>
    <row r="212" spans="1:3" ht="17.25" x14ac:dyDescent="0.3">
      <c r="A212" s="48">
        <v>306</v>
      </c>
      <c r="B212" s="49"/>
      <c r="C212" s="50"/>
    </row>
    <row r="213" spans="1:3" ht="17.25" x14ac:dyDescent="0.3">
      <c r="A213" s="48">
        <v>307</v>
      </c>
      <c r="B213" s="49"/>
      <c r="C213" s="50"/>
    </row>
    <row r="214" spans="1:3" ht="17.25" x14ac:dyDescent="0.3">
      <c r="A214" s="48">
        <v>308</v>
      </c>
      <c r="B214" s="49"/>
      <c r="C214" s="50"/>
    </row>
    <row r="215" spans="1:3" ht="17.25" x14ac:dyDescent="0.3">
      <c r="A215" s="48">
        <v>309</v>
      </c>
      <c r="B215" s="49"/>
      <c r="C215" s="50"/>
    </row>
    <row r="216" spans="1:3" ht="17.25" x14ac:dyDescent="0.3">
      <c r="A216" s="48">
        <v>310</v>
      </c>
      <c r="B216" s="49"/>
      <c r="C216" s="50"/>
    </row>
    <row r="217" spans="1:3" ht="17.25" x14ac:dyDescent="0.3">
      <c r="A217" s="48">
        <v>311</v>
      </c>
      <c r="B217" s="49"/>
      <c r="C217" s="50"/>
    </row>
    <row r="218" spans="1:3" ht="17.25" x14ac:dyDescent="0.3">
      <c r="A218" s="48">
        <v>312</v>
      </c>
      <c r="B218" s="49"/>
      <c r="C218" s="50"/>
    </row>
    <row r="219" spans="1:3" ht="17.25" x14ac:dyDescent="0.3">
      <c r="A219" s="48">
        <v>313</v>
      </c>
      <c r="B219" s="49"/>
      <c r="C219" s="50"/>
    </row>
    <row r="220" spans="1:3" ht="17.25" x14ac:dyDescent="0.3">
      <c r="A220" s="48">
        <v>314</v>
      </c>
      <c r="B220" s="49"/>
      <c r="C220" s="50"/>
    </row>
    <row r="221" spans="1:3" ht="17.25" x14ac:dyDescent="0.3">
      <c r="A221" s="48">
        <v>315</v>
      </c>
      <c r="B221" s="49"/>
      <c r="C221" s="50"/>
    </row>
    <row r="222" spans="1:3" ht="17.25" x14ac:dyDescent="0.3">
      <c r="A222" s="48">
        <v>316</v>
      </c>
      <c r="B222" s="49"/>
      <c r="C222" s="50"/>
    </row>
    <row r="223" spans="1:3" ht="17.25" x14ac:dyDescent="0.3">
      <c r="A223" s="48">
        <v>317</v>
      </c>
      <c r="B223" s="49"/>
      <c r="C223" s="50"/>
    </row>
    <row r="224" spans="1:3" ht="17.25" x14ac:dyDescent="0.3">
      <c r="A224" s="48">
        <v>318</v>
      </c>
      <c r="B224" s="49"/>
      <c r="C224" s="50"/>
    </row>
    <row r="225" spans="1:3" ht="17.25" x14ac:dyDescent="0.3">
      <c r="A225" s="48">
        <v>319</v>
      </c>
      <c r="B225" s="49"/>
      <c r="C225" s="50"/>
    </row>
    <row r="226" spans="1:3" ht="17.25" x14ac:dyDescent="0.3">
      <c r="A226" s="48">
        <v>320</v>
      </c>
      <c r="B226" s="49"/>
      <c r="C226" s="50"/>
    </row>
    <row r="227" spans="1:3" ht="17.25" x14ac:dyDescent="0.3">
      <c r="A227" s="48">
        <v>321</v>
      </c>
      <c r="B227" s="49"/>
      <c r="C227" s="50"/>
    </row>
    <row r="228" spans="1:3" ht="17.25" x14ac:dyDescent="0.3">
      <c r="A228" s="48">
        <v>322</v>
      </c>
      <c r="B228" s="49"/>
      <c r="C228" s="50"/>
    </row>
    <row r="229" spans="1:3" ht="17.25" x14ac:dyDescent="0.3">
      <c r="A229" s="48">
        <v>323</v>
      </c>
      <c r="B229" s="49"/>
      <c r="C229" s="50"/>
    </row>
    <row r="230" spans="1:3" ht="17.25" x14ac:dyDescent="0.3">
      <c r="A230" s="48">
        <v>324</v>
      </c>
      <c r="B230" s="49"/>
      <c r="C230" s="50"/>
    </row>
    <row r="231" spans="1:3" ht="17.25" x14ac:dyDescent="0.3">
      <c r="A231" s="48">
        <v>325</v>
      </c>
      <c r="B231" s="49"/>
      <c r="C231" s="50"/>
    </row>
    <row r="232" spans="1:3" ht="17.25" x14ac:dyDescent="0.3">
      <c r="A232" s="48">
        <v>326</v>
      </c>
      <c r="B232" s="49"/>
      <c r="C232" s="50"/>
    </row>
    <row r="233" spans="1:3" ht="17.25" x14ac:dyDescent="0.3">
      <c r="A233" s="48">
        <v>327</v>
      </c>
      <c r="B233" s="49"/>
      <c r="C233" s="50"/>
    </row>
    <row r="234" spans="1:3" ht="17.25" x14ac:dyDescent="0.3">
      <c r="A234" s="48">
        <v>328</v>
      </c>
      <c r="B234" s="49"/>
      <c r="C234" s="50"/>
    </row>
    <row r="235" spans="1:3" ht="17.25" x14ac:dyDescent="0.3">
      <c r="A235" s="48">
        <v>329</v>
      </c>
      <c r="B235" s="49"/>
      <c r="C235" s="50"/>
    </row>
    <row r="236" spans="1:3" ht="17.25" x14ac:dyDescent="0.3">
      <c r="A236" s="48">
        <v>330</v>
      </c>
      <c r="B236" s="49"/>
      <c r="C236" s="50"/>
    </row>
    <row r="237" spans="1:3" ht="17.25" x14ac:dyDescent="0.3">
      <c r="A237" s="48">
        <v>331</v>
      </c>
      <c r="B237" s="49"/>
      <c r="C237" s="50"/>
    </row>
    <row r="238" spans="1:3" ht="17.25" x14ac:dyDescent="0.3">
      <c r="A238" s="48">
        <v>332</v>
      </c>
      <c r="B238" s="49"/>
      <c r="C238" s="50"/>
    </row>
    <row r="239" spans="1:3" ht="17.25" x14ac:dyDescent="0.3">
      <c r="A239" s="48">
        <v>333</v>
      </c>
      <c r="B239" s="49"/>
      <c r="C239" s="50"/>
    </row>
    <row r="240" spans="1:3" ht="17.25" x14ac:dyDescent="0.3">
      <c r="A240" s="48">
        <v>334</v>
      </c>
      <c r="B240" s="49"/>
      <c r="C240" s="50"/>
    </row>
    <row r="241" spans="1:3" ht="17.25" x14ac:dyDescent="0.3">
      <c r="A241" s="48">
        <v>335</v>
      </c>
      <c r="B241" s="49"/>
      <c r="C241" s="50"/>
    </row>
    <row r="242" spans="1:3" ht="17.25" x14ac:dyDescent="0.3">
      <c r="A242" s="48">
        <v>336</v>
      </c>
      <c r="B242" s="49"/>
      <c r="C242" s="50"/>
    </row>
    <row r="243" spans="1:3" ht="17.25" x14ac:dyDescent="0.3">
      <c r="A243" s="48">
        <v>337</v>
      </c>
      <c r="B243" s="49"/>
      <c r="C243" s="50"/>
    </row>
    <row r="244" spans="1:3" ht="17.25" x14ac:dyDescent="0.3">
      <c r="A244" s="48">
        <v>338</v>
      </c>
      <c r="B244" s="49"/>
      <c r="C244" s="50"/>
    </row>
    <row r="245" spans="1:3" ht="17.25" x14ac:dyDescent="0.3">
      <c r="A245" s="48">
        <v>339</v>
      </c>
      <c r="B245" s="49"/>
      <c r="C245" s="50"/>
    </row>
    <row r="246" spans="1:3" ht="17.25" x14ac:dyDescent="0.3">
      <c r="A246" s="48">
        <v>340</v>
      </c>
      <c r="B246" s="49"/>
      <c r="C246" s="50"/>
    </row>
    <row r="247" spans="1:3" ht="17.25" x14ac:dyDescent="0.3">
      <c r="A247" s="48">
        <v>341</v>
      </c>
      <c r="B247" s="49"/>
      <c r="C247" s="50"/>
    </row>
    <row r="248" spans="1:3" ht="17.25" x14ac:dyDescent="0.3">
      <c r="A248" s="48">
        <v>342</v>
      </c>
      <c r="B248" s="49"/>
      <c r="C248" s="50"/>
    </row>
    <row r="249" spans="1:3" ht="17.25" x14ac:dyDescent="0.3">
      <c r="A249" s="48">
        <v>343</v>
      </c>
      <c r="B249" s="49"/>
      <c r="C249" s="50"/>
    </row>
    <row r="250" spans="1:3" ht="17.25" x14ac:dyDescent="0.3">
      <c r="A250" s="48">
        <v>344</v>
      </c>
      <c r="B250" s="49"/>
      <c r="C250" s="50"/>
    </row>
    <row r="251" spans="1:3" ht="17.25" x14ac:dyDescent="0.3">
      <c r="A251" s="48">
        <v>345</v>
      </c>
      <c r="B251" s="49"/>
      <c r="C251" s="50"/>
    </row>
    <row r="252" spans="1:3" ht="17.25" x14ac:dyDescent="0.3">
      <c r="A252" s="48">
        <v>346</v>
      </c>
      <c r="B252" s="49"/>
      <c r="C252" s="50"/>
    </row>
    <row r="253" spans="1:3" ht="17.25" x14ac:dyDescent="0.3">
      <c r="A253" s="48">
        <v>347</v>
      </c>
      <c r="B253" s="49"/>
      <c r="C253" s="50"/>
    </row>
    <row r="254" spans="1:3" ht="17.25" x14ac:dyDescent="0.3">
      <c r="A254" s="48">
        <v>348</v>
      </c>
      <c r="B254" s="49"/>
      <c r="C254" s="50"/>
    </row>
    <row r="255" spans="1:3" ht="17.25" x14ac:dyDescent="0.3">
      <c r="A255" s="48">
        <v>349</v>
      </c>
      <c r="B255" s="49"/>
      <c r="C255" s="50"/>
    </row>
    <row r="256" spans="1:3" ht="17.25" x14ac:dyDescent="0.3">
      <c r="A256" s="48">
        <v>350</v>
      </c>
      <c r="B256" s="49"/>
      <c r="C256" s="50"/>
    </row>
    <row r="257" spans="1:3" ht="17.25" x14ac:dyDescent="0.3">
      <c r="A257" s="48">
        <v>351</v>
      </c>
      <c r="B257" s="49"/>
      <c r="C257" s="50"/>
    </row>
    <row r="258" spans="1:3" ht="17.25" x14ac:dyDescent="0.3">
      <c r="A258" s="48">
        <v>352</v>
      </c>
      <c r="B258" s="49"/>
      <c r="C258" s="50"/>
    </row>
    <row r="259" spans="1:3" ht="17.25" x14ac:dyDescent="0.3">
      <c r="A259" s="48">
        <v>353</v>
      </c>
      <c r="B259" s="49"/>
      <c r="C259" s="50"/>
    </row>
    <row r="260" spans="1:3" ht="17.25" x14ac:dyDescent="0.3">
      <c r="A260" s="48">
        <v>354</v>
      </c>
      <c r="B260" s="49"/>
      <c r="C260" s="50"/>
    </row>
    <row r="261" spans="1:3" ht="17.25" x14ac:dyDescent="0.3">
      <c r="A261" s="48">
        <v>355</v>
      </c>
      <c r="B261" s="49"/>
      <c r="C261" s="50"/>
    </row>
    <row r="262" spans="1:3" ht="17.25" x14ac:dyDescent="0.3">
      <c r="A262" s="48">
        <v>356</v>
      </c>
      <c r="B262" s="49"/>
      <c r="C262" s="50"/>
    </row>
    <row r="263" spans="1:3" ht="17.25" x14ac:dyDescent="0.3">
      <c r="A263" s="48">
        <v>357</v>
      </c>
      <c r="B263" s="49"/>
      <c r="C263" s="50"/>
    </row>
    <row r="264" spans="1:3" ht="17.25" x14ac:dyDescent="0.3">
      <c r="A264" s="48">
        <v>358</v>
      </c>
      <c r="B264" s="49"/>
      <c r="C264" s="50"/>
    </row>
    <row r="265" spans="1:3" ht="17.25" x14ac:dyDescent="0.3">
      <c r="A265" s="48">
        <v>359</v>
      </c>
      <c r="B265" s="49"/>
      <c r="C265" s="50"/>
    </row>
    <row r="266" spans="1:3" ht="17.25" x14ac:dyDescent="0.3">
      <c r="A266" s="48">
        <v>360</v>
      </c>
      <c r="B266" s="49"/>
      <c r="C266" s="50"/>
    </row>
    <row r="267" spans="1:3" ht="17.25" x14ac:dyDescent="0.3">
      <c r="A267" s="48">
        <v>361</v>
      </c>
      <c r="B267" s="49"/>
      <c r="C267" s="50"/>
    </row>
    <row r="268" spans="1:3" ht="17.25" x14ac:dyDescent="0.3">
      <c r="A268" s="48">
        <v>362</v>
      </c>
      <c r="B268" s="49"/>
      <c r="C268" s="50"/>
    </row>
    <row r="269" spans="1:3" ht="17.25" x14ac:dyDescent="0.3">
      <c r="A269" s="48">
        <v>363</v>
      </c>
      <c r="B269" s="49"/>
      <c r="C269" s="50"/>
    </row>
    <row r="270" spans="1:3" ht="17.25" x14ac:dyDescent="0.3">
      <c r="A270" s="48">
        <v>364</v>
      </c>
      <c r="B270" s="49"/>
      <c r="C270" s="50"/>
    </row>
    <row r="271" spans="1:3" ht="17.25" x14ac:dyDescent="0.3">
      <c r="A271" s="48">
        <v>365</v>
      </c>
      <c r="B271" s="49"/>
      <c r="C271" s="50"/>
    </row>
    <row r="272" spans="1:3" ht="17.25" x14ac:dyDescent="0.3">
      <c r="A272" s="48">
        <v>366</v>
      </c>
      <c r="B272" s="49"/>
      <c r="C272" s="50"/>
    </row>
    <row r="273" spans="1:3" ht="17.25" x14ac:dyDescent="0.3">
      <c r="A273" s="48">
        <v>367</v>
      </c>
      <c r="B273" s="49"/>
      <c r="C273" s="50"/>
    </row>
    <row r="274" spans="1:3" ht="17.25" x14ac:dyDescent="0.3">
      <c r="A274" s="48">
        <v>368</v>
      </c>
      <c r="B274" s="49"/>
      <c r="C274" s="50"/>
    </row>
    <row r="275" spans="1:3" ht="17.25" x14ac:dyDescent="0.3">
      <c r="A275" s="48">
        <v>369</v>
      </c>
      <c r="B275" s="49"/>
      <c r="C275" s="50"/>
    </row>
    <row r="276" spans="1:3" ht="17.25" x14ac:dyDescent="0.3">
      <c r="A276" s="48">
        <v>370</v>
      </c>
      <c r="B276" s="49"/>
      <c r="C276" s="50"/>
    </row>
    <row r="277" spans="1:3" ht="17.25" x14ac:dyDescent="0.3">
      <c r="A277" s="48">
        <v>371</v>
      </c>
      <c r="B277" s="49"/>
      <c r="C277" s="50"/>
    </row>
    <row r="278" spans="1:3" ht="17.25" x14ac:dyDescent="0.3">
      <c r="A278" s="48">
        <v>372</v>
      </c>
      <c r="B278" s="49"/>
      <c r="C278" s="50"/>
    </row>
    <row r="279" spans="1:3" ht="17.25" x14ac:dyDescent="0.3">
      <c r="A279" s="48">
        <v>373</v>
      </c>
      <c r="B279" s="49"/>
      <c r="C279" s="50"/>
    </row>
    <row r="280" spans="1:3" ht="17.25" x14ac:dyDescent="0.3">
      <c r="A280" s="48">
        <v>374</v>
      </c>
      <c r="B280" s="49"/>
      <c r="C280" s="50"/>
    </row>
    <row r="281" spans="1:3" ht="17.25" x14ac:dyDescent="0.3">
      <c r="A281" s="48">
        <v>375</v>
      </c>
      <c r="B281" s="49"/>
      <c r="C281" s="50"/>
    </row>
    <row r="282" spans="1:3" ht="17.25" x14ac:dyDescent="0.3">
      <c r="A282" s="48">
        <v>376</v>
      </c>
      <c r="B282" s="49"/>
      <c r="C282" s="50"/>
    </row>
    <row r="283" spans="1:3" ht="17.25" x14ac:dyDescent="0.3">
      <c r="A283" s="48">
        <v>377</v>
      </c>
      <c r="B283" s="49"/>
      <c r="C283" s="50"/>
    </row>
    <row r="284" spans="1:3" ht="17.25" x14ac:dyDescent="0.3">
      <c r="A284" s="48">
        <v>378</v>
      </c>
      <c r="B284" s="49"/>
      <c r="C284" s="50"/>
    </row>
    <row r="285" spans="1:3" ht="17.25" x14ac:dyDescent="0.3">
      <c r="A285" s="48">
        <v>379</v>
      </c>
      <c r="B285" s="49"/>
      <c r="C285" s="50"/>
    </row>
    <row r="286" spans="1:3" ht="17.25" x14ac:dyDescent="0.3">
      <c r="A286" s="48">
        <v>380</v>
      </c>
      <c r="B286" s="49"/>
      <c r="C286" s="50"/>
    </row>
    <row r="287" spans="1:3" ht="17.25" x14ac:dyDescent="0.3">
      <c r="A287" s="48">
        <v>381</v>
      </c>
      <c r="B287" s="49"/>
      <c r="C287" s="51"/>
    </row>
    <row r="288" spans="1:3" ht="17.25" x14ac:dyDescent="0.3">
      <c r="A288" s="48">
        <v>382</v>
      </c>
      <c r="B288" s="49"/>
      <c r="C288" s="51"/>
    </row>
    <row r="289" spans="1:3" ht="17.25" x14ac:dyDescent="0.3">
      <c r="A289" s="48">
        <v>383</v>
      </c>
      <c r="B289" s="49"/>
      <c r="C289" s="51"/>
    </row>
    <row r="290" spans="1:3" ht="17.25" x14ac:dyDescent="0.3">
      <c r="A290" s="48">
        <v>384</v>
      </c>
      <c r="B290" s="49"/>
      <c r="C290" s="51"/>
    </row>
    <row r="291" spans="1:3" ht="17.25" x14ac:dyDescent="0.3">
      <c r="A291" s="48">
        <v>385</v>
      </c>
      <c r="B291" s="49"/>
      <c r="C291" s="51"/>
    </row>
    <row r="292" spans="1:3" ht="17.25" x14ac:dyDescent="0.3">
      <c r="A292" s="48">
        <v>386</v>
      </c>
      <c r="B292" s="49"/>
      <c r="C292" s="51"/>
    </row>
    <row r="293" spans="1:3" ht="17.25" x14ac:dyDescent="0.3">
      <c r="A293" s="48">
        <v>387</v>
      </c>
      <c r="B293" s="49"/>
      <c r="C293" s="51"/>
    </row>
    <row r="294" spans="1:3" ht="17.25" x14ac:dyDescent="0.3">
      <c r="A294" s="48">
        <v>388</v>
      </c>
      <c r="B294" s="49"/>
      <c r="C294" s="51"/>
    </row>
    <row r="295" spans="1:3" ht="17.25" x14ac:dyDescent="0.3">
      <c r="A295" s="48">
        <v>389</v>
      </c>
      <c r="B295" s="49"/>
      <c r="C295" s="51"/>
    </row>
    <row r="296" spans="1:3" ht="17.25" x14ac:dyDescent="0.3">
      <c r="A296" s="48">
        <v>390</v>
      </c>
      <c r="B296" s="49"/>
      <c r="C296" s="51"/>
    </row>
    <row r="297" spans="1:3" ht="17.25" x14ac:dyDescent="0.3">
      <c r="A297" s="48">
        <v>391</v>
      </c>
      <c r="B297" s="49"/>
      <c r="C297" s="51"/>
    </row>
    <row r="298" spans="1:3" ht="17.25" x14ac:dyDescent="0.3">
      <c r="A298" s="48">
        <v>392</v>
      </c>
      <c r="B298" s="49"/>
      <c r="C298" s="51"/>
    </row>
    <row r="299" spans="1:3" ht="17.25" x14ac:dyDescent="0.3">
      <c r="A299" s="48">
        <v>393</v>
      </c>
      <c r="B299" s="49"/>
      <c r="C299" s="51"/>
    </row>
    <row r="300" spans="1:3" ht="17.25" x14ac:dyDescent="0.3">
      <c r="A300" s="48">
        <v>394</v>
      </c>
      <c r="B300" s="49"/>
      <c r="C300" s="51"/>
    </row>
    <row r="301" spans="1:3" ht="17.25" x14ac:dyDescent="0.3">
      <c r="A301" s="48">
        <v>395</v>
      </c>
      <c r="B301" s="49"/>
      <c r="C301" s="51"/>
    </row>
    <row r="302" spans="1:3" ht="17.25" x14ac:dyDescent="0.3">
      <c r="A302" s="48">
        <v>396</v>
      </c>
      <c r="B302" s="49"/>
      <c r="C302" s="51"/>
    </row>
    <row r="303" spans="1:3" ht="17.25" x14ac:dyDescent="0.3">
      <c r="A303" s="48">
        <v>397</v>
      </c>
      <c r="B303" s="49"/>
      <c r="C303" s="51"/>
    </row>
    <row r="304" spans="1:3" ht="17.25" x14ac:dyDescent="0.3">
      <c r="A304" s="48">
        <v>398</v>
      </c>
      <c r="B304" s="49"/>
      <c r="C304" s="51"/>
    </row>
    <row r="305" spans="1:3" ht="17.25" x14ac:dyDescent="0.3">
      <c r="A305" s="52">
        <v>399</v>
      </c>
      <c r="B305" s="49"/>
      <c r="C305" s="53"/>
    </row>
    <row r="306" spans="1:3" ht="17.25" x14ac:dyDescent="0.3">
      <c r="A306" s="52">
        <v>400</v>
      </c>
      <c r="B306" s="49"/>
      <c r="C306" s="53"/>
    </row>
    <row r="307" spans="1:3" x14ac:dyDescent="0.3">
      <c r="A307" s="35"/>
      <c r="C307" s="18"/>
    </row>
    <row r="308" spans="1:3" x14ac:dyDescent="0.3">
      <c r="A308" s="35"/>
      <c r="C308" s="18"/>
    </row>
    <row r="309" spans="1:3" x14ac:dyDescent="0.3">
      <c r="A309" s="35"/>
      <c r="C309" s="18"/>
    </row>
    <row r="310" spans="1:3" x14ac:dyDescent="0.3">
      <c r="A310" s="35"/>
      <c r="C310" s="18"/>
    </row>
    <row r="311" spans="1:3" x14ac:dyDescent="0.3">
      <c r="A311" s="35"/>
      <c r="C311" s="18"/>
    </row>
    <row r="312" spans="1:3" x14ac:dyDescent="0.3">
      <c r="A312" s="35"/>
      <c r="C312" s="18"/>
    </row>
    <row r="313" spans="1:3" x14ac:dyDescent="0.3">
      <c r="A313" s="35"/>
      <c r="C313" s="18"/>
    </row>
    <row r="314" spans="1:3" x14ac:dyDescent="0.3">
      <c r="A314" s="35"/>
      <c r="C314" s="18"/>
    </row>
    <row r="315" spans="1:3" x14ac:dyDescent="0.3">
      <c r="A315" s="35"/>
      <c r="C315" s="18"/>
    </row>
    <row r="316" spans="1:3" x14ac:dyDescent="0.3">
      <c r="A316" s="35"/>
      <c r="C316" s="18"/>
    </row>
    <row r="317" spans="1:3" x14ac:dyDescent="0.3">
      <c r="A317" s="35"/>
      <c r="C317" s="18"/>
    </row>
    <row r="318" spans="1:3" x14ac:dyDescent="0.3">
      <c r="A318" s="35"/>
      <c r="C318" s="18"/>
    </row>
    <row r="319" spans="1:3" x14ac:dyDescent="0.3">
      <c r="A319" s="35"/>
      <c r="C319" s="18"/>
    </row>
    <row r="320" spans="1:3" x14ac:dyDescent="0.3">
      <c r="A320" s="35"/>
      <c r="C320" s="18"/>
    </row>
    <row r="321" spans="1:3" x14ac:dyDescent="0.3">
      <c r="A321" s="35"/>
      <c r="C321" s="18"/>
    </row>
    <row r="322" spans="1:3" x14ac:dyDescent="0.3">
      <c r="A322" s="35"/>
      <c r="C322" s="18"/>
    </row>
    <row r="323" spans="1:3" x14ac:dyDescent="0.3">
      <c r="A323" s="35"/>
      <c r="C323" s="18"/>
    </row>
    <row r="324" spans="1:3" x14ac:dyDescent="0.3">
      <c r="A324" s="35"/>
      <c r="C324" s="18"/>
    </row>
    <row r="325" spans="1:3" x14ac:dyDescent="0.3">
      <c r="A325" s="35"/>
      <c r="C325" s="18"/>
    </row>
    <row r="326" spans="1:3" x14ac:dyDescent="0.3">
      <c r="A326" s="35"/>
      <c r="C326" s="18"/>
    </row>
    <row r="327" spans="1:3" x14ac:dyDescent="0.3">
      <c r="A327" s="35"/>
      <c r="C327" s="18"/>
    </row>
    <row r="328" spans="1:3" x14ac:dyDescent="0.3">
      <c r="A328" s="35"/>
      <c r="C328" s="18"/>
    </row>
    <row r="329" spans="1:3" x14ac:dyDescent="0.3">
      <c r="A329" s="35"/>
      <c r="C329" s="18"/>
    </row>
    <row r="330" spans="1:3" x14ac:dyDescent="0.3">
      <c r="A330" s="35"/>
      <c r="C330" s="18"/>
    </row>
    <row r="331" spans="1:3" x14ac:dyDescent="0.3">
      <c r="A331" s="35"/>
      <c r="C331" s="18"/>
    </row>
    <row r="332" spans="1:3" x14ac:dyDescent="0.3">
      <c r="A332" s="35"/>
      <c r="C332" s="18"/>
    </row>
    <row r="333" spans="1:3" x14ac:dyDescent="0.3">
      <c r="A333" s="35"/>
      <c r="C333" s="18"/>
    </row>
    <row r="334" spans="1:3" x14ac:dyDescent="0.3">
      <c r="A334" s="35"/>
      <c r="C334" s="18"/>
    </row>
    <row r="335" spans="1:3" x14ac:dyDescent="0.3">
      <c r="A335" s="35"/>
      <c r="C335" s="18"/>
    </row>
    <row r="336" spans="1:3" x14ac:dyDescent="0.3">
      <c r="A336" s="35"/>
      <c r="C336" s="18"/>
    </row>
    <row r="337" spans="1:3" x14ac:dyDescent="0.3">
      <c r="A337" s="35"/>
      <c r="C337" s="19"/>
    </row>
    <row r="338" spans="1:3" x14ac:dyDescent="0.3">
      <c r="A338" s="35"/>
      <c r="C338" s="18"/>
    </row>
    <row r="339" spans="1:3" x14ac:dyDescent="0.3">
      <c r="A339" s="35"/>
      <c r="C339" s="18"/>
    </row>
    <row r="340" spans="1:3" x14ac:dyDescent="0.3">
      <c r="A340" s="35"/>
      <c r="C340" s="18"/>
    </row>
    <row r="341" spans="1:3" x14ac:dyDescent="0.3">
      <c r="A341" s="35"/>
      <c r="C341" s="18"/>
    </row>
    <row r="342" spans="1:3" x14ac:dyDescent="0.3">
      <c r="A342" s="35"/>
      <c r="C342" s="18"/>
    </row>
    <row r="343" spans="1:3" x14ac:dyDescent="0.3">
      <c r="A343" s="35"/>
      <c r="C343" s="18"/>
    </row>
    <row r="344" spans="1:3" x14ac:dyDescent="0.3">
      <c r="A344" s="35"/>
      <c r="C344" s="18"/>
    </row>
    <row r="345" spans="1:3" x14ac:dyDescent="0.3">
      <c r="A345" s="35"/>
      <c r="C345" s="18"/>
    </row>
    <row r="346" spans="1:3" x14ac:dyDescent="0.3">
      <c r="A346" s="35"/>
      <c r="C346" s="18"/>
    </row>
    <row r="347" spans="1:3" x14ac:dyDescent="0.3">
      <c r="A347" s="35"/>
      <c r="C347" s="18"/>
    </row>
    <row r="348" spans="1:3" x14ac:dyDescent="0.3">
      <c r="A348" s="35"/>
      <c r="C348" s="18"/>
    </row>
    <row r="349" spans="1:3" x14ac:dyDescent="0.3">
      <c r="A349" s="35"/>
      <c r="C349" s="18"/>
    </row>
    <row r="350" spans="1:3" x14ac:dyDescent="0.3">
      <c r="A350" s="35"/>
      <c r="C350" s="18"/>
    </row>
    <row r="351" spans="1:3" x14ac:dyDescent="0.3">
      <c r="A351" s="35"/>
      <c r="C351" s="18"/>
    </row>
    <row r="352" spans="1:3" x14ac:dyDescent="0.3">
      <c r="A352" s="35"/>
      <c r="C352" s="18"/>
    </row>
    <row r="353" spans="1:3" x14ac:dyDescent="0.3">
      <c r="A353" s="35"/>
      <c r="C353" s="18"/>
    </row>
    <row r="354" spans="1:3" x14ac:dyDescent="0.3">
      <c r="A354" s="35"/>
      <c r="C354" s="18"/>
    </row>
    <row r="355" spans="1:3" x14ac:dyDescent="0.3">
      <c r="A355" s="35"/>
      <c r="C355" s="18"/>
    </row>
    <row r="356" spans="1:3" x14ac:dyDescent="0.3">
      <c r="A356" s="35"/>
      <c r="C356" s="18"/>
    </row>
    <row r="357" spans="1:3" x14ac:dyDescent="0.3">
      <c r="A357" s="35"/>
      <c r="C357" s="18"/>
    </row>
    <row r="358" spans="1:3" x14ac:dyDescent="0.3">
      <c r="A358" s="35"/>
      <c r="C358" s="18"/>
    </row>
    <row r="359" spans="1:3" x14ac:dyDescent="0.3">
      <c r="A359" s="35"/>
      <c r="C359" s="18"/>
    </row>
    <row r="360" spans="1:3" x14ac:dyDescent="0.3">
      <c r="A360" s="35"/>
      <c r="C360" s="18"/>
    </row>
    <row r="361" spans="1:3" x14ac:dyDescent="0.3">
      <c r="A361" s="35"/>
      <c r="C361" s="18"/>
    </row>
    <row r="362" spans="1:3" x14ac:dyDescent="0.3">
      <c r="A362" s="35"/>
      <c r="C362" s="18"/>
    </row>
    <row r="363" spans="1:3" x14ac:dyDescent="0.3">
      <c r="A363" s="35"/>
      <c r="C363" s="18"/>
    </row>
    <row r="364" spans="1:3" x14ac:dyDescent="0.3">
      <c r="A364" s="35"/>
      <c r="C364" s="18"/>
    </row>
    <row r="365" spans="1:3" x14ac:dyDescent="0.3">
      <c r="A365" s="35"/>
      <c r="C365" s="18"/>
    </row>
    <row r="366" spans="1:3" x14ac:dyDescent="0.3">
      <c r="A366" s="35"/>
      <c r="C366" s="18"/>
    </row>
    <row r="367" spans="1:3" x14ac:dyDescent="0.3">
      <c r="A367" s="35"/>
      <c r="C367" s="18"/>
    </row>
    <row r="368" spans="1:3" x14ac:dyDescent="0.3">
      <c r="A368" s="35"/>
      <c r="C368" s="18"/>
    </row>
    <row r="369" spans="1:3" x14ac:dyDescent="0.3">
      <c r="A369" s="35"/>
      <c r="C369" s="18"/>
    </row>
    <row r="370" spans="1:3" x14ac:dyDescent="0.3">
      <c r="A370" s="35"/>
      <c r="C370" s="18"/>
    </row>
    <row r="371" spans="1:3" x14ac:dyDescent="0.3">
      <c r="A371" s="35"/>
      <c r="C371" s="18"/>
    </row>
    <row r="372" spans="1:3" x14ac:dyDescent="0.3">
      <c r="A372" s="35"/>
      <c r="C372" s="18"/>
    </row>
    <row r="373" spans="1:3" x14ac:dyDescent="0.3">
      <c r="A373" s="35"/>
      <c r="C373" s="18"/>
    </row>
    <row r="374" spans="1:3" x14ac:dyDescent="0.3">
      <c r="A374" s="35"/>
      <c r="C374" s="18"/>
    </row>
    <row r="375" spans="1:3" x14ac:dyDescent="0.3">
      <c r="A375" s="35"/>
      <c r="C375" s="18"/>
    </row>
    <row r="376" spans="1:3" x14ac:dyDescent="0.3">
      <c r="A376" s="35"/>
      <c r="C376" s="18"/>
    </row>
    <row r="377" spans="1:3" x14ac:dyDescent="0.3">
      <c r="A377" s="35"/>
      <c r="C377" s="18"/>
    </row>
    <row r="378" spans="1:3" x14ac:dyDescent="0.3">
      <c r="A378" s="35"/>
      <c r="C378" s="18"/>
    </row>
    <row r="379" spans="1:3" x14ac:dyDescent="0.3">
      <c r="A379" s="35"/>
      <c r="C379" s="18"/>
    </row>
    <row r="380" spans="1:3" x14ac:dyDescent="0.3">
      <c r="A380" s="35"/>
      <c r="C380" s="18"/>
    </row>
    <row r="381" spans="1:3" x14ac:dyDescent="0.3">
      <c r="A381" s="35"/>
      <c r="C381" s="18"/>
    </row>
    <row r="382" spans="1:3" x14ac:dyDescent="0.3">
      <c r="A382" s="35"/>
      <c r="C382" s="18"/>
    </row>
    <row r="383" spans="1:3" x14ac:dyDescent="0.3">
      <c r="A383" s="35"/>
      <c r="C383" s="18"/>
    </row>
    <row r="384" spans="1:3" x14ac:dyDescent="0.3">
      <c r="A384" s="35"/>
      <c r="C384" s="18"/>
    </row>
    <row r="385" spans="1:3" x14ac:dyDescent="0.3">
      <c r="A385" s="35"/>
      <c r="C385" s="18"/>
    </row>
    <row r="386" spans="1:3" x14ac:dyDescent="0.3">
      <c r="A386" s="35"/>
      <c r="C386" s="18"/>
    </row>
    <row r="387" spans="1:3" x14ac:dyDescent="0.3">
      <c r="A387" s="35"/>
      <c r="C387" s="18"/>
    </row>
    <row r="388" spans="1:3" x14ac:dyDescent="0.3">
      <c r="A388" s="35"/>
      <c r="C388" s="18"/>
    </row>
    <row r="389" spans="1:3" x14ac:dyDescent="0.3">
      <c r="A389" s="35"/>
      <c r="C389" s="18"/>
    </row>
    <row r="390" spans="1:3" x14ac:dyDescent="0.3">
      <c r="A390" s="35"/>
      <c r="C390" s="18"/>
    </row>
    <row r="391" spans="1:3" x14ac:dyDescent="0.3">
      <c r="A391" s="35"/>
      <c r="C391" s="18"/>
    </row>
    <row r="392" spans="1:3" x14ac:dyDescent="0.3">
      <c r="A392" s="35"/>
      <c r="C392" s="18"/>
    </row>
    <row r="393" spans="1:3" x14ac:dyDescent="0.3">
      <c r="A393" s="35"/>
      <c r="C393" s="18"/>
    </row>
    <row r="394" spans="1:3" x14ac:dyDescent="0.3">
      <c r="A394" s="35"/>
      <c r="C394" s="18"/>
    </row>
    <row r="395" spans="1:3" x14ac:dyDescent="0.3">
      <c r="A395" s="35"/>
      <c r="C395" s="18"/>
    </row>
    <row r="396" spans="1:3" x14ac:dyDescent="0.3">
      <c r="A396" s="35"/>
      <c r="C396" s="18"/>
    </row>
    <row r="397" spans="1:3" x14ac:dyDescent="0.3">
      <c r="A397" s="35"/>
      <c r="C397" s="18"/>
    </row>
    <row r="398" spans="1:3" x14ac:dyDescent="0.3">
      <c r="A398" s="35"/>
      <c r="C398" s="18"/>
    </row>
    <row r="399" spans="1:3" x14ac:dyDescent="0.3">
      <c r="A399" s="35"/>
      <c r="C399" s="18"/>
    </row>
    <row r="400" spans="1:3" x14ac:dyDescent="0.3">
      <c r="A400" s="35"/>
      <c r="C400" s="18"/>
    </row>
    <row r="401" spans="1:3" x14ac:dyDescent="0.3">
      <c r="A401" s="35"/>
      <c r="C401" s="18"/>
    </row>
    <row r="402" spans="1:3" x14ac:dyDescent="0.3">
      <c r="A402" s="35"/>
      <c r="C402" s="18"/>
    </row>
    <row r="403" spans="1:3" x14ac:dyDescent="0.3">
      <c r="A403" s="35"/>
      <c r="C403" s="18"/>
    </row>
    <row r="404" spans="1:3" x14ac:dyDescent="0.3">
      <c r="A404" s="35"/>
      <c r="C404" s="18"/>
    </row>
    <row r="405" spans="1:3" x14ac:dyDescent="0.3">
      <c r="A405" s="35"/>
      <c r="C405" s="18"/>
    </row>
    <row r="406" spans="1:3" x14ac:dyDescent="0.3">
      <c r="A406" s="35"/>
      <c r="C406" s="18"/>
    </row>
    <row r="407" spans="1:3" x14ac:dyDescent="0.3">
      <c r="A407" s="35"/>
      <c r="C407" s="18"/>
    </row>
    <row r="408" spans="1:3" x14ac:dyDescent="0.3">
      <c r="A408" s="35"/>
      <c r="C408" s="18"/>
    </row>
    <row r="409" spans="1:3" x14ac:dyDescent="0.3">
      <c r="A409" s="35"/>
      <c r="C409" s="18"/>
    </row>
    <row r="410" spans="1:3" x14ac:dyDescent="0.3">
      <c r="A410" s="35"/>
      <c r="C410" s="18"/>
    </row>
    <row r="411" spans="1:3" x14ac:dyDescent="0.3">
      <c r="A411" s="35"/>
      <c r="C411" s="18"/>
    </row>
    <row r="412" spans="1:3" x14ac:dyDescent="0.3">
      <c r="A412" s="35"/>
      <c r="C412" s="18"/>
    </row>
    <row r="413" spans="1:3" x14ac:dyDescent="0.3">
      <c r="A413" s="35"/>
      <c r="C413" s="18"/>
    </row>
    <row r="414" spans="1:3" x14ac:dyDescent="0.3">
      <c r="A414" s="35"/>
      <c r="C414" s="18"/>
    </row>
    <row r="415" spans="1:3" x14ac:dyDescent="0.3">
      <c r="A415" s="35"/>
      <c r="C415" s="18"/>
    </row>
    <row r="416" spans="1:3" x14ac:dyDescent="0.3">
      <c r="A416" s="35"/>
      <c r="C416" s="18"/>
    </row>
    <row r="417" spans="1:3" x14ac:dyDescent="0.3">
      <c r="A417" s="35"/>
      <c r="C417" s="18"/>
    </row>
    <row r="418" spans="1:3" x14ac:dyDescent="0.3">
      <c r="A418" s="35"/>
      <c r="C418" s="18"/>
    </row>
    <row r="419" spans="1:3" x14ac:dyDescent="0.3">
      <c r="A419" s="35"/>
      <c r="C419" s="18"/>
    </row>
    <row r="420" spans="1:3" x14ac:dyDescent="0.3">
      <c r="A420" s="35"/>
      <c r="C420" s="18"/>
    </row>
    <row r="421" spans="1:3" x14ac:dyDescent="0.3">
      <c r="A421" s="35"/>
      <c r="C421" s="18"/>
    </row>
    <row r="422" spans="1:3" x14ac:dyDescent="0.3">
      <c r="A422" s="35"/>
      <c r="C422" s="18"/>
    </row>
    <row r="423" spans="1:3" x14ac:dyDescent="0.3">
      <c r="A423" s="35"/>
      <c r="C423" s="18"/>
    </row>
    <row r="424" spans="1:3" x14ac:dyDescent="0.3">
      <c r="A424" s="35"/>
      <c r="C424" s="18"/>
    </row>
    <row r="425" spans="1:3" x14ac:dyDescent="0.3">
      <c r="A425" s="35"/>
      <c r="C425" s="18"/>
    </row>
    <row r="426" spans="1:3" x14ac:dyDescent="0.3">
      <c r="A426" s="35"/>
      <c r="C426" s="18"/>
    </row>
    <row r="427" spans="1:3" x14ac:dyDescent="0.3">
      <c r="A427" s="35"/>
      <c r="C427" s="18"/>
    </row>
    <row r="428" spans="1:3" x14ac:dyDescent="0.3">
      <c r="A428" s="35"/>
      <c r="C428" s="18"/>
    </row>
    <row r="429" spans="1:3" x14ac:dyDescent="0.3">
      <c r="A429" s="35"/>
      <c r="C429" s="18"/>
    </row>
    <row r="430" spans="1:3" x14ac:dyDescent="0.3">
      <c r="A430" s="35"/>
      <c r="C430" s="18"/>
    </row>
    <row r="431" spans="1:3" x14ac:dyDescent="0.3">
      <c r="A431" s="35"/>
      <c r="C431" s="18"/>
    </row>
    <row r="432" spans="1:3" x14ac:dyDescent="0.3">
      <c r="A432" s="35"/>
      <c r="C432" s="18"/>
    </row>
    <row r="433" spans="1:3" x14ac:dyDescent="0.3">
      <c r="A433" s="35"/>
      <c r="C433" s="18"/>
    </row>
    <row r="434" spans="1:3" x14ac:dyDescent="0.3">
      <c r="A434" s="35"/>
      <c r="C434" s="18"/>
    </row>
    <row r="435" spans="1:3" x14ac:dyDescent="0.3">
      <c r="A435" s="35"/>
      <c r="C435" s="18"/>
    </row>
    <row r="436" spans="1:3" x14ac:dyDescent="0.3">
      <c r="A436" s="35"/>
      <c r="C436" s="18"/>
    </row>
    <row r="437" spans="1:3" x14ac:dyDescent="0.3">
      <c r="A437" s="35"/>
      <c r="C437" s="18"/>
    </row>
    <row r="438" spans="1:3" x14ac:dyDescent="0.3">
      <c r="A438" s="35"/>
      <c r="C438" s="18"/>
    </row>
    <row r="439" spans="1:3" x14ac:dyDescent="0.3">
      <c r="A439" s="35"/>
      <c r="C439" s="18"/>
    </row>
    <row r="440" spans="1:3" x14ac:dyDescent="0.3">
      <c r="A440" s="35"/>
      <c r="C440" s="18"/>
    </row>
    <row r="441" spans="1:3" x14ac:dyDescent="0.3">
      <c r="A441" s="35"/>
      <c r="C441" s="18"/>
    </row>
    <row r="442" spans="1:3" x14ac:dyDescent="0.3">
      <c r="A442" s="35"/>
      <c r="C442" s="18"/>
    </row>
    <row r="443" spans="1:3" x14ac:dyDescent="0.3">
      <c r="A443" s="35"/>
      <c r="C443" s="18"/>
    </row>
    <row r="444" spans="1:3" x14ac:dyDescent="0.3">
      <c r="A444" s="35"/>
      <c r="C444" s="18"/>
    </row>
    <row r="445" spans="1:3" x14ac:dyDescent="0.3">
      <c r="A445" s="35"/>
      <c r="C445" s="18"/>
    </row>
    <row r="446" spans="1:3" x14ac:dyDescent="0.3">
      <c r="A446" s="35"/>
      <c r="C446" s="18"/>
    </row>
    <row r="447" spans="1:3" x14ac:dyDescent="0.3">
      <c r="A447" s="35"/>
      <c r="C447" s="18"/>
    </row>
    <row r="448" spans="1:3" x14ac:dyDescent="0.3">
      <c r="A448" s="35"/>
      <c r="C448" s="18"/>
    </row>
    <row r="449" spans="1:3" x14ac:dyDescent="0.3">
      <c r="A449" s="35"/>
      <c r="C449" s="18"/>
    </row>
    <row r="450" spans="1:3" x14ac:dyDescent="0.3">
      <c r="A450" s="35"/>
      <c r="C450" s="18"/>
    </row>
    <row r="451" spans="1:3" x14ac:dyDescent="0.3">
      <c r="A451" s="35"/>
      <c r="C451" s="18"/>
    </row>
    <row r="452" spans="1:3" x14ac:dyDescent="0.3">
      <c r="A452" s="35"/>
      <c r="C452" s="18"/>
    </row>
    <row r="453" spans="1:3" x14ac:dyDescent="0.3">
      <c r="A453" s="35"/>
      <c r="C453" s="18"/>
    </row>
    <row r="454" spans="1:3" x14ac:dyDescent="0.3">
      <c r="A454" s="35"/>
      <c r="C454" s="18"/>
    </row>
    <row r="455" spans="1:3" x14ac:dyDescent="0.3">
      <c r="A455" s="35"/>
      <c r="C455" s="18"/>
    </row>
    <row r="456" spans="1:3" x14ac:dyDescent="0.3">
      <c r="A456" s="35"/>
      <c r="C456" s="18"/>
    </row>
    <row r="457" spans="1:3" x14ac:dyDescent="0.3">
      <c r="A457" s="35"/>
      <c r="C457" s="18"/>
    </row>
    <row r="458" spans="1:3" x14ac:dyDescent="0.3">
      <c r="A458" s="35"/>
      <c r="C458" s="18"/>
    </row>
    <row r="459" spans="1:3" x14ac:dyDescent="0.3">
      <c r="A459" s="35"/>
      <c r="C459" s="18"/>
    </row>
    <row r="460" spans="1:3" x14ac:dyDescent="0.3">
      <c r="A460" s="35"/>
      <c r="C460" s="18"/>
    </row>
    <row r="461" spans="1:3" x14ac:dyDescent="0.3">
      <c r="A461" s="35"/>
      <c r="C461" s="18"/>
    </row>
    <row r="462" spans="1:3" x14ac:dyDescent="0.3">
      <c r="A462" s="35"/>
      <c r="C462" s="18"/>
    </row>
    <row r="463" spans="1:3" x14ac:dyDescent="0.3">
      <c r="A463" s="35"/>
      <c r="C463" s="18"/>
    </row>
    <row r="464" spans="1:3" x14ac:dyDescent="0.3">
      <c r="A464" s="35"/>
      <c r="C464" s="18"/>
    </row>
    <row r="465" spans="1:3" x14ac:dyDescent="0.3">
      <c r="A465" s="35"/>
      <c r="C465" s="18"/>
    </row>
    <row r="466" spans="1:3" x14ac:dyDescent="0.3">
      <c r="A466" s="35"/>
      <c r="C466" s="18"/>
    </row>
    <row r="467" spans="1:3" x14ac:dyDescent="0.3">
      <c r="A467" s="35"/>
      <c r="C467" s="18"/>
    </row>
    <row r="468" spans="1:3" x14ac:dyDescent="0.3">
      <c r="A468" s="35"/>
      <c r="C468" s="18"/>
    </row>
    <row r="469" spans="1:3" x14ac:dyDescent="0.3">
      <c r="A469" s="35"/>
      <c r="C469" s="18"/>
    </row>
    <row r="470" spans="1:3" x14ac:dyDescent="0.3">
      <c r="A470" s="35"/>
      <c r="C470" s="18"/>
    </row>
    <row r="471" spans="1:3" x14ac:dyDescent="0.3">
      <c r="A471" s="35"/>
      <c r="C471" s="18"/>
    </row>
    <row r="472" spans="1:3" x14ac:dyDescent="0.3">
      <c r="A472" s="35"/>
      <c r="C472" s="18"/>
    </row>
    <row r="473" spans="1:3" x14ac:dyDescent="0.3">
      <c r="A473" s="35"/>
      <c r="C473" s="18"/>
    </row>
    <row r="474" spans="1:3" x14ac:dyDescent="0.3">
      <c r="A474" s="35"/>
      <c r="C474" s="18"/>
    </row>
    <row r="475" spans="1:3" x14ac:dyDescent="0.3">
      <c r="A475" s="35"/>
      <c r="C475" s="18"/>
    </row>
    <row r="476" spans="1:3" x14ac:dyDescent="0.3">
      <c r="A476" s="35"/>
      <c r="C476" s="18"/>
    </row>
    <row r="477" spans="1:3" x14ac:dyDescent="0.3">
      <c r="A477" s="35"/>
      <c r="C477" s="18"/>
    </row>
    <row r="478" spans="1:3" x14ac:dyDescent="0.3">
      <c r="A478" s="35"/>
      <c r="C478" s="18"/>
    </row>
    <row r="479" spans="1:3" x14ac:dyDescent="0.3">
      <c r="A479" s="35"/>
      <c r="C479" s="18"/>
    </row>
    <row r="480" spans="1:3" x14ac:dyDescent="0.3">
      <c r="A480" s="35"/>
      <c r="C480" s="18"/>
    </row>
    <row r="481" spans="1:3" x14ac:dyDescent="0.3">
      <c r="A481" s="35"/>
      <c r="C481" s="18"/>
    </row>
    <row r="482" spans="1:3" x14ac:dyDescent="0.3">
      <c r="A482" s="35"/>
      <c r="C482" s="18"/>
    </row>
    <row r="483" spans="1:3" x14ac:dyDescent="0.3">
      <c r="A483" s="35"/>
      <c r="C483" s="18"/>
    </row>
    <row r="484" spans="1:3" x14ac:dyDescent="0.3">
      <c r="A484" s="35"/>
      <c r="C484" s="18"/>
    </row>
    <row r="485" spans="1:3" x14ac:dyDescent="0.3">
      <c r="A485" s="35"/>
      <c r="C485" s="18"/>
    </row>
    <row r="486" spans="1:3" x14ac:dyDescent="0.3">
      <c r="A486" s="35"/>
      <c r="C486" s="18"/>
    </row>
    <row r="487" spans="1:3" x14ac:dyDescent="0.3">
      <c r="A487" s="35"/>
      <c r="C487" s="18"/>
    </row>
    <row r="488" spans="1:3" x14ac:dyDescent="0.3">
      <c r="A488" s="35"/>
      <c r="C488" s="18"/>
    </row>
    <row r="489" spans="1:3" x14ac:dyDescent="0.3">
      <c r="A489" s="35"/>
      <c r="C489" s="18"/>
    </row>
    <row r="490" spans="1:3" x14ac:dyDescent="0.3">
      <c r="A490" s="35"/>
      <c r="C490" s="18"/>
    </row>
    <row r="491" spans="1:3" x14ac:dyDescent="0.3">
      <c r="A491" s="35"/>
      <c r="C491" s="18"/>
    </row>
    <row r="492" spans="1:3" x14ac:dyDescent="0.3">
      <c r="A492" s="35"/>
      <c r="C492" s="18"/>
    </row>
    <row r="493" spans="1:3" x14ac:dyDescent="0.3">
      <c r="A493" s="35"/>
      <c r="C493" s="18"/>
    </row>
    <row r="494" spans="1:3" x14ac:dyDescent="0.3">
      <c r="A494" s="35"/>
      <c r="C494" s="18"/>
    </row>
    <row r="495" spans="1:3" x14ac:dyDescent="0.3">
      <c r="A495" s="35"/>
      <c r="C495" s="18"/>
    </row>
    <row r="496" spans="1:3" x14ac:dyDescent="0.3">
      <c r="A496" s="35"/>
      <c r="C496" s="18"/>
    </row>
    <row r="497" spans="1:3" x14ac:dyDescent="0.3">
      <c r="A497" s="35"/>
      <c r="C497" s="18"/>
    </row>
    <row r="498" spans="1:3" x14ac:dyDescent="0.3">
      <c r="A498" s="35"/>
      <c r="C498" s="18"/>
    </row>
    <row r="499" spans="1:3" x14ac:dyDescent="0.3">
      <c r="A499" s="35"/>
      <c r="C499" s="18"/>
    </row>
    <row r="500" spans="1:3" x14ac:dyDescent="0.3">
      <c r="A500" s="35"/>
      <c r="C500" s="18"/>
    </row>
    <row r="501" spans="1:3" x14ac:dyDescent="0.3">
      <c r="A501" s="35"/>
      <c r="C501" s="18"/>
    </row>
    <row r="502" spans="1:3" x14ac:dyDescent="0.3">
      <c r="A502" s="35"/>
      <c r="C502" s="18"/>
    </row>
    <row r="503" spans="1:3" x14ac:dyDescent="0.3">
      <c r="A503" s="35"/>
      <c r="C503" s="18"/>
    </row>
    <row r="504" spans="1:3" x14ac:dyDescent="0.3">
      <c r="A504" s="35"/>
      <c r="C504" s="18"/>
    </row>
    <row r="505" spans="1:3" x14ac:dyDescent="0.3">
      <c r="A505" s="35"/>
      <c r="C505" s="18"/>
    </row>
    <row r="506" spans="1:3" x14ac:dyDescent="0.3">
      <c r="A506" s="35"/>
      <c r="C506" s="18"/>
    </row>
    <row r="507" spans="1:3" x14ac:dyDescent="0.3">
      <c r="A507" s="35"/>
      <c r="C507" s="18"/>
    </row>
    <row r="508" spans="1:3" x14ac:dyDescent="0.3">
      <c r="A508" s="35"/>
      <c r="C508" s="18"/>
    </row>
    <row r="509" spans="1:3" x14ac:dyDescent="0.3">
      <c r="A509" s="35"/>
      <c r="C509" s="18"/>
    </row>
    <row r="510" spans="1:3" x14ac:dyDescent="0.3">
      <c r="A510" s="35"/>
      <c r="C510" s="18"/>
    </row>
    <row r="511" spans="1:3" x14ac:dyDescent="0.3">
      <c r="A511" s="35"/>
      <c r="C511" s="18"/>
    </row>
    <row r="512" spans="1:3" x14ac:dyDescent="0.3">
      <c r="A512" s="35"/>
      <c r="C512" s="18"/>
    </row>
    <row r="513" spans="1:3" x14ac:dyDescent="0.3">
      <c r="A513" s="35"/>
      <c r="C513" s="18"/>
    </row>
    <row r="514" spans="1:3" x14ac:dyDescent="0.3">
      <c r="A514" s="35"/>
      <c r="C514" s="18"/>
    </row>
    <row r="515" spans="1:3" x14ac:dyDescent="0.3">
      <c r="A515" s="35"/>
      <c r="C515" s="18"/>
    </row>
    <row r="516" spans="1:3" x14ac:dyDescent="0.3">
      <c r="A516" s="35"/>
      <c r="C516" s="18"/>
    </row>
    <row r="517" spans="1:3" x14ac:dyDescent="0.3">
      <c r="A517" s="35"/>
      <c r="C517" s="18"/>
    </row>
    <row r="518" spans="1:3" x14ac:dyDescent="0.3">
      <c r="A518" s="35"/>
      <c r="C518" s="18"/>
    </row>
    <row r="519" spans="1:3" x14ac:dyDescent="0.3">
      <c r="A519" s="35"/>
      <c r="C519" s="18"/>
    </row>
    <row r="520" spans="1:3" x14ac:dyDescent="0.3">
      <c r="A520" s="35"/>
      <c r="C520" s="18"/>
    </row>
    <row r="521" spans="1:3" x14ac:dyDescent="0.3">
      <c r="A521" s="35"/>
      <c r="C521" s="18"/>
    </row>
    <row r="522" spans="1:3" x14ac:dyDescent="0.3">
      <c r="A522" s="35"/>
      <c r="C522" s="18"/>
    </row>
    <row r="523" spans="1:3" x14ac:dyDescent="0.3">
      <c r="A523" s="35"/>
      <c r="C523" s="18"/>
    </row>
    <row r="524" spans="1:3" x14ac:dyDescent="0.3">
      <c r="A524" s="35"/>
      <c r="C524" s="18"/>
    </row>
    <row r="525" spans="1:3" x14ac:dyDescent="0.3">
      <c r="A525" s="35"/>
      <c r="C525" s="18"/>
    </row>
    <row r="526" spans="1:3" x14ac:dyDescent="0.3">
      <c r="A526" s="35"/>
      <c r="C526" s="18"/>
    </row>
    <row r="527" spans="1:3" x14ac:dyDescent="0.3">
      <c r="A527" s="35"/>
      <c r="C527" s="18"/>
    </row>
    <row r="528" spans="1:3" x14ac:dyDescent="0.3">
      <c r="A528" s="35"/>
      <c r="C528" s="18"/>
    </row>
    <row r="529" spans="1:3" x14ac:dyDescent="0.3">
      <c r="A529" s="35"/>
      <c r="C529" s="18"/>
    </row>
    <row r="530" spans="1:3" x14ac:dyDescent="0.3">
      <c r="A530" s="35"/>
      <c r="C530" s="18"/>
    </row>
    <row r="531" spans="1:3" x14ac:dyDescent="0.3">
      <c r="A531" s="35"/>
      <c r="C531" s="18"/>
    </row>
    <row r="532" spans="1:3" x14ac:dyDescent="0.3">
      <c r="A532" s="35"/>
      <c r="C532" s="18"/>
    </row>
    <row r="533" spans="1:3" x14ac:dyDescent="0.3">
      <c r="A533" s="35"/>
      <c r="C533" s="18"/>
    </row>
    <row r="534" spans="1:3" x14ac:dyDescent="0.3">
      <c r="A534" s="35"/>
      <c r="C534" s="18"/>
    </row>
    <row r="535" spans="1:3" x14ac:dyDescent="0.3">
      <c r="A535" s="35"/>
      <c r="C535" s="18"/>
    </row>
    <row r="536" spans="1:3" x14ac:dyDescent="0.3">
      <c r="A536" s="35"/>
      <c r="C536" s="18"/>
    </row>
    <row r="537" spans="1:3" x14ac:dyDescent="0.3">
      <c r="A537" s="35"/>
    </row>
    <row r="538" spans="1:3" x14ac:dyDescent="0.3">
      <c r="A538" s="35"/>
    </row>
    <row r="539" spans="1:3" x14ac:dyDescent="0.3">
      <c r="A539" s="35"/>
    </row>
    <row r="540" spans="1:3" x14ac:dyDescent="0.3">
      <c r="A540" s="35"/>
    </row>
    <row r="541" spans="1:3" x14ac:dyDescent="0.3">
      <c r="A541" s="35"/>
    </row>
    <row r="542" spans="1:3" x14ac:dyDescent="0.3">
      <c r="A542" s="35"/>
    </row>
    <row r="543" spans="1:3" x14ac:dyDescent="0.3">
      <c r="A543" s="35"/>
    </row>
    <row r="544" spans="1:3" x14ac:dyDescent="0.3">
      <c r="A544" s="35"/>
    </row>
    <row r="545" spans="1:1" x14ac:dyDescent="0.3">
      <c r="A545" s="35"/>
    </row>
    <row r="546" spans="1:1" x14ac:dyDescent="0.3">
      <c r="A546" s="35"/>
    </row>
    <row r="547" spans="1:1" x14ac:dyDescent="0.3">
      <c r="A547" s="35"/>
    </row>
    <row r="548" spans="1:1" x14ac:dyDescent="0.3">
      <c r="A548" s="35"/>
    </row>
    <row r="549" spans="1:1" x14ac:dyDescent="0.3">
      <c r="A549" s="35"/>
    </row>
    <row r="550" spans="1:1" x14ac:dyDescent="0.3">
      <c r="A550" s="35"/>
    </row>
    <row r="551" spans="1:1" x14ac:dyDescent="0.3">
      <c r="A551" s="35"/>
    </row>
    <row r="552" spans="1:1" x14ac:dyDescent="0.3">
      <c r="A552" s="35"/>
    </row>
    <row r="553" spans="1:1" x14ac:dyDescent="0.3">
      <c r="A553" s="35"/>
    </row>
    <row r="554" spans="1:1" x14ac:dyDescent="0.3">
      <c r="A554" s="35"/>
    </row>
    <row r="555" spans="1:1" x14ac:dyDescent="0.3">
      <c r="A555" s="35"/>
    </row>
    <row r="556" spans="1:1" x14ac:dyDescent="0.3">
      <c r="A556" s="35"/>
    </row>
    <row r="557" spans="1:1" x14ac:dyDescent="0.3">
      <c r="A557" s="35"/>
    </row>
    <row r="558" spans="1:1" x14ac:dyDescent="0.3">
      <c r="A558" s="35"/>
    </row>
    <row r="559" spans="1:1" x14ac:dyDescent="0.3">
      <c r="A559" s="35"/>
    </row>
    <row r="560" spans="1:1" x14ac:dyDescent="0.3">
      <c r="A560" s="35"/>
    </row>
    <row r="561" spans="1:1" x14ac:dyDescent="0.3">
      <c r="A561" s="35"/>
    </row>
    <row r="562" spans="1:1" x14ac:dyDescent="0.3">
      <c r="A562" s="35"/>
    </row>
    <row r="563" spans="1:1" x14ac:dyDescent="0.3">
      <c r="A563" s="35"/>
    </row>
    <row r="564" spans="1:1" x14ac:dyDescent="0.3">
      <c r="A564" s="35"/>
    </row>
    <row r="565" spans="1:1" x14ac:dyDescent="0.3">
      <c r="A565" s="35"/>
    </row>
    <row r="566" spans="1:1" x14ac:dyDescent="0.3">
      <c r="A566" s="35"/>
    </row>
    <row r="567" spans="1:1" x14ac:dyDescent="0.3">
      <c r="A567" s="35"/>
    </row>
    <row r="568" spans="1:1" x14ac:dyDescent="0.3">
      <c r="A568" s="35"/>
    </row>
    <row r="569" spans="1:1" x14ac:dyDescent="0.3">
      <c r="A569" s="35"/>
    </row>
    <row r="570" spans="1:1" x14ac:dyDescent="0.3">
      <c r="A570" s="35"/>
    </row>
    <row r="571" spans="1:1" x14ac:dyDescent="0.3">
      <c r="A571" s="35"/>
    </row>
    <row r="572" spans="1:1" x14ac:dyDescent="0.3">
      <c r="A572" s="35"/>
    </row>
    <row r="573" spans="1:1" x14ac:dyDescent="0.3">
      <c r="A573" s="35"/>
    </row>
    <row r="574" spans="1:1" x14ac:dyDescent="0.3">
      <c r="A574" s="35"/>
    </row>
    <row r="575" spans="1:1" x14ac:dyDescent="0.3">
      <c r="A575" s="35"/>
    </row>
    <row r="576" spans="1:1" x14ac:dyDescent="0.3">
      <c r="A576" s="35"/>
    </row>
    <row r="577" spans="1:1" x14ac:dyDescent="0.3">
      <c r="A577" s="35"/>
    </row>
    <row r="578" spans="1:1" x14ac:dyDescent="0.3">
      <c r="A578" s="35"/>
    </row>
    <row r="579" spans="1:1" x14ac:dyDescent="0.3">
      <c r="A579" s="35"/>
    </row>
    <row r="580" spans="1:1" x14ac:dyDescent="0.3">
      <c r="A580" s="35"/>
    </row>
    <row r="581" spans="1:1" x14ac:dyDescent="0.3">
      <c r="A581" s="35"/>
    </row>
    <row r="582" spans="1:1" x14ac:dyDescent="0.3">
      <c r="A582" s="35"/>
    </row>
    <row r="583" spans="1:1" x14ac:dyDescent="0.3">
      <c r="A583" s="35"/>
    </row>
    <row r="584" spans="1:1" x14ac:dyDescent="0.3">
      <c r="A584" s="35"/>
    </row>
    <row r="585" spans="1:1" x14ac:dyDescent="0.3">
      <c r="A585" s="35"/>
    </row>
    <row r="586" spans="1:1" x14ac:dyDescent="0.3">
      <c r="A586" s="35"/>
    </row>
    <row r="587" spans="1:1" x14ac:dyDescent="0.3">
      <c r="A587" s="35"/>
    </row>
    <row r="588" spans="1:1" x14ac:dyDescent="0.3">
      <c r="A588" s="35"/>
    </row>
    <row r="589" spans="1:1" x14ac:dyDescent="0.3">
      <c r="A589" s="35"/>
    </row>
    <row r="590" spans="1:1" x14ac:dyDescent="0.3">
      <c r="A590" s="35"/>
    </row>
    <row r="591" spans="1:1" x14ac:dyDescent="0.3">
      <c r="A591" s="35"/>
    </row>
    <row r="592" spans="1:1" x14ac:dyDescent="0.3">
      <c r="A592" s="35"/>
    </row>
    <row r="593" spans="1:1" x14ac:dyDescent="0.3">
      <c r="A593" s="35"/>
    </row>
    <row r="594" spans="1:1" x14ac:dyDescent="0.3">
      <c r="A594" s="35"/>
    </row>
    <row r="595" spans="1:1" x14ac:dyDescent="0.3">
      <c r="A595" s="35"/>
    </row>
    <row r="596" spans="1:1" x14ac:dyDescent="0.3">
      <c r="A596" s="35"/>
    </row>
    <row r="597" spans="1:1" x14ac:dyDescent="0.3">
      <c r="A597" s="35"/>
    </row>
    <row r="598" spans="1:1" x14ac:dyDescent="0.3">
      <c r="A598" s="35"/>
    </row>
    <row r="599" spans="1:1" x14ac:dyDescent="0.3">
      <c r="A599" s="35"/>
    </row>
    <row r="600" spans="1:1" x14ac:dyDescent="0.3">
      <c r="A600" s="35"/>
    </row>
    <row r="601" spans="1:1" x14ac:dyDescent="0.3">
      <c r="A601" s="35"/>
    </row>
    <row r="602" spans="1:1" x14ac:dyDescent="0.3">
      <c r="A602" s="35"/>
    </row>
    <row r="603" spans="1:1" x14ac:dyDescent="0.3">
      <c r="A603" s="35"/>
    </row>
    <row r="604" spans="1:1" x14ac:dyDescent="0.3">
      <c r="A604" s="35"/>
    </row>
    <row r="605" spans="1:1" x14ac:dyDescent="0.3">
      <c r="A605" s="35"/>
    </row>
    <row r="606" spans="1:1" x14ac:dyDescent="0.3">
      <c r="A606" s="35"/>
    </row>
    <row r="607" spans="1:1" x14ac:dyDescent="0.3">
      <c r="A607" s="35"/>
    </row>
    <row r="608" spans="1:1" x14ac:dyDescent="0.3">
      <c r="A608" s="35"/>
    </row>
    <row r="609" spans="1:1" x14ac:dyDescent="0.3">
      <c r="A609" s="35"/>
    </row>
    <row r="610" spans="1:1" x14ac:dyDescent="0.3">
      <c r="A610" s="35"/>
    </row>
    <row r="611" spans="1:1" x14ac:dyDescent="0.3">
      <c r="A611" s="35"/>
    </row>
    <row r="612" spans="1:1" x14ac:dyDescent="0.3">
      <c r="A612" s="35"/>
    </row>
    <row r="613" spans="1:1" x14ac:dyDescent="0.3">
      <c r="A613" s="35"/>
    </row>
    <row r="614" spans="1:1" x14ac:dyDescent="0.3">
      <c r="A614" s="35"/>
    </row>
    <row r="615" spans="1:1" x14ac:dyDescent="0.3">
      <c r="A615" s="35"/>
    </row>
    <row r="616" spans="1:1" x14ac:dyDescent="0.3">
      <c r="A616" s="35"/>
    </row>
    <row r="617" spans="1:1" x14ac:dyDescent="0.3">
      <c r="A617" s="35"/>
    </row>
    <row r="618" spans="1:1" x14ac:dyDescent="0.3">
      <c r="A618" s="35"/>
    </row>
    <row r="619" spans="1:1" x14ac:dyDescent="0.3">
      <c r="A619" s="35"/>
    </row>
    <row r="620" spans="1:1" x14ac:dyDescent="0.3">
      <c r="A620" s="35"/>
    </row>
    <row r="621" spans="1:1" x14ac:dyDescent="0.3">
      <c r="A621" s="35"/>
    </row>
    <row r="622" spans="1:1" x14ac:dyDescent="0.3">
      <c r="A622" s="35"/>
    </row>
    <row r="623" spans="1:1" x14ac:dyDescent="0.3">
      <c r="A623" s="35"/>
    </row>
    <row r="624" spans="1:1" x14ac:dyDescent="0.3">
      <c r="A624" s="35"/>
    </row>
    <row r="625" spans="1:1" x14ac:dyDescent="0.3">
      <c r="A625" s="35"/>
    </row>
    <row r="626" spans="1:1" x14ac:dyDescent="0.3">
      <c r="A626" s="35"/>
    </row>
    <row r="627" spans="1:1" x14ac:dyDescent="0.3">
      <c r="A627" s="35"/>
    </row>
    <row r="628" spans="1:1" x14ac:dyDescent="0.3">
      <c r="A628" s="35"/>
    </row>
    <row r="629" spans="1:1" x14ac:dyDescent="0.3">
      <c r="A629" s="35"/>
    </row>
    <row r="630" spans="1:1" x14ac:dyDescent="0.3">
      <c r="A630" s="35"/>
    </row>
    <row r="631" spans="1:1" x14ac:dyDescent="0.3">
      <c r="A631" s="35"/>
    </row>
    <row r="632" spans="1:1" x14ac:dyDescent="0.3">
      <c r="A632" s="35"/>
    </row>
    <row r="633" spans="1:1" x14ac:dyDescent="0.3">
      <c r="A633" s="35"/>
    </row>
    <row r="634" spans="1:1" x14ac:dyDescent="0.3">
      <c r="A634" s="35"/>
    </row>
    <row r="635" spans="1:1" x14ac:dyDescent="0.3">
      <c r="A635" s="35"/>
    </row>
    <row r="636" spans="1:1" x14ac:dyDescent="0.3">
      <c r="A636" s="35"/>
    </row>
    <row r="637" spans="1:1" x14ac:dyDescent="0.3">
      <c r="A637" s="35"/>
    </row>
    <row r="638" spans="1:1" x14ac:dyDescent="0.3">
      <c r="A638" s="35"/>
    </row>
    <row r="639" spans="1:1" x14ac:dyDescent="0.3">
      <c r="A639" s="35"/>
    </row>
    <row r="640" spans="1:1" x14ac:dyDescent="0.3">
      <c r="A640" s="35"/>
    </row>
    <row r="641" spans="1:1" x14ac:dyDescent="0.3">
      <c r="A641" s="35"/>
    </row>
    <row r="642" spans="1:1" x14ac:dyDescent="0.3">
      <c r="A642" s="35"/>
    </row>
    <row r="643" spans="1:1" x14ac:dyDescent="0.3">
      <c r="A643" s="35"/>
    </row>
    <row r="644" spans="1:1" x14ac:dyDescent="0.3">
      <c r="A644" s="35"/>
    </row>
    <row r="645" spans="1:1" x14ac:dyDescent="0.3">
      <c r="A645" s="35"/>
    </row>
    <row r="646" spans="1:1" x14ac:dyDescent="0.3">
      <c r="A646" s="35"/>
    </row>
    <row r="647" spans="1:1" x14ac:dyDescent="0.3">
      <c r="A647" s="35"/>
    </row>
    <row r="648" spans="1:1" x14ac:dyDescent="0.3">
      <c r="A648" s="35"/>
    </row>
    <row r="649" spans="1:1" x14ac:dyDescent="0.3">
      <c r="A649" s="35"/>
    </row>
    <row r="650" spans="1:1" x14ac:dyDescent="0.3">
      <c r="A650" s="35"/>
    </row>
    <row r="651" spans="1:1" x14ac:dyDescent="0.3">
      <c r="A651" s="35"/>
    </row>
    <row r="652" spans="1:1" x14ac:dyDescent="0.3">
      <c r="A652" s="35"/>
    </row>
    <row r="653" spans="1:1" x14ac:dyDescent="0.3">
      <c r="A653" s="35"/>
    </row>
    <row r="654" spans="1:1" x14ac:dyDescent="0.3">
      <c r="A654" s="35"/>
    </row>
    <row r="655" spans="1:1" x14ac:dyDescent="0.3">
      <c r="A655" s="35"/>
    </row>
    <row r="656" spans="1:1" x14ac:dyDescent="0.3">
      <c r="A656" s="35"/>
    </row>
    <row r="657" spans="1:1" x14ac:dyDescent="0.3">
      <c r="A657" s="35"/>
    </row>
    <row r="658" spans="1:1" x14ac:dyDescent="0.3">
      <c r="A658" s="35"/>
    </row>
    <row r="659" spans="1:1" x14ac:dyDescent="0.3">
      <c r="A659" s="35"/>
    </row>
    <row r="660" spans="1:1" x14ac:dyDescent="0.3">
      <c r="A660" s="35"/>
    </row>
    <row r="661" spans="1:1" x14ac:dyDescent="0.3">
      <c r="A661" s="35"/>
    </row>
    <row r="662" spans="1:1" x14ac:dyDescent="0.3">
      <c r="A662" s="35"/>
    </row>
    <row r="663" spans="1:1" x14ac:dyDescent="0.3">
      <c r="A663" s="35"/>
    </row>
    <row r="664" spans="1:1" x14ac:dyDescent="0.3">
      <c r="A664" s="35"/>
    </row>
    <row r="665" spans="1:1" x14ac:dyDescent="0.3">
      <c r="A665" s="35"/>
    </row>
    <row r="666" spans="1:1" x14ac:dyDescent="0.3">
      <c r="A666" s="35"/>
    </row>
    <row r="667" spans="1:1" x14ac:dyDescent="0.3">
      <c r="A667" s="35"/>
    </row>
    <row r="668" spans="1:1" x14ac:dyDescent="0.3">
      <c r="A668" s="35"/>
    </row>
    <row r="669" spans="1:1" x14ac:dyDescent="0.3">
      <c r="A669" s="35"/>
    </row>
    <row r="670" spans="1:1" x14ac:dyDescent="0.3">
      <c r="A670" s="35"/>
    </row>
    <row r="671" spans="1:1" x14ac:dyDescent="0.3">
      <c r="A671" s="35"/>
    </row>
    <row r="672" spans="1:1" x14ac:dyDescent="0.3">
      <c r="A672" s="35"/>
    </row>
    <row r="673" spans="1:1" x14ac:dyDescent="0.3">
      <c r="A673" s="35"/>
    </row>
    <row r="674" spans="1:1" x14ac:dyDescent="0.3">
      <c r="A674" s="35"/>
    </row>
    <row r="675" spans="1:1" x14ac:dyDescent="0.3">
      <c r="A675" s="35"/>
    </row>
    <row r="676" spans="1:1" x14ac:dyDescent="0.3">
      <c r="A676" s="35"/>
    </row>
    <row r="677" spans="1:1" x14ac:dyDescent="0.3">
      <c r="A677" s="35"/>
    </row>
    <row r="678" spans="1:1" x14ac:dyDescent="0.3">
      <c r="A678" s="35"/>
    </row>
    <row r="679" spans="1:1" x14ac:dyDescent="0.3">
      <c r="A679" s="35"/>
    </row>
    <row r="680" spans="1:1" x14ac:dyDescent="0.3">
      <c r="A680" s="35"/>
    </row>
    <row r="681" spans="1:1" x14ac:dyDescent="0.3">
      <c r="A681" s="35"/>
    </row>
    <row r="682" spans="1:1" x14ac:dyDescent="0.3">
      <c r="A682" s="35"/>
    </row>
    <row r="683" spans="1:1" x14ac:dyDescent="0.3">
      <c r="A683" s="35"/>
    </row>
    <row r="684" spans="1:1" x14ac:dyDescent="0.3">
      <c r="A684" s="35"/>
    </row>
    <row r="685" spans="1:1" x14ac:dyDescent="0.3">
      <c r="A685" s="35"/>
    </row>
    <row r="686" spans="1:1" x14ac:dyDescent="0.3">
      <c r="A686" s="35"/>
    </row>
    <row r="687" spans="1:1" x14ac:dyDescent="0.3">
      <c r="A687" s="35"/>
    </row>
    <row r="688" spans="1:1" x14ac:dyDescent="0.3">
      <c r="A688" s="35"/>
    </row>
    <row r="689" spans="1:1" x14ac:dyDescent="0.3">
      <c r="A689" s="35"/>
    </row>
    <row r="690" spans="1:1" x14ac:dyDescent="0.3">
      <c r="A690" s="35"/>
    </row>
    <row r="691" spans="1:1" x14ac:dyDescent="0.3">
      <c r="A691" s="35"/>
    </row>
    <row r="692" spans="1:1" x14ac:dyDescent="0.3">
      <c r="A692" s="35"/>
    </row>
    <row r="693" spans="1:1" x14ac:dyDescent="0.3">
      <c r="A693" s="35"/>
    </row>
    <row r="694" spans="1:1" x14ac:dyDescent="0.3">
      <c r="A694" s="35"/>
    </row>
    <row r="695" spans="1:1" x14ac:dyDescent="0.3">
      <c r="A695" s="35"/>
    </row>
    <row r="696" spans="1:1" x14ac:dyDescent="0.3">
      <c r="A696" s="35"/>
    </row>
    <row r="697" spans="1:1" x14ac:dyDescent="0.3">
      <c r="A697" s="35"/>
    </row>
    <row r="698" spans="1:1" x14ac:dyDescent="0.3">
      <c r="A698" s="35"/>
    </row>
    <row r="699" spans="1:1" x14ac:dyDescent="0.3">
      <c r="A699" s="35"/>
    </row>
    <row r="700" spans="1:1" x14ac:dyDescent="0.3">
      <c r="A700" s="35"/>
    </row>
    <row r="701" spans="1:1" x14ac:dyDescent="0.3">
      <c r="A701" s="35"/>
    </row>
    <row r="702" spans="1:1" x14ac:dyDescent="0.3">
      <c r="A702" s="35"/>
    </row>
    <row r="703" spans="1:1" x14ac:dyDescent="0.3">
      <c r="A703" s="35"/>
    </row>
    <row r="704" spans="1:1" x14ac:dyDescent="0.3">
      <c r="A704" s="35"/>
    </row>
    <row r="705" spans="1:1" x14ac:dyDescent="0.3">
      <c r="A705" s="35"/>
    </row>
    <row r="706" spans="1:1" x14ac:dyDescent="0.3">
      <c r="A706" s="35"/>
    </row>
    <row r="707" spans="1:1" x14ac:dyDescent="0.3">
      <c r="A707" s="35"/>
    </row>
    <row r="708" spans="1:1" x14ac:dyDescent="0.3">
      <c r="A708" s="35"/>
    </row>
    <row r="709" spans="1:1" x14ac:dyDescent="0.3">
      <c r="A709" s="35"/>
    </row>
    <row r="710" spans="1:1" x14ac:dyDescent="0.3">
      <c r="A710" s="35"/>
    </row>
    <row r="711" spans="1:1" x14ac:dyDescent="0.3">
      <c r="A711" s="35"/>
    </row>
    <row r="712" spans="1:1" x14ac:dyDescent="0.3">
      <c r="A712" s="35"/>
    </row>
    <row r="713" spans="1:1" x14ac:dyDescent="0.3">
      <c r="A713" s="35"/>
    </row>
    <row r="714" spans="1:1" x14ac:dyDescent="0.3">
      <c r="A714" s="35"/>
    </row>
    <row r="715" spans="1:1" x14ac:dyDescent="0.3">
      <c r="A715" s="35"/>
    </row>
    <row r="716" spans="1:1" x14ac:dyDescent="0.3">
      <c r="A716" s="35"/>
    </row>
    <row r="717" spans="1:1" x14ac:dyDescent="0.3">
      <c r="A717" s="35"/>
    </row>
    <row r="718" spans="1:1" x14ac:dyDescent="0.3">
      <c r="A718" s="35"/>
    </row>
    <row r="719" spans="1:1" x14ac:dyDescent="0.3">
      <c r="A719" s="35"/>
    </row>
    <row r="720" spans="1:1" x14ac:dyDescent="0.3">
      <c r="A720" s="35"/>
    </row>
    <row r="721" spans="1:1" x14ac:dyDescent="0.3">
      <c r="A721" s="35"/>
    </row>
    <row r="722" spans="1:1" x14ac:dyDescent="0.3">
      <c r="A722" s="35"/>
    </row>
    <row r="723" spans="1:1" x14ac:dyDescent="0.3">
      <c r="A723" s="35"/>
    </row>
    <row r="724" spans="1:1" x14ac:dyDescent="0.3">
      <c r="A724" s="35"/>
    </row>
    <row r="725" spans="1:1" x14ac:dyDescent="0.3">
      <c r="A725" s="35"/>
    </row>
    <row r="726" spans="1:1" x14ac:dyDescent="0.3">
      <c r="A726" s="35"/>
    </row>
    <row r="727" spans="1:1" x14ac:dyDescent="0.3">
      <c r="A727" s="35"/>
    </row>
    <row r="728" spans="1:1" x14ac:dyDescent="0.3">
      <c r="A728" s="35"/>
    </row>
    <row r="729" spans="1:1" x14ac:dyDescent="0.3">
      <c r="A729" s="35"/>
    </row>
    <row r="730" spans="1:1" x14ac:dyDescent="0.3">
      <c r="A730" s="35"/>
    </row>
    <row r="731" spans="1:1" x14ac:dyDescent="0.3">
      <c r="A731" s="35"/>
    </row>
    <row r="732" spans="1:1" x14ac:dyDescent="0.3">
      <c r="A732" s="35"/>
    </row>
    <row r="733" spans="1:1" x14ac:dyDescent="0.3">
      <c r="A733" s="35"/>
    </row>
    <row r="734" spans="1:1" x14ac:dyDescent="0.3">
      <c r="A734" s="35"/>
    </row>
    <row r="735" spans="1:1" x14ac:dyDescent="0.3">
      <c r="A735" s="35"/>
    </row>
    <row r="736" spans="1:1" x14ac:dyDescent="0.3">
      <c r="A736" s="35"/>
    </row>
    <row r="737" spans="1:1" x14ac:dyDescent="0.3">
      <c r="A737" s="35"/>
    </row>
    <row r="738" spans="1:1" x14ac:dyDescent="0.3">
      <c r="A738" s="35"/>
    </row>
    <row r="739" spans="1:1" x14ac:dyDescent="0.3">
      <c r="A739" s="35"/>
    </row>
    <row r="740" spans="1:1" x14ac:dyDescent="0.3">
      <c r="A740" s="35"/>
    </row>
    <row r="741" spans="1:1" x14ac:dyDescent="0.3">
      <c r="A741" s="35"/>
    </row>
    <row r="742" spans="1:1" x14ac:dyDescent="0.3">
      <c r="A742" s="35"/>
    </row>
    <row r="743" spans="1:1" x14ac:dyDescent="0.3">
      <c r="A743" s="35"/>
    </row>
    <row r="744" spans="1:1" x14ac:dyDescent="0.3">
      <c r="A744" s="35"/>
    </row>
    <row r="745" spans="1:1" x14ac:dyDescent="0.3">
      <c r="A745" s="35"/>
    </row>
    <row r="746" spans="1:1" x14ac:dyDescent="0.3">
      <c r="A746" s="35"/>
    </row>
    <row r="747" spans="1:1" x14ac:dyDescent="0.3">
      <c r="A747" s="35"/>
    </row>
    <row r="748" spans="1:1" x14ac:dyDescent="0.3">
      <c r="A748" s="35"/>
    </row>
    <row r="749" spans="1:1" x14ac:dyDescent="0.3">
      <c r="A749" s="35"/>
    </row>
    <row r="750" spans="1:1" x14ac:dyDescent="0.3">
      <c r="A750" s="35"/>
    </row>
    <row r="751" spans="1:1" x14ac:dyDescent="0.3">
      <c r="A751" s="35"/>
    </row>
    <row r="752" spans="1:1" x14ac:dyDescent="0.3">
      <c r="A752" s="35"/>
    </row>
    <row r="753" spans="1:1" x14ac:dyDescent="0.3">
      <c r="A753" s="35"/>
    </row>
    <row r="754" spans="1:1" x14ac:dyDescent="0.3">
      <c r="A754" s="35"/>
    </row>
    <row r="755" spans="1:1" x14ac:dyDescent="0.3">
      <c r="A755" s="35"/>
    </row>
    <row r="756" spans="1:1" x14ac:dyDescent="0.3">
      <c r="A756" s="35"/>
    </row>
    <row r="757" spans="1:1" x14ac:dyDescent="0.3">
      <c r="A757" s="35"/>
    </row>
    <row r="758" spans="1:1" x14ac:dyDescent="0.3">
      <c r="A758" s="35"/>
    </row>
    <row r="759" spans="1:1" x14ac:dyDescent="0.3">
      <c r="A759" s="35"/>
    </row>
    <row r="760" spans="1:1" x14ac:dyDescent="0.3">
      <c r="A760" s="35"/>
    </row>
    <row r="761" spans="1:1" x14ac:dyDescent="0.3">
      <c r="A761" s="35"/>
    </row>
    <row r="762" spans="1:1" x14ac:dyDescent="0.3">
      <c r="A762" s="35"/>
    </row>
    <row r="763" spans="1:1" x14ac:dyDescent="0.3">
      <c r="A763" s="35"/>
    </row>
    <row r="764" spans="1:1" x14ac:dyDescent="0.3">
      <c r="A764" s="35"/>
    </row>
    <row r="765" spans="1:1" x14ac:dyDescent="0.3">
      <c r="A765" s="35"/>
    </row>
    <row r="766" spans="1:1" x14ac:dyDescent="0.3">
      <c r="A766" s="35"/>
    </row>
    <row r="767" spans="1:1" x14ac:dyDescent="0.3">
      <c r="A767" s="35"/>
    </row>
    <row r="768" spans="1:1" x14ac:dyDescent="0.3">
      <c r="A768" s="35"/>
    </row>
    <row r="769" spans="1:1" x14ac:dyDescent="0.3">
      <c r="A769" s="35"/>
    </row>
    <row r="770" spans="1:1" x14ac:dyDescent="0.3">
      <c r="A770" s="35"/>
    </row>
    <row r="771" spans="1:1" x14ac:dyDescent="0.3">
      <c r="A771" s="35"/>
    </row>
    <row r="772" spans="1:1" x14ac:dyDescent="0.3">
      <c r="A772" s="35"/>
    </row>
    <row r="773" spans="1:1" x14ac:dyDescent="0.3">
      <c r="A773" s="35"/>
    </row>
    <row r="774" spans="1:1" x14ac:dyDescent="0.3">
      <c r="A774" s="35"/>
    </row>
    <row r="775" spans="1:1" x14ac:dyDescent="0.3">
      <c r="A775" s="35"/>
    </row>
    <row r="776" spans="1:1" x14ac:dyDescent="0.3">
      <c r="A776" s="35"/>
    </row>
    <row r="777" spans="1:1" x14ac:dyDescent="0.3">
      <c r="A777" s="35"/>
    </row>
    <row r="778" spans="1:1" x14ac:dyDescent="0.3">
      <c r="A778" s="35"/>
    </row>
    <row r="779" spans="1:1" x14ac:dyDescent="0.3">
      <c r="A779" s="35"/>
    </row>
    <row r="780" spans="1:1" x14ac:dyDescent="0.3">
      <c r="A780" s="35"/>
    </row>
    <row r="781" spans="1:1" x14ac:dyDescent="0.3">
      <c r="A781" s="35"/>
    </row>
    <row r="782" spans="1:1" x14ac:dyDescent="0.3">
      <c r="A782" s="35"/>
    </row>
    <row r="783" spans="1:1" x14ac:dyDescent="0.3">
      <c r="A783" s="35"/>
    </row>
    <row r="784" spans="1:1" x14ac:dyDescent="0.3">
      <c r="A784" s="35"/>
    </row>
    <row r="785" spans="1:1" x14ac:dyDescent="0.3">
      <c r="A785" s="35"/>
    </row>
    <row r="786" spans="1:1" x14ac:dyDescent="0.3">
      <c r="A786" s="35"/>
    </row>
    <row r="787" spans="1:1" x14ac:dyDescent="0.3">
      <c r="A787" s="35"/>
    </row>
    <row r="788" spans="1:1" x14ac:dyDescent="0.3">
      <c r="A788" s="35"/>
    </row>
    <row r="789" spans="1:1" x14ac:dyDescent="0.3">
      <c r="A789" s="35"/>
    </row>
    <row r="790" spans="1:1" x14ac:dyDescent="0.3">
      <c r="A790" s="35"/>
    </row>
    <row r="791" spans="1:1" x14ac:dyDescent="0.3">
      <c r="A791" s="35"/>
    </row>
    <row r="792" spans="1:1" x14ac:dyDescent="0.3">
      <c r="A792" s="35"/>
    </row>
    <row r="793" spans="1:1" x14ac:dyDescent="0.3">
      <c r="A793" s="35"/>
    </row>
    <row r="794" spans="1:1" x14ac:dyDescent="0.3">
      <c r="A794" s="35"/>
    </row>
    <row r="795" spans="1:1" x14ac:dyDescent="0.3">
      <c r="A795" s="35"/>
    </row>
    <row r="796" spans="1:1" x14ac:dyDescent="0.3">
      <c r="A796" s="35"/>
    </row>
    <row r="797" spans="1:1" x14ac:dyDescent="0.3">
      <c r="A797" s="35"/>
    </row>
    <row r="798" spans="1:1" x14ac:dyDescent="0.3">
      <c r="A798" s="35"/>
    </row>
    <row r="799" spans="1:1" x14ac:dyDescent="0.3">
      <c r="A799" s="35"/>
    </row>
    <row r="800" spans="1:1" x14ac:dyDescent="0.3">
      <c r="A800" s="35"/>
    </row>
    <row r="801" spans="1:1" x14ac:dyDescent="0.3">
      <c r="A801" s="35"/>
    </row>
    <row r="802" spans="1:1" x14ac:dyDescent="0.3">
      <c r="A802" s="35"/>
    </row>
    <row r="803" spans="1:1" x14ac:dyDescent="0.3">
      <c r="A803" s="35"/>
    </row>
    <row r="804" spans="1:1" x14ac:dyDescent="0.3">
      <c r="A804" s="35"/>
    </row>
    <row r="805" spans="1:1" x14ac:dyDescent="0.3">
      <c r="A805" s="35"/>
    </row>
    <row r="806" spans="1:1" x14ac:dyDescent="0.3">
      <c r="A806" s="35"/>
    </row>
    <row r="807" spans="1:1" x14ac:dyDescent="0.3">
      <c r="A807" s="35"/>
    </row>
    <row r="808" spans="1:1" x14ac:dyDescent="0.3">
      <c r="A808" s="35"/>
    </row>
    <row r="809" spans="1:1" x14ac:dyDescent="0.3">
      <c r="A809" s="35"/>
    </row>
    <row r="810" spans="1:1" x14ac:dyDescent="0.3">
      <c r="A810" s="35"/>
    </row>
    <row r="811" spans="1:1" x14ac:dyDescent="0.3">
      <c r="A811" s="35"/>
    </row>
    <row r="812" spans="1:1" x14ac:dyDescent="0.3">
      <c r="A812" s="35"/>
    </row>
    <row r="813" spans="1:1" x14ac:dyDescent="0.3">
      <c r="A813" s="35"/>
    </row>
    <row r="814" spans="1:1" x14ac:dyDescent="0.3">
      <c r="A814" s="35"/>
    </row>
    <row r="815" spans="1:1" x14ac:dyDescent="0.3">
      <c r="A815" s="35"/>
    </row>
    <row r="816" spans="1:1" x14ac:dyDescent="0.3">
      <c r="A816" s="35"/>
    </row>
    <row r="817" spans="1:1" x14ac:dyDescent="0.3">
      <c r="A817" s="35"/>
    </row>
    <row r="818" spans="1:1" x14ac:dyDescent="0.3">
      <c r="A818" s="35"/>
    </row>
    <row r="819" spans="1:1" x14ac:dyDescent="0.3">
      <c r="A819" s="35"/>
    </row>
    <row r="820" spans="1:1" x14ac:dyDescent="0.3">
      <c r="A820" s="35"/>
    </row>
    <row r="821" spans="1:1" x14ac:dyDescent="0.3">
      <c r="A821" s="35"/>
    </row>
    <row r="822" spans="1:1" x14ac:dyDescent="0.3">
      <c r="A822" s="35"/>
    </row>
    <row r="823" spans="1:1" x14ac:dyDescent="0.3">
      <c r="A823" s="35"/>
    </row>
    <row r="824" spans="1:1" x14ac:dyDescent="0.3">
      <c r="A824" s="35"/>
    </row>
    <row r="825" spans="1:1" x14ac:dyDescent="0.3">
      <c r="A825" s="35"/>
    </row>
    <row r="826" spans="1:1" x14ac:dyDescent="0.3">
      <c r="A826" s="35"/>
    </row>
    <row r="827" spans="1:1" x14ac:dyDescent="0.3">
      <c r="A827" s="35"/>
    </row>
    <row r="828" spans="1:1" x14ac:dyDescent="0.3">
      <c r="A828" s="35"/>
    </row>
    <row r="829" spans="1:1" x14ac:dyDescent="0.3">
      <c r="A829" s="35"/>
    </row>
    <row r="830" spans="1:1" x14ac:dyDescent="0.3">
      <c r="A830" s="35"/>
    </row>
    <row r="831" spans="1:1" x14ac:dyDescent="0.3">
      <c r="A831" s="35"/>
    </row>
    <row r="832" spans="1:1" x14ac:dyDescent="0.3">
      <c r="A832" s="35"/>
    </row>
    <row r="833" spans="1:1" x14ac:dyDescent="0.3">
      <c r="A833" s="35"/>
    </row>
    <row r="834" spans="1:1" x14ac:dyDescent="0.3">
      <c r="A834" s="35"/>
    </row>
    <row r="835" spans="1:1" x14ac:dyDescent="0.3">
      <c r="A835" s="35"/>
    </row>
    <row r="836" spans="1:1" x14ac:dyDescent="0.3">
      <c r="A836" s="35"/>
    </row>
    <row r="837" spans="1:1" x14ac:dyDescent="0.3">
      <c r="A837" s="35"/>
    </row>
    <row r="838" spans="1:1" x14ac:dyDescent="0.3">
      <c r="A838" s="35"/>
    </row>
    <row r="839" spans="1:1" x14ac:dyDescent="0.3">
      <c r="A839" s="35"/>
    </row>
    <row r="840" spans="1:1" x14ac:dyDescent="0.3">
      <c r="A840" s="35"/>
    </row>
    <row r="841" spans="1:1" x14ac:dyDescent="0.3">
      <c r="A841" s="35"/>
    </row>
    <row r="842" spans="1:1" x14ac:dyDescent="0.3">
      <c r="A842" s="35"/>
    </row>
    <row r="843" spans="1:1" x14ac:dyDescent="0.3">
      <c r="A843" s="35"/>
    </row>
    <row r="844" spans="1:1" x14ac:dyDescent="0.3">
      <c r="A844" s="35"/>
    </row>
    <row r="845" spans="1:1" x14ac:dyDescent="0.3">
      <c r="A845" s="35"/>
    </row>
    <row r="846" spans="1:1" x14ac:dyDescent="0.3">
      <c r="A846" s="35"/>
    </row>
    <row r="847" spans="1:1" x14ac:dyDescent="0.3">
      <c r="A847" s="35"/>
    </row>
    <row r="848" spans="1:1" x14ac:dyDescent="0.3">
      <c r="A848" s="35"/>
    </row>
    <row r="849" spans="1:1" x14ac:dyDescent="0.3">
      <c r="A849" s="35"/>
    </row>
    <row r="850" spans="1:1" x14ac:dyDescent="0.3">
      <c r="A850" s="35"/>
    </row>
    <row r="851" spans="1:1" x14ac:dyDescent="0.3">
      <c r="A851" s="35"/>
    </row>
    <row r="852" spans="1:1" x14ac:dyDescent="0.3">
      <c r="A852" s="35"/>
    </row>
    <row r="853" spans="1:1" x14ac:dyDescent="0.3">
      <c r="A853" s="35"/>
    </row>
    <row r="854" spans="1:1" x14ac:dyDescent="0.3">
      <c r="A854" s="35"/>
    </row>
    <row r="855" spans="1:1" x14ac:dyDescent="0.3">
      <c r="A855" s="35"/>
    </row>
    <row r="856" spans="1:1" x14ac:dyDescent="0.3">
      <c r="A856" s="35"/>
    </row>
    <row r="857" spans="1:1" x14ac:dyDescent="0.3">
      <c r="A857" s="35"/>
    </row>
    <row r="858" spans="1:1" x14ac:dyDescent="0.3">
      <c r="A858" s="35"/>
    </row>
    <row r="859" spans="1:1" x14ac:dyDescent="0.3">
      <c r="A859" s="35"/>
    </row>
    <row r="860" spans="1:1" x14ac:dyDescent="0.3">
      <c r="A860" s="35"/>
    </row>
    <row r="861" spans="1:1" x14ac:dyDescent="0.3">
      <c r="A861" s="35"/>
    </row>
    <row r="862" spans="1:1" x14ac:dyDescent="0.3">
      <c r="A862" s="35"/>
    </row>
    <row r="863" spans="1:1" x14ac:dyDescent="0.3">
      <c r="A863" s="35"/>
    </row>
    <row r="864" spans="1:1" x14ac:dyDescent="0.3">
      <c r="A864" s="35"/>
    </row>
    <row r="865" spans="1:1" x14ac:dyDescent="0.3">
      <c r="A865" s="35"/>
    </row>
    <row r="866" spans="1:1" x14ac:dyDescent="0.3">
      <c r="A866" s="35"/>
    </row>
    <row r="867" spans="1:1" x14ac:dyDescent="0.3">
      <c r="A867" s="35"/>
    </row>
    <row r="868" spans="1:1" x14ac:dyDescent="0.3">
      <c r="A868" s="35"/>
    </row>
    <row r="869" spans="1:1" x14ac:dyDescent="0.3">
      <c r="A869" s="35"/>
    </row>
    <row r="870" spans="1:1" x14ac:dyDescent="0.3">
      <c r="A870" s="35"/>
    </row>
    <row r="871" spans="1:1" x14ac:dyDescent="0.3">
      <c r="A871" s="35"/>
    </row>
    <row r="872" spans="1:1" x14ac:dyDescent="0.3">
      <c r="A872" s="35"/>
    </row>
    <row r="873" spans="1:1" x14ac:dyDescent="0.3">
      <c r="A873" s="35"/>
    </row>
    <row r="874" spans="1:1" x14ac:dyDescent="0.3">
      <c r="A874" s="35"/>
    </row>
    <row r="875" spans="1:1" x14ac:dyDescent="0.3">
      <c r="A875" s="35"/>
    </row>
    <row r="876" spans="1:1" x14ac:dyDescent="0.3">
      <c r="A876" s="35"/>
    </row>
    <row r="877" spans="1:1" x14ac:dyDescent="0.3">
      <c r="A877" s="35"/>
    </row>
    <row r="878" spans="1:1" x14ac:dyDescent="0.3">
      <c r="A878" s="35"/>
    </row>
    <row r="879" spans="1:1" x14ac:dyDescent="0.3">
      <c r="A879" s="35"/>
    </row>
    <row r="880" spans="1:1" x14ac:dyDescent="0.3">
      <c r="A880" s="35"/>
    </row>
    <row r="881" spans="1:1" x14ac:dyDescent="0.3">
      <c r="A881" s="35"/>
    </row>
    <row r="882" spans="1:1" x14ac:dyDescent="0.3">
      <c r="A882" s="35"/>
    </row>
    <row r="883" spans="1:1" x14ac:dyDescent="0.3">
      <c r="A883" s="35"/>
    </row>
    <row r="884" spans="1:1" x14ac:dyDescent="0.3">
      <c r="A884" s="35"/>
    </row>
    <row r="885" spans="1:1" x14ac:dyDescent="0.3">
      <c r="A885" s="35"/>
    </row>
    <row r="886" spans="1:1" x14ac:dyDescent="0.3">
      <c r="A886" s="35"/>
    </row>
    <row r="887" spans="1:1" x14ac:dyDescent="0.3">
      <c r="A887" s="35"/>
    </row>
    <row r="888" spans="1:1" x14ac:dyDescent="0.3">
      <c r="A888" s="35"/>
    </row>
    <row r="889" spans="1:1" x14ac:dyDescent="0.3">
      <c r="A889" s="35"/>
    </row>
    <row r="890" spans="1:1" x14ac:dyDescent="0.3">
      <c r="A890" s="35"/>
    </row>
    <row r="891" spans="1:1" x14ac:dyDescent="0.3">
      <c r="A891" s="35"/>
    </row>
    <row r="892" spans="1:1" x14ac:dyDescent="0.3">
      <c r="A892" s="35"/>
    </row>
    <row r="893" spans="1:1" x14ac:dyDescent="0.3">
      <c r="A893" s="35"/>
    </row>
    <row r="894" spans="1:1" x14ac:dyDescent="0.3">
      <c r="A894" s="35"/>
    </row>
    <row r="895" spans="1:1" x14ac:dyDescent="0.3">
      <c r="A895" s="35"/>
    </row>
    <row r="896" spans="1:1" x14ac:dyDescent="0.3">
      <c r="A896" s="35"/>
    </row>
    <row r="897" spans="1:1" x14ac:dyDescent="0.3">
      <c r="A897" s="35"/>
    </row>
    <row r="898" spans="1:1" x14ac:dyDescent="0.3">
      <c r="A898" s="35"/>
    </row>
    <row r="899" spans="1:1" x14ac:dyDescent="0.3">
      <c r="A899" s="35"/>
    </row>
    <row r="900" spans="1:1" x14ac:dyDescent="0.3">
      <c r="A900" s="35"/>
    </row>
    <row r="901" spans="1:1" x14ac:dyDescent="0.3">
      <c r="A901" s="35"/>
    </row>
    <row r="902" spans="1:1" x14ac:dyDescent="0.3">
      <c r="A902" s="35"/>
    </row>
    <row r="903" spans="1:1" x14ac:dyDescent="0.3">
      <c r="A903" s="35"/>
    </row>
    <row r="904" spans="1:1" x14ac:dyDescent="0.3">
      <c r="A904" s="35"/>
    </row>
    <row r="905" spans="1:1" x14ac:dyDescent="0.3">
      <c r="A905" s="35"/>
    </row>
    <row r="906" spans="1:1" x14ac:dyDescent="0.3">
      <c r="A906" s="35"/>
    </row>
    <row r="907" spans="1:1" x14ac:dyDescent="0.3">
      <c r="A907" s="35"/>
    </row>
    <row r="908" spans="1:1" x14ac:dyDescent="0.3">
      <c r="A908" s="35"/>
    </row>
    <row r="909" spans="1:1" x14ac:dyDescent="0.3">
      <c r="A909" s="35"/>
    </row>
    <row r="910" spans="1:1" x14ac:dyDescent="0.3">
      <c r="A910" s="35"/>
    </row>
    <row r="911" spans="1:1" x14ac:dyDescent="0.3">
      <c r="A911" s="35"/>
    </row>
    <row r="912" spans="1:1" x14ac:dyDescent="0.3">
      <c r="A912" s="35"/>
    </row>
    <row r="913" spans="1:1" x14ac:dyDescent="0.3">
      <c r="A913" s="35"/>
    </row>
    <row r="914" spans="1:1" x14ac:dyDescent="0.3">
      <c r="A914" s="35"/>
    </row>
    <row r="915" spans="1:1" x14ac:dyDescent="0.3">
      <c r="A915" s="35"/>
    </row>
    <row r="916" spans="1:1" x14ac:dyDescent="0.3">
      <c r="A916" s="35"/>
    </row>
    <row r="917" spans="1:1" x14ac:dyDescent="0.3">
      <c r="A917" s="35"/>
    </row>
    <row r="918" spans="1:1" x14ac:dyDescent="0.3">
      <c r="A918" s="35"/>
    </row>
    <row r="919" spans="1:1" x14ac:dyDescent="0.3">
      <c r="A919" s="35"/>
    </row>
    <row r="920" spans="1:1" x14ac:dyDescent="0.3">
      <c r="A920" s="35"/>
    </row>
    <row r="921" spans="1:1" x14ac:dyDescent="0.3">
      <c r="A921" s="35"/>
    </row>
    <row r="922" spans="1:1" x14ac:dyDescent="0.3">
      <c r="A922" s="35"/>
    </row>
    <row r="923" spans="1:1" x14ac:dyDescent="0.3">
      <c r="A923" s="35"/>
    </row>
    <row r="924" spans="1:1" x14ac:dyDescent="0.3">
      <c r="A924" s="35"/>
    </row>
    <row r="925" spans="1:1" x14ac:dyDescent="0.3">
      <c r="A925" s="35"/>
    </row>
    <row r="926" spans="1:1" x14ac:dyDescent="0.3">
      <c r="A926" s="35"/>
    </row>
    <row r="927" spans="1:1" x14ac:dyDescent="0.3">
      <c r="A927" s="35"/>
    </row>
    <row r="928" spans="1:1" x14ac:dyDescent="0.3">
      <c r="A928" s="35"/>
    </row>
    <row r="929" spans="1:1" x14ac:dyDescent="0.3">
      <c r="A929" s="35"/>
    </row>
    <row r="930" spans="1:1" x14ac:dyDescent="0.3">
      <c r="A930" s="35"/>
    </row>
    <row r="931" spans="1:1" x14ac:dyDescent="0.3">
      <c r="A931" s="35"/>
    </row>
    <row r="932" spans="1:1" x14ac:dyDescent="0.3">
      <c r="A932" s="35"/>
    </row>
    <row r="933" spans="1:1" x14ac:dyDescent="0.3">
      <c r="A933" s="35"/>
    </row>
    <row r="934" spans="1:1" x14ac:dyDescent="0.3">
      <c r="A934" s="35"/>
    </row>
    <row r="935" spans="1:1" x14ac:dyDescent="0.3">
      <c r="A935" s="35"/>
    </row>
    <row r="936" spans="1:1" x14ac:dyDescent="0.3">
      <c r="A936" s="35"/>
    </row>
    <row r="937" spans="1:1" x14ac:dyDescent="0.3">
      <c r="A937" s="35"/>
    </row>
    <row r="938" spans="1:1" x14ac:dyDescent="0.3">
      <c r="A938" s="35"/>
    </row>
    <row r="939" spans="1:1" x14ac:dyDescent="0.3">
      <c r="A939" s="35"/>
    </row>
    <row r="940" spans="1:1" x14ac:dyDescent="0.3">
      <c r="A940" s="35"/>
    </row>
    <row r="941" spans="1:1" x14ac:dyDescent="0.3">
      <c r="A941" s="35"/>
    </row>
    <row r="942" spans="1:1" x14ac:dyDescent="0.3">
      <c r="A942" s="35"/>
    </row>
    <row r="943" spans="1:1" x14ac:dyDescent="0.3">
      <c r="A943" s="35"/>
    </row>
    <row r="944" spans="1:1" x14ac:dyDescent="0.3">
      <c r="A944" s="35"/>
    </row>
    <row r="945" spans="1:1" x14ac:dyDescent="0.3">
      <c r="A945" s="35"/>
    </row>
    <row r="946" spans="1:1" x14ac:dyDescent="0.3">
      <c r="A946" s="35"/>
    </row>
    <row r="947" spans="1:1" x14ac:dyDescent="0.3">
      <c r="A947" s="35"/>
    </row>
    <row r="948" spans="1:1" x14ac:dyDescent="0.3">
      <c r="A948" s="35"/>
    </row>
    <row r="949" spans="1:1" x14ac:dyDescent="0.3">
      <c r="A949" s="35"/>
    </row>
    <row r="950" spans="1:1" x14ac:dyDescent="0.3">
      <c r="A950" s="35"/>
    </row>
    <row r="951" spans="1:1" x14ac:dyDescent="0.3">
      <c r="A951" s="35"/>
    </row>
    <row r="952" spans="1:1" x14ac:dyDescent="0.3">
      <c r="A952" s="35"/>
    </row>
    <row r="953" spans="1:1" x14ac:dyDescent="0.3">
      <c r="A953" s="35"/>
    </row>
    <row r="954" spans="1:1" x14ac:dyDescent="0.3">
      <c r="A954" s="35"/>
    </row>
    <row r="955" spans="1:1" x14ac:dyDescent="0.3">
      <c r="A955" s="35"/>
    </row>
    <row r="956" spans="1:1" x14ac:dyDescent="0.3">
      <c r="A956" s="35"/>
    </row>
    <row r="957" spans="1:1" x14ac:dyDescent="0.3">
      <c r="A957" s="35"/>
    </row>
    <row r="958" spans="1:1" x14ac:dyDescent="0.3">
      <c r="A958" s="35"/>
    </row>
    <row r="959" spans="1:1" x14ac:dyDescent="0.3">
      <c r="A959" s="35"/>
    </row>
    <row r="960" spans="1:1" x14ac:dyDescent="0.3">
      <c r="A960" s="35"/>
    </row>
    <row r="961" spans="1:1" x14ac:dyDescent="0.3">
      <c r="A961" s="35"/>
    </row>
    <row r="962" spans="1:1" x14ac:dyDescent="0.3">
      <c r="A962" s="35"/>
    </row>
    <row r="963" spans="1:1" x14ac:dyDescent="0.3">
      <c r="A963" s="35"/>
    </row>
    <row r="964" spans="1:1" x14ac:dyDescent="0.3">
      <c r="A964" s="35"/>
    </row>
    <row r="965" spans="1:1" x14ac:dyDescent="0.3">
      <c r="A965" s="35"/>
    </row>
    <row r="966" spans="1:1" x14ac:dyDescent="0.3">
      <c r="A966" s="35"/>
    </row>
    <row r="967" spans="1:1" x14ac:dyDescent="0.3">
      <c r="A967" s="35"/>
    </row>
    <row r="968" spans="1:1" x14ac:dyDescent="0.3">
      <c r="A968" s="35"/>
    </row>
    <row r="969" spans="1:1" x14ac:dyDescent="0.3">
      <c r="A969" s="35"/>
    </row>
    <row r="970" spans="1:1" x14ac:dyDescent="0.3">
      <c r="A970" s="35"/>
    </row>
    <row r="971" spans="1:1" x14ac:dyDescent="0.3">
      <c r="A971" s="35"/>
    </row>
    <row r="972" spans="1:1" x14ac:dyDescent="0.3">
      <c r="A972" s="35"/>
    </row>
    <row r="973" spans="1:1" x14ac:dyDescent="0.3">
      <c r="A973" s="35"/>
    </row>
    <row r="974" spans="1:1" x14ac:dyDescent="0.3">
      <c r="A974" s="35"/>
    </row>
    <row r="975" spans="1:1" x14ac:dyDescent="0.3">
      <c r="A975" s="35"/>
    </row>
    <row r="976" spans="1:1" x14ac:dyDescent="0.3">
      <c r="A976" s="35"/>
    </row>
    <row r="977" spans="1:1" x14ac:dyDescent="0.3">
      <c r="A977" s="35"/>
    </row>
    <row r="978" spans="1:1" x14ac:dyDescent="0.3">
      <c r="A978" s="35"/>
    </row>
    <row r="979" spans="1:1" x14ac:dyDescent="0.3">
      <c r="A979" s="35"/>
    </row>
    <row r="980" spans="1:1" x14ac:dyDescent="0.3">
      <c r="A980" s="35"/>
    </row>
    <row r="981" spans="1:1" x14ac:dyDescent="0.3">
      <c r="A981" s="35"/>
    </row>
    <row r="982" spans="1:1" x14ac:dyDescent="0.3">
      <c r="A982" s="35"/>
    </row>
    <row r="983" spans="1:1" x14ac:dyDescent="0.3">
      <c r="A983" s="35"/>
    </row>
    <row r="984" spans="1:1" x14ac:dyDescent="0.3">
      <c r="A984" s="35"/>
    </row>
    <row r="985" spans="1:1" x14ac:dyDescent="0.3">
      <c r="A985" s="35"/>
    </row>
    <row r="986" spans="1:1" x14ac:dyDescent="0.3">
      <c r="A986" s="35"/>
    </row>
    <row r="987" spans="1:1" x14ac:dyDescent="0.3">
      <c r="A987" s="35"/>
    </row>
    <row r="988" spans="1:1" x14ac:dyDescent="0.3">
      <c r="A988" s="35"/>
    </row>
    <row r="989" spans="1:1" x14ac:dyDescent="0.3">
      <c r="A989" s="35"/>
    </row>
    <row r="990" spans="1:1" x14ac:dyDescent="0.3">
      <c r="A990" s="35"/>
    </row>
    <row r="991" spans="1:1" x14ac:dyDescent="0.3">
      <c r="A991" s="35"/>
    </row>
    <row r="992" spans="1:1" x14ac:dyDescent="0.3">
      <c r="A992" s="35"/>
    </row>
    <row r="993" spans="1:1" x14ac:dyDescent="0.3">
      <c r="A993" s="35"/>
    </row>
    <row r="994" spans="1:1" x14ac:dyDescent="0.3">
      <c r="A994" s="35"/>
    </row>
    <row r="995" spans="1:1" x14ac:dyDescent="0.3">
      <c r="A995" s="35"/>
    </row>
    <row r="996" spans="1:1" x14ac:dyDescent="0.3">
      <c r="A996" s="35"/>
    </row>
    <row r="997" spans="1:1" x14ac:dyDescent="0.3">
      <c r="A997" s="35"/>
    </row>
    <row r="998" spans="1:1" x14ac:dyDescent="0.3">
      <c r="A998" s="35"/>
    </row>
    <row r="999" spans="1:1" x14ac:dyDescent="0.3">
      <c r="A999" s="35"/>
    </row>
    <row r="1000" spans="1:1" x14ac:dyDescent="0.3">
      <c r="A1000" s="35"/>
    </row>
    <row r="1001" spans="1:1" x14ac:dyDescent="0.3">
      <c r="A1001" s="35"/>
    </row>
    <row r="1002" spans="1:1" x14ac:dyDescent="0.3">
      <c r="A1002" s="35"/>
    </row>
    <row r="1003" spans="1:1" x14ac:dyDescent="0.3">
      <c r="A1003" s="35"/>
    </row>
    <row r="1004" spans="1:1" x14ac:dyDescent="0.3">
      <c r="A1004" s="35"/>
    </row>
    <row r="1005" spans="1:1" x14ac:dyDescent="0.3">
      <c r="A1005" s="35"/>
    </row>
    <row r="1006" spans="1:1" x14ac:dyDescent="0.3">
      <c r="A1006" s="35"/>
    </row>
    <row r="1007" spans="1:1" x14ac:dyDescent="0.3">
      <c r="A1007" s="35"/>
    </row>
  </sheetData>
  <sheetProtection algorithmName="SHA-512" hashValue="mm+Zz2rWpJc8bDPhhG5P6WZFsguoY02KnzVZla9ssaJHQkfvjKsjSvFUdFiYDcQAI7sBZEW7zItyA7WvsjN3+Q==" saltValue="DEZSLgFdS6TuiXNYFuOOnQ==" spinCount="100000" sheet="1" objects="1" scenarios="1" formatCells="0" formatRows="0" insertRows="0" deleteRows="0" selectLockedCells="1" sort="0" autoFilter="0"/>
  <mergeCells count="1">
    <mergeCell ref="A1:C1"/>
  </mergeCells>
  <phoneticPr fontId="18" type="noConversion"/>
  <dataValidations count="2">
    <dataValidation type="list" allowBlank="1" showInputMessage="1" showErrorMessage="1" sqref="B2">
      <formula1>이름</formula1>
    </dataValidation>
    <dataValidation type="whole" allowBlank="1" showInputMessage="1" showErrorMessage="1" sqref="B4">
      <formula1>101</formula1>
      <formula2>1000</formula2>
    </dataValidation>
  </dataValidations>
  <pageMargins left="0.7086111307144165" right="0.7086111307144165" top="0.55111110210418701" bottom="0.55111110210418701" header="0.31486111879348755" footer="0.31486111879348755"/>
  <pageSetup paperSize="9" scale="6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
  <sheetViews>
    <sheetView zoomScale="80" zoomScaleNormal="80" zoomScaleSheetLayoutView="75" workbookViewId="0">
      <selection activeCell="N4" sqref="N4"/>
    </sheetView>
  </sheetViews>
  <sheetFormatPr defaultColWidth="8.75" defaultRowHeight="16.5" x14ac:dyDescent="0.3"/>
  <cols>
    <col min="1" max="1" width="7.125" customWidth="1"/>
    <col min="2" max="7" width="8.125" customWidth="1"/>
    <col min="8" max="8" width="94.5" style="10" customWidth="1"/>
    <col min="9" max="9" width="2.5" customWidth="1"/>
    <col min="10" max="15" width="6.5" customWidth="1"/>
  </cols>
  <sheetData>
    <row r="1" spans="1:15" ht="41.25" customHeight="1" x14ac:dyDescent="0.3">
      <c r="A1" s="87" t="s">
        <v>535</v>
      </c>
      <c r="B1" s="87"/>
      <c r="C1" s="87"/>
      <c r="D1" s="87"/>
      <c r="E1" s="87"/>
      <c r="F1" s="87"/>
      <c r="G1" s="87"/>
      <c r="H1" s="87"/>
      <c r="J1" s="90" t="s">
        <v>412</v>
      </c>
      <c r="K1" s="91"/>
      <c r="L1" s="67" t="s">
        <v>430</v>
      </c>
      <c r="M1" s="67" t="s">
        <v>431</v>
      </c>
      <c r="N1" s="67" t="s">
        <v>428</v>
      </c>
      <c r="O1" s="67" t="s">
        <v>410</v>
      </c>
    </row>
    <row r="2" spans="1:15" ht="41.25" customHeight="1" x14ac:dyDescent="0.3">
      <c r="A2" s="1"/>
      <c r="B2" s="1"/>
      <c r="C2" s="1"/>
      <c r="D2" s="1"/>
      <c r="E2" s="1"/>
      <c r="F2" s="1"/>
      <c r="G2" s="1"/>
      <c r="H2" s="1"/>
      <c r="J2" s="39"/>
      <c r="K2" s="40"/>
      <c r="L2" s="40"/>
      <c r="M2" s="40"/>
      <c r="N2" s="40"/>
      <c r="O2" s="40"/>
    </row>
    <row r="3" spans="1:15" x14ac:dyDescent="0.3">
      <c r="A3" s="24">
        <v>21</v>
      </c>
      <c r="B3" s="24">
        <v>4</v>
      </c>
      <c r="C3" s="24">
        <v>19</v>
      </c>
      <c r="D3" s="24">
        <v>6</v>
      </c>
      <c r="E3" s="24">
        <v>5</v>
      </c>
      <c r="F3" s="24">
        <v>4</v>
      </c>
      <c r="G3" s="24">
        <v>4</v>
      </c>
      <c r="J3" s="37" t="s">
        <v>442</v>
      </c>
      <c r="K3" s="38" t="str">
        <f>학습!B2</f>
        <v>학생05</v>
      </c>
      <c r="L3" s="38" t="str">
        <f>특성1!B2</f>
        <v>학생02</v>
      </c>
      <c r="M3" s="38" t="str">
        <f>특성2!B2</f>
        <v>학생02</v>
      </c>
      <c r="N3" s="38" t="str">
        <f>특성3!B2</f>
        <v>학생02</v>
      </c>
      <c r="O3" s="38" t="str">
        <f>예체능!B2</f>
        <v>학생05</v>
      </c>
    </row>
    <row r="4" spans="1:15" ht="34.5" customHeight="1" x14ac:dyDescent="0.3">
      <c r="A4" s="4" t="s">
        <v>439</v>
      </c>
      <c r="B4" s="5" t="s">
        <v>442</v>
      </c>
      <c r="C4" s="6" t="s">
        <v>640</v>
      </c>
      <c r="D4" s="6" t="s">
        <v>510</v>
      </c>
      <c r="E4" s="6" t="s">
        <v>509</v>
      </c>
      <c r="F4" s="6" t="s">
        <v>511</v>
      </c>
      <c r="G4" s="6" t="s">
        <v>410</v>
      </c>
      <c r="H4" s="7" t="s">
        <v>630</v>
      </c>
      <c r="J4" s="43" t="s">
        <v>439</v>
      </c>
      <c r="K4" s="38">
        <f>MATCH(K3,이름,0)</f>
        <v>5</v>
      </c>
      <c r="L4" s="38">
        <f>MATCH(L3,이름,0)</f>
        <v>2</v>
      </c>
      <c r="M4" s="38">
        <f>MATCH(M3,이름,0)</f>
        <v>2</v>
      </c>
      <c r="N4" s="38">
        <f>MATCH(N3,이름,0)</f>
        <v>2</v>
      </c>
      <c r="O4" s="38">
        <f>MATCH(O3,이름,0)</f>
        <v>5</v>
      </c>
    </row>
    <row r="5" spans="1:15" ht="87.75" customHeight="1" x14ac:dyDescent="0.3">
      <c r="A5" s="12">
        <v>1</v>
      </c>
      <c r="B5" s="13" t="str">
        <f>IF(개인별_종합의견!C5="","",개인별_종합의견!C5)</f>
        <v>학생01</v>
      </c>
      <c r="C5" s="13">
        <f>IF(개인별_종합의견!D5="","",개인별_종합의견!D5)</f>
        <v>101</v>
      </c>
      <c r="D5" s="13">
        <f>IF(개인별_종합의견!E5="","",개인별_종합의견!E5)</f>
        <v>140</v>
      </c>
      <c r="E5" s="13">
        <f>IF(개인별_종합의견!F5="","",개인별_종합의견!F5)</f>
        <v>141</v>
      </c>
      <c r="F5" s="13">
        <f>IF(개인별_종합의견!G5="","",개인별_종합의견!G5)</f>
        <v>145</v>
      </c>
      <c r="G5" s="13" t="str">
        <f>IF(개인별_종합의견!H5="","",개인별_종합의견!H5)</f>
        <v/>
      </c>
      <c r="H5" s="25" t="str">
        <f>IF(C5="","",TRIM(VLOOKUP(C5,학습!$A$5:$C$850,3,0))&amp;"  ")&amp;IF(D5="","",TRIM(VLOOKUP(D5,특성1!$A$7:$C$935,3,0))&amp;"  ")&amp;IF(E5="","",TRIM(VLOOKUP(E5,특성2!$A$5:$C$934,3,0))&amp;"  ")&amp;IF(F5="","",TRIM(VLOOKUP(F5,특성3!$A$5:$C$933,3,0))&amp;"  ")&amp;IF(G5="","",TRIM(VLOOKUP(G5,예체능!$A$5:$C$825,3,0)))</f>
        <v xml:space="preserve">기본적인 학습 규칙을 잘 이행하고 자기의 목표가 뚜렷한 학교생활을 함.  성격이 밝고 쾌활하며 사교적이어서 친구들과 잘 어울림.  성품이 착실하고 따뜻하며 친구들 사이에 추천으로 학생날 기념 모범학생표창을 받음.신망이 두터워 친구들의 신뢰를 받음.  지도력이 뛰어나며 적극적이고 행동이 매우 모범적임  </v>
      </c>
      <c r="J5" s="44" t="s">
        <v>432</v>
      </c>
      <c r="K5" s="42">
        <v>4</v>
      </c>
      <c r="L5" s="42">
        <v>5</v>
      </c>
      <c r="M5" s="42">
        <v>6</v>
      </c>
      <c r="N5" s="42">
        <v>7</v>
      </c>
      <c r="O5" s="42">
        <v>8</v>
      </c>
    </row>
    <row r="6" spans="1:15" ht="87.75" customHeight="1" x14ac:dyDescent="0.3">
      <c r="A6" s="12">
        <v>2</v>
      </c>
      <c r="B6" s="13" t="str">
        <f>IF(개인별_종합의견!C6="","",개인별_종합의견!C6)</f>
        <v>학생02</v>
      </c>
      <c r="C6" s="13">
        <f>IF(개인별_종합의견!D6="","",개인별_종합의견!D6)</f>
        <v>102</v>
      </c>
      <c r="D6" s="13">
        <f>IF(개인별_종합의견!E6="","",개인별_종합의견!E6)</f>
        <v>101</v>
      </c>
      <c r="E6" s="13">
        <f>IF(개인별_종합의견!F6="","",개인별_종합의견!F6)</f>
        <v>103</v>
      </c>
      <c r="F6" s="13">
        <f>IF(개인별_종합의견!G6="","",개인별_종합의견!G6)</f>
        <v>104</v>
      </c>
      <c r="G6" s="13">
        <f>IF(개인별_종합의견!H6="","",개인별_종합의견!H6)</f>
        <v>105</v>
      </c>
      <c r="H6" s="25" t="str">
        <f>IF(C6="","",TRIM(VLOOKUP(C6,학습!$A$5:$C$850,3,0))&amp;"  ")&amp;IF(D6="","",TRIM(VLOOKUP(D6,특성1!$A$7:$C$935,3,0))&amp;"  ")&amp;IF(E6="","",TRIM(VLOOKUP(E6,특성2!$A$5:$C$934,3,0))&amp;"  ")&amp;IF(F6="","",TRIM(VLOOKUP(F6,특성3!$A$5:$C$933,3,0))&amp;"  ")&amp;IF(G6="","",TRIM(VLOOKUP(G6,예체능!$A$5:$C$825,3,0)))</f>
        <v>자연현상에 대해 관심이 많으며 스스로 문제를 해결하려는 끈기 있는 학습 태도가 좋음.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갈등 상황에서 자신의 생각을 표현하기 보다 혼자만의 시간을 갖는 경우가 많아 자신의 감정을 효과적으로 표현하는 능력을 기를 필요가 있음.  모둠 활동시 주도적으로 모둠 활동에 참여하여 모둠 문제를 해결해나가는 모습이 돋보임.  그림을 구상해내는 아이디어가 좋으며 악기를 차분하게 잘 다루고 연주하고 체육활동에 최선을 다함.</v>
      </c>
      <c r="J6" s="45" t="s">
        <v>679</v>
      </c>
      <c r="K6" s="41" t="s">
        <v>412</v>
      </c>
      <c r="L6" s="41" t="s">
        <v>418</v>
      </c>
      <c r="M6" s="41" t="s">
        <v>431</v>
      </c>
      <c r="N6" s="41" t="s">
        <v>428</v>
      </c>
      <c r="O6" s="41" t="s">
        <v>410</v>
      </c>
    </row>
    <row r="7" spans="1:15" ht="87.75" customHeight="1" x14ac:dyDescent="0.3">
      <c r="A7" s="12">
        <v>3</v>
      </c>
      <c r="B7" s="13" t="str">
        <f>IF(개인별_종합의견!C7="","",개인별_종합의견!C7)</f>
        <v>학생03</v>
      </c>
      <c r="C7" s="13">
        <f>IF(개인별_종합의견!D7="","",개인별_종합의견!D7)</f>
        <v>101</v>
      </c>
      <c r="D7" s="13">
        <f>IF(개인별_종합의견!E7="","",개인별_종합의견!E7)</f>
        <v>140</v>
      </c>
      <c r="E7" s="13">
        <f>IF(개인별_종합의견!F7="","",개인별_종합의견!F7)</f>
        <v>141</v>
      </c>
      <c r="F7" s="13">
        <f>IF(개인별_종합의견!G7="","",개인별_종합의견!G7)</f>
        <v>145</v>
      </c>
      <c r="G7" s="13">
        <f>IF(개인별_종합의견!H7="","",개인별_종합의견!H7)</f>
        <v>106</v>
      </c>
      <c r="H7" s="25" t="str">
        <f>IF(C7="","",TRIM(VLOOKUP(C7,학습!$A$5:$C$850,3,0))&amp;"  ")&amp;IF(D7="","",TRIM(VLOOKUP(D7,특성1!$A$7:$C$935,3,0))&amp;"  ")&amp;IF(E7="","",TRIM(VLOOKUP(E7,특성2!$A$5:$C$934,3,0))&amp;"  ")&amp;IF(F7="","",TRIM(VLOOKUP(F7,특성3!$A$5:$C$933,3,0))&amp;"  ")&amp;IF(G7="","",TRIM(VLOOKUP(G7,예체능!$A$5:$C$825,3,0)))</f>
        <v>기본적인 학습 규칙을 잘 이행하고 자기의 목표가 뚜렷한 학교생활을 함.  성격이 밝고 쾌활하며 사교적이어서 친구들과 잘 어울림.  성품이 착실하고 따뜻하며 친구들 사이에 추천으로 학생날 기념 모범학생표창을 받음.신망이 두터워 친구들의 신뢰를 받음.  지도력이 뛰어나며 적극적이고 행동이 매우 모범적임  노래를 음정에 맞게 잘 부르고 달리기를 잘 하며 다양한 체육활동에 흥미를 가지고 적극적으로 참여함.</v>
      </c>
    </row>
    <row r="8" spans="1:15" ht="87.75" customHeight="1" x14ac:dyDescent="0.3">
      <c r="A8" s="12">
        <v>4</v>
      </c>
      <c r="B8" s="13" t="str">
        <f>IF(개인별_종합의견!C8="","",개인별_종합의견!C8)</f>
        <v>학생04</v>
      </c>
      <c r="C8" s="13">
        <f>IF(개인별_종합의견!D8="","",개인별_종합의견!D8)</f>
        <v>300</v>
      </c>
      <c r="D8" s="13">
        <f>IF(개인별_종합의견!E8="","",개인별_종합의견!E8)</f>
        <v>213</v>
      </c>
      <c r="E8" s="13">
        <f>IF(개인별_종합의견!F8="","",개인별_종합의견!F8)</f>
        <v>103</v>
      </c>
      <c r="F8" s="13">
        <f>IF(개인별_종합의견!G8="","",개인별_종합의견!G8)</f>
        <v>107</v>
      </c>
      <c r="G8" s="13">
        <f>IF(개인별_종합의견!H8="","",개인별_종합의견!H8)</f>
        <v>106</v>
      </c>
      <c r="H8" s="25" t="str">
        <f>IF(C8="","",TRIM(VLOOKUP(C8,학습!$A$5:$C$850,3,0))&amp;"  ")&amp;IF(D8="","",TRIM(VLOOKUP(D8,특성1!$A$7:$C$935,3,0))&amp;"  ")&amp;IF(E8="","",TRIM(VLOOKUP(E8,특성2!$A$5:$C$934,3,0))&amp;"  ")&amp;IF(F8="","",TRIM(VLOOKUP(F8,특성3!$A$5:$C$933,3,0))&amp;"  ")&amp;IF(G8="","",TRIM(VLOOKUP(G8,예체능!$A$5:$C$825,3,0)))</f>
        <v>여러 방면에 걸쳐 기능이 뛰어나고 특히 신체 표현 능력이 월등함.  웃어른을 존경할 줄 알며 인사성이 바르고 성품이 너그러워 친구의 잘못이나 아픔을 따뜻하게 이해해 주는 진지하고 따뜻한 품성을 지닌 학생임.  갈등 상황에서 자신의 생각을 표현하기 보다 혼자만의 시간을 갖는 경우가 많아 자신의 감정을 효과적으로 표현하는 능력을 기를 필요가 있음.  자신이 화가 나고 짜증낼 때 친구와 슬기롭게 대화하는 방법을 연습하고 있음.  노래를 음정에 맞게 잘 부르고 달리기를 잘 하며 다양한 체육활동에 흥미를 가지고 적극적으로 참여함.</v>
      </c>
    </row>
    <row r="9" spans="1:15" ht="87.75" customHeight="1" x14ac:dyDescent="0.3">
      <c r="A9" s="12">
        <v>5</v>
      </c>
      <c r="B9" s="13" t="str">
        <f>IF(개인별_종합의견!C9="","",개인별_종합의견!C9)</f>
        <v>학생05</v>
      </c>
      <c r="C9" s="13">
        <f>IF(개인별_종합의견!D9="","",개인별_종합의견!D9)</f>
        <v>102</v>
      </c>
      <c r="D9" s="13">
        <f>IF(개인별_종합의견!E9="","",개인별_종합의견!E9)</f>
        <v>202</v>
      </c>
      <c r="E9" s="13">
        <f>IF(개인별_종합의견!F9="","",개인별_종합의견!F9)</f>
        <v>203</v>
      </c>
      <c r="F9" s="13">
        <f>IF(개인별_종합의견!G9="","",개인별_종합의견!G9)</f>
        <v>107</v>
      </c>
      <c r="G9" s="13">
        <f>IF(개인별_종합의견!H9="","",개인별_종합의견!H9)</f>
        <v>105</v>
      </c>
      <c r="H9" s="25" t="str">
        <f>IF(C9="","",TRIM(VLOOKUP(C9,학습!$A$5:$C$850,3,0))&amp;"  ")&amp;IF(D9="","",TRIM(VLOOKUP(D9,특성1!$A$7:$C$935,3,0))&amp;"  ")&amp;IF(E9="","",TRIM(VLOOKUP(E9,특성2!$A$5:$C$934,3,0))&amp;"  ")&amp;IF(F9="","",TRIM(VLOOKUP(F9,특성3!$A$5:$C$933,3,0))&amp;"  ")&amp;IF(G9="","",TRIM(VLOOKUP(G9,예체능!$A$5:$C$825,3,0)))</f>
        <v>자연현상에 대해 관심이 많으며 스스로 문제를 해결하려는 끈기 있는 학습 태도가 좋음.  차분하고 따뜻한 미소와 말로 도움이 필요한 친구를 조용히 도와줌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그림을 구상해내는 아이디어가 좋으며 악기를 차분하게 잘 다루고 연주하고 체육활동에 최선을 다함.</v>
      </c>
    </row>
    <row r="10" spans="1:15" ht="87.75" customHeight="1" x14ac:dyDescent="0.3">
      <c r="A10" s="12">
        <v>6</v>
      </c>
      <c r="B10" s="13" t="str">
        <f>IF(개인별_종합의견!C10="","",개인별_종합의견!C10)</f>
        <v>학생06</v>
      </c>
      <c r="C10" s="13">
        <f>IF(개인별_종합의견!D10="","",개인별_종합의견!D10)</f>
        <v>101</v>
      </c>
      <c r="D10" s="13">
        <f>IF(개인별_종합의견!E10="","",개인별_종합의견!E10)</f>
        <v>101</v>
      </c>
      <c r="E10" s="13">
        <f>IF(개인별_종합의견!F10="","",개인별_종합의견!F10)</f>
        <v>101</v>
      </c>
      <c r="F10" s="13">
        <f>IF(개인별_종합의견!G10="","",개인별_종합의견!G10)</f>
        <v>101</v>
      </c>
      <c r="G10" s="13">
        <f>IF(개인별_종합의견!H10="","",개인별_종합의견!H10)</f>
        <v>101</v>
      </c>
      <c r="H10" s="25" t="str">
        <f>IF(C10="","",TRIM(VLOOKUP(C10,학습!$A$5:$C$850,3,0))&amp;"  ")&amp;IF(D10="","",TRIM(VLOOKUP(D10,특성1!$A$7:$C$935,3,0))&amp;"  ")&amp;IF(E10="","",TRIM(VLOOKUP(E10,특성2!$A$5:$C$934,3,0))&amp;"  ")&amp;IF(F10="","",TRIM(VLOOKUP(F10,특성3!$A$5:$C$933,3,0))&amp;"  ")&amp;IF(G10="","",TRIM(VLOOKUP(G10,예체능!$A$5:$C$825,3,0)))</f>
        <v>기본적인 학습 규칙을 잘 이행하고 자기의 목표가 뚜렷한 학교생활을 함.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즐겁게 노래부르기에 참여하며 체육에 소질이 있어 피구와 축구활동에 두각을 보임.</v>
      </c>
    </row>
    <row r="11" spans="1:15" ht="87.75" customHeight="1" x14ac:dyDescent="0.3">
      <c r="A11" s="12">
        <v>7</v>
      </c>
      <c r="B11" s="13" t="str">
        <f>IF(개인별_종합의견!C11="","",개인별_종합의견!C11)</f>
        <v>학생07</v>
      </c>
      <c r="C11" s="13">
        <f>IF(개인별_종합의견!D11="","",개인별_종합의견!D11)</f>
        <v>203</v>
      </c>
      <c r="D11" s="13">
        <f>IF(개인별_종합의견!E11="","",개인별_종합의견!E11)</f>
        <v>204</v>
      </c>
      <c r="E11" s="13" t="str">
        <f>IF(개인별_종합의견!F11="","",개인별_종합의견!F11)</f>
        <v/>
      </c>
      <c r="F11" s="13">
        <f>IF(개인별_종합의견!G11="","",개인별_종합의견!G11)</f>
        <v>101</v>
      </c>
      <c r="G11" s="13">
        <f>IF(개인별_종합의견!H11="","",개인별_종합의견!H11)</f>
        <v>127</v>
      </c>
      <c r="H11" s="25" t="str">
        <f>IF(C11="","",TRIM(VLOOKUP(C11,학습!$A$5:$C$850,3,0))&amp;"  ")&amp;IF(D11="","",TRIM(VLOOKUP(D11,특성1!$A$7:$C$935,3,0))&amp;"  ")&amp;IF(E11="","",TRIM(VLOOKUP(E11,특성2!$A$5:$C$934,3,0))&amp;"  ")&amp;IF(F11="","",TRIM(VLOOKUP(F11,특성3!$A$5:$C$933,3,0))&amp;"  ")&amp;IF(G11="","",TRIM(VLOOKUP(G11,예체능!$A$5:$C$825,3,0)))</f>
        <v>학교생활을 매우 즐겁게 하며 주어진 일을 끝까지 잘 해결하고, 스스로 맡은 일을 잘 처리하며, 무슨 일이든 열심히 하는 태도를 가졌으며 친구들과도 매우 잘 지냄.  친구들과 잘 어울리지 못하는 수줍음이 많은 성격이었으나 방과 후 동아리 활동 등 다양한 학교 활동에 참여하여 적극성을 보임.  평소 자신의 주장만 내세우고 학급의 어려운 친구들을 도와주기보다는 이기적인 행동으로 급우간의 관계가 좋지 않았고, 이를 해결하는 갈등관리 능력이 부족하여 학교생활에 어려움을 겪고 있었음. 이후 친구들과 협력학습 및 모둠활동 등을 준비하며 협력하는 방법을 배우게 되었음.  예체능 활동에 게을리 하지 않으며, 성실히 노력하고 참여하려는 의지가 돋보임.</v>
      </c>
    </row>
    <row r="12" spans="1:15" ht="87.75" customHeight="1" x14ac:dyDescent="0.3">
      <c r="A12" s="12">
        <v>8</v>
      </c>
      <c r="B12" s="13" t="str">
        <f>IF(개인별_종합의견!C12="","",개인별_종합의견!C12)</f>
        <v>학생08</v>
      </c>
      <c r="C12" s="13">
        <f>IF(개인별_종합의견!D12="","",개인별_종합의견!D12)</f>
        <v>200</v>
      </c>
      <c r="D12" s="13">
        <f>IF(개인별_종합의견!E12="","",개인별_종합의견!E12)</f>
        <v>200</v>
      </c>
      <c r="E12" s="13">
        <f>IF(개인별_종합의견!F12="","",개인별_종합의견!F12)</f>
        <v>200</v>
      </c>
      <c r="F12" s="13">
        <f>IF(개인별_종합의견!G12="","",개인별_종합의견!G12)</f>
        <v>200</v>
      </c>
      <c r="G12" s="13">
        <f>IF(개인별_종합의견!H12="","",개인별_종합의견!H12)</f>
        <v>104</v>
      </c>
      <c r="H12" s="25" t="str">
        <f>IF(C12="","",TRIM(VLOOKUP(C12,학습!$A$5:$C$850,3,0))&amp;"  ")&amp;IF(D12="","",TRIM(VLOOKUP(D12,특성1!$A$7:$C$935,3,0))&amp;"  ")&amp;IF(E12="","",TRIM(VLOOKUP(E12,특성2!$A$5:$C$934,3,0))&amp;"  ")&amp;IF(F12="","",TRIM(VLOOKUP(F12,특성3!$A$5:$C$933,3,0))&amp;"  ")&amp;IF(G12="","",TRIM(VLOOKUP(G12,예체능!$A$5:$C$825,3,0)))</f>
        <v>학습에 적극 참여하여 많이 향상되었고, 학급 미화 활동에 관심이 있으며 당번활동을 성실히 하고, 발표를 잘 하려고 노력하며 독서하는 습관이 바르게 형성되어 있음 .  마음이 순수하고 정이 많아 힘이 약한 친구나 소외된 사람들을 도우려는 마음이 큼.  마음이 순수하고 정이 많아 힘이 약한 친구나 소외된 사람들을 도우려는 마음이 큼.  마음이 순수하고 정이 많아 힘이 약한 친구나 소외된 사람들을 도우려는 마음이 큼.  축구에 관심과 소질이 있고 방과후 축구반에서 활동하여 협동심을 키우고 체력도 증진됨.</v>
      </c>
    </row>
    <row r="13" spans="1:15" ht="87.75" customHeight="1" x14ac:dyDescent="0.3">
      <c r="A13" s="12">
        <v>9</v>
      </c>
      <c r="B13" s="13" t="str">
        <f>IF(개인별_종합의견!C13="","",개인별_종합의견!C13)</f>
        <v>학생09</v>
      </c>
      <c r="C13" s="13">
        <f>IF(개인별_종합의견!D13="","",개인별_종합의견!D13)</f>
        <v>128</v>
      </c>
      <c r="D13" s="13">
        <f>IF(개인별_종합의견!E13="","",개인별_종합의견!E13)</f>
        <v>206</v>
      </c>
      <c r="E13" s="13" t="str">
        <f>IF(개인별_종합의견!F13="","",개인별_종합의견!F13)</f>
        <v/>
      </c>
      <c r="F13" s="13" t="str">
        <f>IF(개인별_종합의견!G13="","",개인별_종합의견!G13)</f>
        <v/>
      </c>
      <c r="G13" s="13">
        <f>IF(개인별_종합의견!H13="","",개인별_종합의견!H13)</f>
        <v>129</v>
      </c>
      <c r="H13" s="25" t="str">
        <f>IF(C13="","",TRIM(VLOOKUP(C13,학습!$A$5:$C$850,3,0))&amp;"  ")&amp;IF(D13="","",TRIM(VLOOKUP(D13,특성1!$A$7:$C$935,3,0))&amp;"  ")&amp;IF(E13="","",TRIM(VLOOKUP(E13,특성2!$A$5:$C$934,3,0))&amp;"  ")&amp;IF(F13="","",TRIM(VLOOKUP(F13,특성3!$A$5:$C$933,3,0))&amp;"  ")&amp;IF(G13="","",TRIM(VLOOKUP(G13,예체능!$A$5:$C$825,3,0)))</f>
        <v>생활 주변 현상에 대해 남다른 관심을 가졌으며 매사 진취적인 태도로 학습 활동에 참여함.  친구에게 양보할 줄 알고 약한 친구를 도와주고 어려움을 함께 나누려고 노력함.  티볼, 발야구 등 여러 가지 체육 활동에 적극적으로 참여하고 열심히 노력함.</v>
      </c>
    </row>
    <row r="14" spans="1:15" ht="87.75" customHeight="1" x14ac:dyDescent="0.3">
      <c r="A14" s="12">
        <v>10</v>
      </c>
      <c r="B14" s="13" t="str">
        <f>IF(개인별_종합의견!C14="","",개인별_종합의견!C14)</f>
        <v>학생10</v>
      </c>
      <c r="C14" s="13">
        <f>IF(개인별_종합의견!D14="","",개인별_종합의견!D14)</f>
        <v>212</v>
      </c>
      <c r="D14" s="13">
        <f>IF(개인별_종합의견!E14="","",개인별_종합의견!E14)</f>
        <v>213</v>
      </c>
      <c r="E14" s="13" t="str">
        <f>IF(개인별_종합의견!F14="","",개인별_종합의견!F14)</f>
        <v/>
      </c>
      <c r="F14" s="13" t="str">
        <f>IF(개인별_종합의견!G14="","",개인별_종합의견!G14)</f>
        <v/>
      </c>
      <c r="G14" s="13">
        <f>IF(개인별_종합의견!H14="","",개인별_종합의견!H14)</f>
        <v>130</v>
      </c>
      <c r="H14" s="25" t="str">
        <f>IF(C14="","",TRIM(VLOOKUP(C14,학습!$A$5:$C$850,3,0))&amp;"  ")&amp;IF(D14="","",TRIM(VLOOKUP(D14,특성1!$A$7:$C$935,3,0))&amp;"  ")&amp;IF(E14="","",TRIM(VLOOKUP(E14,특성2!$A$5:$C$934,3,0))&amp;"  ")&amp;IF(F14="","",TRIM(VLOOKUP(F14,특성3!$A$5:$C$933,3,0))&amp;"  ")&amp;IF(G14="","",TRIM(VLOOKUP(G14,예체능!$A$5:$C$825,3,0)))</f>
        <v>조사 토의학습에 관심이 깊으며 자신의 생각을 조리 있게 잘 나타내고, 학교생활을 매우 즐겁게 하며 주어진 일을 끝까지 잘 해결함.  웃어른을 존경할 줄 알며 인사성이 바르고 성품이 너그러워 친구의 잘못이나 아픔을 따뜻하게 이해해 주는 진지하고 따뜻한 품성을 지닌 학생임.  체육 활동에 적극적으로 참여하며 도전 활동과 다양한 체육 활동을 잘함.</v>
      </c>
    </row>
    <row r="15" spans="1:15" ht="87.75" customHeight="1" x14ac:dyDescent="0.3">
      <c r="A15" s="12">
        <v>11</v>
      </c>
      <c r="B15" s="13" t="str">
        <f>IF(개인별_종합의견!C15="","",개인별_종합의견!C15)</f>
        <v>학생11</v>
      </c>
      <c r="C15" s="13">
        <f>IF(개인별_종합의견!D15="","",개인별_종합의견!D15)</f>
        <v>130</v>
      </c>
      <c r="D15" s="13">
        <f>IF(개인별_종합의견!E15="","",개인별_종합의견!E15)</f>
        <v>213</v>
      </c>
      <c r="E15" s="13" t="str">
        <f>IF(개인별_종합의견!F15="","",개인별_종합의견!F15)</f>
        <v/>
      </c>
      <c r="F15" s="13" t="str">
        <f>IF(개인별_종합의견!G15="","",개인별_종합의견!G15)</f>
        <v/>
      </c>
      <c r="G15" s="13">
        <f>IF(개인별_종합의견!H15="","",개인별_종합의견!H15)</f>
        <v>140</v>
      </c>
      <c r="H15" s="25" t="str">
        <f>IF(C15="","",TRIM(VLOOKUP(C15,학습!$A$5:$C$850,3,0))&amp;"  ")&amp;IF(D15="","",TRIM(VLOOKUP(D15,특성1!$A$7:$C$935,3,0))&amp;"  ")&amp;IF(E15="","",TRIM(VLOOKUP(E15,특성2!$A$5:$C$934,3,0))&amp;"  ")&amp;IF(F15="","",TRIM(VLOOKUP(F15,특성3!$A$5:$C$933,3,0))&amp;"  ")&amp;IF(G15="","",TRIM(VLOOKUP(G15,예체능!$A$5:$C$825,3,0)))</f>
        <v>자기의 주장을 논리적으로 잘 나타내며 글 짓는 능력이 뛰어남.  웃어른을 존경할 줄 알며 인사성이 바르고 성품이 너그러워 친구의 잘못이나 아픔을 따뜻하게 이해해 주는 진지하고 따뜻한 품성을 지닌 학생임.  창의성이 돋보이고 회화, 조형능력이 뛰어나 미술 과목에서 월등한 실력을 보임. 체욱 활동, 음악 활동에도 적극적으로 참여하여 좋은 결과를 얻음.</v>
      </c>
    </row>
    <row r="16" spans="1:15" ht="87.75" customHeight="1" x14ac:dyDescent="0.3">
      <c r="A16" s="12">
        <v>12</v>
      </c>
      <c r="B16" s="13" t="str">
        <f>IF(개인별_종합의견!C16="","",개인별_종합의견!C16)</f>
        <v>학생12</v>
      </c>
      <c r="C16" s="13">
        <f>IF(개인별_종합의견!D16="","",개인별_종합의견!D16)</f>
        <v>212</v>
      </c>
      <c r="D16" s="13">
        <f>IF(개인별_종합의견!E16="","",개인별_종합의견!E16)</f>
        <v>209</v>
      </c>
      <c r="E16" s="13" t="str">
        <f>IF(개인별_종합의견!F16="","",개인별_종합의견!F16)</f>
        <v/>
      </c>
      <c r="F16" s="13" t="str">
        <f>IF(개인별_종합의견!G16="","",개인별_종합의견!G16)</f>
        <v/>
      </c>
      <c r="G16" s="13">
        <f>IF(개인별_종합의견!H16="","",개인별_종합의견!H16)</f>
        <v>140</v>
      </c>
      <c r="H16" s="25" t="str">
        <f>IF(C16="","",TRIM(VLOOKUP(C16,학습!$A$5:$C$850,3,0))&amp;"  ")&amp;IF(D16="","",TRIM(VLOOKUP(D16,특성1!$A$7:$C$935,3,0))&amp;"  ")&amp;IF(E16="","",TRIM(VLOOKUP(E16,특성2!$A$5:$C$934,3,0))&amp;"  ")&amp;IF(F16="","",TRIM(VLOOKUP(F16,특성3!$A$5:$C$933,3,0))&amp;"  ")&amp;IF(G16="","",TRIM(VLOOKUP(G16,예체능!$A$5:$C$825,3,0)))</f>
        <v>조사 토의학습에 관심이 깊으며 자신의 생각을 조리 있게 잘 나타내고, 학교생활을 매우 즐겁게 하며 주어진 일을 끝까지 잘 해결함.  해맑게 웃는 얼굴이 순수한 학생으로 반 친구들에게 친절하고 상냥하며 도와주기를 좋아하고 자신의 환경을 긍정적으로 이겨냄.  창의성이 돋보이고 회화, 조형능력이 뛰어나 미술 과목에서 월등한 실력을 보임. 체욱 활동, 음악 활동에도 적극적으로 참여하여 좋은 결과를 얻음.</v>
      </c>
    </row>
    <row r="17" spans="1:8" ht="87.75" customHeight="1" x14ac:dyDescent="0.3">
      <c r="A17" s="12">
        <v>13</v>
      </c>
      <c r="B17" s="13" t="str">
        <f>IF(개인별_종합의견!C17="","",개인별_종합의견!C17)</f>
        <v>학생13</v>
      </c>
      <c r="C17" s="13">
        <f>IF(개인별_종합의견!D17="","",개인별_종합의견!D17)</f>
        <v>132</v>
      </c>
      <c r="D17" s="13">
        <f>IF(개인별_종합의견!E17="","",개인별_종합의견!E17)</f>
        <v>210</v>
      </c>
      <c r="E17" s="13" t="str">
        <f>IF(개인별_종합의견!F17="","",개인별_종합의견!F17)</f>
        <v/>
      </c>
      <c r="F17" s="13" t="str">
        <f>IF(개인별_종합의견!G17="","",개인별_종합의견!G17)</f>
        <v/>
      </c>
      <c r="G17" s="13">
        <f>IF(개인별_종합의견!H17="","",개인별_종합의견!H17)</f>
        <v>133</v>
      </c>
      <c r="H17" s="25" t="str">
        <f>IF(C17="","",TRIM(VLOOKUP(C17,학습!$A$5:$C$850,3,0))&amp;"  ")&amp;IF(D17="","",TRIM(VLOOKUP(D17,특성1!$A$7:$C$935,3,0))&amp;"  ")&amp;IF(E17="","",TRIM(VLOOKUP(E17,특성2!$A$5:$C$934,3,0))&amp;"  ")&amp;IF(F17="","",TRIM(VLOOKUP(F17,특성3!$A$5:$C$933,3,0))&amp;"  ")&amp;IF(G17="","",TRIM(VLOOKUP(G17,예체능!$A$5:$C$825,3,0)))</f>
        <v>학습 내용에 대한 이해력이 높고 책을 즐겨 읽음.  궂은 일이어도 남보다 앞장서기를 좋아하고 친구들과 사이좋게 지내며 친구를 도울 줄 아는 착한 학생임.  힘이 좋아 더 꾸준히 운동한다면 훌륭한 체력과 운동능력을 갖출 것임.</v>
      </c>
    </row>
    <row r="18" spans="1:8" ht="87.75" customHeight="1" x14ac:dyDescent="0.3">
      <c r="A18" s="12">
        <v>14</v>
      </c>
      <c r="B18" s="13" t="str">
        <f>IF(개인별_종합의견!C18="","",개인별_종합의견!C18)</f>
        <v>학생14</v>
      </c>
      <c r="C18" s="13">
        <f>IF(개인별_종합의견!D18="","",개인별_종합의견!D18)</f>
        <v>133</v>
      </c>
      <c r="D18" s="13">
        <f>IF(개인별_종합의견!E18="","",개인별_종합의견!E18)</f>
        <v>211</v>
      </c>
      <c r="E18" s="13" t="str">
        <f>IF(개인별_종합의견!F18="","",개인별_종합의견!F18)</f>
        <v/>
      </c>
      <c r="F18" s="13" t="str">
        <f>IF(개인별_종합의견!G18="","",개인별_종합의견!G18)</f>
        <v/>
      </c>
      <c r="G18" s="13">
        <f>IF(개인별_종합의견!H18="","",개인별_종합의견!H18)</f>
        <v>134</v>
      </c>
      <c r="H18" s="25" t="str">
        <f>IF(C18="","",TRIM(VLOOKUP(C18,학습!$A$5:$C$850,3,0))&amp;"  ")&amp;IF(D18="","",TRIM(VLOOKUP(D18,특성1!$A$7:$C$935,3,0))&amp;"  ")&amp;IF(E18="","",TRIM(VLOOKUP(E18,특성2!$A$5:$C$934,3,0))&amp;"  ")&amp;IF(F18="","",TRIM(VLOOKUP(F18,특성3!$A$5:$C$933,3,0))&amp;"  ")&amp;IF(G18="","",TRIM(VLOOKUP(G18,예체능!$A$5:$C$825,3,0)))</f>
        <v>학습 의욕이 왕성하고 자료를 학습에 잘 이용함.  말과 행동이 차분하며 교실에서 생활하는 모습이 사려 깊고 이해심이 많아 친구들에게 인기가 좋음.  기본 체력과 힘이 좋아 다양한 체육 활동에 능함.</v>
      </c>
    </row>
    <row r="19" spans="1:8" ht="87.75" customHeight="1" x14ac:dyDescent="0.3">
      <c r="A19" s="12">
        <v>15</v>
      </c>
      <c r="B19" s="13" t="str">
        <f>IF(개인별_종합의견!C19="","",개인별_종합의견!C19)</f>
        <v>학생15</v>
      </c>
      <c r="C19" s="13">
        <f>IF(개인별_종합의견!D19="","",개인별_종합의견!D19)</f>
        <v>134</v>
      </c>
      <c r="D19" s="13">
        <f>IF(개인별_종합의견!E19="","",개인별_종합의견!E19)</f>
        <v>212</v>
      </c>
      <c r="E19" s="13" t="str">
        <f>IF(개인별_종합의견!F19="","",개인별_종합의견!F19)</f>
        <v/>
      </c>
      <c r="F19" s="13" t="str">
        <f>IF(개인별_종합의견!G19="","",개인별_종합의견!G19)</f>
        <v/>
      </c>
      <c r="G19" s="13">
        <f>IF(개인별_종합의견!H19="","",개인별_종합의견!H19)</f>
        <v>135</v>
      </c>
      <c r="H19" s="25" t="str">
        <f>IF(C19="","",TRIM(VLOOKUP(C19,학습!$A$5:$C$850,3,0))&amp;"  ")&amp;IF(D19="","",TRIM(VLOOKUP(D19,특성1!$A$7:$C$935,3,0))&amp;"  ")&amp;IF(E19="","",TRIM(VLOOKUP(E19,특성2!$A$5:$C$934,3,0))&amp;"  ")&amp;IF(F19="","",TRIM(VLOOKUP(F19,특성3!$A$5:$C$933,3,0))&amp;"  ")&amp;IF(G19="","",TRIM(VLOOKUP(G19,예체능!$A$5:$C$825,3,0)))</f>
        <v>독서하는 습관이 바르게 형성되어 있으며 글쓰기를 즐겨함.  밝은 성격으로 친구를 배려하고 급우들과 사이좋게 지내며 즐겁게 학교생활을 하고 자신이 잘못한 일에 대한 인정이 빠르고 바꾸려고 노력하는 모습을 보임.  순발력이 좋고 민첩성이 높아 체육 활동에 적극적으로 참여하며 스포츠 예절을 잘 지킴.</v>
      </c>
    </row>
    <row r="20" spans="1:8" ht="87.75" customHeight="1" x14ac:dyDescent="0.3">
      <c r="A20" s="12">
        <v>16</v>
      </c>
      <c r="B20" s="13" t="str">
        <f>IF(개인별_종합의견!C20="","",개인별_종합의견!C20)</f>
        <v>학생16</v>
      </c>
      <c r="C20" s="13">
        <f>IF(개인별_종합의견!D20="","",개인별_종합의견!D20)</f>
        <v>135</v>
      </c>
      <c r="D20" s="13">
        <f>IF(개인별_종합의견!E20="","",개인별_종합의견!E20)</f>
        <v>213</v>
      </c>
      <c r="E20" s="13" t="str">
        <f>IF(개인별_종합의견!F20="","",개인별_종합의견!F20)</f>
        <v/>
      </c>
      <c r="F20" s="13" t="str">
        <f>IF(개인별_종합의견!G20="","",개인별_종합의견!G20)</f>
        <v/>
      </c>
      <c r="G20" s="13">
        <f>IF(개인별_종합의견!H20="","",개인별_종합의견!H20)</f>
        <v>140</v>
      </c>
      <c r="H20" s="25" t="str">
        <f>IF(C20="","",TRIM(VLOOKUP(C20,학습!$A$5:$C$850,3,0))&amp;"  ")&amp;IF(D20="","",TRIM(VLOOKUP(D20,특성1!$A$7:$C$935,3,0))&amp;"  ")&amp;IF(E20="","",TRIM(VLOOKUP(E20,특성2!$A$5:$C$934,3,0))&amp;"  ")&amp;IF(F20="","",TRIM(VLOOKUP(F20,특성3!$A$5:$C$933,3,0))&amp;"  ")&amp;IF(G20="","",TRIM(VLOOKUP(G20,예체능!$A$5:$C$825,3,0)))</f>
        <v>학습내용에 대한 이해가 빨라서 전 교과 성적이 우수함.  웃어른을 존경할 줄 알며 인사성이 바르고 성품이 너그러워 친구의 잘못이나 아픔을 따뜻하게 이해해 주는 진지하고 따뜻한 품성을 지닌 학생임.  창의성이 돋보이고 회화, 조형능력이 뛰어나 미술 과목에서 월등한 실력을 보임. 체욱 활동, 음악 활동에도 적극적으로 참여하여 좋은 결과를 얻음.</v>
      </c>
    </row>
    <row r="21" spans="1:8" ht="87.75" customHeight="1" x14ac:dyDescent="0.3">
      <c r="A21" s="12">
        <v>17</v>
      </c>
      <c r="B21" s="13" t="str">
        <f>IF(개인별_종합의견!C21="","",개인별_종합의견!C21)</f>
        <v>학생17</v>
      </c>
      <c r="C21" s="13">
        <f>IF(개인별_종합의견!D21="","",개인별_종합의견!D21)</f>
        <v>136</v>
      </c>
      <c r="D21" s="13">
        <f>IF(개인별_종합의견!E21="","",개인별_종합의견!E21)</f>
        <v>204</v>
      </c>
      <c r="E21" s="13">
        <f>IF(개인별_종합의견!F21="","",개인별_종합의견!F21)</f>
        <v>203</v>
      </c>
      <c r="F21" s="13">
        <f>IF(개인별_종합의견!G21="","",개인별_종합의견!G21)</f>
        <v>107</v>
      </c>
      <c r="G21" s="13">
        <f>IF(개인별_종합의견!H21="","",개인별_종합의견!H21)</f>
        <v>137</v>
      </c>
      <c r="H21" s="25" t="str">
        <f>IF(C21="","",TRIM(VLOOKUP(C21,학습!$A$5:$C$850,3,0))&amp;"  ")&amp;IF(D21="","",TRIM(VLOOKUP(D21,특성1!$A$7:$C$935,3,0))&amp;"  ")&amp;IF(E21="","",TRIM(VLOOKUP(E21,특성2!$A$5:$C$934,3,0))&amp;"  ")&amp;IF(F21="","",TRIM(VLOOKUP(F21,특성3!$A$5:$C$933,3,0))&amp;"  ")&amp;IF(G21="","",TRIM(VLOOKUP(G21,예체능!$A$5:$C$825,3,0)))</f>
        <v>탐구능력이 뛰어나고 합리적인 생활 태도를 가졌음.  친구들과 잘 어울리지 못하는 수줍음이 많은 성격이었으나 방과 후 동아리 활동 등 다양한 학교 활동에 참여하여 적극성을 보임.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뛰어난 회화 실력과 꾸준한 노력으로 미술에서 다양하고 훌륭한 작품을 만들어 냄.</v>
      </c>
    </row>
    <row r="22" spans="1:8" ht="87.75" customHeight="1" x14ac:dyDescent="0.3">
      <c r="A22" s="12">
        <v>18</v>
      </c>
      <c r="B22" s="13" t="str">
        <f>IF(개인별_종합의견!C22="","",개인별_종합의견!C22)</f>
        <v>학생18</v>
      </c>
      <c r="C22" s="13">
        <f>IF(개인별_종합의견!D22="","",개인별_종합의견!D22)</f>
        <v>203</v>
      </c>
      <c r="D22" s="13">
        <f>IF(개인별_종합의견!E22="","",개인별_종합의견!E22)</f>
        <v>215</v>
      </c>
      <c r="E22" s="13">
        <f>IF(개인별_종합의견!F22="","",개인별_종합의견!F22)</f>
        <v>203</v>
      </c>
      <c r="F22" s="13">
        <f>IF(개인별_종합의견!G22="","",개인별_종합의견!G22)</f>
        <v>107</v>
      </c>
      <c r="G22" s="13">
        <f>IF(개인별_종합의견!H22="","",개인별_종합의견!H22)</f>
        <v>120</v>
      </c>
      <c r="H22" s="25" t="str">
        <f>IF(C22="","",TRIM(VLOOKUP(C22,학습!$A$5:$C$850,3,0))&amp;"  ")&amp;IF(D22="","",TRIM(VLOOKUP(D22,특성1!$A$7:$C$935,3,0))&amp;"  ")&amp;IF(E22="","",TRIM(VLOOKUP(E22,특성2!$A$5:$C$934,3,0))&amp;"  ")&amp;IF(F22="","",TRIM(VLOOKUP(F22,특성3!$A$5:$C$933,3,0))&amp;"  ")&amp;IF(G22="","",TRIM(VLOOKUP(G22,예체능!$A$5:$C$825,3,0)))</f>
        <v>학교생활을 매우 즐겁게 하며 주어진 일을 끝까지 잘 해결하고, 스스로 맡은 일을 잘 처리하며, 무슨 일이든 열심히 하는 태도를 가졌으며 친구들과도 매우 잘 지냄.  다른 사람의 감정과 상황에 대해 신중히 생각하고 주의를 기울임.  친구들과 잘 어울리지 못하는 수줍음 많은 성격이었으나 방과 후 기타 동아리활동에 참여함으로써 적극성을 띄게 되었음. 이후 동아리 담당 지도교사와 학생들이 함께 소외된 이웃을 위한 사제동행 봉사활동에 참여하는 등 다양한 봉사활동을 통해 나눔의 소중한 가치를 깨닫고 적극적으로 나눔을 실천함  자신이 화가 나고 짜증낼 때 친구와 슬기롭게 대화하는 방법을 연습하고 있음.  그리기, 꾸미기 등 미술 활동에 소질이 많고 시각적, 공간적 표현을 잘 함</v>
      </c>
    </row>
    <row r="23" spans="1:8" ht="87.75" customHeight="1" x14ac:dyDescent="0.3">
      <c r="A23" s="12">
        <v>19</v>
      </c>
      <c r="B23" s="13" t="str">
        <f>IF(개인별_종합의견!C23="","",개인별_종합의견!C23)</f>
        <v>학생19</v>
      </c>
      <c r="C23" s="13">
        <f>IF(개인별_종합의견!D23="","",개인별_종합의견!D23)</f>
        <v>138</v>
      </c>
      <c r="D23" s="13">
        <f>IF(개인별_종합의견!E23="","",개인별_종합의견!E23)</f>
        <v>216</v>
      </c>
      <c r="E23" s="13" t="str">
        <f>IF(개인별_종합의견!F23="","",개인별_종합의견!F23)</f>
        <v/>
      </c>
      <c r="F23" s="13" t="str">
        <f>IF(개인별_종합의견!G23="","",개인별_종합의견!G23)</f>
        <v/>
      </c>
      <c r="G23" s="13">
        <f>IF(개인별_종합의견!H23="","",개인별_종합의견!H23)</f>
        <v>139</v>
      </c>
      <c r="H23" s="25" t="str">
        <f>IF(C23="","",TRIM(VLOOKUP(C23,학습!$A$5:$C$850,3,0))&amp;"  ")&amp;IF(D23="","",TRIM(VLOOKUP(D23,특성1!$A$7:$C$935,3,0))&amp;"  ")&amp;IF(E23="","",TRIM(VLOOKUP(E23,특성2!$A$5:$C$934,3,0))&amp;"  ")&amp;IF(F23="","",TRIM(VLOOKUP(F23,특성3!$A$5:$C$933,3,0))&amp;"  ")&amp;IF(G23="","",TRIM(VLOOKUP(G23,예체능!$A$5:$C$825,3,0)))</f>
        <v>자연현상에 대해 관심이 많으며 학습에 필요한 자료를 잘 수집하여 활용함.  다른 사람의 입장에 공감하고 따뜻한 마음을 품어 타인을 배려하는 마음이 있음.  사물에 대한 깊은 관찰과 생각을 바탕으로 창의성 있게 새로운 작품을 만들고 그리는데 능함.</v>
      </c>
    </row>
    <row r="24" spans="1:8" ht="87.75" customHeight="1" x14ac:dyDescent="0.3">
      <c r="A24" s="12">
        <v>20</v>
      </c>
      <c r="B24" s="13" t="str">
        <f>IF(개인별_종합의견!C24="","",개인별_종합의견!C24)</f>
        <v>학생20</v>
      </c>
      <c r="C24" s="13">
        <f>IF(개인별_종합의견!D24="","",개인별_종합의견!D24)</f>
        <v>203</v>
      </c>
      <c r="D24" s="13">
        <f>IF(개인별_종합의견!E24="","",개인별_종합의견!E24)</f>
        <v>217</v>
      </c>
      <c r="E24" s="13" t="str">
        <f>IF(개인별_종합의견!F24="","",개인별_종합의견!F24)</f>
        <v/>
      </c>
      <c r="F24" s="13" t="str">
        <f>IF(개인별_종합의견!G24="","",개인별_종합의견!G24)</f>
        <v/>
      </c>
      <c r="G24" s="13">
        <f>IF(개인별_종합의견!H24="","",개인별_종합의견!H24)</f>
        <v>140</v>
      </c>
      <c r="H24" s="25" t="str">
        <f>IF(C24="","",TRIM(VLOOKUP(C24,학습!$A$5:$C$850,3,0))&amp;"  ")&amp;IF(D24="","",TRIM(VLOOKUP(D24,특성1!$A$7:$C$935,3,0))&amp;"  ")&amp;IF(E24="","",TRIM(VLOOKUP(E24,특성2!$A$5:$C$934,3,0))&amp;"  ")&amp;IF(F24="","",TRIM(VLOOKUP(F24,특성3!$A$5:$C$933,3,0))&amp;"  ")&amp;IF(G24="","",TRIM(VLOOKUP(G24,예체능!$A$5:$C$825,3,0)))</f>
        <v>학교생활을 매우 즐겁게 하며 주어진 일을 끝까지 잘 해결하고, 스스로 맡은 일을 잘 처리하며, 무슨 일이든 열심히 하는 태도를 가졌으며 친구들과도 매우 잘 지냄.  다른 사람의 입장을 생각할 줄 아는 고운 성품을 지녔고 목표의식을 바탕으로 진지한 모습으로 노력함.  창의성이 돋보이고 회화, 조형능력이 뛰어나 미술 과목에서 월등한 실력을 보임. 체욱 활동, 음악 활동에도 적극적으로 참여하여 좋은 결과를 얻음.</v>
      </c>
    </row>
    <row r="25" spans="1:8" ht="87.75" customHeight="1" x14ac:dyDescent="0.3">
      <c r="A25" s="12">
        <v>21</v>
      </c>
      <c r="B25" s="13" t="str">
        <f>IF(개인별_종합의견!C25="","",개인별_종합의견!C25)</f>
        <v>학생21</v>
      </c>
      <c r="C25" s="13">
        <f>IF(개인별_종합의견!D25="","",개인별_종합의견!D25)</f>
        <v>140</v>
      </c>
      <c r="D25" s="13">
        <f>IF(개인별_종합의견!E25="","",개인별_종합의견!E25)</f>
        <v>218</v>
      </c>
      <c r="E25" s="13" t="str">
        <f>IF(개인별_종합의견!F25="","",개인별_종합의견!F25)</f>
        <v/>
      </c>
      <c r="F25" s="13" t="str">
        <f>IF(개인별_종합의견!G25="","",개인별_종합의견!G25)</f>
        <v/>
      </c>
      <c r="G25" s="13">
        <f>IF(개인별_종합의견!H25="","",개인별_종합의견!H25)</f>
        <v>101</v>
      </c>
      <c r="H25" s="25" t="str">
        <f>IF(C25="","",TRIM(VLOOKUP(C25,학습!$A$5:$C$850,3,0))&amp;"  ")&amp;IF(D25="","",TRIM(VLOOKUP(D25,특성1!$A$7:$C$935,3,0))&amp;"  ")&amp;IF(E25="","",TRIM(VLOOKUP(E25,특성2!$A$5:$C$934,3,0))&amp;"  ")&amp;IF(F25="","",TRIM(VLOOKUP(F25,특성3!$A$5:$C$933,3,0))&amp;"  ")&amp;IF(G25="","",TRIM(VLOOKUP(G25,예체능!$A$5:$C$825,3,0)))</f>
        <v>발표를 논리적으로 잘하며 독서하는 습관이 잘 형성되어 있음.  다른 사람의 입장을 생각할 줄 아는 고운 성품을 지님.  즐겁게 노래부르기에 참여하며 체육에 소질이 있어 피구와 축구활동에 두각을 보임.</v>
      </c>
    </row>
    <row r="26" spans="1:8" ht="87.75" customHeight="1" x14ac:dyDescent="0.3">
      <c r="A26" s="12">
        <v>22</v>
      </c>
      <c r="B26" s="13" t="str">
        <f>IF(개인별_종합의견!C26="","",개인별_종합의견!C26)</f>
        <v>학생22</v>
      </c>
      <c r="C26" s="13">
        <f>IF(개인별_종합의견!D26="","",개인별_종합의견!D26)</f>
        <v>141</v>
      </c>
      <c r="D26" s="13">
        <f>IF(개인별_종합의견!E26="","",개인별_종합의견!E26)</f>
        <v>219</v>
      </c>
      <c r="E26" s="13" t="str">
        <f>IF(개인별_종합의견!F26="","",개인별_종합의견!F26)</f>
        <v/>
      </c>
      <c r="F26" s="13" t="str">
        <f>IF(개인별_종합의견!G26="","",개인별_종합의견!G26)</f>
        <v/>
      </c>
      <c r="G26" s="13">
        <f>IF(개인별_종합의견!H26="","",개인별_종합의견!H26)</f>
        <v>106</v>
      </c>
      <c r="H26" s="25" t="str">
        <f>IF(C26="","",TRIM(VLOOKUP(C26,학습!$A$5:$C$850,3,0))&amp;"  ")&amp;IF(D26="","",TRIM(VLOOKUP(D26,특성1!$A$7:$C$935,3,0))&amp;"  ")&amp;IF(E26="","",TRIM(VLOOKUP(E26,특성2!$A$5:$C$934,3,0))&amp;"  ")&amp;IF(F26="","",TRIM(VLOOKUP(F26,특성3!$A$5:$C$933,3,0))&amp;"  ")&amp;IF(G26="","",TRIM(VLOOKUP(G26,예체능!$A$5:$C$825,3,0)))</f>
        <v>자신의 목표를 세우고 시간을 유익하게 잘 활용함.  다른 친구들을 배려하고 생각해주는 따뜻한 마음을 가진다면 더 큰 사람이 될 수 있는 가능성을 지니고 있음.  노래를 음정에 맞게 잘 부르고 달리기를 잘 하며 다양한 체육활동에 흥미를 가지고 적극적으로 참여함.</v>
      </c>
    </row>
    <row r="27" spans="1:8" ht="87.75" customHeight="1" x14ac:dyDescent="0.3">
      <c r="A27" s="12">
        <v>23</v>
      </c>
      <c r="B27" s="13" t="str">
        <f>IF(개인별_종합의견!C27="","",개인별_종합의견!C27)</f>
        <v>학생23</v>
      </c>
      <c r="C27" s="13">
        <f>IF(개인별_종합의견!D27="","",개인별_종합의견!D27)</f>
        <v>142</v>
      </c>
      <c r="D27" s="13">
        <f>IF(개인별_종합의견!E27="","",개인별_종합의견!E27)</f>
        <v>220</v>
      </c>
      <c r="E27" s="13" t="str">
        <f>IF(개인별_종합의견!F27="","",개인별_종합의견!F27)</f>
        <v/>
      </c>
      <c r="F27" s="13" t="str">
        <f>IF(개인별_종합의견!G27="","",개인별_종합의견!G27)</f>
        <v/>
      </c>
      <c r="G27" s="13">
        <f>IF(개인별_종합의견!H27="","",개인별_종합의견!H27)</f>
        <v>103</v>
      </c>
      <c r="H27" s="25" t="str">
        <f>IF(C27="","",TRIM(VLOOKUP(C27,학습!$A$5:$C$850,3,0))&amp;"  ")&amp;IF(D27="","",TRIM(VLOOKUP(D27,특성1!$A$7:$C$935,3,0))&amp;"  ")&amp;IF(E27="","",TRIM(VLOOKUP(E27,특성2!$A$5:$C$934,3,0))&amp;"  ")&amp;IF(F27="","",TRIM(VLOOKUP(F27,특성3!$A$5:$C$933,3,0))&amp;"  ")&amp;IF(G27="","",TRIM(VLOOKUP(G27,예체능!$A$5:$C$825,3,0)))</f>
        <v>진취적인 학습 태도를 가져서 전 교과 성적이 우수함.  또래 친구들보다 성장한 겉모습에 비해 학생 다운 순진함과 상처에 약한 마음씨를 가진 순수한 학생임.  드리블을 잘 하고 피아노 치기에 소질이 있으며 친구들을 위해 반주를 연습해 오기도 함.</v>
      </c>
    </row>
    <row r="28" spans="1:8" ht="87.75" customHeight="1" x14ac:dyDescent="0.3">
      <c r="A28" s="12">
        <v>24</v>
      </c>
      <c r="B28" s="13" t="str">
        <f>IF(개인별_종합의견!C28="","",개인별_종합의견!C28)</f>
        <v>학생24</v>
      </c>
      <c r="C28" s="13">
        <f>IF(개인별_종합의견!D28="","",개인별_종합의견!D28)</f>
        <v>143</v>
      </c>
      <c r="D28" s="13">
        <f>IF(개인별_종합의견!E28="","",개인별_종합의견!E28)</f>
        <v>221</v>
      </c>
      <c r="E28" s="13" t="str">
        <f>IF(개인별_종합의견!F28="","",개인별_종합의견!F28)</f>
        <v/>
      </c>
      <c r="F28" s="13" t="str">
        <f>IF(개인별_종합의견!G28="","",개인별_종합의견!G28)</f>
        <v/>
      </c>
      <c r="G28" s="13">
        <f>IF(개인별_종합의견!H28="","",개인별_종합의견!H28)</f>
        <v>104</v>
      </c>
      <c r="H28" s="25" t="str">
        <f>IF(C28="","",TRIM(VLOOKUP(C28,학습!$A$5:$C$850,3,0))&amp;"  ")&amp;IF(D28="","",TRIM(VLOOKUP(D28,특성1!$A$7:$C$935,3,0))&amp;"  ")&amp;IF(E28="","",TRIM(VLOOKUP(E28,특성2!$A$5:$C$934,3,0))&amp;"  ")&amp;IF(F28="","",TRIM(VLOOKUP(F28,특성3!$A$5:$C$933,3,0))&amp;"  ")&amp;IF(G28="","",TRIM(VLOOKUP(G28,예체능!$A$5:$C$825,3,0)))</f>
        <v>스스로 문제를 해결하려는 자세를 가졌으며 학습 활동이 양호함.  말과 행동이 사려가 깊어 친구와 사이좋게 지내고 다른 친구를 위해 솔선수범하는 학생임.  축구에 관심과 소질이 있고 방과후 축구반에서 활동하여 협동심을 키우고 체력도 증진됨.</v>
      </c>
    </row>
    <row r="29" spans="1:8" ht="87.75" customHeight="1" x14ac:dyDescent="0.3">
      <c r="A29" s="12">
        <v>25</v>
      </c>
      <c r="B29" s="13" t="str">
        <f>IF(개인별_종합의견!C29="","",개인별_종합의견!C29)</f>
        <v>학생25</v>
      </c>
      <c r="C29" s="13">
        <f>IF(개인별_종합의견!D29="","",개인별_종합의견!D29)</f>
        <v>144</v>
      </c>
      <c r="D29" s="13">
        <f>IF(개인별_종합의견!E29="","",개인별_종합의견!E29)</f>
        <v>222</v>
      </c>
      <c r="E29" s="13" t="str">
        <f>IF(개인별_종합의견!F29="","",개인별_종합의견!F29)</f>
        <v/>
      </c>
      <c r="F29" s="13" t="str">
        <f>IF(개인별_종합의견!G29="","",개인별_종합의견!G29)</f>
        <v/>
      </c>
      <c r="G29" s="13">
        <f>IF(개인별_종합의견!H29="","",개인별_종합의견!H29)</f>
        <v>105</v>
      </c>
      <c r="H29" s="25" t="str">
        <f>IF(C29="","",TRIM(VLOOKUP(C29,학습!$A$5:$C$850,3,0))&amp;"  ")&amp;IF(D29="","",TRIM(VLOOKUP(D29,특성1!$A$7:$C$935,3,0))&amp;"  ")&amp;IF(E29="","",TRIM(VLOOKUP(E29,특성2!$A$5:$C$934,3,0))&amp;"  ")&amp;IF(F29="","",TRIM(VLOOKUP(F29,특성3!$A$5:$C$933,3,0))&amp;"  ")&amp;IF(G29="","",TRIM(VLOOKUP(G29,예체능!$A$5:$C$825,3,0)))</f>
        <v>자기의 주장을 잘 내세우며 책 읽기 및 글짓기에 관심이 있음.  말과 행동이 차분하며 교실에서 생활하는 모습이 사려 깊고 이해심이 많으며 친구들에게 인기가 좋음.  그림을 구상해내는 아이디어가 좋으며 악기를 차분하게 잘 다루고 연주하고 체육활동에 최선을 다함.</v>
      </c>
    </row>
    <row r="30" spans="1:8" ht="87.75" customHeight="1" x14ac:dyDescent="0.3">
      <c r="A30" s="12">
        <v>26</v>
      </c>
      <c r="B30" s="13" t="str">
        <f>IF(개인별_종합의견!C30="","",개인별_종합의견!C30)</f>
        <v>학생26</v>
      </c>
      <c r="C30" s="13">
        <f>IF(개인별_종합의견!D30="","",개인별_종합의견!D30)</f>
        <v>145</v>
      </c>
      <c r="D30" s="13">
        <f>IF(개인별_종합의견!E30="","",개인별_종합의견!E30)</f>
        <v>223</v>
      </c>
      <c r="E30" s="13" t="str">
        <f>IF(개인별_종합의견!F30="","",개인별_종합의견!F30)</f>
        <v/>
      </c>
      <c r="F30" s="13" t="str">
        <f>IF(개인별_종합의견!G30="","",개인별_종합의견!G30)</f>
        <v/>
      </c>
      <c r="G30" s="13">
        <f>IF(개인별_종합의견!H30="","",개인별_종합의견!H30)</f>
        <v>106</v>
      </c>
      <c r="H30" s="25" t="str">
        <f>IF(C30="","",TRIM(VLOOKUP(C30,학습!$A$5:$C$850,3,0))&amp;"  ")&amp;IF(D30="","",TRIM(VLOOKUP(D30,특성1!$A$7:$C$935,3,0))&amp;"  ")&amp;IF(E30="","",TRIM(VLOOKUP(E30,특성2!$A$5:$C$934,3,0))&amp;"  ")&amp;IF(F30="","",TRIM(VLOOKUP(F30,특성3!$A$5:$C$933,3,0))&amp;"  ")&amp;IF(G30="","",TRIM(VLOOKUP(G30,예체능!$A$5:$C$825,3,0)))</f>
        <v>기본적인 학습 규칙을 잘 이행하며 자기의 목표 달성을 위해 성실히 노력함.  말과 행동이 침착하고 사려가 깊으며 교실 및 학교 주변 청결에 솔선수범하여 타의 모범이 되는 학생임.  노래를 음정에 맞게 잘 부르고 달리기를 잘 하며 다양한 체육활동에 흥미를 가지고 적극적으로 참여함.</v>
      </c>
    </row>
    <row r="31" spans="1:8" ht="87.75" customHeight="1" x14ac:dyDescent="0.3">
      <c r="A31" s="12">
        <v>27</v>
      </c>
      <c r="B31" s="13" t="str">
        <f>IF(개인별_종합의견!C31="","",개인별_종합의견!C31)</f>
        <v>학생27</v>
      </c>
      <c r="C31" s="13">
        <f>IF(개인별_종합의견!D31="","",개인별_종합의견!D31)</f>
        <v>146</v>
      </c>
      <c r="D31" s="13">
        <f>IF(개인별_종합의견!E31="","",개인별_종합의견!E31)</f>
        <v>224</v>
      </c>
      <c r="E31" s="13" t="str">
        <f>IF(개인별_종합의견!F31="","",개인별_종합의견!F31)</f>
        <v/>
      </c>
      <c r="F31" s="13" t="str">
        <f>IF(개인별_종합의견!G31="","",개인별_종합의견!G31)</f>
        <v/>
      </c>
      <c r="G31" s="13">
        <f>IF(개인별_종합의견!H31="","",개인별_종합의견!H31)</f>
        <v>107</v>
      </c>
      <c r="H31" s="25" t="str">
        <f>IF(C31="","",TRIM(VLOOKUP(C31,학습!$A$5:$C$850,3,0))&amp;"  ")&amp;IF(D31="","",TRIM(VLOOKUP(D31,특성1!$A$7:$C$935,3,0))&amp;"  ")&amp;IF(E31="","",TRIM(VLOOKUP(E31,특성2!$A$5:$C$934,3,0))&amp;"  ")&amp;IF(F31="","",TRIM(VLOOKUP(F31,특성3!$A$5:$C$933,3,0))&amp;"  ")&amp;IF(G31="","",TRIM(VLOOKUP(G31,예체능!$A$5:$C$825,3,0)))</f>
        <v>사물에 대한 관찰력과 탐구력이 있으며 여러 방면에 노력을 기울임.  말과 행동이 침착하고 사려가 깊으며 학급 부회장으로 남들이 싫어하는 학급 쓰레기 분리수거를 나서서 하는 친구를 배려할 줄 아는 학생임.  드럼에 흥미를 가지고 연주하며 체육 활동에 관심이 많고 활동적으로 참여함.</v>
      </c>
    </row>
    <row r="32" spans="1:8" ht="87.75" customHeight="1" x14ac:dyDescent="0.3">
      <c r="A32" s="12">
        <v>28</v>
      </c>
      <c r="B32" s="13" t="str">
        <f>IF(개인별_종합의견!C32="","",개인별_종합의견!C32)</f>
        <v>학생28</v>
      </c>
      <c r="C32" s="13">
        <f>IF(개인별_종합의견!D32="","",개인별_종합의견!D32)</f>
        <v>147</v>
      </c>
      <c r="D32" s="13">
        <f>IF(개인별_종합의견!E32="","",개인별_종합의견!E32)</f>
        <v>225</v>
      </c>
      <c r="E32" s="13" t="str">
        <f>IF(개인별_종합의견!F32="","",개인별_종합의견!F32)</f>
        <v/>
      </c>
      <c r="F32" s="13" t="str">
        <f>IF(개인별_종합의견!G32="","",개인별_종합의견!G32)</f>
        <v/>
      </c>
      <c r="G32" s="13">
        <f>IF(개인별_종합의견!H32="","",개인별_종합의견!H32)</f>
        <v>108</v>
      </c>
      <c r="H32" s="25" t="str">
        <f>IF(C32="","",TRIM(VLOOKUP(C32,학습!$A$5:$C$850,3,0))&amp;"  ")&amp;IF(D32="","",TRIM(VLOOKUP(D32,특성1!$A$7:$C$935,3,0))&amp;"  ")&amp;IF(E32="","",TRIM(VLOOKUP(E32,특성2!$A$5:$C$934,3,0))&amp;"  ")&amp;IF(F32="","",TRIM(VLOOKUP(F32,특성3!$A$5:$C$933,3,0))&amp;"  ")&amp;IF(G32="","",TRIM(VLOOKUP(G32,예체능!$A$5:$C$825,3,0)))</f>
        <v>기본적인 학습 규칙을 잘 지키며 모든 일에 성실함.  말과 행동이 침착하고 사려가 깊으며 학급 청소 활동시 자신의 역할을 다하고 다른 친구의 역할을 도와주는 따뜻한 성품을 지님.  음악적 감각이 있으며 리코더 연주를 박자와 음정에 맞게 잘 하고 축구 드리블에 흥미와 소질이 있음.</v>
      </c>
    </row>
    <row r="33" spans="1:8" ht="87.75" customHeight="1" x14ac:dyDescent="0.3">
      <c r="A33" s="12">
        <v>29</v>
      </c>
      <c r="B33" s="13" t="str">
        <f>IF(개인별_종합의견!C33="","",개인별_종합의견!C33)</f>
        <v>학생29</v>
      </c>
      <c r="C33" s="13" t="str">
        <f>IF(개인별_종합의견!D33="","",개인별_종합의견!D33)</f>
        <v/>
      </c>
      <c r="D33" s="13" t="str">
        <f>IF(개인별_종합의견!E33="","",개인별_종합의견!E33)</f>
        <v/>
      </c>
      <c r="E33" s="13" t="str">
        <f>IF(개인별_종합의견!F33="","",개인별_종합의견!F33)</f>
        <v/>
      </c>
      <c r="F33" s="13" t="str">
        <f>IF(개인별_종합의견!G33="","",개인별_종합의견!G33)</f>
        <v/>
      </c>
      <c r="G33" s="13">
        <f>IF(개인별_종합의견!H33="","",개인별_종합의견!H33)</f>
        <v>109</v>
      </c>
      <c r="H33" s="25" t="str">
        <f>IF(C33="","",TRIM(VLOOKUP(C33,학습!$A$5:$C$850,3,0))&amp;"  ")&amp;IF(D33="","",TRIM(VLOOKUP(D33,특성1!$A$7:$C$935,3,0))&amp;"  ")&amp;IF(E33="","",TRIM(VLOOKUP(E33,특성2!$A$5:$C$934,3,0))&amp;"  ")&amp;IF(F33="","",TRIM(VLOOKUP(F33,특성3!$A$5:$C$933,3,0))&amp;"  ")&amp;IF(G33="","",TRIM(VLOOKUP(G33,예체능!$A$5:$C$825,3,0)))</f>
        <v>미술에 소질이 있으며 색감과 작품 구상 능력이 뛰어나고 표현력이 돋보임.</v>
      </c>
    </row>
    <row r="34" spans="1:8" ht="87.75" customHeight="1" x14ac:dyDescent="0.3">
      <c r="A34" s="12">
        <v>30</v>
      </c>
      <c r="B34" s="13" t="str">
        <f>IF(개인별_종합의견!C34="","",개인별_종합의견!C34)</f>
        <v>학생30</v>
      </c>
      <c r="C34" s="13">
        <f>IF(개인별_종합의견!D34="","",개인별_종합의견!D34)</f>
        <v>123</v>
      </c>
      <c r="D34" s="13">
        <f>IF(개인별_종합의견!E34="","",개인별_종합의견!E34)</f>
        <v>123</v>
      </c>
      <c r="E34" s="13">
        <f>IF(개인별_종합의견!F34="","",개인별_종합의견!F34)</f>
        <v>123</v>
      </c>
      <c r="F34" s="13">
        <f>IF(개인별_종합의견!G34="","",개인별_종합의견!G34)</f>
        <v>123</v>
      </c>
      <c r="G34" s="13" t="str">
        <f>IF(개인별_종합의견!H34="","",개인별_종합의견!H34)</f>
        <v/>
      </c>
      <c r="H34" s="25" t="str">
        <f>IF(C34="","",TRIM(VLOOKUP(C34,학습!$A$5:$C$850,3,0))&amp;"  ")&amp;IF(D34="","",TRIM(VLOOKUP(D34,특성1!$A$7:$C$935,3,0))&amp;"  ")&amp;IF(E34="","",TRIM(VLOOKUP(E34,특성2!$A$5:$C$934,3,0))&amp;"  ")&amp;IF(F34="","",TRIM(VLOOKUP(F34,특성3!$A$5:$C$933,3,0))&amp;"  ")&amp;IF(G34="","",TRIM(VLOOKUP(G34,예체능!$A$5:$C$825,3,0)))</f>
        <v xml:space="preserve">꾸준히 노력하는 학습 태도를 가져 모든 교과 성적이 우수함.  자신을 되돌아보고 욕심이 없이 내면의 여유를 가지고 있으며 사사로운 정에 얽매여 판단을 흐리지 않음.  자신을 되돌아보고 욕심이 없이 내면의 여유를 가지고 있으며 사사로운 정에 얽매여 판단을 흐리지 않음.  자신을 되돌아보고 욕심이 없이 내면의 여유를 가지고 있으며 사사로운 정에 얽매여 판단을 흐리지 않음.  </v>
      </c>
    </row>
    <row r="35" spans="1:8" ht="87.75" customHeight="1" x14ac:dyDescent="0.3">
      <c r="A35" s="12">
        <v>31</v>
      </c>
      <c r="B35" s="13" t="str">
        <f>IF(개인별_종합의견!C35="","",개인별_종합의견!C35)</f>
        <v>학생31</v>
      </c>
      <c r="C35" s="13" t="str">
        <f>IF(개인별_종합의견!D35="","",개인별_종합의견!D35)</f>
        <v/>
      </c>
      <c r="D35" s="13" t="str">
        <f>IF(개인별_종합의견!E35="","",개인별_종합의견!E35)</f>
        <v/>
      </c>
      <c r="E35" s="13" t="str">
        <f>IF(개인별_종합의견!F35="","",개인별_종합의견!F35)</f>
        <v/>
      </c>
      <c r="F35" s="13" t="str">
        <f>IF(개인별_종합의견!G35="","",개인별_종합의견!G35)</f>
        <v/>
      </c>
      <c r="G35" s="13" t="str">
        <f>IF(개인별_종합의견!H35="","",개인별_종합의견!H35)</f>
        <v/>
      </c>
      <c r="H35" s="25" t="str">
        <f>IF(C35="","",TRIM(VLOOKUP(C35,학습!$A$5:$C$850,3,0))&amp;"  ")&amp;IF(D35="","",TRIM(VLOOKUP(D35,특성1!$A$7:$C$935,3,0))&amp;"  ")&amp;IF(E35="","",TRIM(VLOOKUP(E35,특성2!$A$5:$C$934,3,0))&amp;"  ")&amp;IF(F35="","",TRIM(VLOOKUP(F35,특성3!$A$5:$C$933,3,0))&amp;"  ")&amp;IF(G35="","",TRIM(VLOOKUP(G35,예체능!$A$5:$C$825,3,0)))</f>
        <v/>
      </c>
    </row>
    <row r="36" spans="1:8" ht="87.75" customHeight="1" x14ac:dyDescent="0.3">
      <c r="A36" s="12">
        <v>32</v>
      </c>
      <c r="B36" s="13" t="str">
        <f>IF(개인별_종합의견!C36="","",개인별_종합의견!C36)</f>
        <v>학생32</v>
      </c>
      <c r="C36" s="13" t="str">
        <f>IF(개인별_종합의견!D36="","",개인별_종합의견!D36)</f>
        <v/>
      </c>
      <c r="D36" s="13" t="str">
        <f>IF(개인별_종합의견!E36="","",개인별_종합의견!E36)</f>
        <v/>
      </c>
      <c r="E36" s="13" t="str">
        <f>IF(개인별_종합의견!F36="","",개인별_종합의견!F36)</f>
        <v/>
      </c>
      <c r="F36" s="13" t="str">
        <f>IF(개인별_종합의견!G36="","",개인별_종합의견!G36)</f>
        <v/>
      </c>
      <c r="G36" s="13" t="str">
        <f>IF(개인별_종합의견!H36="","",개인별_종합의견!H36)</f>
        <v/>
      </c>
      <c r="H36" s="25" t="str">
        <f>IF(C36="","",TRIM(VLOOKUP(C36,학습!$A$5:$C$850,3,0))&amp;"  ")&amp;IF(D36="","",TRIM(VLOOKUP(D36,특성1!$A$7:$C$935,3,0))&amp;"  ")&amp;IF(E36="","",TRIM(VLOOKUP(E36,특성2!$A$5:$C$934,3,0))&amp;"  ")&amp;IF(F36="","",TRIM(VLOOKUP(F36,특성3!$A$5:$C$933,3,0))&amp;"  ")&amp;IF(G36="","",TRIM(VLOOKUP(G36,예체능!$A$5:$C$825,3,0)))</f>
        <v/>
      </c>
    </row>
    <row r="37" spans="1:8" ht="87.75" customHeight="1" x14ac:dyDescent="0.3">
      <c r="A37" s="12">
        <v>33</v>
      </c>
      <c r="B37" s="13" t="str">
        <f>IF(개인별_종합의견!C37="","",개인별_종합의견!C37)</f>
        <v>학생33</v>
      </c>
      <c r="C37" s="13" t="str">
        <f>IF(개인별_종합의견!D37="","",개인별_종합의견!D37)</f>
        <v/>
      </c>
      <c r="D37" s="13" t="str">
        <f>IF(개인별_종합의견!E37="","",개인별_종합의견!E37)</f>
        <v/>
      </c>
      <c r="E37" s="13" t="str">
        <f>IF(개인별_종합의견!F37="","",개인별_종합의견!F37)</f>
        <v/>
      </c>
      <c r="F37" s="13" t="str">
        <f>IF(개인별_종합의견!G37="","",개인별_종합의견!G37)</f>
        <v/>
      </c>
      <c r="G37" s="13" t="str">
        <f>IF(개인별_종합의견!H37="","",개인별_종합의견!H37)</f>
        <v/>
      </c>
      <c r="H37" s="25" t="str">
        <f>IF(C37="","",TRIM(VLOOKUP(C37,학습!$A$5:$C$850,3,0))&amp;"  ")&amp;IF(D37="","",TRIM(VLOOKUP(D37,특성1!$A$7:$C$935,3,0))&amp;"  ")&amp;IF(E37="","",TRIM(VLOOKUP(E37,특성2!$A$5:$C$934,3,0))&amp;"  ")&amp;IF(F37="","",TRIM(VLOOKUP(F37,특성3!$A$5:$C$933,3,0))&amp;"  ")&amp;IF(G37="","",TRIM(VLOOKUP(G37,예체능!$A$5:$C$825,3,0)))</f>
        <v/>
      </c>
    </row>
    <row r="38" spans="1:8" ht="87.75" customHeight="1" x14ac:dyDescent="0.3">
      <c r="A38" s="12">
        <v>34</v>
      </c>
      <c r="B38" s="13" t="str">
        <f>IF(개인별_종합의견!C38="","",개인별_종합의견!C38)</f>
        <v>학생34</v>
      </c>
      <c r="C38" s="13" t="str">
        <f>IF(개인별_종합의견!D38="","",개인별_종합의견!D38)</f>
        <v/>
      </c>
      <c r="D38" s="13" t="str">
        <f>IF(개인별_종합의견!E38="","",개인별_종합의견!E38)</f>
        <v/>
      </c>
      <c r="E38" s="13" t="str">
        <f>IF(개인별_종합의견!F38="","",개인별_종합의견!F38)</f>
        <v/>
      </c>
      <c r="F38" s="13" t="str">
        <f>IF(개인별_종합의견!G38="","",개인별_종합의견!G38)</f>
        <v/>
      </c>
      <c r="G38" s="13" t="str">
        <f>IF(개인별_종합의견!H38="","",개인별_종합의견!H38)</f>
        <v/>
      </c>
      <c r="H38" s="25" t="str">
        <f>IF(C38="","",TRIM(VLOOKUP(C38,학습!$A$5:$C$850,3,0))&amp;"  ")&amp;IF(D38="","",TRIM(VLOOKUP(D38,특성1!$A$7:$C$935,3,0))&amp;"  ")&amp;IF(E38="","",TRIM(VLOOKUP(E38,특성2!$A$5:$C$934,3,0))&amp;"  ")&amp;IF(F38="","",TRIM(VLOOKUP(F38,특성3!$A$5:$C$933,3,0))&amp;"  ")&amp;IF(G38="","",TRIM(VLOOKUP(G38,예체능!$A$5:$C$825,3,0)))</f>
        <v/>
      </c>
    </row>
    <row r="39" spans="1:8" ht="87.75" customHeight="1" x14ac:dyDescent="0.3">
      <c r="A39" s="12">
        <v>35</v>
      </c>
      <c r="B39" s="13" t="str">
        <f>IF(개인별_종합의견!C39="","",개인별_종합의견!C39)</f>
        <v>학생35</v>
      </c>
      <c r="C39" s="13" t="str">
        <f>IF(개인별_종합의견!D39="","",개인별_종합의견!D39)</f>
        <v/>
      </c>
      <c r="D39" s="13" t="str">
        <f>IF(개인별_종합의견!E39="","",개인별_종합의견!E39)</f>
        <v/>
      </c>
      <c r="E39" s="13" t="str">
        <f>IF(개인별_종합의견!F39="","",개인별_종합의견!F39)</f>
        <v/>
      </c>
      <c r="F39" s="13" t="str">
        <f>IF(개인별_종합의견!G39="","",개인별_종합의견!G39)</f>
        <v/>
      </c>
      <c r="G39" s="13" t="str">
        <f>IF(개인별_종합의견!H39="","",개인별_종합의견!H39)</f>
        <v/>
      </c>
      <c r="H39" s="25" t="str">
        <f>IF(C39="","",TRIM(VLOOKUP(C39,학습!$A$5:$C$850,3,0))&amp;"  ")&amp;IF(D39="","",TRIM(VLOOKUP(D39,특성1!$A$7:$C$935,3,0))&amp;"  ")&amp;IF(E39="","",TRIM(VLOOKUP(E39,특성2!$A$5:$C$934,3,0))&amp;"  ")&amp;IF(F39="","",TRIM(VLOOKUP(F39,특성3!$A$5:$C$933,3,0))&amp;"  ")&amp;IF(G39="","",TRIM(VLOOKUP(G39,예체능!$A$5:$C$825,3,0)))</f>
        <v/>
      </c>
    </row>
    <row r="40" spans="1:8" ht="87.75" customHeight="1" x14ac:dyDescent="0.3">
      <c r="A40" s="12">
        <v>36</v>
      </c>
      <c r="B40" s="13" t="str">
        <f>IF(개인별_종합의견!C40="","",개인별_종합의견!C40)</f>
        <v>학생36</v>
      </c>
      <c r="C40" s="13" t="str">
        <f>IF(개인별_종합의견!D40="","",개인별_종합의견!D40)</f>
        <v/>
      </c>
      <c r="D40" s="13" t="str">
        <f>IF(개인별_종합의견!E40="","",개인별_종합의견!E40)</f>
        <v/>
      </c>
      <c r="E40" s="13" t="str">
        <f>IF(개인별_종합의견!F40="","",개인별_종합의견!F40)</f>
        <v/>
      </c>
      <c r="F40" s="13" t="str">
        <f>IF(개인별_종합의견!G40="","",개인별_종합의견!G40)</f>
        <v/>
      </c>
      <c r="G40" s="13" t="str">
        <f>IF(개인별_종합의견!H40="","",개인별_종합의견!H40)</f>
        <v/>
      </c>
      <c r="H40" s="25" t="str">
        <f>IF(C40="","",TRIM(VLOOKUP(C40,학습!$A$5:$C$850,3,0))&amp;"  ")&amp;IF(D40="","",TRIM(VLOOKUP(D40,특성1!$A$7:$C$935,3,0))&amp;"  ")&amp;IF(E40="","",TRIM(VLOOKUP(E40,특성2!$A$5:$C$934,3,0))&amp;"  ")&amp;IF(F40="","",TRIM(VLOOKUP(F40,특성3!$A$5:$C$933,3,0))&amp;"  ")&amp;IF(G40="","",TRIM(VLOOKUP(G40,예체능!$A$5:$C$825,3,0)))</f>
        <v/>
      </c>
    </row>
    <row r="41" spans="1:8" ht="87.75" customHeight="1" x14ac:dyDescent="0.3">
      <c r="A41" s="12">
        <v>37</v>
      </c>
      <c r="B41" s="13" t="str">
        <f>IF(개인별_종합의견!C41="","",개인별_종합의견!C41)</f>
        <v>학생37</v>
      </c>
      <c r="C41" s="13" t="str">
        <f>IF(개인별_종합의견!D41="","",개인별_종합의견!D41)</f>
        <v/>
      </c>
      <c r="D41" s="13" t="str">
        <f>IF(개인별_종합의견!E41="","",개인별_종합의견!E41)</f>
        <v/>
      </c>
      <c r="E41" s="13" t="str">
        <f>IF(개인별_종합의견!F41="","",개인별_종합의견!F41)</f>
        <v/>
      </c>
      <c r="F41" s="13" t="str">
        <f>IF(개인별_종합의견!G41="","",개인별_종합의견!G41)</f>
        <v/>
      </c>
      <c r="G41" s="13" t="str">
        <f>IF(개인별_종합의견!H41="","",개인별_종합의견!H41)</f>
        <v/>
      </c>
      <c r="H41" s="25" t="str">
        <f>IF(C41="","",TRIM(VLOOKUP(C41,학습!$A$5:$C$850,3,0))&amp;"  ")&amp;IF(D41="","",TRIM(VLOOKUP(D41,특성1!$A$7:$C$935,3,0))&amp;"  ")&amp;IF(E41="","",TRIM(VLOOKUP(E41,특성2!$A$5:$C$934,3,0))&amp;"  ")&amp;IF(F41="","",TRIM(VLOOKUP(F41,특성3!$A$5:$C$933,3,0))&amp;"  ")&amp;IF(G41="","",TRIM(VLOOKUP(G41,예체능!$A$5:$C$825,3,0)))</f>
        <v/>
      </c>
    </row>
    <row r="42" spans="1:8" ht="87.75" customHeight="1" x14ac:dyDescent="0.3">
      <c r="A42" s="12">
        <v>38</v>
      </c>
      <c r="B42" s="13" t="str">
        <f>IF(개인별_종합의견!C42="","",개인별_종합의견!C42)</f>
        <v>학생38</v>
      </c>
      <c r="C42" s="13" t="str">
        <f>IF(개인별_종합의견!D42="","",개인별_종합의견!D42)</f>
        <v/>
      </c>
      <c r="D42" s="13" t="str">
        <f>IF(개인별_종합의견!E42="","",개인별_종합의견!E42)</f>
        <v/>
      </c>
      <c r="E42" s="13" t="str">
        <f>IF(개인별_종합의견!F42="","",개인별_종합의견!F42)</f>
        <v/>
      </c>
      <c r="F42" s="13" t="str">
        <f>IF(개인별_종합의견!G42="","",개인별_종합의견!G42)</f>
        <v/>
      </c>
      <c r="G42" s="13" t="str">
        <f>IF(개인별_종합의견!H42="","",개인별_종합의견!H42)</f>
        <v/>
      </c>
      <c r="H42" s="25" t="str">
        <f>IF(C42="","",TRIM(VLOOKUP(C42,학습!$A$5:$C$850,3,0))&amp;"  ")&amp;IF(D42="","",TRIM(VLOOKUP(D42,특성1!$A$7:$C$935,3,0))&amp;"  ")&amp;IF(E42="","",TRIM(VLOOKUP(E42,특성2!$A$5:$C$934,3,0))&amp;"  ")&amp;IF(F42="","",TRIM(VLOOKUP(F42,특성3!$A$5:$C$933,3,0))&amp;"  ")&amp;IF(G42="","",TRIM(VLOOKUP(G42,예체능!$A$5:$C$825,3,0)))</f>
        <v/>
      </c>
    </row>
    <row r="43" spans="1:8" ht="87.75" customHeight="1" x14ac:dyDescent="0.3">
      <c r="A43" s="12">
        <v>39</v>
      </c>
      <c r="B43" s="13" t="str">
        <f>IF(개인별_종합의견!C43="","",개인별_종합의견!C43)</f>
        <v>학생39</v>
      </c>
      <c r="C43" s="13" t="str">
        <f>IF(개인별_종합의견!D43="","",개인별_종합의견!D43)</f>
        <v/>
      </c>
      <c r="D43" s="13" t="str">
        <f>IF(개인별_종합의견!E43="","",개인별_종합의견!E43)</f>
        <v/>
      </c>
      <c r="E43" s="13" t="str">
        <f>IF(개인별_종합의견!F43="","",개인별_종합의견!F43)</f>
        <v/>
      </c>
      <c r="F43" s="13" t="str">
        <f>IF(개인별_종합의견!G43="","",개인별_종합의견!G43)</f>
        <v/>
      </c>
      <c r="G43" s="13" t="str">
        <f>IF(개인별_종합의견!H43="","",개인별_종합의견!H43)</f>
        <v/>
      </c>
      <c r="H43" s="25" t="str">
        <f>IF(C43="","",TRIM(VLOOKUP(C43,학습!$A$5:$C$850,3,0))&amp;"  ")&amp;IF(D43="","",TRIM(VLOOKUP(D43,특성1!$A$7:$C$935,3,0))&amp;"  ")&amp;IF(E43="","",TRIM(VLOOKUP(E43,특성2!$A$5:$C$934,3,0))&amp;"  ")&amp;IF(F43="","",TRIM(VLOOKUP(F43,특성3!$A$5:$C$933,3,0))&amp;"  ")&amp;IF(G43="","",TRIM(VLOOKUP(G43,예체능!$A$5:$C$825,3,0)))</f>
        <v/>
      </c>
    </row>
    <row r="44" spans="1:8" ht="87.75" customHeight="1" x14ac:dyDescent="0.3">
      <c r="A44" s="12">
        <v>40</v>
      </c>
      <c r="B44" s="13" t="str">
        <f>IF(개인별_종합의견!C44="","",개인별_종합의견!C44)</f>
        <v>학생40</v>
      </c>
      <c r="C44" s="13" t="str">
        <f>IF(개인별_종합의견!D44="","",개인별_종합의견!D44)</f>
        <v/>
      </c>
      <c r="D44" s="13" t="str">
        <f>IF(개인별_종합의견!E44="","",개인별_종합의견!E44)</f>
        <v/>
      </c>
      <c r="E44" s="13" t="str">
        <f>IF(개인별_종합의견!F44="","",개인별_종합의견!F44)</f>
        <v/>
      </c>
      <c r="F44" s="13" t="str">
        <f>IF(개인별_종합의견!G44="","",개인별_종합의견!G44)</f>
        <v/>
      </c>
      <c r="G44" s="13" t="str">
        <f>IF(개인별_종합의견!H44="","",개인별_종합의견!H44)</f>
        <v/>
      </c>
      <c r="H44" s="25" t="str">
        <f>IF(C44="","",TRIM(VLOOKUP(C44,학습!$A$5:$C$850,3,0))&amp;"  ")&amp;IF(D44="","",TRIM(VLOOKUP(D44,특성1!$A$7:$C$935,3,0))&amp;"  ")&amp;IF(E44="","",TRIM(VLOOKUP(E44,특성2!$A$5:$C$934,3,0))&amp;"  ")&amp;IF(F44="","",TRIM(VLOOKUP(F44,특성3!$A$5:$C$933,3,0))&amp;"  ")&amp;IF(G44="","",TRIM(VLOOKUP(G44,예체능!$A$5:$C$825,3,0)))</f>
        <v/>
      </c>
    </row>
    <row r="45" spans="1:8" ht="24.75" customHeight="1" x14ac:dyDescent="0.3">
      <c r="A45" s="88" t="s">
        <v>426</v>
      </c>
      <c r="B45" s="89"/>
      <c r="C45" s="3">
        <f>COUNT(C5:C44)</f>
        <v>29</v>
      </c>
      <c r="D45" s="3">
        <f>COUNT(D5:D44)</f>
        <v>29</v>
      </c>
      <c r="E45" s="3"/>
      <c r="F45" s="3"/>
      <c r="G45" s="3">
        <f>COUNT(G5:G44)</f>
        <v>28</v>
      </c>
      <c r="H45" s="11"/>
    </row>
  </sheetData>
  <mergeCells count="3">
    <mergeCell ref="A1:H1"/>
    <mergeCell ref="A45:B45"/>
    <mergeCell ref="J1:K1"/>
  </mergeCells>
  <phoneticPr fontId="18" type="noConversion"/>
  <pageMargins left="0.69972223043441772" right="0.69972223043441772" top="0.75" bottom="0.75" header="0.30000001192092896" footer="0.30000001192092896"/>
  <pageSetup paperSize="9" fitToWidth="0" fitToHeight="0" orientation="portrait" r:id="rId1"/>
</worksheet>
</file>

<file path=docProps/app.xml><?xml version="1.0" encoding="utf-8"?>
<Properties xmlns="http://schemas.openxmlformats.org/officeDocument/2006/extended-properties" xmlns:vt="http://schemas.openxmlformats.org/officeDocument/2006/docPropsVTypes">
  <TotalTime>20</TotalTime>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8</vt:i4>
      </vt:variant>
    </vt:vector>
  </HeadingPairs>
  <TitlesOfParts>
    <vt:vector size="15" baseType="lpstr">
      <vt:lpstr>개인별_종합의견</vt:lpstr>
      <vt:lpstr>학습</vt:lpstr>
      <vt:lpstr>특성1</vt:lpstr>
      <vt:lpstr>특성2</vt:lpstr>
      <vt:lpstr>특성3</vt:lpstr>
      <vt:lpstr>예체능</vt:lpstr>
      <vt:lpstr>Temp</vt:lpstr>
      <vt:lpstr>개인별_종합의견!Print_Area</vt:lpstr>
      <vt:lpstr>이름</vt:lpstr>
      <vt:lpstr>인성A코드</vt:lpstr>
      <vt:lpstr>특성2!인성B코드</vt:lpstr>
      <vt:lpstr>특성3!인성C코드</vt:lpstr>
      <vt:lpstr>코드테이블</vt:lpstr>
      <vt:lpstr>예체능!학습코드</vt:lpstr>
      <vt:lpstr>학습!학습코드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기본값</dc:creator>
  <cp:lastModifiedBy>dongyoun lee</cp:lastModifiedBy>
  <cp:revision>17</cp:revision>
  <cp:lastPrinted>2018-06-28T00:40:51Z</cp:lastPrinted>
  <dcterms:created xsi:type="dcterms:W3CDTF">2015-12-28T23:55:51Z</dcterms:created>
  <dcterms:modified xsi:type="dcterms:W3CDTF">2019-12-23T06:07:46Z</dcterms:modified>
  <cp:version>0906.0100.01</cp:version>
</cp:coreProperties>
</file>