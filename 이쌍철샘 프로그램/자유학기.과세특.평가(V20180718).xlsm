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현재_통합_문서1"/>
  <mc:AlternateContent xmlns:mc="http://schemas.openxmlformats.org/markup-compatibility/2006">
    <mc:Choice Requires="x15">
      <x15ac:absPath xmlns:x15ac="http://schemas.microsoft.com/office/spreadsheetml/2010/11/ac" url="C:\Users\goodl\Downloads\"/>
    </mc:Choice>
  </mc:AlternateContent>
  <xr:revisionPtr revIDLastSave="0" documentId="13_ncr:1_{56573359-663F-418A-B44A-778A21E4C949}" xr6:coauthVersionLast="40" xr6:coauthVersionMax="40" xr10:uidLastSave="{00000000-0000-0000-0000-000000000000}"/>
  <bookViews>
    <workbookView xWindow="0" yWindow="0" windowWidth="23040" windowHeight="10332" tabRatio="633" activeTab="1" xr2:uid="{00000000-000D-0000-FFFF-FFFF00000000}"/>
  </bookViews>
  <sheets>
    <sheet name="기본설정" sheetId="1" r:id="rId1"/>
    <sheet name="명렬표" sheetId="2" r:id="rId2"/>
    <sheet name="성취기준" sheetId="3" r:id="rId3"/>
    <sheet name="예시문" sheetId="4" state="hidden" r:id="rId4"/>
    <sheet name="반" sheetId="5" state="hidden" r:id="rId5"/>
    <sheet name="5반" sheetId="6" r:id="rId6"/>
    <sheet name="6반" sheetId="7" r:id="rId7"/>
    <sheet name="7반" sheetId="8" r:id="rId8"/>
  </sheets>
  <functionGroups builtInGroupCount="19"/>
  <definedNames>
    <definedName name="_xlnm.Print_Area" localSheetId="1">명렬표!$A$1:$P$46</definedName>
    <definedName name="영역1">성취기준!$C$4:$D$8</definedName>
    <definedName name="영역10">성취기준!$C$49:$D$53</definedName>
    <definedName name="영역11">성취기준!$C$54:$D$58</definedName>
    <definedName name="영역12">성취기준!$C$59:$D$63</definedName>
    <definedName name="영역13">성취기준!$C$64:$D$68</definedName>
    <definedName name="영역14">성취기준!$C$69:$D$73</definedName>
    <definedName name="영역15">성취기준!$C$74:$D$78</definedName>
    <definedName name="영역16">성취기준!$C$79:$D$83</definedName>
    <definedName name="영역17">성취기준!$C$84:$D$88</definedName>
    <definedName name="영역18">성취기준!$C$89:$D$93</definedName>
    <definedName name="영역19">성취기준!$C$94:$D$98</definedName>
    <definedName name="영역2">성취기준!$C$9:$D$13</definedName>
    <definedName name="영역20">성취기준!$C$99:$D$103</definedName>
    <definedName name="영역3">성취기준!$C$14:$D$18</definedName>
    <definedName name="영역4">성취기준!$C$19:$D$23</definedName>
    <definedName name="영역5">성취기준!$C$24:$D$28</definedName>
    <definedName name="영역6">성취기준!$C$29:$D$33</definedName>
    <definedName name="영역7">성취기준!$C$34:$D$38</definedName>
    <definedName name="영역8">성취기준!$C$39:$D$43</definedName>
    <definedName name="영역9">성취기준!$C$44:$D$48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45" i="8" l="1"/>
  <c r="U45" i="8"/>
  <c r="T45" i="8"/>
  <c r="S45" i="8"/>
  <c r="R45" i="8"/>
  <c r="Q45" i="8"/>
  <c r="P45" i="8"/>
  <c r="O45" i="8"/>
  <c r="N45" i="8"/>
  <c r="M45" i="8"/>
  <c r="L45" i="8"/>
  <c r="K45" i="8"/>
  <c r="J45" i="8"/>
  <c r="I45" i="8"/>
  <c r="H45" i="8"/>
  <c r="G45" i="8"/>
  <c r="F45" i="8"/>
  <c r="E45" i="8"/>
  <c r="D45" i="8"/>
  <c r="C45" i="8"/>
  <c r="W44" i="8"/>
  <c r="W43" i="8"/>
  <c r="W42" i="8"/>
  <c r="W41" i="8"/>
  <c r="W40" i="8"/>
  <c r="W39" i="8"/>
  <c r="W38" i="8"/>
  <c r="W37" i="8"/>
  <c r="W36" i="8"/>
  <c r="W35" i="8"/>
  <c r="W34" i="8"/>
  <c r="W33" i="8"/>
  <c r="W32" i="8"/>
  <c r="W31" i="8"/>
  <c r="W30" i="8"/>
  <c r="W29" i="8"/>
  <c r="W28" i="8"/>
  <c r="W27" i="8"/>
  <c r="W26" i="8"/>
  <c r="W25" i="8"/>
  <c r="W24" i="8"/>
  <c r="W23" i="8"/>
  <c r="W22" i="8"/>
  <c r="W21" i="8"/>
  <c r="W20" i="8"/>
  <c r="W19" i="8"/>
  <c r="W18" i="8"/>
  <c r="W17" i="8"/>
  <c r="W16" i="8"/>
  <c r="W15" i="8"/>
  <c r="W14" i="8"/>
  <c r="W13" i="8"/>
  <c r="W12" i="8"/>
  <c r="W11" i="8"/>
  <c r="W10" i="8"/>
  <c r="W9" i="8"/>
  <c r="W8" i="8"/>
  <c r="W7" i="8"/>
  <c r="W6" i="8"/>
  <c r="W5" i="8"/>
  <c r="W2" i="8"/>
  <c r="F2" i="8"/>
  <c r="E2" i="8"/>
  <c r="C2" i="8"/>
  <c r="A2" i="8"/>
  <c r="A1" i="8"/>
  <c r="V45" i="7"/>
  <c r="U45" i="7"/>
  <c r="T45" i="7"/>
  <c r="S45" i="7"/>
  <c r="R45" i="7"/>
  <c r="Q45" i="7"/>
  <c r="P45" i="7"/>
  <c r="O45" i="7"/>
  <c r="N45" i="7"/>
  <c r="M45" i="7"/>
  <c r="L45" i="7"/>
  <c r="K45" i="7"/>
  <c r="J45" i="7"/>
  <c r="I45" i="7"/>
  <c r="H45" i="7"/>
  <c r="G45" i="7"/>
  <c r="F45" i="7"/>
  <c r="E45" i="7"/>
  <c r="D45" i="7"/>
  <c r="C45" i="7"/>
  <c r="W44" i="7"/>
  <c r="W43" i="7"/>
  <c r="W42" i="7"/>
  <c r="W41" i="7"/>
  <c r="W40" i="7"/>
  <c r="W39" i="7"/>
  <c r="W38" i="7"/>
  <c r="W37" i="7"/>
  <c r="W36" i="7"/>
  <c r="W35" i="7"/>
  <c r="W34" i="7"/>
  <c r="W33" i="7"/>
  <c r="W32" i="7"/>
  <c r="W31" i="7"/>
  <c r="W30" i="7"/>
  <c r="W29" i="7"/>
  <c r="W28" i="7"/>
  <c r="W27" i="7"/>
  <c r="W26" i="7"/>
  <c r="W25" i="7"/>
  <c r="W24" i="7"/>
  <c r="W23" i="7"/>
  <c r="W22" i="7"/>
  <c r="W21" i="7"/>
  <c r="W20" i="7"/>
  <c r="W19" i="7"/>
  <c r="W18" i="7"/>
  <c r="W17" i="7"/>
  <c r="W16" i="7"/>
  <c r="W15" i="7"/>
  <c r="W14" i="7"/>
  <c r="W13" i="7"/>
  <c r="W12" i="7"/>
  <c r="W11" i="7"/>
  <c r="W10" i="7"/>
  <c r="W9" i="7"/>
  <c r="W8" i="7"/>
  <c r="W7" i="7"/>
  <c r="W6" i="7"/>
  <c r="W5" i="7"/>
  <c r="W2" i="7"/>
  <c r="F2" i="7"/>
  <c r="E2" i="7"/>
  <c r="C2" i="7"/>
  <c r="A2" i="7"/>
  <c r="A1" i="7"/>
  <c r="V45" i="6"/>
  <c r="U45" i="6"/>
  <c r="T45" i="6"/>
  <c r="S45" i="6"/>
  <c r="R45" i="6"/>
  <c r="Q45" i="6"/>
  <c r="P45" i="6"/>
  <c r="O45" i="6"/>
  <c r="N45" i="6"/>
  <c r="M45" i="6"/>
  <c r="L45" i="6"/>
  <c r="K45" i="6"/>
  <c r="J45" i="6"/>
  <c r="I45" i="6"/>
  <c r="H45" i="6"/>
  <c r="G45" i="6"/>
  <c r="F45" i="6"/>
  <c r="E45" i="6"/>
  <c r="D45" i="6"/>
  <c r="C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2" i="6"/>
  <c r="F2" i="6"/>
  <c r="E2" i="6"/>
  <c r="C2" i="6"/>
  <c r="A2" i="6"/>
  <c r="A1" i="6"/>
  <c r="V45" i="5"/>
  <c r="U45" i="5"/>
  <c r="T45" i="5"/>
  <c r="S45" i="5"/>
  <c r="R45" i="5"/>
  <c r="Q45" i="5"/>
  <c r="P45" i="5"/>
  <c r="O45" i="5"/>
  <c r="N45" i="5"/>
  <c r="M45" i="5"/>
  <c r="L45" i="5"/>
  <c r="K45" i="5"/>
  <c r="J45" i="5"/>
  <c r="I45" i="5"/>
  <c r="H45" i="5"/>
  <c r="G45" i="5"/>
  <c r="F45" i="5"/>
  <c r="E45" i="5"/>
  <c r="D45" i="5"/>
  <c r="C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W13" i="5"/>
  <c r="W12" i="5"/>
  <c r="W11" i="5"/>
  <c r="W10" i="5"/>
  <c r="W9" i="5"/>
  <c r="W8" i="5"/>
  <c r="W7" i="5"/>
  <c r="W6" i="5"/>
  <c r="W5" i="5"/>
  <c r="W2" i="5"/>
  <c r="F2" i="5"/>
  <c r="E2" i="5"/>
  <c r="C2" i="5"/>
  <c r="A2" i="5"/>
  <c r="A1" i="5"/>
  <c r="A1" i="3"/>
  <c r="O46" i="2"/>
  <c r="N46" i="2"/>
  <c r="M46" i="2"/>
  <c r="L46" i="2"/>
  <c r="K46" i="2"/>
  <c r="J46" i="2"/>
  <c r="I46" i="2"/>
  <c r="H46" i="2"/>
  <c r="G46" i="2"/>
  <c r="F46" i="2"/>
  <c r="E46" i="2"/>
  <c r="D46" i="2"/>
  <c r="C46" i="2"/>
  <c r="O5" i="2"/>
  <c r="N5" i="2"/>
  <c r="M5" i="2"/>
  <c r="L5" i="2"/>
  <c r="K5" i="2"/>
  <c r="J5" i="2"/>
  <c r="I5" i="2"/>
  <c r="H5" i="2"/>
  <c r="G5" i="2"/>
  <c r="F5" i="2"/>
  <c r="E5" i="2"/>
  <c r="D5" i="2"/>
  <c r="C5" i="2"/>
  <c r="N3" i="2"/>
  <c r="G3" i="2"/>
  <c r="C2" i="3" s="1"/>
  <c r="E3" i="2"/>
  <c r="D2" i="3" s="1"/>
  <c r="C3" i="2"/>
  <c r="A2" i="3" s="1"/>
  <c r="B1" i="2"/>
  <c r="P9" i="1"/>
  <c r="D7" i="1" s="1"/>
  <c r="T3" i="7"/>
  <c r="J3" i="6"/>
  <c r="B42" i="8"/>
  <c r="B26" i="8"/>
  <c r="B10" i="8"/>
  <c r="B43" i="7"/>
  <c r="B27" i="7"/>
  <c r="B11" i="7"/>
  <c r="C3" i="7"/>
  <c r="B30" i="6"/>
  <c r="B14" i="6"/>
  <c r="I3" i="6"/>
  <c r="B31" i="5"/>
  <c r="B15" i="5"/>
  <c r="K3" i="5"/>
  <c r="B37" i="8"/>
  <c r="B7" i="8"/>
  <c r="B28" i="7"/>
  <c r="H3" i="8"/>
  <c r="P3" i="6"/>
  <c r="B31" i="8"/>
  <c r="C3" i="8"/>
  <c r="B14" i="7"/>
  <c r="B9" i="6"/>
  <c r="I3" i="7"/>
  <c r="B35" i="6"/>
  <c r="B16" i="5"/>
  <c r="G3" i="6"/>
  <c r="B8" i="7"/>
  <c r="M3" i="7"/>
  <c r="B8" i="8"/>
  <c r="B25" i="7"/>
  <c r="B44" i="6"/>
  <c r="B12" i="6"/>
  <c r="E3" i="6"/>
  <c r="B13" i="5"/>
  <c r="B33" i="8"/>
  <c r="B24" i="7"/>
  <c r="B27" i="8"/>
  <c r="B10" i="7"/>
  <c r="B31" i="6"/>
  <c r="B8" i="5"/>
  <c r="B39" i="6"/>
  <c r="T3" i="5"/>
  <c r="B22" i="8"/>
  <c r="B39" i="7"/>
  <c r="B7" i="7"/>
  <c r="B42" i="6"/>
  <c r="B10" i="6"/>
  <c r="B27" i="5"/>
  <c r="C3" i="5"/>
  <c r="O3" i="8"/>
  <c r="B20" i="7"/>
  <c r="D3" i="6"/>
  <c r="B38" i="7"/>
  <c r="B38" i="5"/>
  <c r="B19" i="6"/>
  <c r="B15" i="6"/>
  <c r="F3" i="5"/>
  <c r="J3" i="7"/>
  <c r="B26" i="7"/>
  <c r="B40" i="5"/>
  <c r="R3" i="6"/>
  <c r="I3" i="8"/>
  <c r="K3" i="7"/>
  <c r="B18" i="6"/>
  <c r="B13" i="8"/>
  <c r="B5" i="8"/>
  <c r="B32" i="5"/>
  <c r="G3" i="7"/>
  <c r="O3" i="5"/>
  <c r="L3" i="8"/>
  <c r="B18" i="7"/>
  <c r="E3" i="5"/>
  <c r="P3" i="7"/>
  <c r="F3" i="6"/>
  <c r="B40" i="8"/>
  <c r="B24" i="8"/>
  <c r="B41" i="7"/>
  <c r="B9" i="7"/>
  <c r="B28" i="6"/>
  <c r="B29" i="5"/>
  <c r="G3" i="5"/>
  <c r="S3" i="8"/>
  <c r="D3" i="8"/>
  <c r="L3" i="6"/>
  <c r="B42" i="7"/>
  <c r="O3" i="6"/>
  <c r="B27" i="6"/>
  <c r="B42" i="5"/>
  <c r="B36" i="5"/>
  <c r="B38" i="8"/>
  <c r="B6" i="8"/>
  <c r="B23" i="7"/>
  <c r="B26" i="6"/>
  <c r="B43" i="5"/>
  <c r="B11" i="5"/>
  <c r="B29" i="8"/>
  <c r="V3" i="7"/>
  <c r="B23" i="8"/>
  <c r="U3" i="7"/>
  <c r="B23" i="6"/>
  <c r="I3" i="5"/>
  <c r="B34" i="5"/>
  <c r="Q3" i="5"/>
  <c r="B17" i="8"/>
  <c r="J3" i="5"/>
  <c r="B28" i="5"/>
  <c r="B20" i="5"/>
  <c r="B35" i="5"/>
  <c r="B36" i="7"/>
  <c r="B25" i="6"/>
  <c r="U3" i="5"/>
  <c r="E3" i="8"/>
  <c r="B16" i="6"/>
  <c r="B11" i="8"/>
  <c r="M3" i="5"/>
  <c r="B6" i="7"/>
  <c r="L3" i="7"/>
  <c r="V3" i="8"/>
  <c r="H3" i="7"/>
  <c r="P3" i="5"/>
  <c r="B36" i="8"/>
  <c r="B20" i="8"/>
  <c r="U3" i="8"/>
  <c r="B37" i="7"/>
  <c r="B21" i="7"/>
  <c r="B5" i="7"/>
  <c r="B40" i="6"/>
  <c r="B24" i="6"/>
  <c r="B8" i="6"/>
  <c r="B41" i="5"/>
  <c r="B25" i="5"/>
  <c r="B9" i="5"/>
  <c r="H3" i="6"/>
  <c r="B25" i="8"/>
  <c r="G3" i="8"/>
  <c r="B16" i="7"/>
  <c r="R3" i="7"/>
  <c r="V3" i="5"/>
  <c r="B19" i="8"/>
  <c r="B34" i="7"/>
  <c r="E3" i="7"/>
  <c r="B30" i="5"/>
  <c r="B7" i="6"/>
  <c r="B11" i="6"/>
  <c r="B37" i="6"/>
  <c r="B26" i="5"/>
  <c r="S3" i="6"/>
  <c r="B32" i="8"/>
  <c r="B33" i="7"/>
  <c r="O3" i="7"/>
  <c r="U3" i="6"/>
  <c r="B37" i="5"/>
  <c r="B40" i="7"/>
  <c r="B14" i="5"/>
  <c r="B21" i="6"/>
  <c r="D3" i="5"/>
  <c r="B31" i="7"/>
  <c r="Q3" i="6"/>
  <c r="S3" i="5"/>
  <c r="P3" i="8"/>
  <c r="B22" i="7"/>
  <c r="B13" i="6"/>
  <c r="B12" i="8"/>
  <c r="B33" i="5"/>
  <c r="T3" i="6"/>
  <c r="B17" i="6"/>
  <c r="R3" i="8"/>
  <c r="D3" i="7"/>
  <c r="L3" i="5"/>
  <c r="B34" i="8"/>
  <c r="B18" i="8"/>
  <c r="Q3" i="8"/>
  <c r="B35" i="7"/>
  <c r="B19" i="7"/>
  <c r="S3" i="7"/>
  <c r="B38" i="6"/>
  <c r="B22" i="6"/>
  <c r="B6" i="6"/>
  <c r="B39" i="5"/>
  <c r="B23" i="5"/>
  <c r="B7" i="5"/>
  <c r="N3" i="5"/>
  <c r="B21" i="8"/>
  <c r="B44" i="7"/>
  <c r="B12" i="7"/>
  <c r="N3" i="7"/>
  <c r="R3" i="5"/>
  <c r="B15" i="8"/>
  <c r="B30" i="7"/>
  <c r="B41" i="6"/>
  <c r="B22" i="5"/>
  <c r="C3" i="6"/>
  <c r="K3" i="6"/>
  <c r="B29" i="6"/>
  <c r="B18" i="5"/>
  <c r="B44" i="5"/>
  <c r="V3" i="6"/>
  <c r="H3" i="5"/>
  <c r="M3" i="8"/>
  <c r="B17" i="7"/>
  <c r="B20" i="6"/>
  <c r="B21" i="5"/>
  <c r="T3" i="8"/>
  <c r="B33" i="6"/>
  <c r="B10" i="5"/>
  <c r="B30" i="8"/>
  <c r="B15" i="7"/>
  <c r="B19" i="5"/>
  <c r="F3" i="7"/>
  <c r="B6" i="5"/>
  <c r="B12" i="5"/>
  <c r="N3" i="6"/>
  <c r="B44" i="8"/>
  <c r="B29" i="7"/>
  <c r="M3" i="6"/>
  <c r="B39" i="8"/>
  <c r="K3" i="8"/>
  <c r="B24" i="5"/>
  <c r="N3" i="8"/>
  <c r="B16" i="8"/>
  <c r="B36" i="6"/>
  <c r="B5" i="5"/>
  <c r="B9" i="8"/>
  <c r="J3" i="8"/>
  <c r="B14" i="8"/>
  <c r="B34" i="6"/>
  <c r="B43" i="8"/>
  <c r="B41" i="8"/>
  <c r="Q3" i="7"/>
  <c r="B32" i="6"/>
  <c r="B32" i="7"/>
  <c r="B43" i="6"/>
  <c r="F3" i="8"/>
  <c r="B28" i="8"/>
  <c r="B13" i="7"/>
  <c r="B17" i="5"/>
  <c r="B35" i="8"/>
  <c r="B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Baesem(리천)</author>
  </authors>
  <commentList>
    <comment ref="C9" authorId="0" shapeId="0" xr:uid="{00000000-0006-0000-0000-000001000000}">
      <text>
        <r>
          <rPr>
            <sz val="11"/>
            <color indexed="64"/>
            <rFont val="맑은 고딕"/>
            <family val="3"/>
            <charset val="129"/>
          </rPr>
          <t xml:space="preserve">1번 시트의 학급 이름을 입력하세요.(순서대로 최대 13학급까지 사용할 수 있습니다.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Baesem(리천)</author>
  </authors>
  <commentList>
    <comment ref="B4" authorId="0" shapeId="0" xr:uid="{00000000-0006-0000-0200-000001000000}">
      <text>
        <r>
          <rPr>
            <b/>
            <sz val="11"/>
            <color indexed="64"/>
            <rFont val="맑은 고딕"/>
            <family val="3"/>
            <charset val="129"/>
          </rPr>
          <t>내용을 직접 입력하세요.</t>
        </r>
      </text>
    </comment>
  </commentList>
</comments>
</file>

<file path=xl/sharedStrings.xml><?xml version="1.0" encoding="utf-8"?>
<sst xmlns="http://schemas.openxmlformats.org/spreadsheetml/2006/main" count="325" uniqueCount="184">
  <si>
    <t>흥미 있는 사례를 통하여 과학의 유용성을 설명할 수 있고, 아울러 과학이 우리 생활에 미치는 영향을 구체적인 사례를 통해 설명함.</t>
  </si>
  <si>
    <t>모둠원들과 함께 문제해결을 위해 태도가 불성실하고 포트폴리오 내용이 다소 부족함.</t>
  </si>
  <si>
    <t>온도를 분자운동 모형으로 설명할 수 있고, 물체 사이의 온도가 다르면 열의 이동이 일어남을 이해하며, 열의 이동 방법에는 전도, 대류, 복사가 있음을 알고 지구온난화 같은 일상생활에서 열에너지와 관련된 사례를 이해함.</t>
  </si>
  <si>
    <t>과학 관련 직업을 조사하여 제시하고, 과학이 발달함에 따라 과학 관련 직업이 다양해지고 있음을 설명하며 자신의 진로 선택과 관련지을 수 있음.</t>
  </si>
  <si>
    <t>압력과 기체의 부피와의 관계를 실험을 통해 알아내고 압력 변화에 따른 기체의 분자 배열의 변화 및 운동 상태의 변화를 분자모형으로 그릴 수 있음.</t>
  </si>
  <si>
    <t>모둠에서 자신이 해결할 과제가 무엇인지 명확히 알고 과제분담을 직접적으로 도우며 문제 해결을 위해 적극적으로 활동하고 보고서와 결과물 정리를 잘 함.</t>
  </si>
  <si>
    <t>온도와 기체의 부피와의 관계가 부분적으로 이해하고, 상태변화에서 관찰되는 현상적 변화를 분자모형을 이용하여 설명함.</t>
  </si>
  <si>
    <t>과학의 유용성을 사례를 들어 말할 수 있으며, 과학이 우리 생활에 영향을 미치고 있음을 이해함.</t>
  </si>
  <si>
    <t>주어진 과제에 대한 해결을 위해 노력하고 이해하지 못하는 내용은 친구나 선생님의 도움을 받아 해결함.</t>
  </si>
  <si>
    <t>열의 이동이 일어나는 것은 이해하지고 열의 이동 방법인 전도, 대류, 복사에 대해 부분적으로 이해함.</t>
  </si>
  <si>
    <t>흥미 있는 사례를 통하여 과학의 유용성을 설명할 수 있으며, 과학이 우리 생활에 영향을 미치고 있음을 이해함</t>
  </si>
  <si>
    <t>온도를 분자운동 모형으로 설명할 수 있고, 물체 사이의 온도가 다르면 열의 이동이 일어남을 이해하며, 열의 이동 방법에는 전도, 대류, 복사가 있음을 이해함.</t>
  </si>
  <si>
    <t>모둠원들과 함께 문제해결을 위해 태도가 불성실하고 내용이 매우 부실함.</t>
  </si>
  <si>
    <t>물체 사이의 온도가 다르면 열의 이동이 일어남을 이해하며, 열의 이동 방법에는 전도, 대류, 복사가 있음을 알고 있으며 냉난방기구사용, 단열과 폐열의 사용, 지구온난화 같은 일상생활에서 열에너지와 관련된 사례를 열의 이동방법과 관련지어 이해함.</t>
  </si>
  <si>
    <t>1물체 사이의 온도가 다르면 열의 이동이 일어남을 이해하며, 열의 이동 방법에는 전도, 대류, 복사가 있음을 알고 있으며 냉난방기구사용, 단열과 폐열의 사용, 지구온난화 같은 일상생활에서 열에너지와 관련된 사례를 열의 이동방법과 관련지어 이해함.</t>
  </si>
  <si>
    <t>모둠원들과 함께 문제해결을 위해 필요한 정보를 찾아 활용할 줄 알고, 자료를 바르게 정리함.</t>
  </si>
  <si>
    <t>온도와 기체의 부피와의 관계가 있음을 알고 여러 가지 물질의 상태변화에서 관찰되는 현상적 변화를 분자모형을 이용하여 설명함.</t>
  </si>
  <si>
    <t>물체 사이의 온도가 다르면 열의 이동이 일어남을 이해하며, 열의 이동 방법인 전도, 대류, 복사에 대해 부분적으로 이해함.</t>
  </si>
  <si>
    <t>흥미 있는 사례를 통하여 과학의 유용성을 설명할 수 있으며, 과학이 우리 생활에 미치는 영향을 구체적인 사례를 통해 설명함.</t>
  </si>
  <si>
    <t>압력과 기체의 부피와의 관계를 실험을 통해 알아내고, 온도 변화에 따른 기체의 분자 배열의 변화를 분자 모형으로 그릴 수 있음.</t>
  </si>
  <si>
    <t>2분자운동과 상태변화</t>
  </si>
  <si>
    <t>과학과 평가 예시문</t>
  </si>
  <si>
    <t>성취기준의 서술</t>
  </si>
  <si>
    <t>1열과 우리생활</t>
  </si>
  <si>
    <t>압력과 기체의 부피와의 관계를 실험을 통해 알아내고 압력 변화에 따른 기체의 분자 배열의 변화 및 운동 상태의 변화를 분자모형으로 그릴 수 있으며, 온도와 기체의 부피와의 관계를 실험을 통해 알아내고 온도 변화에 따른 기체의 분자 배열의 변화 및 운동 상태의 변화를 분자 모형으로 그릴 수 있음.</t>
  </si>
  <si>
    <t>2015.12.24 . 제작 배만병</t>
  </si>
  <si>
    <t>학년</t>
  </si>
  <si>
    <t>교과명</t>
  </si>
  <si>
    <t>B</t>
  </si>
  <si>
    <t>학년도</t>
  </si>
  <si>
    <t>6반</t>
  </si>
  <si>
    <t>이름</t>
  </si>
  <si>
    <t>학기</t>
  </si>
  <si>
    <t>연번</t>
  </si>
  <si>
    <t>5반</t>
  </si>
  <si>
    <t>D</t>
  </si>
  <si>
    <t>번호</t>
  </si>
  <si>
    <t>A</t>
  </si>
  <si>
    <t>7반</t>
  </si>
  <si>
    <t>계</t>
  </si>
  <si>
    <t>C</t>
  </si>
  <si>
    <t>이 름</t>
  </si>
  <si>
    <t>E</t>
  </si>
  <si>
    <t>학교명</t>
  </si>
  <si>
    <t>2015. 07. 배만병</t>
  </si>
  <si>
    <t>담당교사 : Baesaem</t>
  </si>
  <si>
    <t>교과 특이 사항 예시문</t>
  </si>
  <si>
    <t>학생230</t>
  </si>
  <si>
    <t>학생332</t>
  </si>
  <si>
    <t>학생228</t>
  </si>
  <si>
    <t>학생232</t>
  </si>
  <si>
    <t>학생225</t>
  </si>
  <si>
    <t>학생340</t>
  </si>
  <si>
    <t>학생238</t>
  </si>
  <si>
    <t>학생336</t>
  </si>
  <si>
    <t>학생236</t>
  </si>
  <si>
    <t>3학년 8반</t>
  </si>
  <si>
    <t>학생339</t>
  </si>
  <si>
    <t>학생338</t>
  </si>
  <si>
    <t>학생231</t>
  </si>
  <si>
    <t>학생329</t>
  </si>
  <si>
    <t>학생331</t>
  </si>
  <si>
    <t>학생239</t>
  </si>
  <si>
    <t>학생237</t>
  </si>
  <si>
    <t>학생235</t>
  </si>
  <si>
    <t>학생229</t>
  </si>
  <si>
    <t>학생328</t>
  </si>
  <si>
    <t>학생325</t>
  </si>
  <si>
    <t>학생334</t>
  </si>
  <si>
    <t>학생240</t>
  </si>
  <si>
    <t>학생337</t>
  </si>
  <si>
    <t>학생317</t>
  </si>
  <si>
    <t>학생222</t>
  </si>
  <si>
    <t>학생335</t>
  </si>
  <si>
    <t>학생214</t>
  </si>
  <si>
    <t>학생318</t>
  </si>
  <si>
    <t>학생333</t>
  </si>
  <si>
    <t>학생221</t>
  </si>
  <si>
    <t>학생224</t>
  </si>
  <si>
    <t>학생216</t>
  </si>
  <si>
    <t>학생223</t>
  </si>
  <si>
    <t>학생316</t>
  </si>
  <si>
    <t>학생213</t>
  </si>
  <si>
    <t>학생319</t>
  </si>
  <si>
    <t>학생322</t>
  </si>
  <si>
    <t>학생314</t>
  </si>
  <si>
    <t>학생220</t>
  </si>
  <si>
    <t>학생233</t>
  </si>
  <si>
    <t>학생324</t>
  </si>
  <si>
    <t>학생219</t>
  </si>
  <si>
    <t>학생323</t>
  </si>
  <si>
    <t>학생211</t>
  </si>
  <si>
    <t>학생312</t>
  </si>
  <si>
    <t>학생321</t>
  </si>
  <si>
    <t>학생218</t>
  </si>
  <si>
    <t>학생315</t>
  </si>
  <si>
    <t>학생215</t>
  </si>
  <si>
    <t>학생313</t>
  </si>
  <si>
    <t>학생320</t>
  </si>
  <si>
    <t>학생234</t>
  </si>
  <si>
    <t>학생311</t>
  </si>
  <si>
    <t>학생217</t>
  </si>
  <si>
    <t>학생212</t>
  </si>
  <si>
    <t>학생114</t>
  </si>
  <si>
    <t>학생131</t>
  </si>
  <si>
    <t>학생112</t>
  </si>
  <si>
    <t>학생310</t>
  </si>
  <si>
    <t>학생206</t>
  </si>
  <si>
    <t>학생138</t>
  </si>
  <si>
    <t>학생306</t>
  </si>
  <si>
    <t>학생204</t>
  </si>
  <si>
    <t>학생125</t>
  </si>
  <si>
    <t>학생209</t>
  </si>
  <si>
    <t>학생120</t>
  </si>
  <si>
    <t>학생307</t>
  </si>
  <si>
    <t>평가인원수</t>
  </si>
  <si>
    <t>학생129</t>
  </si>
  <si>
    <t>학생308</t>
  </si>
  <si>
    <t>학생205</t>
  </si>
  <si>
    <t>학생304</t>
  </si>
  <si>
    <t>학생305</t>
  </si>
  <si>
    <t>학생136</t>
  </si>
  <si>
    <t>학생207</t>
  </si>
  <si>
    <t>학생201</t>
  </si>
  <si>
    <t>학생303</t>
  </si>
  <si>
    <t>학생309</t>
  </si>
  <si>
    <t>학생139</t>
  </si>
  <si>
    <t>학생122</t>
  </si>
  <si>
    <t>학생130</t>
  </si>
  <si>
    <t>학생302</t>
  </si>
  <si>
    <t>학생203</t>
  </si>
  <si>
    <t>학생208</t>
  </si>
  <si>
    <t>학생210</t>
  </si>
  <si>
    <t>학생115</t>
  </si>
  <si>
    <t>성취
기준</t>
  </si>
  <si>
    <t>학생121</t>
  </si>
  <si>
    <t>학생109</t>
  </si>
  <si>
    <t>학생226</t>
  </si>
  <si>
    <t>학생102</t>
  </si>
  <si>
    <t>학생127</t>
  </si>
  <si>
    <t>학생110</t>
  </si>
  <si>
    <t>학생116</t>
  </si>
  <si>
    <t>학생117</t>
  </si>
  <si>
    <t>학생108</t>
  </si>
  <si>
    <t>학생113</t>
  </si>
  <si>
    <t>평가영역</t>
  </si>
  <si>
    <t>학생132</t>
  </si>
  <si>
    <t>학생119</t>
  </si>
  <si>
    <t>학생202</t>
  </si>
  <si>
    <t>평가영역수</t>
  </si>
  <si>
    <t>학생124</t>
  </si>
  <si>
    <t>학생128</t>
  </si>
  <si>
    <t>학생118</t>
  </si>
  <si>
    <t>학생111</t>
  </si>
  <si>
    <t>학생107</t>
  </si>
  <si>
    <t>학생126</t>
  </si>
  <si>
    <t>학생103</t>
  </si>
  <si>
    <t>학생105</t>
  </si>
  <si>
    <t>학생133</t>
  </si>
  <si>
    <t>학생326</t>
  </si>
  <si>
    <t>학생123</t>
  </si>
  <si>
    <t>학생137</t>
  </si>
  <si>
    <t>학생106</t>
  </si>
  <si>
    <t>학생140</t>
  </si>
  <si>
    <t>학생134</t>
  </si>
  <si>
    <t>학생135</t>
  </si>
  <si>
    <t>담당학급 수</t>
  </si>
  <si>
    <t>담당교사</t>
  </si>
  <si>
    <t>학생101</t>
  </si>
  <si>
    <t>학생330</t>
  </si>
  <si>
    <t>학생227</t>
  </si>
  <si>
    <t>학생104</t>
  </si>
  <si>
    <t>학급이름</t>
  </si>
  <si>
    <t>4포4트폴리오</t>
  </si>
  <si>
    <t>담당학급</t>
  </si>
  <si>
    <t>학생327</t>
  </si>
  <si>
    <t>기본설정</t>
  </si>
  <si>
    <t>3프로젝트</t>
  </si>
  <si>
    <t>성취기준!B</t>
  </si>
  <si>
    <t>학생</t>
  </si>
  <si>
    <t>광주소프트웨어마이스터고등학교</t>
    <phoneticPr fontId="16" type="noConversion"/>
  </si>
  <si>
    <t>이동윤</t>
    <phoneticPr fontId="16" type="noConversion"/>
  </si>
  <si>
    <t>네트워크프로그래밍</t>
    <phoneticPr fontId="16" type="noConversion"/>
  </si>
  <si>
    <t>2학기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</si>
</sst>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7" x14ac:knownFonts="1">
    <font>
      <sz val="11"/>
      <color rgb="FF000000"/>
      <name val="맑은 고딕"/>
    </font>
    <font>
      <sz val="14"/>
      <color rgb="FF000000"/>
      <name val="HY헤드라인M"/>
      <family val="1"/>
      <charset val="129"/>
    </font>
    <font>
      <sz val="12"/>
      <color rgb="FF000000"/>
      <name val="굴림"/>
      <family val="3"/>
      <charset val="129"/>
    </font>
    <font>
      <sz val="12"/>
      <color rgb="FF000000"/>
      <name val="HY헤드라인M"/>
      <family val="1"/>
      <charset val="129"/>
    </font>
    <font>
      <b/>
      <sz val="11"/>
      <color rgb="FF000000"/>
      <name val="맑은 고딕"/>
      <family val="3"/>
      <charset val="129"/>
    </font>
    <font>
      <b/>
      <sz val="14"/>
      <color rgb="FF000000"/>
      <name val="맑은 고딕"/>
      <family val="3"/>
      <charset val="129"/>
    </font>
    <font>
      <b/>
      <sz val="18"/>
      <color rgb="FF000000"/>
      <name val="맑은 고딕"/>
      <family val="3"/>
      <charset val="129"/>
    </font>
    <font>
      <sz val="18"/>
      <color rgb="FF000000"/>
      <name val="맑은 고딕"/>
      <family val="3"/>
      <charset val="129"/>
    </font>
    <font>
      <b/>
      <sz val="16"/>
      <color rgb="FF000000"/>
      <name val="맑은 고딕"/>
      <family val="3"/>
      <charset val="129"/>
    </font>
    <font>
      <sz val="14"/>
      <color rgb="FF000000"/>
      <name val="맑은 고딕"/>
      <family val="3"/>
      <charset val="129"/>
    </font>
    <font>
      <sz val="36"/>
      <color rgb="FF000000"/>
      <name val="HY헤드라인M"/>
      <family val="1"/>
      <charset val="129"/>
    </font>
    <font>
      <sz val="28"/>
      <color rgb="FF000000"/>
      <name val="HY헤드라인M"/>
      <family val="1"/>
      <charset val="129"/>
    </font>
    <font>
      <sz val="10"/>
      <color rgb="FFA6A6A6"/>
      <name val="맑은 고딕"/>
      <family val="3"/>
      <charset val="129"/>
    </font>
    <font>
      <sz val="24"/>
      <color rgb="FF000000"/>
      <name val="HY헤드라인M"/>
      <family val="1"/>
      <charset val="129"/>
    </font>
    <font>
      <sz val="11"/>
      <color indexed="64"/>
      <name val="맑은 고딕"/>
      <family val="3"/>
      <charset val="129"/>
    </font>
    <font>
      <b/>
      <sz val="11"/>
      <color indexed="64"/>
      <name val="맑은 고딕"/>
      <family val="3"/>
      <charset val="129"/>
    </font>
    <font>
      <sz val="8"/>
      <name val="돋움"/>
      <family val="3"/>
      <charset val="129"/>
    </font>
  </fonts>
  <fills count="4">
    <fill>
      <patternFill patternType="none"/>
    </fill>
    <fill>
      <patternFill patternType="gray125"/>
    </fill>
    <fill>
      <patternFill patternType="solid">
        <fgColor rgb="FFF2F2F2"/>
        <bgColor indexed="64"/>
      </patternFill>
    </fill>
    <fill>
      <patternFill patternType="solid">
        <fgColor rgb="FFD9D9D9"/>
        <bgColor indexed="64"/>
      </patternFill>
    </fill>
  </fills>
  <borders count="59">
    <border>
      <left/>
      <right/>
      <top/>
      <bottom/>
      <diagonal/>
    </border>
    <border>
      <left/>
      <right/>
      <top style="double">
        <color indexed="64"/>
      </top>
      <bottom style="hair">
        <color indexed="64"/>
      </bottom>
      <diagonal/>
    </border>
    <border>
      <left/>
      <right/>
      <top style="hair">
        <color indexed="64"/>
      </top>
      <bottom style="hair">
        <color indexed="64"/>
      </bottom>
      <diagonal/>
    </border>
    <border>
      <left/>
      <right/>
      <top style="hair">
        <color indexed="64"/>
      </top>
      <bottom style="double">
        <color indexed="64"/>
      </bottom>
      <diagonal/>
    </border>
    <border>
      <left/>
      <right/>
      <top style="hair">
        <color indexed="64"/>
      </top>
      <bottom style="medium">
        <color indexed="64"/>
      </bottom>
      <diagonal/>
    </border>
    <border>
      <left style="medium">
        <color rgb="FFFF0000"/>
      </left>
      <right style="thin">
        <color indexed="64"/>
      </right>
      <top style="medium">
        <color rgb="FFFF0000"/>
      </top>
      <bottom style="hair">
        <color indexed="64"/>
      </bottom>
      <diagonal/>
    </border>
    <border>
      <left style="medium">
        <color rgb="FFFF0000"/>
      </left>
      <right style="thin">
        <color indexed="64"/>
      </right>
      <top style="hair">
        <color indexed="64"/>
      </top>
      <bottom style="hair">
        <color indexed="64"/>
      </bottom>
      <diagonal/>
    </border>
    <border>
      <left style="medium">
        <color rgb="FFFF0000"/>
      </left>
      <right style="thin">
        <color indexed="64"/>
      </right>
      <top style="hair">
        <color indexed="64"/>
      </top>
      <bottom style="double">
        <color indexed="64"/>
      </bottom>
      <diagonal/>
    </border>
    <border>
      <left style="medium">
        <color rgb="FFFF0000"/>
      </left>
      <right style="thin">
        <color indexed="64"/>
      </right>
      <top style="double">
        <color indexed="64"/>
      </top>
      <bottom style="hair">
        <color indexed="64"/>
      </bottom>
      <diagonal/>
    </border>
    <border>
      <left style="medium">
        <color rgb="FFFF0000"/>
      </left>
      <right style="thin">
        <color indexed="64"/>
      </right>
      <top style="hair">
        <color indexed="64"/>
      </top>
      <bottom style="medium">
        <color indexed="64"/>
      </bottom>
      <diagonal/>
    </border>
    <border>
      <left style="medium">
        <color rgb="FFFF0000"/>
      </left>
      <right style="thin">
        <color indexed="64"/>
      </right>
      <top style="hair">
        <color indexed="64"/>
      </top>
      <bottom style="medium">
        <color rgb="FFFF0000"/>
      </bottom>
      <diagonal/>
    </border>
    <border>
      <left style="medium">
        <color indexed="64"/>
      </left>
      <right/>
      <top style="medium">
        <color indexed="64"/>
      </top>
      <bottom style="double">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diagonal/>
    </border>
    <border>
      <left style="medium">
        <color indexed="64"/>
      </left>
      <right/>
      <top style="double">
        <color indexed="64"/>
      </top>
      <bottom style="double">
        <color indexed="64"/>
      </bottom>
      <diagonal/>
    </border>
    <border>
      <left style="medium">
        <color indexed="64"/>
      </left>
      <right/>
      <top style="double">
        <color indexed="64"/>
      </top>
      <bottom style="medium">
        <color indexed="64"/>
      </bottom>
      <diagonal/>
    </border>
    <border>
      <left style="medium">
        <color rgb="FFFF0000"/>
      </left>
      <right style="medium">
        <color rgb="FFFF0000"/>
      </right>
      <top style="double">
        <color indexed="64"/>
      </top>
      <bottom style="double">
        <color indexed="64"/>
      </bottom>
      <diagonal/>
    </border>
    <border>
      <left style="medium">
        <color rgb="FFFF0000"/>
      </left>
      <right style="medium">
        <color rgb="FFFF0000"/>
      </right>
      <top style="double">
        <color indexed="64"/>
      </top>
      <bottom style="medium">
        <color rgb="FFFF0000"/>
      </bottom>
      <diagonal/>
    </border>
    <border>
      <left style="medium">
        <color rgb="FFFF0000"/>
      </left>
      <right style="medium">
        <color rgb="FFFF0000"/>
      </right>
      <top style="double">
        <color indexed="64"/>
      </top>
      <bottom style="medium">
        <color indexed="64"/>
      </bottom>
      <diagonal/>
    </border>
    <border>
      <left style="medium">
        <color rgb="FFFF0000"/>
      </left>
      <right style="medium">
        <color rgb="FFFF0000"/>
      </right>
      <top style="medium">
        <color rgb="FFFF0000"/>
      </top>
      <bottom style="double">
        <color indexed="64"/>
      </bottom>
      <diagonal/>
    </border>
  </borders>
  <cellStyleXfs count="1">
    <xf numFmtId="0" fontId="0" fillId="0" borderId="0">
      <alignment vertical="center"/>
    </xf>
  </cellStyleXfs>
  <cellXfs count="133">
    <xf numFmtId="0" fontId="0" fillId="0" borderId="0" xfId="0" applyNumberFormat="1">
      <alignment vertical="center"/>
    </xf>
    <xf numFmtId="0" fontId="0" fillId="0" borderId="0" xfId="0" applyNumberFormat="1" applyProtection="1">
      <alignment vertical="center"/>
    </xf>
    <xf numFmtId="0" fontId="0" fillId="0" borderId="0" xfId="0" applyNumberFormat="1" applyAlignment="1" applyProtection="1">
      <alignment horizontal="left" vertical="center"/>
    </xf>
    <xf numFmtId="0" fontId="1" fillId="2" borderId="1" xfId="0" applyNumberFormat="1" applyFont="1" applyFill="1" applyBorder="1" applyAlignment="1" applyProtection="1">
      <alignment horizontal="center" vertical="center"/>
    </xf>
    <xf numFmtId="0" fontId="1" fillId="2" borderId="2" xfId="0" applyNumberFormat="1" applyFont="1" applyFill="1" applyBorder="1" applyAlignment="1" applyProtection="1">
      <alignment horizontal="center" vertical="center"/>
    </xf>
    <xf numFmtId="0" fontId="1" fillId="2" borderId="3" xfId="0" applyNumberFormat="1" applyFont="1" applyFill="1" applyBorder="1" applyAlignment="1" applyProtection="1">
      <alignment horizontal="center" vertical="center"/>
    </xf>
    <xf numFmtId="0" fontId="1" fillId="2" borderId="4" xfId="0" applyNumberFormat="1" applyFont="1" applyFill="1" applyBorder="1" applyAlignment="1" applyProtection="1">
      <alignment horizontal="center" vertical="center"/>
    </xf>
    <xf numFmtId="0" fontId="2" fillId="0" borderId="5" xfId="0" applyNumberFormat="1" applyFont="1" applyFill="1" applyBorder="1" applyAlignment="1" applyProtection="1">
      <alignment horizontal="left" vertical="center" wrapText="1"/>
      <protection locked="0"/>
    </xf>
    <xf numFmtId="0" fontId="2" fillId="0" borderId="6" xfId="0" applyNumberFormat="1" applyFont="1" applyFill="1" applyBorder="1" applyAlignment="1" applyProtection="1">
      <alignment horizontal="left" vertical="center" wrapText="1"/>
      <protection locked="0"/>
    </xf>
    <xf numFmtId="0" fontId="2" fillId="0" borderId="7" xfId="0" applyNumberFormat="1" applyFont="1" applyFill="1" applyBorder="1" applyAlignment="1" applyProtection="1">
      <alignment horizontal="left" vertical="center" wrapText="1"/>
      <protection locked="0"/>
    </xf>
    <xf numFmtId="0" fontId="2" fillId="0" borderId="8" xfId="0" applyNumberFormat="1" applyFont="1" applyFill="1" applyBorder="1" applyAlignment="1" applyProtection="1">
      <alignment horizontal="left" vertical="center" wrapText="1"/>
      <protection locked="0"/>
    </xf>
    <xf numFmtId="0" fontId="2" fillId="0" borderId="9" xfId="0" applyNumberFormat="1" applyFont="1" applyFill="1" applyBorder="1" applyAlignment="1" applyProtection="1">
      <alignment horizontal="left" vertical="center" wrapText="1"/>
      <protection locked="0"/>
    </xf>
    <xf numFmtId="0" fontId="2" fillId="0" borderId="10" xfId="0" applyNumberFormat="1" applyFont="1" applyFill="1" applyBorder="1" applyAlignment="1" applyProtection="1">
      <alignment horizontal="left" vertical="center" wrapText="1"/>
      <protection locked="0"/>
    </xf>
    <xf numFmtId="0" fontId="3" fillId="3" borderId="11" xfId="0" applyNumberFormat="1" applyFont="1" applyFill="1" applyBorder="1" applyAlignment="1" applyProtection="1">
      <alignment horizontal="center" vertical="center" wrapText="1" shrinkToFit="1"/>
    </xf>
    <xf numFmtId="0" fontId="3" fillId="3" borderId="12" xfId="0" applyNumberFormat="1" applyFont="1" applyFill="1" applyBorder="1" applyAlignment="1" applyProtection="1">
      <alignment horizontal="center" vertical="center" wrapText="1" shrinkToFit="1"/>
    </xf>
    <xf numFmtId="0" fontId="3" fillId="3" borderId="13" xfId="0" applyNumberFormat="1" applyFont="1" applyFill="1" applyBorder="1" applyAlignment="1" applyProtection="1">
      <alignment horizontal="center" vertical="center" wrapText="1" shrinkToFit="1"/>
    </xf>
    <xf numFmtId="49" fontId="3" fillId="3" borderId="14" xfId="0" applyNumberFormat="1" applyFont="1" applyFill="1" applyBorder="1" applyAlignment="1" applyProtection="1">
      <alignment horizontal="center" vertical="center" wrapText="1" shrinkToFit="1"/>
    </xf>
    <xf numFmtId="0" fontId="0" fillId="2" borderId="15" xfId="0" applyNumberFormat="1" applyFont="1" applyFill="1" applyBorder="1" applyAlignment="1" applyProtection="1">
      <alignment horizontal="left" vertical="center" wrapText="1"/>
      <protection hidden="1"/>
    </xf>
    <xf numFmtId="0" fontId="0" fillId="2" borderId="15" xfId="0" applyNumberFormat="1" applyFont="1" applyFill="1" applyBorder="1" applyAlignment="1" applyProtection="1">
      <alignment horizontal="left" vertical="center" wrapText="1"/>
      <protection hidden="1"/>
    </xf>
    <xf numFmtId="0" fontId="4" fillId="3" borderId="16" xfId="0" applyNumberFormat="1" applyFont="1" applyFill="1" applyBorder="1" applyAlignment="1" applyProtection="1">
      <alignment horizontal="center" vertical="center" wrapText="1"/>
      <protection hidden="1"/>
    </xf>
    <xf numFmtId="0" fontId="4" fillId="3" borderId="17" xfId="0" applyNumberFormat="1" applyFont="1" applyFill="1" applyBorder="1" applyAlignment="1" applyProtection="1">
      <alignment horizontal="center" vertical="center" wrapText="1"/>
      <protection hidden="1"/>
    </xf>
    <xf numFmtId="0" fontId="4" fillId="3" borderId="18" xfId="0" applyNumberFormat="1" applyFont="1" applyFill="1" applyBorder="1" applyAlignment="1" applyProtection="1">
      <alignment horizontal="center" vertical="center" wrapText="1"/>
      <protection hidden="1"/>
    </xf>
    <xf numFmtId="0" fontId="5" fillId="3" borderId="19" xfId="0" applyNumberFormat="1" applyFont="1" applyFill="1" applyBorder="1" applyAlignment="1" applyProtection="1">
      <alignment horizontal="center" vertical="center" wrapText="1"/>
      <protection hidden="1"/>
    </xf>
    <xf numFmtId="49" fontId="0" fillId="2" borderId="20" xfId="0" applyNumberFormat="1" applyFont="1" applyFill="1" applyBorder="1" applyAlignment="1" applyProtection="1">
      <alignment horizontal="center" vertical="center" wrapText="1"/>
      <protection hidden="1"/>
    </xf>
    <xf numFmtId="0" fontId="0" fillId="2" borderId="21" xfId="0" applyNumberFormat="1" applyFont="1" applyFill="1" applyBorder="1" applyAlignment="1" applyProtection="1">
      <alignment horizontal="center" vertical="center" wrapText="1"/>
      <protection hidden="1"/>
    </xf>
    <xf numFmtId="49" fontId="4" fillId="0" borderId="22" xfId="0" applyNumberFormat="1" applyFont="1" applyFill="1" applyBorder="1" applyAlignment="1" applyProtection="1">
      <alignment horizontal="center" vertical="center" wrapText="1"/>
      <protection locked="0"/>
    </xf>
    <xf numFmtId="49" fontId="4" fillId="0" borderId="23" xfId="0" applyNumberFormat="1" applyFont="1" applyFill="1" applyBorder="1" applyAlignment="1" applyProtection="1">
      <alignment horizontal="center" vertical="center" wrapText="1"/>
      <protection locked="0"/>
    </xf>
    <xf numFmtId="0" fontId="0" fillId="2" borderId="24" xfId="0" applyNumberFormat="1" applyFont="1" applyFill="1" applyBorder="1" applyAlignment="1" applyProtection="1">
      <alignment horizontal="center" vertical="center" wrapText="1"/>
      <protection hidden="1"/>
    </xf>
    <xf numFmtId="0" fontId="0" fillId="2" borderId="25" xfId="0" applyNumberFormat="1" applyFont="1" applyFill="1" applyBorder="1" applyAlignment="1" applyProtection="1">
      <alignment horizontal="center" vertical="center" wrapText="1"/>
      <protection hidden="1"/>
    </xf>
    <xf numFmtId="0" fontId="5" fillId="2" borderId="26" xfId="0" applyNumberFormat="1" applyFont="1" applyFill="1" applyBorder="1" applyAlignment="1" applyProtection="1">
      <alignment horizontal="center" vertical="center" wrapText="1"/>
      <protection hidden="1"/>
    </xf>
    <xf numFmtId="0" fontId="0" fillId="0" borderId="0" xfId="0" applyNumberFormat="1" applyAlignment="1" applyProtection="1">
      <alignment horizontal="center" vertical="center" wrapText="1"/>
    </xf>
    <xf numFmtId="0" fontId="4" fillId="3" borderId="27" xfId="0" applyNumberFormat="1" applyFont="1" applyFill="1" applyBorder="1" applyAlignment="1" applyProtection="1">
      <alignment horizontal="center" vertical="center" wrapText="1"/>
    </xf>
    <xf numFmtId="0" fontId="4" fillId="3" borderId="28" xfId="0" applyNumberFormat="1" applyFont="1" applyFill="1" applyBorder="1" applyAlignment="1" applyProtection="1">
      <alignment horizontal="center" vertical="center" wrapText="1"/>
    </xf>
    <xf numFmtId="0" fontId="4" fillId="3" borderId="29" xfId="0" applyNumberFormat="1" applyFont="1" applyFill="1" applyBorder="1" applyAlignment="1" applyProtection="1">
      <alignment horizontal="center" vertical="center" wrapText="1"/>
    </xf>
    <xf numFmtId="0" fontId="5" fillId="3" borderId="30" xfId="0" applyNumberFormat="1" applyFont="1" applyFill="1" applyBorder="1" applyAlignment="1" applyProtection="1">
      <alignment horizontal="center" vertical="center" wrapText="1"/>
    </xf>
    <xf numFmtId="0" fontId="5" fillId="0" borderId="0" xfId="0" applyNumberFormat="1" applyFont="1" applyBorder="1" applyAlignment="1" applyProtection="1">
      <alignment horizontal="center" vertical="center" wrapText="1"/>
      <protection hidden="1"/>
    </xf>
    <xf numFmtId="0" fontId="5" fillId="0" borderId="0" xfId="0" applyNumberFormat="1" applyFont="1" applyAlignment="1" applyProtection="1">
      <alignment horizontal="center" vertical="center" wrapText="1"/>
      <protection hidden="1"/>
    </xf>
    <xf numFmtId="0" fontId="6" fillId="0" borderId="0" xfId="0" applyNumberFormat="1" applyFont="1" applyAlignment="1" applyProtection="1">
      <alignment horizontal="center" vertical="center" wrapText="1"/>
      <protection hidden="1"/>
    </xf>
    <xf numFmtId="0" fontId="7" fillId="0" borderId="0" xfId="0" applyNumberFormat="1" applyFont="1" applyAlignment="1" applyProtection="1">
      <alignment horizontal="center" vertical="center" wrapText="1"/>
      <protection hidden="1"/>
    </xf>
    <xf numFmtId="0" fontId="8" fillId="0" borderId="0" xfId="0" applyNumberFormat="1" applyFont="1" applyAlignment="1" applyProtection="1">
      <alignment horizontal="center" vertical="center" wrapText="1"/>
      <protection hidden="1"/>
    </xf>
    <xf numFmtId="0" fontId="8" fillId="0" borderId="31" xfId="0" applyNumberFormat="1" applyFont="1" applyFill="1" applyBorder="1" applyAlignment="1" applyProtection="1">
      <alignment horizontal="right" vertical="center" wrapText="1"/>
      <protection hidden="1"/>
    </xf>
    <xf numFmtId="0" fontId="9" fillId="0" borderId="0" xfId="0" applyNumberFormat="1" applyFont="1" applyAlignment="1" applyProtection="1">
      <alignment horizontal="center" vertical="center"/>
    </xf>
    <xf numFmtId="0" fontId="5" fillId="3" borderId="32" xfId="0" applyNumberFormat="1" applyFont="1" applyFill="1" applyBorder="1" applyAlignment="1" applyProtection="1">
      <alignment horizontal="center" vertical="center"/>
    </xf>
    <xf numFmtId="0" fontId="9" fillId="2" borderId="33" xfId="0" applyNumberFormat="1" applyFont="1" applyFill="1" applyBorder="1" applyAlignment="1" applyProtection="1">
      <alignment horizontal="center" vertical="center"/>
    </xf>
    <xf numFmtId="0" fontId="0" fillId="2" borderId="33" xfId="0" applyNumberFormat="1" applyFill="1" applyBorder="1" applyAlignment="1" applyProtection="1">
      <alignment horizontal="center" vertical="center"/>
    </xf>
    <xf numFmtId="0" fontId="0" fillId="2" borderId="34" xfId="0" applyNumberFormat="1" applyFont="1" applyFill="1" applyBorder="1" applyAlignment="1" applyProtection="1">
      <alignment horizontal="center" vertical="center"/>
    </xf>
    <xf numFmtId="0" fontId="0" fillId="2" borderId="35" xfId="0" applyNumberFormat="1" applyFill="1" applyBorder="1" applyAlignment="1" applyProtection="1">
      <alignment horizontal="center" vertical="center"/>
    </xf>
    <xf numFmtId="0" fontId="0" fillId="0" borderId="25" xfId="0" applyNumberFormat="1" applyFont="1" applyBorder="1" applyAlignment="1" applyProtection="1">
      <alignment horizontal="center" vertical="center" wrapText="1"/>
      <protection locked="0"/>
    </xf>
    <xf numFmtId="0" fontId="0" fillId="0" borderId="25" xfId="0" applyNumberFormat="1" applyBorder="1" applyAlignment="1" applyProtection="1">
      <alignment horizontal="center" vertical="center" wrapText="1"/>
      <protection locked="0"/>
    </xf>
    <xf numFmtId="0" fontId="5" fillId="3" borderId="36"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center" vertical="center" shrinkToFit="1"/>
    </xf>
    <xf numFmtId="176" fontId="9" fillId="0" borderId="18" xfId="0" applyNumberFormat="1" applyFont="1" applyFill="1" applyBorder="1" applyAlignment="1" applyProtection="1">
      <alignment horizontal="center" vertical="center" shrinkToFit="1"/>
    </xf>
    <xf numFmtId="0" fontId="9" fillId="3" borderId="18" xfId="0" applyNumberFormat="1" applyFont="1" applyFill="1" applyBorder="1" applyAlignment="1" applyProtection="1">
      <alignment horizontal="center" vertical="center" shrinkToFit="1"/>
    </xf>
    <xf numFmtId="0" fontId="9" fillId="0" borderId="18" xfId="0" applyNumberFormat="1" applyFont="1" applyFill="1" applyBorder="1" applyAlignment="1" applyProtection="1">
      <alignment horizontal="center" vertical="center" shrinkToFit="1"/>
    </xf>
    <xf numFmtId="0" fontId="9" fillId="0" borderId="17" xfId="0" applyNumberFormat="1" applyFont="1" applyFill="1" applyBorder="1" applyAlignment="1" applyProtection="1">
      <alignment horizontal="center" vertical="center" shrinkToFit="1"/>
    </xf>
    <xf numFmtId="0" fontId="9" fillId="0" borderId="37" xfId="0" applyNumberFormat="1" applyFont="1" applyFill="1" applyBorder="1" applyAlignment="1" applyProtection="1">
      <alignment horizontal="center" vertical="center" shrinkToFit="1"/>
    </xf>
    <xf numFmtId="0" fontId="9" fillId="0" borderId="0" xfId="0" applyNumberFormat="1" applyFont="1" applyFill="1" applyBorder="1" applyAlignment="1" applyProtection="1">
      <alignment horizontal="center" vertical="center" shrinkToFit="1"/>
    </xf>
    <xf numFmtId="0" fontId="9" fillId="3" borderId="38" xfId="0" applyNumberFormat="1" applyFont="1" applyFill="1" applyBorder="1" applyAlignment="1" applyProtection="1">
      <alignment horizontal="center" vertical="center" shrinkToFit="1"/>
    </xf>
    <xf numFmtId="0" fontId="9" fillId="3" borderId="29" xfId="0" applyNumberFormat="1" applyFont="1" applyFill="1" applyBorder="1" applyAlignment="1" applyProtection="1">
      <alignment horizontal="center" vertical="center" shrinkToFit="1"/>
    </xf>
    <xf numFmtId="0" fontId="9" fillId="3" borderId="27" xfId="0" applyNumberFormat="1" applyFont="1" applyFill="1" applyBorder="1" applyAlignment="1" applyProtection="1">
      <alignment horizontal="center" vertical="center" shrinkToFit="1"/>
    </xf>
    <xf numFmtId="0" fontId="9" fillId="2" borderId="20" xfId="0" applyNumberFormat="1" applyFont="1" applyFill="1" applyBorder="1" applyAlignment="1" applyProtection="1">
      <alignment horizontal="center" vertical="center" shrinkToFit="1"/>
    </xf>
    <xf numFmtId="0" fontId="9" fillId="2" borderId="36" xfId="0" applyNumberFormat="1" applyFont="1" applyFill="1" applyBorder="1" applyAlignment="1" applyProtection="1">
      <alignment horizontal="center" vertical="center" shrinkToFit="1"/>
    </xf>
    <xf numFmtId="0" fontId="9" fillId="2" borderId="39" xfId="0" applyNumberFormat="1" applyFont="1" applyFill="1" applyBorder="1" applyAlignment="1" applyProtection="1">
      <alignment horizontal="center" vertical="center" shrinkToFit="1"/>
    </xf>
    <xf numFmtId="0" fontId="9" fillId="2" borderId="40" xfId="0" applyNumberFormat="1" applyFont="1" applyFill="1" applyBorder="1" applyAlignment="1" applyProtection="1">
      <alignment horizontal="center" vertical="center" shrinkToFit="1"/>
    </xf>
    <xf numFmtId="0" fontId="9" fillId="2" borderId="41" xfId="0" applyNumberFormat="1" applyFont="1" applyFill="1" applyBorder="1" applyAlignment="1" applyProtection="1">
      <alignment horizontal="center" vertical="center" shrinkToFit="1"/>
    </xf>
    <xf numFmtId="0" fontId="9" fillId="0" borderId="23" xfId="0" applyNumberFormat="1" applyFont="1" applyFill="1" applyBorder="1" applyAlignment="1" applyProtection="1">
      <alignment horizontal="center" vertical="center" shrinkToFit="1"/>
      <protection locked="0"/>
    </xf>
    <xf numFmtId="0" fontId="9" fillId="0" borderId="21" xfId="0" applyNumberFormat="1" applyFont="1" applyFill="1" applyBorder="1" applyAlignment="1" applyProtection="1">
      <alignment horizontal="center" vertical="center" shrinkToFit="1"/>
      <protection locked="0"/>
    </xf>
    <xf numFmtId="0" fontId="9" fillId="0" borderId="25" xfId="0" applyNumberFormat="1" applyFont="1" applyFill="1" applyBorder="1" applyAlignment="1" applyProtection="1">
      <alignment horizontal="center" vertical="center" shrinkToFit="1"/>
      <protection locked="0"/>
    </xf>
    <xf numFmtId="0" fontId="9" fillId="0" borderId="35" xfId="0" applyNumberFormat="1" applyFont="1" applyFill="1" applyBorder="1" applyAlignment="1" applyProtection="1">
      <alignment horizontal="center" vertical="center" shrinkToFit="1"/>
      <protection locked="0"/>
    </xf>
    <xf numFmtId="49" fontId="4" fillId="0" borderId="23" xfId="0" applyNumberFormat="1" applyFont="1" applyFill="1" applyBorder="1" applyAlignment="1" applyProtection="1">
      <alignment horizontal="center" vertical="center" wrapText="1"/>
    </xf>
    <xf numFmtId="0" fontId="5" fillId="0" borderId="31" xfId="0" applyNumberFormat="1" applyFont="1" applyBorder="1" applyAlignment="1" applyProtection="1">
      <alignment horizontal="center" vertical="center"/>
    </xf>
    <xf numFmtId="0" fontId="5" fillId="0" borderId="0" xfId="0" applyNumberFormat="1" applyFont="1" applyBorder="1" applyAlignment="1" applyProtection="1">
      <alignment horizontal="left" vertical="center"/>
    </xf>
    <xf numFmtId="49" fontId="0" fillId="0" borderId="20" xfId="0" applyNumberFormat="1" applyFont="1" applyFill="1" applyBorder="1" applyAlignment="1" applyProtection="1">
      <alignment horizontal="center" vertical="center" wrapText="1"/>
      <protection hidden="1"/>
    </xf>
    <xf numFmtId="49" fontId="0" fillId="0" borderId="36" xfId="0" applyNumberFormat="1" applyFont="1" applyFill="1" applyBorder="1" applyAlignment="1" applyProtection="1">
      <alignment horizontal="center" vertical="center" wrapText="1"/>
      <protection hidden="1"/>
    </xf>
    <xf numFmtId="0" fontId="4" fillId="3" borderId="38" xfId="0" applyNumberFormat="1" applyFont="1" applyFill="1" applyBorder="1" applyAlignment="1" applyProtection="1">
      <alignment horizontal="center" vertical="center" wrapText="1"/>
      <protection hidden="1"/>
    </xf>
    <xf numFmtId="0" fontId="4" fillId="3" borderId="29" xfId="0" applyNumberFormat="1" applyFont="1" applyFill="1" applyBorder="1" applyAlignment="1" applyProtection="1">
      <alignment horizontal="center" vertical="center" wrapText="1"/>
      <protection hidden="1"/>
    </xf>
    <xf numFmtId="0" fontId="5" fillId="3" borderId="27" xfId="0" applyNumberFormat="1" applyFont="1" applyFill="1" applyBorder="1" applyAlignment="1" applyProtection="1">
      <alignment horizontal="center" vertical="center" wrapText="1"/>
      <protection hidden="1"/>
    </xf>
    <xf numFmtId="0" fontId="0" fillId="0" borderId="23" xfId="0" applyNumberFormat="1" applyFont="1" applyFill="1" applyBorder="1" applyAlignment="1" applyProtection="1">
      <alignment horizontal="center" vertical="center" wrapText="1"/>
      <protection hidden="1"/>
    </xf>
    <xf numFmtId="0" fontId="0" fillId="0" borderId="21" xfId="0" applyNumberFormat="1" applyFont="1" applyFill="1" applyBorder="1" applyAlignment="1" applyProtection="1">
      <alignment horizontal="left" vertical="center" wrapText="1"/>
      <protection hidden="1"/>
    </xf>
    <xf numFmtId="0" fontId="0" fillId="0" borderId="21" xfId="0" applyNumberFormat="1" applyFont="1" applyFill="1" applyBorder="1" applyAlignment="1" applyProtection="1">
      <alignment horizontal="left" vertical="center" wrapText="1"/>
      <protection hidden="1"/>
    </xf>
    <xf numFmtId="0" fontId="0" fillId="0" borderId="25" xfId="0" applyNumberFormat="1" applyFont="1" applyFill="1" applyBorder="1" applyAlignment="1" applyProtection="1">
      <alignment horizontal="center" vertical="center" wrapText="1"/>
      <protection hidden="1"/>
    </xf>
    <xf numFmtId="0" fontId="0" fillId="0" borderId="35" xfId="0" applyNumberFormat="1" applyFont="1" applyFill="1" applyBorder="1" applyAlignment="1" applyProtection="1">
      <alignment horizontal="left" vertical="center" wrapText="1"/>
      <protection hidden="1"/>
    </xf>
    <xf numFmtId="0" fontId="4" fillId="3" borderId="38" xfId="0" applyNumberFormat="1" applyFont="1" applyFill="1" applyBorder="1" applyAlignment="1" applyProtection="1">
      <alignment horizontal="center" vertical="center" wrapText="1"/>
      <protection locked="0"/>
    </xf>
    <xf numFmtId="0" fontId="5" fillId="3" borderId="36" xfId="0" applyNumberFormat="1" applyFont="1" applyFill="1" applyBorder="1" applyAlignment="1" applyProtection="1">
      <alignment horizontal="center" vertical="center"/>
    </xf>
    <xf numFmtId="0" fontId="5" fillId="3" borderId="25" xfId="0" applyNumberFormat="1" applyFont="1" applyFill="1" applyBorder="1" applyAlignment="1" applyProtection="1">
      <alignment horizontal="center" vertical="center"/>
    </xf>
    <xf numFmtId="0" fontId="5" fillId="3" borderId="20" xfId="0" applyNumberFormat="1" applyFont="1" applyFill="1" applyBorder="1" applyAlignment="1" applyProtection="1">
      <alignment horizontal="center" vertical="center"/>
    </xf>
    <xf numFmtId="0" fontId="5" fillId="3" borderId="23" xfId="0" applyNumberFormat="1" applyFont="1" applyFill="1" applyBorder="1" applyAlignment="1" applyProtection="1">
      <alignment horizontal="center" vertical="center"/>
    </xf>
    <xf numFmtId="0" fontId="5" fillId="3" borderId="32" xfId="0" applyNumberFormat="1" applyFont="1" applyFill="1" applyBorder="1" applyAlignment="1" applyProtection="1">
      <alignment horizontal="center" vertical="center"/>
    </xf>
    <xf numFmtId="0" fontId="5" fillId="3" borderId="33" xfId="0" applyNumberFormat="1" applyFont="1" applyFill="1" applyBorder="1" applyAlignment="1" applyProtection="1">
      <alignment horizontal="center" vertical="center"/>
    </xf>
    <xf numFmtId="0" fontId="9" fillId="0" borderId="50" xfId="0" applyNumberFormat="1" applyFont="1" applyFill="1" applyBorder="1" applyAlignment="1" applyProtection="1">
      <alignment horizontal="center" vertical="center"/>
      <protection locked="0"/>
    </xf>
    <xf numFmtId="0" fontId="9" fillId="0" borderId="51" xfId="0" applyNumberFormat="1" applyFont="1" applyFill="1" applyBorder="1" applyAlignment="1" applyProtection="1">
      <alignment horizontal="center" vertical="center"/>
      <protection locked="0"/>
    </xf>
    <xf numFmtId="0" fontId="11" fillId="0" borderId="0" xfId="0" applyNumberFormat="1" applyFont="1" applyFill="1" applyBorder="1" applyAlignment="1" applyProtection="1">
      <alignment horizontal="center" vertical="center"/>
    </xf>
    <xf numFmtId="0" fontId="12" fillId="0" borderId="31" xfId="0" applyNumberFormat="1" applyFont="1" applyBorder="1" applyAlignment="1" applyProtection="1">
      <alignment horizontal="right" vertical="center"/>
    </xf>
    <xf numFmtId="0" fontId="5" fillId="3" borderId="48" xfId="0" applyNumberFormat="1" applyFont="1" applyFill="1" applyBorder="1" applyAlignment="1" applyProtection="1">
      <alignment horizontal="center" vertical="center"/>
    </xf>
    <xf numFmtId="0" fontId="5" fillId="3" borderId="49" xfId="0" applyNumberFormat="1" applyFont="1" applyFill="1" applyBorder="1" applyAlignment="1" applyProtection="1">
      <alignment horizontal="center" vertical="center"/>
    </xf>
    <xf numFmtId="0" fontId="9" fillId="0" borderId="33" xfId="0" applyNumberFormat="1" applyFont="1" applyBorder="1" applyAlignment="1" applyProtection="1">
      <alignment horizontal="center" vertical="center"/>
      <protection locked="0"/>
    </xf>
    <xf numFmtId="0" fontId="9" fillId="0" borderId="34" xfId="0" applyNumberFormat="1" applyFont="1" applyBorder="1" applyAlignment="1" applyProtection="1">
      <alignment horizontal="center" vertical="center"/>
      <protection locked="0"/>
    </xf>
    <xf numFmtId="0" fontId="9" fillId="2" borderId="23" xfId="0" applyNumberFormat="1" applyFont="1" applyFill="1" applyBorder="1" applyAlignment="1" applyProtection="1">
      <alignment horizontal="center" vertical="center"/>
    </xf>
    <xf numFmtId="0" fontId="9" fillId="2" borderId="21" xfId="0" applyNumberFormat="1" applyFont="1" applyFill="1" applyBorder="1" applyAlignment="1" applyProtection="1">
      <alignment horizontal="center" vertical="center"/>
    </xf>
    <xf numFmtId="0" fontId="9" fillId="0" borderId="23" xfId="0" applyNumberFormat="1" applyFont="1" applyBorder="1" applyAlignment="1" applyProtection="1">
      <alignment horizontal="center" vertical="center"/>
      <protection locked="0"/>
    </xf>
    <xf numFmtId="0" fontId="9" fillId="0" borderId="21" xfId="0" applyNumberFormat="1" applyFont="1" applyBorder="1" applyAlignment="1" applyProtection="1">
      <alignment horizontal="center" vertical="center"/>
      <protection locked="0"/>
    </xf>
    <xf numFmtId="0" fontId="9" fillId="0" borderId="25" xfId="0" applyNumberFormat="1" applyFont="1" applyBorder="1" applyAlignment="1" applyProtection="1">
      <alignment horizontal="center" vertical="center"/>
      <protection locked="0"/>
    </xf>
    <xf numFmtId="0" fontId="9" fillId="0" borderId="35" xfId="0" applyNumberFormat="1" applyFont="1" applyBorder="1" applyAlignment="1" applyProtection="1">
      <alignment horizontal="center" vertical="center"/>
      <protection locked="0"/>
    </xf>
    <xf numFmtId="0" fontId="9" fillId="0" borderId="42" xfId="0" applyNumberFormat="1" applyFont="1" applyBorder="1" applyAlignment="1" applyProtection="1">
      <alignment horizontal="left" vertical="center"/>
      <protection locked="0"/>
    </xf>
    <xf numFmtId="0" fontId="9" fillId="0" borderId="43" xfId="0" applyNumberFormat="1" applyFont="1" applyBorder="1" applyAlignment="1" applyProtection="1">
      <alignment horizontal="left" vertical="center"/>
      <protection locked="0"/>
    </xf>
    <xf numFmtId="0" fontId="9" fillId="0" borderId="19" xfId="0" applyNumberFormat="1" applyFont="1" applyBorder="1" applyAlignment="1" applyProtection="1">
      <alignment horizontal="left" vertical="center"/>
      <protection locked="0"/>
    </xf>
    <xf numFmtId="0" fontId="9" fillId="0" borderId="44" xfId="0" applyNumberFormat="1" applyFont="1" applyFill="1" applyBorder="1" applyAlignment="1" applyProtection="1">
      <alignment horizontal="center" vertical="center"/>
      <protection locked="0"/>
    </xf>
    <xf numFmtId="0" fontId="9" fillId="0" borderId="45" xfId="0" applyNumberFormat="1" applyFont="1" applyFill="1" applyBorder="1" applyAlignment="1" applyProtection="1">
      <alignment horizontal="center" vertical="center"/>
      <protection locked="0"/>
    </xf>
    <xf numFmtId="0" fontId="9" fillId="2" borderId="46" xfId="0" applyNumberFormat="1" applyFont="1" applyFill="1" applyBorder="1" applyAlignment="1" applyProtection="1">
      <alignment horizontal="center" vertical="center"/>
    </xf>
    <xf numFmtId="0" fontId="9" fillId="2" borderId="47" xfId="0" applyNumberFormat="1" applyFont="1" applyFill="1" applyBorder="1" applyAlignment="1" applyProtection="1">
      <alignment horizontal="center" vertical="center"/>
    </xf>
    <xf numFmtId="0" fontId="13" fillId="0" borderId="0" xfId="0" applyNumberFormat="1" applyFont="1" applyFill="1" applyBorder="1" applyAlignment="1" applyProtection="1">
      <alignment horizontal="center" vertical="center"/>
    </xf>
    <xf numFmtId="0" fontId="12" fillId="0" borderId="31" xfId="0" applyNumberFormat="1" applyFont="1" applyFill="1" applyBorder="1" applyAlignment="1" applyProtection="1">
      <alignment horizontal="right" vertical="center"/>
    </xf>
    <xf numFmtId="0" fontId="12" fillId="0" borderId="0" xfId="0" applyNumberFormat="1" applyFont="1" applyFill="1" applyBorder="1" applyAlignment="1" applyProtection="1">
      <alignment horizontal="right" vertical="center"/>
    </xf>
    <xf numFmtId="0" fontId="9" fillId="0" borderId="0" xfId="0" applyNumberFormat="1" applyFont="1" applyFill="1" applyBorder="1" applyAlignment="1" applyProtection="1">
      <alignment horizontal="center" vertical="center" shrinkToFit="1"/>
    </xf>
    <xf numFmtId="0" fontId="9" fillId="0" borderId="52" xfId="0" applyNumberFormat="1" applyFont="1" applyFill="1" applyBorder="1" applyAlignment="1" applyProtection="1">
      <alignment horizontal="center" vertical="center" shrinkToFit="1"/>
    </xf>
    <xf numFmtId="0" fontId="9" fillId="0" borderId="18" xfId="0" applyNumberFormat="1" applyFont="1" applyFill="1" applyBorder="1" applyAlignment="1" applyProtection="1">
      <alignment horizontal="center" vertical="center" shrinkToFit="1"/>
    </xf>
    <xf numFmtId="0" fontId="9" fillId="0" borderId="17" xfId="0" applyNumberFormat="1" applyFont="1" applyFill="1" applyBorder="1" applyAlignment="1" applyProtection="1">
      <alignment horizontal="center" vertical="center" shrinkToFit="1"/>
    </xf>
    <xf numFmtId="49" fontId="9" fillId="0" borderId="55" xfId="0" applyNumberFormat="1" applyFont="1" applyBorder="1" applyAlignment="1" applyProtection="1">
      <alignment horizontal="center" vertical="center" wrapText="1"/>
      <protection locked="0"/>
    </xf>
    <xf numFmtId="49" fontId="9" fillId="0" borderId="57" xfId="0" applyNumberFormat="1" applyFont="1" applyBorder="1" applyAlignment="1" applyProtection="1">
      <alignment horizontal="center" vertical="center" wrapText="1"/>
      <protection locked="0"/>
    </xf>
    <xf numFmtId="0" fontId="1" fillId="2" borderId="53" xfId="0" applyNumberFormat="1" applyFont="1" applyFill="1" applyBorder="1" applyAlignment="1" applyProtection="1">
      <alignment horizontal="center" vertical="center"/>
    </xf>
    <xf numFmtId="0" fontId="1" fillId="2" borderId="54" xfId="0" applyNumberFormat="1" applyFont="1" applyFill="1" applyBorder="1" applyAlignment="1" applyProtection="1">
      <alignment horizontal="center" vertical="center"/>
    </xf>
    <xf numFmtId="49" fontId="9" fillId="0" borderId="56" xfId="0" applyNumberFormat="1" applyFont="1" applyBorder="1" applyAlignment="1" applyProtection="1">
      <alignment horizontal="center" vertical="center" wrapText="1"/>
      <protection locked="0"/>
    </xf>
    <xf numFmtId="0" fontId="10" fillId="0" borderId="0" xfId="0" applyNumberFormat="1" applyFont="1" applyAlignment="1" applyProtection="1">
      <alignment horizontal="center" vertical="top"/>
    </xf>
    <xf numFmtId="0" fontId="5" fillId="0" borderId="31" xfId="0" applyNumberFormat="1" applyFont="1" applyBorder="1" applyAlignment="1" applyProtection="1">
      <alignment horizontal="left" vertical="center"/>
    </xf>
    <xf numFmtId="49" fontId="9" fillId="0" borderId="58" xfId="0" applyNumberFormat="1" applyFont="1" applyBorder="1" applyAlignment="1" applyProtection="1">
      <alignment horizontal="center" vertical="center" wrapText="1"/>
      <protection locked="0"/>
    </xf>
    <xf numFmtId="49" fontId="9" fillId="0" borderId="55" xfId="0" applyNumberFormat="1" applyFont="1" applyFill="1" applyBorder="1" applyAlignment="1" applyProtection="1">
      <alignment horizontal="center" vertical="center" wrapText="1"/>
      <protection locked="0"/>
    </xf>
    <xf numFmtId="0" fontId="10" fillId="0" borderId="0" xfId="0" applyNumberFormat="1" applyFont="1" applyAlignment="1" applyProtection="1">
      <alignment horizontal="center" vertical="center" wrapText="1"/>
      <protection hidden="1"/>
    </xf>
    <xf numFmtId="0" fontId="8" fillId="0" borderId="31" xfId="0" applyNumberFormat="1" applyFont="1" applyBorder="1" applyAlignment="1" applyProtection="1">
      <alignment horizontal="left" vertical="center" wrapText="1"/>
      <protection hidden="1"/>
    </xf>
    <xf numFmtId="0" fontId="8" fillId="0" borderId="31" xfId="0" applyNumberFormat="1" applyFont="1" applyBorder="1" applyAlignment="1" applyProtection="1">
      <alignment horizontal="center" vertical="center" wrapText="1"/>
      <protection hidden="1"/>
    </xf>
    <xf numFmtId="0" fontId="0" fillId="2" borderId="36" xfId="0" applyNumberFormat="1" applyFont="1" applyFill="1" applyBorder="1" applyAlignment="1" applyProtection="1">
      <alignment horizontal="center" vertical="center" wrapText="1"/>
      <protection hidden="1"/>
    </xf>
    <xf numFmtId="0" fontId="0" fillId="2" borderId="35" xfId="0" applyNumberFormat="1" applyFont="1" applyFill="1" applyBorder="1" applyAlignment="1" applyProtection="1">
      <alignment horizontal="center" vertical="center" wrapText="1"/>
      <protection hidden="1"/>
    </xf>
    <xf numFmtId="0" fontId="5" fillId="0" borderId="31" xfId="0" applyNumberFormat="1" applyFont="1" applyBorder="1" applyAlignment="1" applyProtection="1">
      <alignment horizontal="left" vertical="center" wrapText="1"/>
      <protection hidden="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5</xdr:col>
      <xdr:colOff>409575</xdr:colOff>
      <xdr:row>2</xdr:row>
      <xdr:rowOff>28575</xdr:rowOff>
    </xdr:from>
    <xdr:to>
      <xdr:col>11</xdr:col>
      <xdr:colOff>542925</xdr:colOff>
      <xdr:row>2</xdr:row>
      <xdr:rowOff>428625</xdr:rowOff>
    </xdr:to>
    <xdr:sp macro="초기화" textlink="">
      <xdr:nvSpPr>
        <xdr:cNvPr id="2" name="직사각형 1">
          <a:extLst>
            <a:ext uri="{FF2B5EF4-FFF2-40B4-BE49-F238E27FC236}">
              <a16:creationId xmlns:a16="http://schemas.microsoft.com/office/drawing/2014/main" id="{00000000-0008-0000-0000-000002000000}"/>
            </a:ext>
          </a:extLst>
        </xdr:cNvPr>
        <xdr:cNvSpPr>
          <a:spLocks noRot="1"/>
        </xdr:cNvSpPr>
      </xdr:nvSpPr>
      <xdr:spPr>
        <a:xfrm>
          <a:off x="3295650" y="781050"/>
          <a:ext cx="3676650" cy="400050"/>
        </a:xfrm>
        <a:prstGeom prst="rect">
          <a:avLst/>
        </a:prstGeom>
        <a:solidFill>
          <a:srgbClr val="FFFF00"/>
        </a:solidFill>
        <a:ln w="6350">
          <a:solidFill>
            <a:schemeClr val="tx1"/>
          </a:solidFill>
        </a:ln>
        <a:effectLst>
          <a:glow rad="635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0" tIns="0" rIns="0" bIns="0" anchor="ctr"/>
        <a:lstStyle/>
        <a:p>
          <a:pPr algn="ctr">
            <a:lnSpc>
              <a:spcPct val="100000"/>
            </a:lnSpc>
          </a:pPr>
          <a:r>
            <a:rPr sz="1800">
              <a:solidFill>
                <a:srgbClr val="000000"/>
              </a:solidFill>
              <a:latin typeface="HY헤드라인M"/>
              <a:ea typeface="HY헤드라인M"/>
            </a:rPr>
            <a:t>초안 만들기</a:t>
          </a:r>
          <a:r>
            <a:rPr sz="1100">
              <a:solidFill>
                <a:srgbClr val="FF0000"/>
              </a:solidFill>
              <a:latin typeface="맑은 고딕"/>
              <a:ea typeface="맑은 고딕"/>
            </a:rPr>
            <a:t>[평가를 위한 학급 시트를 만듭니다.]</a:t>
          </a:r>
        </a:p>
      </xdr:txBody>
    </xdr:sp>
    <xdr:clientData fPrintsWithSheet="0"/>
  </xdr:twoCellAnchor>
  <xdr:twoCellAnchor editAs="absolute">
    <xdr:from>
      <xdr:col>0</xdr:col>
      <xdr:colOff>247649</xdr:colOff>
      <xdr:row>9</xdr:row>
      <xdr:rowOff>190500</xdr:rowOff>
    </xdr:from>
    <xdr:to>
      <xdr:col>16</xdr:col>
      <xdr:colOff>0</xdr:colOff>
      <xdr:row>29</xdr:row>
      <xdr:rowOff>161925</xdr:rowOff>
    </xdr:to>
    <xdr:sp macro="" textlink="">
      <xdr:nvSpPr>
        <xdr:cNvPr id="3" name="직사각형 2">
          <a:extLst>
            <a:ext uri="{FF2B5EF4-FFF2-40B4-BE49-F238E27FC236}">
              <a16:creationId xmlns:a16="http://schemas.microsoft.com/office/drawing/2014/main" id="{00000000-0008-0000-0000-000003000000}"/>
            </a:ext>
          </a:extLst>
        </xdr:cNvPr>
        <xdr:cNvSpPr>
          <a:spLocks noRot="1"/>
        </xdr:cNvSpPr>
      </xdr:nvSpPr>
      <xdr:spPr>
        <a:xfrm>
          <a:off x="247649" y="3857625"/>
          <a:ext cx="9134476" cy="4162425"/>
        </a:xfrm>
        <a:prstGeom prst="rect">
          <a:avLst/>
        </a:prstGeom>
        <a:solidFill>
          <a:schemeClr val="bg1"/>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 </a:t>
          </a:r>
          <a:r>
            <a:rPr sz="1100">
              <a:solidFill>
                <a:srgbClr val="000000"/>
              </a:solidFill>
              <a:latin typeface="맑은 고딕"/>
              <a:ea typeface="맑은 고딕"/>
            </a:rPr>
            <a:t>자유학기 또는 교과세부 특이사항 등을 입력하기 위해  평가 영역별 성취도에 따라 입력 예시문을 만들어 주는 도우미 입니다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a:t>
          </a:r>
          <a:r>
            <a:rPr sz="1100">
              <a:solidFill>
                <a:srgbClr val="000000"/>
              </a:solidFill>
              <a:latin typeface="맑은 고딕"/>
              <a:ea typeface="맑은 고딕"/>
            </a:rPr>
            <a:t>최대 </a:t>
          </a:r>
          <a:r>
            <a:rPr sz="1100">
              <a:solidFill>
                <a:srgbClr val="000000"/>
              </a:solidFill>
              <a:latin typeface="Calibri"/>
              <a:ea typeface="Calibri"/>
            </a:rPr>
            <a:t>13</a:t>
          </a:r>
          <a:r>
            <a:rPr sz="1100">
              <a:solidFill>
                <a:srgbClr val="000000"/>
              </a:solidFill>
              <a:latin typeface="맑은 고딕"/>
              <a:ea typeface="맑은 고딕"/>
            </a:rPr>
            <a:t>학급까지 사용할 수 있으며</a:t>
          </a:r>
          <a:r>
            <a:rPr sz="1100">
              <a:solidFill>
                <a:srgbClr val="000000"/>
              </a:solidFill>
              <a:latin typeface="Calibri"/>
              <a:ea typeface="Calibri"/>
            </a:rPr>
            <a:t>, </a:t>
          </a:r>
          <a:r>
            <a:rPr sz="1100">
              <a:solidFill>
                <a:srgbClr val="000000"/>
              </a:solidFill>
              <a:latin typeface="맑은 고딕"/>
              <a:ea typeface="맑은 고딕"/>
            </a:rPr>
            <a:t>각  학급 이름과 같은 시트를 만들어 사용할 수 있습니다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20</a:t>
          </a:r>
          <a:r>
            <a:rPr sz="1100">
              <a:solidFill>
                <a:srgbClr val="000000"/>
              </a:solidFill>
              <a:latin typeface="맑은 고딕"/>
              <a:ea typeface="맑은 고딕"/>
            </a:rPr>
            <a:t>개의 평가영역</a:t>
          </a:r>
          <a:r>
            <a:rPr sz="1100">
              <a:solidFill>
                <a:srgbClr val="000000"/>
              </a:solidFill>
              <a:latin typeface="Calibri"/>
              <a:ea typeface="Calibri"/>
            </a:rPr>
            <a:t>, </a:t>
          </a:r>
          <a:r>
            <a:rPr sz="1100">
              <a:solidFill>
                <a:srgbClr val="000000"/>
              </a:solidFill>
              <a:latin typeface="맑은 고딕"/>
              <a:ea typeface="맑은 고딕"/>
            </a:rPr>
            <a:t>평가영역별 </a:t>
          </a:r>
          <a:r>
            <a:rPr sz="1100">
              <a:solidFill>
                <a:srgbClr val="000000"/>
              </a:solidFill>
              <a:latin typeface="Calibri"/>
              <a:ea typeface="Calibri"/>
            </a:rPr>
            <a:t>5</a:t>
          </a:r>
          <a:r>
            <a:rPr sz="1100">
              <a:solidFill>
                <a:srgbClr val="000000"/>
              </a:solidFill>
              <a:latin typeface="맑은 고딕"/>
              <a:ea typeface="맑은 고딕"/>
            </a:rPr>
            <a:t>등급의 성취도로 평가할 수 있습니다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a:t>
          </a:r>
          <a:r>
            <a:rPr sz="1100" b="1">
              <a:solidFill>
                <a:srgbClr val="000000"/>
              </a:solidFill>
              <a:latin typeface="맑은 고딕"/>
              <a:ea typeface="맑은 고딕"/>
            </a:rPr>
            <a:t>사용법 </a:t>
          </a:r>
          <a:r>
            <a:rPr sz="1100" b="1">
              <a:solidFill>
                <a:srgbClr val="000000"/>
              </a:solidFill>
              <a:latin typeface="Calibri"/>
              <a:ea typeface="Calibri"/>
            </a:rPr>
            <a:t>:</a:t>
          </a:r>
        </a:p>
        <a:p>
          <a:pPr algn="l">
            <a:lnSpc>
              <a:spcPct val="100000"/>
            </a:lnSpc>
          </a:pPr>
          <a:r>
            <a:rPr sz="1100">
              <a:solidFill>
                <a:srgbClr val="000000"/>
              </a:solidFill>
              <a:latin typeface="Calibri"/>
              <a:ea typeface="Calibri"/>
            </a:rPr>
            <a:t>   1. </a:t>
          </a:r>
          <a:r>
            <a:rPr sz="1100">
              <a:solidFill>
                <a:srgbClr val="000000"/>
              </a:solidFill>
              <a:latin typeface="맑은 고딕"/>
              <a:ea typeface="맑은 고딕"/>
            </a:rPr>
            <a:t>기본설정에 필요한 자료을 입력합니다</a:t>
          </a:r>
          <a:r>
            <a:rPr sz="1100">
              <a:solidFill>
                <a:srgbClr val="000000"/>
              </a:solidFill>
              <a:latin typeface="Calibri"/>
              <a:ea typeface="Calibri"/>
            </a:rPr>
            <a:t>. "</a:t>
          </a:r>
          <a:r>
            <a:rPr sz="1100">
              <a:solidFill>
                <a:srgbClr val="000000"/>
              </a:solidFill>
              <a:latin typeface="맑은 고딕"/>
              <a:ea typeface="맑은 고딕"/>
            </a:rPr>
            <a:t>학급이름</a:t>
          </a:r>
          <a:r>
            <a:rPr sz="1100">
              <a:solidFill>
                <a:srgbClr val="000000"/>
              </a:solidFill>
              <a:latin typeface="Calibri"/>
              <a:ea typeface="Calibri"/>
            </a:rPr>
            <a:t>"</a:t>
          </a:r>
          <a:r>
            <a:rPr sz="1100">
              <a:solidFill>
                <a:srgbClr val="000000"/>
              </a:solidFill>
              <a:latin typeface="맑은 고딕"/>
              <a:ea typeface="맑은 고딕"/>
            </a:rPr>
            <a:t>은 당당하는 학급의 이름을 순서데로 입력하면 학급이름에 맞는 시트를 만들어 줍니다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2.  </a:t>
          </a:r>
          <a:r>
            <a:rPr sz="1100" b="1">
              <a:solidFill>
                <a:srgbClr val="FF0000"/>
              </a:solidFill>
              <a:latin typeface="Calibri"/>
              <a:ea typeface="Calibri"/>
            </a:rPr>
            <a:t>[</a:t>
          </a:r>
          <a:r>
            <a:rPr sz="1100" b="1">
              <a:solidFill>
                <a:srgbClr val="FF0000"/>
              </a:solidFill>
              <a:latin typeface="맑은 고딕"/>
              <a:ea typeface="맑은 고딕"/>
            </a:rPr>
            <a:t>초안만들기</a:t>
          </a:r>
          <a:r>
            <a:rPr sz="1100" b="1">
              <a:solidFill>
                <a:srgbClr val="FF0000"/>
              </a:solidFill>
              <a:latin typeface="Calibri"/>
              <a:ea typeface="Calibri"/>
            </a:rPr>
            <a:t>]  </a:t>
          </a:r>
          <a:r>
            <a:rPr sz="1100">
              <a:solidFill>
                <a:srgbClr val="000000"/>
              </a:solidFill>
              <a:latin typeface="맑은 고딕"/>
              <a:ea typeface="맑은 고딕"/>
            </a:rPr>
            <a:t>기본 자료를 입력한 후 노란색의 초안 만들기 번튼을 클릭합니다</a:t>
          </a:r>
          <a:r>
            <a:rPr sz="1100">
              <a:solidFill>
                <a:srgbClr val="000000"/>
              </a:solidFill>
              <a:latin typeface="Calibri"/>
              <a:ea typeface="Calibri"/>
            </a:rPr>
            <a:t>.(</a:t>
          </a:r>
          <a:r>
            <a:rPr sz="1100">
              <a:solidFill>
                <a:srgbClr val="000000"/>
              </a:solidFill>
              <a:latin typeface="맑은 고딕"/>
              <a:ea typeface="맑은 고딕"/>
            </a:rPr>
            <a:t>담담학급의 시트와 영역을 자동으로 만들어 줍니다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3</a:t>
          </a:r>
          <a:r>
            <a:rPr sz="1100" b="1">
              <a:solidFill>
                <a:srgbClr val="FF0000"/>
              </a:solidFill>
              <a:latin typeface="Calibri"/>
              <a:ea typeface="Calibri"/>
            </a:rPr>
            <a:t>.  [</a:t>
          </a:r>
          <a:r>
            <a:rPr sz="1100" b="1">
              <a:solidFill>
                <a:srgbClr val="FF0000"/>
              </a:solidFill>
              <a:latin typeface="맑은 고딕"/>
              <a:ea typeface="맑은 고딕"/>
            </a:rPr>
            <a:t>명렬표 시트</a:t>
          </a:r>
          <a:r>
            <a:rPr sz="1100" b="1">
              <a:solidFill>
                <a:srgbClr val="FF0000"/>
              </a:solidFill>
              <a:latin typeface="Calibri"/>
              <a:ea typeface="Calibri"/>
            </a:rPr>
            <a:t>]</a:t>
          </a:r>
          <a:r>
            <a:rPr sz="1100">
              <a:solidFill>
                <a:srgbClr val="000000"/>
              </a:solidFill>
              <a:latin typeface="맑은 고딕"/>
              <a:ea typeface="맑은 고딕"/>
            </a:rPr>
            <a:t>에 해당 학급의 학생 이름을 입력합니다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4.  </a:t>
          </a:r>
          <a:r>
            <a:rPr sz="1100" b="1">
              <a:solidFill>
                <a:srgbClr val="FF0000"/>
              </a:solidFill>
              <a:latin typeface="Calibri"/>
              <a:ea typeface="Calibri"/>
            </a:rPr>
            <a:t>[</a:t>
          </a:r>
          <a:r>
            <a:rPr sz="1100" b="1">
              <a:solidFill>
                <a:srgbClr val="FF0000"/>
              </a:solidFill>
              <a:latin typeface="맑은 고딕"/>
              <a:ea typeface="맑은 고딕"/>
            </a:rPr>
            <a:t>성취기준</a:t>
          </a:r>
          <a:r>
            <a:rPr sz="1100" b="1">
              <a:solidFill>
                <a:srgbClr val="FF0000"/>
              </a:solidFill>
              <a:latin typeface="Calibri"/>
              <a:ea typeface="Calibri"/>
            </a:rPr>
            <a:t>]</a:t>
          </a:r>
          <a:r>
            <a:rPr sz="1100" b="1">
              <a:solidFill>
                <a:srgbClr val="FF0000"/>
              </a:solidFill>
              <a:latin typeface="맑은 고딕"/>
              <a:ea typeface="맑은 고딕"/>
            </a:rPr>
            <a:t> </a:t>
          </a:r>
          <a:r>
            <a:rPr sz="1100">
              <a:solidFill>
                <a:srgbClr val="000000"/>
              </a:solidFill>
              <a:latin typeface="맑은 고딕"/>
              <a:ea typeface="맑은 고딕"/>
            </a:rPr>
            <a:t>시트에서 영역</a:t>
          </a:r>
          <a:r>
            <a:rPr sz="1100">
              <a:solidFill>
                <a:srgbClr val="000000"/>
              </a:solidFill>
              <a:latin typeface="Calibri"/>
              <a:ea typeface="Calibri"/>
            </a:rPr>
            <a:t>(</a:t>
          </a:r>
          <a:r>
            <a:rPr sz="1100">
              <a:solidFill>
                <a:srgbClr val="000000"/>
              </a:solidFill>
              <a:latin typeface="맑은 고딕"/>
              <a:ea typeface="맑은 고딕"/>
            </a:rPr>
            <a:t>최대 </a:t>
          </a:r>
          <a:r>
            <a:rPr sz="1100">
              <a:solidFill>
                <a:srgbClr val="000000"/>
              </a:solidFill>
              <a:latin typeface="Calibri"/>
              <a:ea typeface="Calibri"/>
            </a:rPr>
            <a:t>20</a:t>
          </a:r>
          <a:r>
            <a:rPr sz="1100">
              <a:solidFill>
                <a:srgbClr val="000000"/>
              </a:solidFill>
              <a:latin typeface="맑은 고딕"/>
              <a:ea typeface="맑은 고딕"/>
            </a:rPr>
            <a:t>개</a:t>
          </a:r>
          <a:r>
            <a:rPr sz="1100">
              <a:solidFill>
                <a:srgbClr val="000000"/>
              </a:solidFill>
              <a:latin typeface="Calibri"/>
              <a:ea typeface="Calibri"/>
            </a:rPr>
            <a:t>)</a:t>
          </a:r>
          <a:r>
            <a:rPr sz="1100">
              <a:solidFill>
                <a:srgbClr val="000000"/>
              </a:solidFill>
              <a:latin typeface="맑은 고딕"/>
              <a:ea typeface="맑은 고딕"/>
            </a:rPr>
            <a:t>별 </a:t>
          </a:r>
          <a:r>
            <a:rPr sz="1100">
              <a:solidFill>
                <a:srgbClr val="000000"/>
              </a:solidFill>
              <a:latin typeface="Calibri"/>
              <a:ea typeface="Calibri"/>
            </a:rPr>
            <a:t> </a:t>
          </a:r>
          <a:r>
            <a:rPr sz="1100">
              <a:solidFill>
                <a:srgbClr val="000000"/>
              </a:solidFill>
              <a:latin typeface="맑은 고딕"/>
              <a:ea typeface="맑은 고딕"/>
            </a:rPr>
            <a:t>평가 영역과 영역별 </a:t>
          </a:r>
          <a:r>
            <a:rPr sz="1100">
              <a:solidFill>
                <a:srgbClr val="000000"/>
              </a:solidFill>
              <a:latin typeface="Calibri"/>
              <a:ea typeface="Calibri"/>
            </a:rPr>
            <a:t>5</a:t>
          </a:r>
          <a:r>
            <a:rPr sz="1100">
              <a:solidFill>
                <a:srgbClr val="000000"/>
              </a:solidFill>
              <a:latin typeface="맑은 고딕"/>
              <a:ea typeface="맑은 고딕"/>
            </a:rPr>
            <a:t>단계 성취기준을 입력합니다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5.  </a:t>
          </a:r>
          <a:r>
            <a:rPr sz="1100" b="1">
              <a:solidFill>
                <a:srgbClr val="FF0000"/>
              </a:solidFill>
              <a:latin typeface="Calibri"/>
              <a:ea typeface="Calibri"/>
            </a:rPr>
            <a:t>[</a:t>
          </a:r>
          <a:r>
            <a:rPr sz="1100" b="1">
              <a:solidFill>
                <a:srgbClr val="FF0000"/>
              </a:solidFill>
              <a:latin typeface="맑은 고딕"/>
              <a:ea typeface="맑은 고딕"/>
            </a:rPr>
            <a:t>학급 시트</a:t>
          </a:r>
          <a:r>
            <a:rPr sz="1100" b="1">
              <a:solidFill>
                <a:srgbClr val="FF0000"/>
              </a:solidFill>
              <a:latin typeface="Calibri"/>
              <a:ea typeface="Calibri"/>
            </a:rPr>
            <a:t>]</a:t>
          </a:r>
          <a:r>
            <a:rPr sz="1100">
              <a:solidFill>
                <a:srgbClr val="000000"/>
              </a:solidFill>
              <a:latin typeface="맑은 고딕"/>
              <a:ea typeface="맑은 고딕"/>
            </a:rPr>
            <a:t>에서 학생별 성취도를 영분자 대문자로 입력합니다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6.  </a:t>
          </a:r>
          <a:r>
            <a:rPr sz="1100">
              <a:solidFill>
                <a:srgbClr val="000000"/>
              </a:solidFill>
              <a:latin typeface="맑은 고딕"/>
              <a:ea typeface="맑은 고딕"/>
            </a:rPr>
            <a:t>학급시트의 위쪽에 있는 버튼을 이용 </a:t>
          </a:r>
          <a:r>
            <a:rPr sz="1100" b="1">
              <a:solidFill>
                <a:srgbClr val="FF0000"/>
              </a:solidFill>
              <a:latin typeface="Calibri"/>
              <a:ea typeface="Calibri"/>
            </a:rPr>
            <a:t>[</a:t>
          </a:r>
          <a:r>
            <a:rPr sz="1100" b="1">
              <a:solidFill>
                <a:srgbClr val="FF0000"/>
              </a:solidFill>
              <a:latin typeface="맑은 고딕"/>
              <a:ea typeface="맑은 고딕"/>
            </a:rPr>
            <a:t>서식을 정리</a:t>
          </a:r>
          <a:r>
            <a:rPr sz="1100" b="1">
              <a:solidFill>
                <a:srgbClr val="FF0000"/>
              </a:solidFill>
              <a:latin typeface="Calibri"/>
              <a:ea typeface="Calibri"/>
            </a:rPr>
            <a:t>]</a:t>
          </a:r>
          <a:r>
            <a:rPr sz="1100">
              <a:solidFill>
                <a:srgbClr val="000000"/>
              </a:solidFill>
              <a:latin typeface="맑은 고딕"/>
              <a:ea typeface="맑은 고딕"/>
            </a:rPr>
            <a:t>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7.  </a:t>
          </a:r>
          <a:r>
            <a:rPr sz="1100">
              <a:solidFill>
                <a:srgbClr val="000000"/>
              </a:solidFill>
              <a:latin typeface="맑은 고딕"/>
              <a:ea typeface="맑은 고딕"/>
            </a:rPr>
            <a:t>각 학급 시트 위쪽에 있는 붉은색  </a:t>
          </a:r>
          <a:r>
            <a:rPr sz="1100" b="1">
              <a:solidFill>
                <a:srgbClr val="FF0000"/>
              </a:solidFill>
              <a:latin typeface="Calibri"/>
              <a:ea typeface="Calibri"/>
            </a:rPr>
            <a:t>[</a:t>
          </a:r>
          <a:r>
            <a:rPr sz="1100" b="1">
              <a:solidFill>
                <a:srgbClr val="FF0000"/>
              </a:solidFill>
              <a:latin typeface="맑은 고딕"/>
              <a:ea typeface="맑은 고딕"/>
            </a:rPr>
            <a:t>예시문 내보내기 </a:t>
          </a:r>
          <a:r>
            <a:rPr sz="1100" b="1">
              <a:solidFill>
                <a:srgbClr val="FF0000"/>
              </a:solidFill>
              <a:latin typeface="Calibri"/>
              <a:ea typeface="Calibri"/>
            </a:rPr>
            <a:t>]</a:t>
          </a:r>
          <a:r>
            <a:rPr sz="1100">
              <a:solidFill>
                <a:srgbClr val="000000"/>
              </a:solidFill>
              <a:latin typeface="맑은 고딕"/>
              <a:ea typeface="맑은 고딕"/>
            </a:rPr>
            <a:t>버튼을 이용해 학급별</a:t>
          </a:r>
          <a:r>
            <a:rPr sz="1100">
              <a:solidFill>
                <a:srgbClr val="000000"/>
              </a:solidFill>
              <a:latin typeface="Calibri"/>
              <a:ea typeface="Calibri"/>
            </a:rPr>
            <a:t>, </a:t>
          </a:r>
          <a:r>
            <a:rPr sz="1100">
              <a:solidFill>
                <a:srgbClr val="000000"/>
              </a:solidFill>
              <a:latin typeface="맑은 고딕"/>
              <a:ea typeface="맑은 고딕"/>
            </a:rPr>
            <a:t>학생별 예시문을 별도의 파일로 저장해 자유롭게 수정할 수 있습니다</a:t>
          </a:r>
          <a:r>
            <a:rPr sz="1100">
              <a:solidFill>
                <a:srgbClr val="000000"/>
              </a:solidFill>
              <a:latin typeface="Calibri"/>
              <a:ea typeface="Calibri"/>
            </a:rPr>
            <a:t>.(</a:t>
          </a:r>
          <a:r>
            <a:rPr sz="1100" b="1">
              <a:solidFill>
                <a:srgbClr val="FF0000"/>
              </a:solidFill>
              <a:latin typeface="맑은 고딕"/>
              <a:ea typeface="맑은 고딕"/>
            </a:rPr>
            <a:t>내보낸  예시문 파일의 위치는 메인 파일이 있는 곳의  </a:t>
          </a:r>
          <a:r>
            <a:rPr sz="1100" b="1">
              <a:solidFill>
                <a:srgbClr val="FF0000"/>
              </a:solidFill>
              <a:latin typeface="Calibri"/>
              <a:ea typeface="Calibri"/>
            </a:rPr>
            <a:t>"</a:t>
          </a:r>
          <a:r>
            <a:rPr sz="1100" b="1">
              <a:solidFill>
                <a:srgbClr val="FF0000"/>
              </a:solidFill>
              <a:latin typeface="맑은 고딕"/>
              <a:ea typeface="맑은 고딕"/>
            </a:rPr>
            <a:t>반별예시문</a:t>
          </a:r>
          <a:r>
            <a:rPr sz="1100" b="1">
              <a:solidFill>
                <a:srgbClr val="FF0000"/>
              </a:solidFill>
              <a:latin typeface="Calibri"/>
              <a:ea typeface="Calibri"/>
            </a:rPr>
            <a:t>" </a:t>
          </a:r>
          <a:r>
            <a:rPr sz="1100" b="1">
              <a:solidFill>
                <a:srgbClr val="FF0000"/>
              </a:solidFill>
              <a:latin typeface="맑은 고딕"/>
              <a:ea typeface="맑은 고딕"/>
            </a:rPr>
            <a:t>폴더 안에 있음</a:t>
          </a:r>
          <a:r>
            <a:rPr sz="1100">
              <a:solidFill>
                <a:srgbClr val="000000"/>
              </a:solidFill>
              <a:latin typeface="Calibri"/>
              <a:ea typeface="Calibri"/>
            </a:rPr>
            <a:t>)</a:t>
          </a:r>
        </a:p>
        <a:p>
          <a:pPr algn="l">
            <a:lnSpc>
              <a:spcPct val="100000"/>
            </a:lnSpc>
          </a:pPr>
          <a:r>
            <a:rPr sz="1100">
              <a:solidFill>
                <a:srgbClr val="000000"/>
              </a:solidFill>
              <a:latin typeface="Calibri"/>
              <a:ea typeface="Calibri"/>
            </a:rPr>
            <a:t>   8.  </a:t>
          </a:r>
          <a:r>
            <a:rPr sz="1100">
              <a:solidFill>
                <a:srgbClr val="000000"/>
              </a:solidFill>
              <a:latin typeface="맑은 고딕"/>
              <a:ea typeface="맑은 고딕"/>
            </a:rPr>
            <a:t>수정한 특이사항을  복사해 학생부에 입력합니다</a:t>
          </a:r>
          <a:r>
            <a:rPr sz="1100">
              <a:solidFill>
                <a:srgbClr val="000000"/>
              </a:solidFill>
              <a:latin typeface="Calibri"/>
              <a:ea typeface="Calibri"/>
            </a:rPr>
            <a:t>.(</a:t>
          </a:r>
          <a:r>
            <a:rPr sz="1100">
              <a:solidFill>
                <a:srgbClr val="000000"/>
              </a:solidFill>
              <a:latin typeface="맑은 고딕"/>
              <a:ea typeface="맑은 고딕"/>
            </a:rPr>
            <a:t>붙여넣기</a:t>
          </a:r>
          <a:r>
            <a:rPr sz="1100">
              <a:solidFill>
                <a:srgbClr val="000000"/>
              </a:solidFill>
              <a:latin typeface="Calibri"/>
              <a:ea typeface="Calibri"/>
            </a:rPr>
            <a:t>)</a:t>
          </a:r>
          <a:endParaRPr lang="en-US" sz="1100">
            <a:solidFill>
              <a:srgbClr val="000000"/>
            </a:solidFill>
            <a:latin typeface="Calibri"/>
            <a:ea typeface="Calibri"/>
          </a:endParaRPr>
        </a:p>
        <a:p>
          <a:pPr algn="l">
            <a:lnSpc>
              <a:spcPct val="100000"/>
            </a:lnSpc>
          </a:pPr>
          <a:endParaRPr lang="en-US" sz="1100">
            <a:solidFill>
              <a:srgbClr val="000000"/>
            </a:solidFill>
            <a:latin typeface="Calibri"/>
            <a:ea typeface="Calibri"/>
          </a:endParaRPr>
        </a:p>
        <a:p>
          <a:pPr algn="l">
            <a:lnSpc>
              <a:spcPct val="100000"/>
            </a:lnSpc>
          </a:pPr>
          <a:r>
            <a:rPr lang="en-US" sz="1100" b="1">
              <a:solidFill>
                <a:srgbClr val="FF0000"/>
              </a:solidFill>
              <a:latin typeface="Calibri"/>
              <a:ea typeface="Calibri"/>
            </a:rPr>
            <a:t>### </a:t>
          </a:r>
          <a:r>
            <a:rPr lang="ko-KR" altLang="en-US" sz="1100" b="1">
              <a:solidFill>
                <a:srgbClr val="FF0000"/>
              </a:solidFill>
              <a:latin typeface="Calibri"/>
              <a:ea typeface="Calibri"/>
            </a:rPr>
            <a:t>주의 </a:t>
          </a:r>
          <a:r>
            <a:rPr lang="en-US" altLang="ko-KR" sz="1100" b="1">
              <a:solidFill>
                <a:srgbClr val="FF0000"/>
              </a:solidFill>
              <a:latin typeface="Calibri"/>
              <a:ea typeface="Calibri"/>
            </a:rPr>
            <a:t>####</a:t>
          </a:r>
        </a:p>
        <a:p>
          <a:pPr algn="l">
            <a:lnSpc>
              <a:spcPct val="100000"/>
            </a:lnSpc>
          </a:pPr>
          <a:r>
            <a:rPr lang="ko-KR" altLang="en-US" sz="1100" b="1">
              <a:solidFill>
                <a:srgbClr val="FF0000"/>
              </a:solidFill>
              <a:latin typeface="Calibri"/>
              <a:ea typeface="Calibri"/>
            </a:rPr>
            <a:t>한셀일 경우 이름을 변경해도 반별시트에 반영되지 않는 경우가 있는데  이럴 경우는 위쪽 메뉴중 수식에서 모두 재계산을 실행하면 반영됩니다</a:t>
          </a:r>
          <a:r>
            <a:rPr lang="en-US" altLang="ko-KR" sz="1100" b="1">
              <a:solidFill>
                <a:srgbClr val="FF0000"/>
              </a:solidFill>
              <a:latin typeface="Calibri"/>
              <a:ea typeface="Calibri"/>
            </a:rPr>
            <a:t>.</a:t>
          </a:r>
          <a:endParaRPr sz="1100" b="1">
            <a:solidFill>
              <a:srgbClr val="FF0000"/>
            </a:solidFill>
            <a:latin typeface="Calibri"/>
            <a:ea typeface="Calibri"/>
          </a:endParaRPr>
        </a:p>
        <a:p>
          <a:pPr algn="l">
            <a:lnSpc>
              <a:spcPct val="100000"/>
            </a:lnSpc>
          </a:pPr>
          <a:endParaRPr/>
        </a:p>
      </xdr:txBody>
    </xdr:sp>
    <xdr:clientData fPrintsWithSheet="0"/>
  </xdr:twoCellAnchor>
  <xdr:twoCellAnchor editAs="oneCell">
    <xdr:from>
      <xdr:col>12</xdr:col>
      <xdr:colOff>0</xdr:colOff>
      <xdr:row>2</xdr:row>
      <xdr:rowOff>28575</xdr:rowOff>
    </xdr:from>
    <xdr:to>
      <xdr:col>15</xdr:col>
      <xdr:colOff>552450</xdr:colOff>
      <xdr:row>2</xdr:row>
      <xdr:rowOff>428625</xdr:rowOff>
    </xdr:to>
    <xdr:sp macro="예시문내보내기" textlink="">
      <xdr:nvSpPr>
        <xdr:cNvPr id="4" name="직사각형 3">
          <a:extLst>
            <a:ext uri="{FF2B5EF4-FFF2-40B4-BE49-F238E27FC236}">
              <a16:creationId xmlns:a16="http://schemas.microsoft.com/office/drawing/2014/main" id="{00000000-0008-0000-0000-000004000000}"/>
            </a:ext>
          </a:extLst>
        </xdr:cNvPr>
        <xdr:cNvSpPr>
          <a:spLocks noRot="1"/>
        </xdr:cNvSpPr>
      </xdr:nvSpPr>
      <xdr:spPr>
        <a:xfrm>
          <a:off x="7019925" y="781050"/>
          <a:ext cx="2324100" cy="400050"/>
        </a:xfrm>
        <a:prstGeom prst="rect">
          <a:avLst/>
        </a:prstGeom>
        <a:solidFill>
          <a:schemeClr val="accent6"/>
        </a:solidFill>
        <a:ln w="6350">
          <a:solidFill>
            <a:schemeClr val="tx1"/>
          </a:solidFill>
        </a:ln>
        <a:effectLst>
          <a:glow rad="635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0" tIns="0" rIns="0" bIns="0" anchor="ctr"/>
        <a:lstStyle/>
        <a:p>
          <a:pPr algn="ctr">
            <a:lnSpc>
              <a:spcPct val="100000"/>
            </a:lnSpc>
          </a:pPr>
          <a:r>
            <a:rPr sz="1600">
              <a:solidFill>
                <a:srgbClr val="000000"/>
              </a:solidFill>
              <a:latin typeface="HY헤드라인M"/>
              <a:ea typeface="HY헤드라인M"/>
            </a:rPr>
            <a:t>학급별 예시문 내보내기</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485775</xdr:colOff>
      <xdr:row>21</xdr:row>
      <xdr:rowOff>180975</xdr:rowOff>
    </xdr:to>
    <xdr:pic>
      <xdr:nvPicPr>
        <xdr:cNvPr id="1029" name="Object 5" hidden="1">
          <a:extLst>
            <a:ext uri="{FF2B5EF4-FFF2-40B4-BE49-F238E27FC236}">
              <a16:creationId xmlns:a16="http://schemas.microsoft.com/office/drawing/2014/main" id="{00000000-0008-0000-0100-00000504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7482417" cy="7683500"/>
        </a:xfrm>
        <a:prstGeom prst="rect">
          <a:avLst/>
        </a:prstGeom>
        <a:noFill/>
        <a:ln>
          <a:noFill/>
        </a:ln>
      </xdr:spPr>
    </xdr:pic>
    <xdr:clientData/>
  </xdr:twoCellAnchor>
  <xdr:twoCellAnchor>
    <xdr:from>
      <xdr:col>0</xdr:col>
      <xdr:colOff>0</xdr:colOff>
      <xdr:row>0</xdr:row>
      <xdr:rowOff>0</xdr:rowOff>
    </xdr:from>
    <xdr:to>
      <xdr:col>10</xdr:col>
      <xdr:colOff>476250</xdr:colOff>
      <xdr:row>21</xdr:row>
      <xdr:rowOff>180975</xdr:rowOff>
    </xdr:to>
    <xdr:pic>
      <xdr:nvPicPr>
        <xdr:cNvPr id="2" name="Object 5" hidden="1">
          <a:extLst>
            <a:ext uri="{FF2B5EF4-FFF2-40B4-BE49-F238E27FC236}">
              <a16:creationId xmlns:a16="http://schemas.microsoft.com/office/drawing/2014/main" id="{00000000-0008-0000-0100-00000200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7471833" cy="7683500"/>
        </a:xfrm>
        <a:prstGeom prst="rect">
          <a:avLst/>
        </a:prstGeom>
        <a:noFill/>
        <a:ln>
          <a:noFill/>
        </a:ln>
      </xdr:spPr>
    </xdr:pic>
    <xdr:clientData/>
  </xdr:twoCellAnchor>
  <xdr:twoCellAnchor>
    <xdr:from>
      <xdr:col>0</xdr:col>
      <xdr:colOff>0</xdr:colOff>
      <xdr:row>0</xdr:row>
      <xdr:rowOff>0</xdr:rowOff>
    </xdr:from>
    <xdr:to>
      <xdr:col>10</xdr:col>
      <xdr:colOff>476250</xdr:colOff>
      <xdr:row>21</xdr:row>
      <xdr:rowOff>180975</xdr:rowOff>
    </xdr:to>
    <xdr:sp macro="" textlink="">
      <xdr:nvSpPr>
        <xdr:cNvPr id="3" name="AutoShape 5">
          <a:extLst>
            <a:ext uri="{FF2B5EF4-FFF2-40B4-BE49-F238E27FC236}">
              <a16:creationId xmlns:a16="http://schemas.microsoft.com/office/drawing/2014/main" id="{00000000-0008-0000-0100-000003000000}"/>
            </a:ext>
          </a:extLst>
        </xdr:cNvPr>
        <xdr:cNvSpPr>
          <a:spLocks noChangeArrowheads="1"/>
        </xdr:cNvSpPr>
      </xdr:nvSpPr>
      <xdr:spPr>
        <a:xfrm>
          <a:off x="0" y="0"/>
          <a:ext cx="7471833" cy="7683500"/>
        </a:xfrm>
        <a:custGeom>
          <a:avLst/>
          <a:gdLst/>
          <a:ahLst/>
          <a:cxnLst/>
          <a:rect l="0" t="0" r="0" b="0"/>
          <a:pathLst/>
        </a:custGeom>
        <a:solidFill>
          <a:srgbClr val="FFFFFF"/>
        </a:solidFill>
        <a:ln w="9525">
          <a:solidFill>
            <a:srgbClr val="000000"/>
          </a:solidFill>
          <a:round/>
        </a:ln>
      </xdr:spPr>
      <xdr:txBody>
        <a:bodyPr vertOverflow="clip" horzOverflow="overflow" wrap="square" lIns="0" tIns="0" rIns="0" bIns="0"/>
        <a:lstStyle/>
        <a:p>
          <a:pPr algn="l">
            <a:lnSpc>
              <a:spcPct val="100000"/>
            </a:lnSpc>
          </a:pPr>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47625</xdr:colOff>
      <xdr:row>0</xdr:row>
      <xdr:rowOff>400050</xdr:rowOff>
    </xdr:from>
    <xdr:to>
      <xdr:col>1</xdr:col>
      <xdr:colOff>857250</xdr:colOff>
      <xdr:row>0</xdr:row>
      <xdr:rowOff>771525</xdr:rowOff>
    </xdr:to>
    <xdr:sp macro="서식정리_성취" textlink="">
      <xdr:nvSpPr>
        <xdr:cNvPr id="2" name="직사각형 2">
          <a:extLst>
            <a:ext uri="{FF2B5EF4-FFF2-40B4-BE49-F238E27FC236}">
              <a16:creationId xmlns:a16="http://schemas.microsoft.com/office/drawing/2014/main" id="{00000000-0008-0000-0200-000002000000}"/>
            </a:ext>
          </a:extLst>
        </xdr:cNvPr>
        <xdr:cNvSpPr>
          <a:spLocks noRot="1"/>
        </xdr:cNvSpPr>
      </xdr:nvSpPr>
      <xdr:spPr>
        <a:xfrm>
          <a:off x="52916" y="402166"/>
          <a:ext cx="1492250" cy="3704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예시문 서식 정리</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66675</xdr:colOff>
      <xdr:row>0</xdr:row>
      <xdr:rowOff>66675</xdr:rowOff>
    </xdr:from>
    <xdr:to>
      <xdr:col>1</xdr:col>
      <xdr:colOff>647700</xdr:colOff>
      <xdr:row>0</xdr:row>
      <xdr:rowOff>371475</xdr:rowOff>
    </xdr:to>
    <xdr:sp macro="서식정리_반" textlink="">
      <xdr:nvSpPr>
        <xdr:cNvPr id="2" name="직사각형 2">
          <a:extLst>
            <a:ext uri="{FF2B5EF4-FFF2-40B4-BE49-F238E27FC236}">
              <a16:creationId xmlns:a16="http://schemas.microsoft.com/office/drawing/2014/main" id="{00000000-0008-0000-0400-000002000000}"/>
            </a:ext>
          </a:extLst>
        </xdr:cNvPr>
        <xdr:cNvSpPr>
          <a:spLocks noRot="1"/>
        </xdr:cNvSpPr>
      </xdr:nvSpPr>
      <xdr:spPr>
        <a:xfrm>
          <a:off x="67235" y="67235"/>
          <a:ext cx="1120588" cy="3025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서식 정리</a:t>
          </a:r>
        </a:p>
      </xdr:txBody>
    </xdr:sp>
    <xdr:clientData fPrintsWithSheet="0"/>
  </xdr:twoCellAnchor>
  <xdr:twoCellAnchor editAs="absolute">
    <xdr:from>
      <xdr:col>0</xdr:col>
      <xdr:colOff>76200</xdr:colOff>
      <xdr:row>0</xdr:row>
      <xdr:rowOff>428625</xdr:rowOff>
    </xdr:from>
    <xdr:to>
      <xdr:col>1</xdr:col>
      <xdr:colOff>647700</xdr:colOff>
      <xdr:row>0</xdr:row>
      <xdr:rowOff>733425</xdr:rowOff>
    </xdr:to>
    <xdr:sp macro="예시문내보내기" textlink="">
      <xdr:nvSpPr>
        <xdr:cNvPr id="3" name="직사각형 2">
          <a:extLst>
            <a:ext uri="{FF2B5EF4-FFF2-40B4-BE49-F238E27FC236}">
              <a16:creationId xmlns:a16="http://schemas.microsoft.com/office/drawing/2014/main" id="{00000000-0008-0000-0400-000003000000}"/>
            </a:ext>
          </a:extLst>
        </xdr:cNvPr>
        <xdr:cNvSpPr>
          <a:spLocks noRot="1"/>
        </xdr:cNvSpPr>
      </xdr:nvSpPr>
      <xdr:spPr>
        <a:xfrm>
          <a:off x="78441" y="425823"/>
          <a:ext cx="1109382" cy="313764"/>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내보내기</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66675</xdr:colOff>
      <xdr:row>0</xdr:row>
      <xdr:rowOff>66675</xdr:rowOff>
    </xdr:from>
    <xdr:to>
      <xdr:col>1</xdr:col>
      <xdr:colOff>647700</xdr:colOff>
      <xdr:row>0</xdr:row>
      <xdr:rowOff>371475</xdr:rowOff>
    </xdr:to>
    <xdr:sp macro="서식정리_반" textlink="">
      <xdr:nvSpPr>
        <xdr:cNvPr id="2" name="직사각형 2">
          <a:extLst>
            <a:ext uri="{FF2B5EF4-FFF2-40B4-BE49-F238E27FC236}">
              <a16:creationId xmlns:a16="http://schemas.microsoft.com/office/drawing/2014/main" id="{00000000-0008-0000-0500-000002000000}"/>
            </a:ext>
          </a:extLst>
        </xdr:cNvPr>
        <xdr:cNvSpPr>
          <a:spLocks noRot="1"/>
        </xdr:cNvSpPr>
      </xdr:nvSpPr>
      <xdr:spPr>
        <a:xfrm>
          <a:off x="67235" y="67235"/>
          <a:ext cx="1120588" cy="3025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서식 정리</a:t>
          </a:r>
        </a:p>
      </xdr:txBody>
    </xdr:sp>
    <xdr:clientData fPrintsWithSheet="0"/>
  </xdr:twoCellAnchor>
  <xdr:twoCellAnchor editAs="absolute">
    <xdr:from>
      <xdr:col>0</xdr:col>
      <xdr:colOff>76200</xdr:colOff>
      <xdr:row>0</xdr:row>
      <xdr:rowOff>428625</xdr:rowOff>
    </xdr:from>
    <xdr:to>
      <xdr:col>1</xdr:col>
      <xdr:colOff>647700</xdr:colOff>
      <xdr:row>0</xdr:row>
      <xdr:rowOff>733425</xdr:rowOff>
    </xdr:to>
    <xdr:sp macro="예시문내보내기" textlink="">
      <xdr:nvSpPr>
        <xdr:cNvPr id="3" name="직사각형 2">
          <a:extLst>
            <a:ext uri="{FF2B5EF4-FFF2-40B4-BE49-F238E27FC236}">
              <a16:creationId xmlns:a16="http://schemas.microsoft.com/office/drawing/2014/main" id="{00000000-0008-0000-0500-000003000000}"/>
            </a:ext>
          </a:extLst>
        </xdr:cNvPr>
        <xdr:cNvSpPr>
          <a:spLocks noRot="1"/>
        </xdr:cNvSpPr>
      </xdr:nvSpPr>
      <xdr:spPr>
        <a:xfrm>
          <a:off x="78441" y="425823"/>
          <a:ext cx="1109382" cy="313764"/>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내보내기</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66675</xdr:colOff>
      <xdr:row>0</xdr:row>
      <xdr:rowOff>66675</xdr:rowOff>
    </xdr:from>
    <xdr:to>
      <xdr:col>1</xdr:col>
      <xdr:colOff>647700</xdr:colOff>
      <xdr:row>0</xdr:row>
      <xdr:rowOff>371475</xdr:rowOff>
    </xdr:to>
    <xdr:sp macro="서식정리_반" textlink="">
      <xdr:nvSpPr>
        <xdr:cNvPr id="2" name="직사각형 2">
          <a:extLst>
            <a:ext uri="{FF2B5EF4-FFF2-40B4-BE49-F238E27FC236}">
              <a16:creationId xmlns:a16="http://schemas.microsoft.com/office/drawing/2014/main" id="{00000000-0008-0000-0600-000002000000}"/>
            </a:ext>
          </a:extLst>
        </xdr:cNvPr>
        <xdr:cNvSpPr>
          <a:spLocks noRot="1"/>
        </xdr:cNvSpPr>
      </xdr:nvSpPr>
      <xdr:spPr>
        <a:xfrm>
          <a:off x="67235" y="67235"/>
          <a:ext cx="1120588" cy="3025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서식 정리</a:t>
          </a:r>
        </a:p>
      </xdr:txBody>
    </xdr:sp>
    <xdr:clientData fPrintsWithSheet="0"/>
  </xdr:twoCellAnchor>
  <xdr:twoCellAnchor editAs="absolute">
    <xdr:from>
      <xdr:col>0</xdr:col>
      <xdr:colOff>76200</xdr:colOff>
      <xdr:row>0</xdr:row>
      <xdr:rowOff>428625</xdr:rowOff>
    </xdr:from>
    <xdr:to>
      <xdr:col>1</xdr:col>
      <xdr:colOff>647700</xdr:colOff>
      <xdr:row>0</xdr:row>
      <xdr:rowOff>733425</xdr:rowOff>
    </xdr:to>
    <xdr:sp macro="예시문내보내기" textlink="">
      <xdr:nvSpPr>
        <xdr:cNvPr id="3" name="직사각형 2">
          <a:extLst>
            <a:ext uri="{FF2B5EF4-FFF2-40B4-BE49-F238E27FC236}">
              <a16:creationId xmlns:a16="http://schemas.microsoft.com/office/drawing/2014/main" id="{00000000-0008-0000-0600-000003000000}"/>
            </a:ext>
          </a:extLst>
        </xdr:cNvPr>
        <xdr:cNvSpPr>
          <a:spLocks noRot="1"/>
        </xdr:cNvSpPr>
      </xdr:nvSpPr>
      <xdr:spPr>
        <a:xfrm>
          <a:off x="78441" y="425823"/>
          <a:ext cx="1109382" cy="313764"/>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내보내기</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66675</xdr:colOff>
      <xdr:row>0</xdr:row>
      <xdr:rowOff>66675</xdr:rowOff>
    </xdr:from>
    <xdr:to>
      <xdr:col>1</xdr:col>
      <xdr:colOff>647700</xdr:colOff>
      <xdr:row>0</xdr:row>
      <xdr:rowOff>371475</xdr:rowOff>
    </xdr:to>
    <xdr:sp macro="서식정리_반" textlink="">
      <xdr:nvSpPr>
        <xdr:cNvPr id="2" name="직사각형 2">
          <a:extLst>
            <a:ext uri="{FF2B5EF4-FFF2-40B4-BE49-F238E27FC236}">
              <a16:creationId xmlns:a16="http://schemas.microsoft.com/office/drawing/2014/main" id="{00000000-0008-0000-0700-000002000000}"/>
            </a:ext>
          </a:extLst>
        </xdr:cNvPr>
        <xdr:cNvSpPr>
          <a:spLocks noRot="1"/>
        </xdr:cNvSpPr>
      </xdr:nvSpPr>
      <xdr:spPr>
        <a:xfrm>
          <a:off x="67235" y="67235"/>
          <a:ext cx="1120588" cy="30255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서식 정리</a:t>
          </a:r>
        </a:p>
      </xdr:txBody>
    </xdr:sp>
    <xdr:clientData fPrintsWithSheet="0"/>
  </xdr:twoCellAnchor>
  <xdr:twoCellAnchor editAs="absolute">
    <xdr:from>
      <xdr:col>0</xdr:col>
      <xdr:colOff>76200</xdr:colOff>
      <xdr:row>0</xdr:row>
      <xdr:rowOff>428625</xdr:rowOff>
    </xdr:from>
    <xdr:to>
      <xdr:col>1</xdr:col>
      <xdr:colOff>647700</xdr:colOff>
      <xdr:row>0</xdr:row>
      <xdr:rowOff>733425</xdr:rowOff>
    </xdr:to>
    <xdr:sp macro="예시문내보내기" textlink="">
      <xdr:nvSpPr>
        <xdr:cNvPr id="3" name="직사각형 2">
          <a:extLst>
            <a:ext uri="{FF2B5EF4-FFF2-40B4-BE49-F238E27FC236}">
              <a16:creationId xmlns:a16="http://schemas.microsoft.com/office/drawing/2014/main" id="{00000000-0008-0000-0700-000003000000}"/>
            </a:ext>
          </a:extLst>
        </xdr:cNvPr>
        <xdr:cNvSpPr>
          <a:spLocks noRot="1"/>
        </xdr:cNvSpPr>
      </xdr:nvSpPr>
      <xdr:spPr>
        <a:xfrm>
          <a:off x="78441" y="425823"/>
          <a:ext cx="1109382" cy="313764"/>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overflow" wrap="square" lIns="91440" tIns="45720" rIns="91440" bIns="45720" anchor="ctr"/>
        <a:lstStyle/>
        <a:p>
          <a:pPr algn="ctr">
            <a:lnSpc>
              <a:spcPct val="100000"/>
            </a:lnSpc>
          </a:pPr>
          <a:r>
            <a:rPr sz="1200">
              <a:solidFill>
                <a:srgbClr val="FFFFFF"/>
              </a:solidFill>
              <a:latin typeface="HY헤드라인M"/>
              <a:ea typeface="HY헤드라인M"/>
            </a:rPr>
            <a:t>내보내기</a:t>
          </a:r>
        </a:p>
      </xdr:txBody>
    </xdr:sp>
    <xdr:clientData fPrintsWithSheet="0"/>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147483647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2147483647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P9"/>
  <sheetViews>
    <sheetView showGridLines="0" zoomScaleNormal="100" zoomScaleSheetLayoutView="75" workbookViewId="0">
      <selection activeCell="L7" sqref="L7:P7"/>
    </sheetView>
  </sheetViews>
  <sheetFormatPr defaultColWidth="9" defaultRowHeight="17.399999999999999" x14ac:dyDescent="0.4"/>
  <cols>
    <col min="1" max="1" width="3.3984375" style="1" customWidth="1"/>
    <col min="2" max="2" width="11.19921875" style="1" customWidth="1"/>
    <col min="3" max="16" width="7.69921875" style="1" customWidth="1"/>
    <col min="17" max="16384" width="9" style="1"/>
  </cols>
  <sheetData>
    <row r="1" spans="2:16" ht="39.75" customHeight="1" x14ac:dyDescent="0.4">
      <c r="B1" s="92" t="s">
        <v>176</v>
      </c>
      <c r="C1" s="92"/>
      <c r="D1" s="92"/>
      <c r="E1" s="92"/>
      <c r="F1" s="92"/>
      <c r="G1" s="92"/>
      <c r="H1" s="92"/>
      <c r="I1" s="92"/>
      <c r="J1" s="92"/>
      <c r="K1" s="92"/>
      <c r="L1" s="92"/>
      <c r="M1" s="92"/>
      <c r="N1" s="92"/>
      <c r="O1" s="92"/>
      <c r="P1" s="92"/>
    </row>
    <row r="2" spans="2:16" ht="19.5" customHeight="1" x14ac:dyDescent="0.4">
      <c r="M2" s="93" t="s">
        <v>44</v>
      </c>
      <c r="N2" s="93"/>
      <c r="O2" s="93"/>
      <c r="P2" s="93"/>
    </row>
    <row r="3" spans="2:16" s="41" customFormat="1" ht="36.75" customHeight="1" x14ac:dyDescent="0.4">
      <c r="B3" s="94" t="s">
        <v>43</v>
      </c>
      <c r="C3" s="95"/>
      <c r="D3" s="104" t="s">
        <v>180</v>
      </c>
      <c r="E3" s="105"/>
      <c r="F3" s="105"/>
      <c r="G3" s="105"/>
      <c r="H3" s="105"/>
      <c r="I3" s="105"/>
      <c r="J3" s="105"/>
      <c r="K3" s="105"/>
      <c r="L3" s="105"/>
      <c r="M3" s="105"/>
      <c r="N3" s="105"/>
      <c r="O3" s="105"/>
      <c r="P3" s="106"/>
    </row>
    <row r="4" spans="2:16" s="41" customFormat="1" ht="29.25" customHeight="1" x14ac:dyDescent="0.4">
      <c r="B4" s="88" t="s">
        <v>29</v>
      </c>
      <c r="C4" s="89"/>
      <c r="D4" s="90">
        <v>2018</v>
      </c>
      <c r="E4" s="91"/>
      <c r="F4" s="91"/>
      <c r="G4" s="91"/>
      <c r="H4" s="88" t="s">
        <v>32</v>
      </c>
      <c r="I4" s="89"/>
      <c r="J4" s="89"/>
      <c r="K4" s="89"/>
      <c r="L4" s="96" t="s">
        <v>183</v>
      </c>
      <c r="M4" s="96"/>
      <c r="N4" s="96"/>
      <c r="O4" s="96"/>
      <c r="P4" s="97"/>
    </row>
    <row r="5" spans="2:16" s="41" customFormat="1" ht="29.25" customHeight="1" x14ac:dyDescent="0.4">
      <c r="B5" s="86" t="s">
        <v>26</v>
      </c>
      <c r="C5" s="87"/>
      <c r="D5" s="107">
        <v>2</v>
      </c>
      <c r="E5" s="108"/>
      <c r="F5" s="108"/>
      <c r="G5" s="108"/>
      <c r="H5" s="86"/>
      <c r="I5" s="87"/>
      <c r="J5" s="87"/>
      <c r="K5" s="87"/>
      <c r="L5" s="98"/>
      <c r="M5" s="98"/>
      <c r="N5" s="98"/>
      <c r="O5" s="98"/>
      <c r="P5" s="99"/>
    </row>
    <row r="6" spans="2:16" s="41" customFormat="1" ht="29.25" customHeight="1" x14ac:dyDescent="0.4">
      <c r="B6" s="86" t="s">
        <v>27</v>
      </c>
      <c r="C6" s="87"/>
      <c r="D6" s="107" t="s">
        <v>182</v>
      </c>
      <c r="E6" s="108"/>
      <c r="F6" s="108"/>
      <c r="G6" s="108"/>
      <c r="H6" s="86" t="s">
        <v>167</v>
      </c>
      <c r="I6" s="87"/>
      <c r="J6" s="87"/>
      <c r="K6" s="87"/>
      <c r="L6" s="100" t="s">
        <v>181</v>
      </c>
      <c r="M6" s="100"/>
      <c r="N6" s="100"/>
      <c r="O6" s="100"/>
      <c r="P6" s="101"/>
    </row>
    <row r="7" spans="2:16" s="41" customFormat="1" ht="29.25" customHeight="1" x14ac:dyDescent="0.4">
      <c r="B7" s="84" t="s">
        <v>166</v>
      </c>
      <c r="C7" s="85"/>
      <c r="D7" s="109">
        <f>P9</f>
        <v>3</v>
      </c>
      <c r="E7" s="110"/>
      <c r="F7" s="110"/>
      <c r="G7" s="110"/>
      <c r="H7" s="84" t="s">
        <v>149</v>
      </c>
      <c r="I7" s="85"/>
      <c r="J7" s="85"/>
      <c r="K7" s="85"/>
      <c r="L7" s="102">
        <v>7</v>
      </c>
      <c r="M7" s="102"/>
      <c r="N7" s="102"/>
      <c r="O7" s="102"/>
      <c r="P7" s="103"/>
    </row>
    <row r="8" spans="2:16" ht="33" customHeight="1" x14ac:dyDescent="0.4">
      <c r="B8" s="42" t="s">
        <v>174</v>
      </c>
      <c r="C8" s="43">
        <v>1</v>
      </c>
      <c r="D8" s="44">
        <v>2</v>
      </c>
      <c r="E8" s="44">
        <v>3</v>
      </c>
      <c r="F8" s="44">
        <v>4</v>
      </c>
      <c r="G8" s="44">
        <v>5</v>
      </c>
      <c r="H8" s="44">
        <v>6</v>
      </c>
      <c r="I8" s="44">
        <v>7</v>
      </c>
      <c r="J8" s="44">
        <v>8</v>
      </c>
      <c r="K8" s="44">
        <v>9</v>
      </c>
      <c r="L8" s="44">
        <v>10</v>
      </c>
      <c r="M8" s="44">
        <v>11</v>
      </c>
      <c r="N8" s="44">
        <v>12</v>
      </c>
      <c r="O8" s="44">
        <v>13</v>
      </c>
      <c r="P8" s="45" t="s">
        <v>39</v>
      </c>
    </row>
    <row r="9" spans="2:16" ht="42.75" customHeight="1" x14ac:dyDescent="0.4">
      <c r="B9" s="49" t="s">
        <v>172</v>
      </c>
      <c r="C9" s="47" t="s">
        <v>34</v>
      </c>
      <c r="D9" s="47" t="s">
        <v>30</v>
      </c>
      <c r="E9" s="47" t="s">
        <v>38</v>
      </c>
      <c r="F9" s="47"/>
      <c r="G9" s="47"/>
      <c r="H9" s="48"/>
      <c r="I9" s="48"/>
      <c r="J9" s="48"/>
      <c r="K9" s="48"/>
      <c r="L9" s="48"/>
      <c r="M9" s="48"/>
      <c r="N9" s="48"/>
      <c r="O9" s="48"/>
      <c r="P9" s="46">
        <f>COUNTA(C9:O9)</f>
        <v>3</v>
      </c>
    </row>
  </sheetData>
  <sheetProtection algorithmName="SHA-512" hashValue="mPXBpdHdt1OsolZJ+kQijNb4PFG7YgY1VVvHa9uy8enlNAIKqKAzh9FL6dtc++Tn1E3jRfro+HqRe5jUw/WDgg==" saltValue="vD0wX1WY8EMLyNwoi749bQ==" spinCount="100000" sheet="1" objects="1" scenarios="1" selectLockedCells="1"/>
  <mergeCells count="20">
    <mergeCell ref="L6:P6"/>
    <mergeCell ref="L7:P7"/>
    <mergeCell ref="D3:P3"/>
    <mergeCell ref="D5:G5"/>
    <mergeCell ref="D6:G6"/>
    <mergeCell ref="D7:G7"/>
    <mergeCell ref="H4:K4"/>
    <mergeCell ref="H5:K5"/>
    <mergeCell ref="H6:K6"/>
    <mergeCell ref="H7:K7"/>
    <mergeCell ref="B1:P1"/>
    <mergeCell ref="M2:P2"/>
    <mergeCell ref="B3:C3"/>
    <mergeCell ref="L4:P4"/>
    <mergeCell ref="L5:P5"/>
    <mergeCell ref="B7:C7"/>
    <mergeCell ref="B6:C6"/>
    <mergeCell ref="B5:C5"/>
    <mergeCell ref="B4:C4"/>
    <mergeCell ref="D4:G4"/>
  </mergeCells>
  <phoneticPr fontId="16" type="noConversion"/>
  <dataValidations count="2">
    <dataValidation type="list" allowBlank="1" showInputMessage="1" showErrorMessage="1" sqref="L4:P4" xr:uid="{00000000-0002-0000-0000-000000000000}">
      <formula1>"1학기,2학기"</formula1>
    </dataValidation>
    <dataValidation type="list" allowBlank="1" showInputMessage="1" showErrorMessage="1" sqref="L7:P7" xr:uid="{00000000-0002-0000-0000-000001000000}">
      <formula1>"5,6,7,8,9,10,11,12,13,14,15,16,17,18,19,20"</formula1>
    </dataValidation>
  </dataValidations>
  <pageMargins left="0.69986110925674438" right="0.69986110925674438" top="0.75" bottom="0.75" header="0.30000001192092896" footer="0.30000001192092896"/>
  <pageSetup paperSize="9" fitToWidth="0" fitToHeight="0" orientation="portrait"/>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B1:O47"/>
  <sheetViews>
    <sheetView showGridLines="0" tabSelected="1" view="pageBreakPreview" topLeftCell="A16" zoomScale="90" zoomScaleNormal="100" zoomScaleSheetLayoutView="90" workbookViewId="0">
      <selection activeCell="E7" sqref="E7"/>
    </sheetView>
  </sheetViews>
  <sheetFormatPr defaultColWidth="9" defaultRowHeight="17.399999999999999" x14ac:dyDescent="0.4"/>
  <cols>
    <col min="1" max="1" width="0.5" style="50" customWidth="1"/>
    <col min="2" max="2" width="7.8984375" style="50" customWidth="1"/>
    <col min="3" max="15" width="10.3984375" style="50" customWidth="1"/>
    <col min="16" max="16" width="0.59765625" style="50" customWidth="1"/>
    <col min="17" max="16384" width="9" style="50"/>
  </cols>
  <sheetData>
    <row r="1" spans="2:15" ht="38.25" customHeight="1" x14ac:dyDescent="0.4">
      <c r="B1" s="111" t="str">
        <f>기본설정!D6&amp;"과 학생 명렬표"</f>
        <v>네트워크프로그래밍과 학생 명렬표</v>
      </c>
      <c r="C1" s="111"/>
      <c r="D1" s="111"/>
      <c r="E1" s="111"/>
      <c r="F1" s="111"/>
      <c r="G1" s="111"/>
      <c r="H1" s="111"/>
      <c r="I1" s="111"/>
      <c r="J1" s="111"/>
      <c r="K1" s="111"/>
      <c r="L1" s="111"/>
      <c r="M1" s="111"/>
      <c r="N1" s="111"/>
      <c r="O1" s="111"/>
    </row>
    <row r="2" spans="2:15" ht="26.25" customHeight="1" x14ac:dyDescent="0.4">
      <c r="B2" s="112" t="s">
        <v>25</v>
      </c>
      <c r="C2" s="112"/>
      <c r="D2" s="112"/>
      <c r="E2" s="112"/>
      <c r="F2" s="112"/>
      <c r="G2" s="112"/>
      <c r="H2" s="113"/>
      <c r="I2" s="113"/>
      <c r="J2" s="113"/>
      <c r="K2" s="113"/>
      <c r="L2" s="113"/>
      <c r="M2" s="112"/>
      <c r="N2" s="112"/>
      <c r="O2" s="112"/>
    </row>
    <row r="3" spans="2:15" ht="33.75" customHeight="1" x14ac:dyDescent="0.4">
      <c r="B3" s="51" t="s">
        <v>29</v>
      </c>
      <c r="C3" s="52">
        <f>기본설정!D4</f>
        <v>2018</v>
      </c>
      <c r="D3" s="53" t="s">
        <v>32</v>
      </c>
      <c r="E3" s="54" t="str">
        <f>기본설정!L4</f>
        <v>2학기</v>
      </c>
      <c r="F3" s="53" t="s">
        <v>26</v>
      </c>
      <c r="G3" s="55">
        <f>기본설정!D5</f>
        <v>2</v>
      </c>
      <c r="H3" s="56"/>
      <c r="I3" s="57"/>
      <c r="J3" s="57"/>
      <c r="K3" s="114"/>
      <c r="L3" s="115"/>
      <c r="M3" s="51" t="s">
        <v>167</v>
      </c>
      <c r="N3" s="116" t="str">
        <f>기본설정!L6</f>
        <v>이동윤</v>
      </c>
      <c r="O3" s="117"/>
    </row>
    <row r="4" spans="2:15" ht="9" customHeight="1" x14ac:dyDescent="0.4"/>
    <row r="5" spans="2:15" ht="29.25" customHeight="1" x14ac:dyDescent="0.4">
      <c r="B5" s="58" t="s">
        <v>36</v>
      </c>
      <c r="C5" s="59" t="str">
        <f>CONCATENATE(기본설정!C9)</f>
        <v>5반</v>
      </c>
      <c r="D5" s="59" t="str">
        <f>CONCATENATE(기본설정!D9)</f>
        <v>6반</v>
      </c>
      <c r="E5" s="59" t="str">
        <f>CONCATENATE(기본설정!E9)</f>
        <v>7반</v>
      </c>
      <c r="F5" s="59" t="str">
        <f>CONCATENATE(기본설정!F9)</f>
        <v/>
      </c>
      <c r="G5" s="59" t="str">
        <f>CONCATENATE(기본설정!G9)</f>
        <v/>
      </c>
      <c r="H5" s="59" t="str">
        <f>CONCATENATE(기본설정!H9)</f>
        <v/>
      </c>
      <c r="I5" s="59" t="str">
        <f>CONCATENATE(기본설정!I9)</f>
        <v/>
      </c>
      <c r="J5" s="59" t="str">
        <f>CONCATENATE(기본설정!J9)</f>
        <v/>
      </c>
      <c r="K5" s="59" t="str">
        <f>CONCATENATE(기본설정!K9)</f>
        <v/>
      </c>
      <c r="L5" s="59" t="str">
        <f>CONCATENATE(기본설정!L9)</f>
        <v/>
      </c>
      <c r="M5" s="59" t="str">
        <f>CONCATENATE(기본설정!M9)</f>
        <v/>
      </c>
      <c r="N5" s="59" t="str">
        <f>CONCATENATE(기본설정!N9)</f>
        <v/>
      </c>
      <c r="O5" s="60" t="str">
        <f>CONCATENATE(기본설정!O9)</f>
        <v/>
      </c>
    </row>
    <row r="6" spans="2:15" ht="28.5" customHeight="1" x14ac:dyDescent="0.4">
      <c r="B6" s="61">
        <v>1</v>
      </c>
      <c r="C6" s="66" t="s">
        <v>168</v>
      </c>
      <c r="D6" s="66" t="s">
        <v>123</v>
      </c>
      <c r="E6" s="66" t="s">
        <v>179</v>
      </c>
      <c r="F6" s="66"/>
      <c r="G6" s="66"/>
      <c r="H6" s="66"/>
      <c r="I6" s="66"/>
      <c r="J6" s="66"/>
      <c r="K6" s="66"/>
      <c r="L6" s="66"/>
      <c r="M6" s="66"/>
      <c r="N6" s="66"/>
      <c r="O6" s="67"/>
    </row>
    <row r="7" spans="2:15" ht="28.5" customHeight="1" x14ac:dyDescent="0.4">
      <c r="B7" s="61">
        <v>2</v>
      </c>
      <c r="C7" s="66" t="s">
        <v>138</v>
      </c>
      <c r="D7" s="66" t="s">
        <v>148</v>
      </c>
      <c r="E7" s="66" t="s">
        <v>129</v>
      </c>
      <c r="F7" s="66"/>
      <c r="G7" s="66"/>
      <c r="H7" s="66"/>
      <c r="I7" s="66"/>
      <c r="J7" s="66"/>
      <c r="K7" s="66"/>
      <c r="L7" s="66"/>
      <c r="M7" s="66"/>
      <c r="N7" s="66"/>
      <c r="O7" s="67"/>
    </row>
    <row r="8" spans="2:15" ht="28.5" customHeight="1" x14ac:dyDescent="0.4">
      <c r="B8" s="61">
        <v>3</v>
      </c>
      <c r="C8" s="66" t="s">
        <v>156</v>
      </c>
      <c r="D8" s="66" t="s">
        <v>130</v>
      </c>
      <c r="E8" s="66" t="s">
        <v>124</v>
      </c>
      <c r="F8" s="66"/>
      <c r="G8" s="66"/>
      <c r="H8" s="66"/>
      <c r="I8" s="66"/>
      <c r="J8" s="66"/>
      <c r="K8" s="66"/>
      <c r="L8" s="66"/>
      <c r="M8" s="66"/>
      <c r="N8" s="66"/>
      <c r="O8" s="67"/>
    </row>
    <row r="9" spans="2:15" ht="28.5" customHeight="1" x14ac:dyDescent="0.4">
      <c r="B9" s="61">
        <v>4</v>
      </c>
      <c r="C9" s="66" t="s">
        <v>171</v>
      </c>
      <c r="D9" s="66" t="s">
        <v>110</v>
      </c>
      <c r="E9" s="66" t="s">
        <v>119</v>
      </c>
      <c r="F9" s="66"/>
      <c r="G9" s="66"/>
      <c r="H9" s="66"/>
      <c r="I9" s="66"/>
      <c r="J9" s="66"/>
      <c r="K9" s="66"/>
      <c r="L9" s="66"/>
      <c r="M9" s="66"/>
      <c r="N9" s="66"/>
      <c r="O9" s="67"/>
    </row>
    <row r="10" spans="2:15" ht="28.5" customHeight="1" x14ac:dyDescent="0.4">
      <c r="B10" s="61">
        <v>5</v>
      </c>
      <c r="C10" s="66" t="s">
        <v>157</v>
      </c>
      <c r="D10" s="66" t="s">
        <v>118</v>
      </c>
      <c r="E10" s="66" t="s">
        <v>120</v>
      </c>
      <c r="F10" s="66"/>
      <c r="G10" s="66"/>
      <c r="H10" s="66"/>
      <c r="I10" s="66"/>
      <c r="J10" s="66"/>
      <c r="K10" s="66"/>
      <c r="L10" s="66"/>
      <c r="M10" s="66"/>
      <c r="N10" s="66"/>
      <c r="O10" s="67"/>
    </row>
    <row r="11" spans="2:15" ht="28.5" customHeight="1" x14ac:dyDescent="0.4">
      <c r="B11" s="61">
        <v>6</v>
      </c>
      <c r="C11" s="66" t="s">
        <v>162</v>
      </c>
      <c r="D11" s="66" t="s">
        <v>107</v>
      </c>
      <c r="E11" s="66" t="s">
        <v>109</v>
      </c>
      <c r="F11" s="66"/>
      <c r="G11" s="66"/>
      <c r="H11" s="66"/>
      <c r="I11" s="66"/>
      <c r="J11" s="66"/>
      <c r="K11" s="66"/>
      <c r="L11" s="66"/>
      <c r="M11" s="66"/>
      <c r="N11" s="66"/>
      <c r="O11" s="67"/>
    </row>
    <row r="12" spans="2:15" ht="28.5" customHeight="1" x14ac:dyDescent="0.4">
      <c r="B12" s="61">
        <v>7</v>
      </c>
      <c r="C12" s="66" t="s">
        <v>154</v>
      </c>
      <c r="D12" s="66" t="s">
        <v>122</v>
      </c>
      <c r="E12" s="66" t="s">
        <v>114</v>
      </c>
      <c r="F12" s="66"/>
      <c r="G12" s="66"/>
      <c r="H12" s="66"/>
      <c r="I12" s="66"/>
      <c r="J12" s="66"/>
      <c r="K12" s="66"/>
      <c r="L12" s="66"/>
      <c r="M12" s="66"/>
      <c r="N12" s="66"/>
      <c r="O12" s="67"/>
    </row>
    <row r="13" spans="2:15" ht="28.5" customHeight="1" x14ac:dyDescent="0.4">
      <c r="B13" s="61">
        <v>8</v>
      </c>
      <c r="C13" s="66" t="s">
        <v>143</v>
      </c>
      <c r="D13" s="66" t="s">
        <v>131</v>
      </c>
      <c r="E13" s="66" t="s">
        <v>117</v>
      </c>
      <c r="F13" s="66"/>
      <c r="G13" s="66"/>
      <c r="H13" s="66"/>
      <c r="I13" s="66"/>
      <c r="J13" s="66"/>
      <c r="K13" s="66"/>
      <c r="L13" s="66"/>
      <c r="M13" s="66"/>
      <c r="N13" s="66"/>
      <c r="O13" s="67"/>
    </row>
    <row r="14" spans="2:15" ht="28.5" customHeight="1" x14ac:dyDescent="0.4">
      <c r="B14" s="61">
        <v>9</v>
      </c>
      <c r="C14" s="66" t="s">
        <v>136</v>
      </c>
      <c r="D14" s="66" t="s">
        <v>112</v>
      </c>
      <c r="E14" s="66" t="s">
        <v>125</v>
      </c>
      <c r="F14" s="66"/>
      <c r="G14" s="66"/>
      <c r="H14" s="66"/>
      <c r="I14" s="66"/>
      <c r="J14" s="66"/>
      <c r="K14" s="66"/>
      <c r="L14" s="66"/>
      <c r="M14" s="66"/>
      <c r="N14" s="66"/>
      <c r="O14" s="67"/>
    </row>
    <row r="15" spans="2:15" ht="28.5" customHeight="1" x14ac:dyDescent="0.4">
      <c r="B15" s="61">
        <v>10</v>
      </c>
      <c r="C15" s="66" t="s">
        <v>140</v>
      </c>
      <c r="D15" s="66" t="s">
        <v>132</v>
      </c>
      <c r="E15" s="66" t="s">
        <v>106</v>
      </c>
      <c r="F15" s="66"/>
      <c r="G15" s="66"/>
      <c r="H15" s="66"/>
      <c r="I15" s="66"/>
      <c r="J15" s="66"/>
      <c r="K15" s="66"/>
      <c r="L15" s="66"/>
      <c r="M15" s="66"/>
      <c r="N15" s="66"/>
      <c r="O15" s="67"/>
    </row>
    <row r="16" spans="2:15" ht="28.5" customHeight="1" x14ac:dyDescent="0.4">
      <c r="B16" s="61">
        <v>11</v>
      </c>
      <c r="C16" s="66" t="s">
        <v>153</v>
      </c>
      <c r="D16" s="66" t="s">
        <v>91</v>
      </c>
      <c r="E16" s="66" t="s">
        <v>100</v>
      </c>
      <c r="F16" s="66"/>
      <c r="G16" s="66"/>
      <c r="H16" s="66"/>
      <c r="I16" s="66"/>
      <c r="J16" s="66"/>
      <c r="K16" s="66"/>
      <c r="L16" s="66"/>
      <c r="M16" s="66"/>
      <c r="N16" s="66"/>
      <c r="O16" s="67"/>
    </row>
    <row r="17" spans="2:15" ht="28.5" customHeight="1" x14ac:dyDescent="0.4">
      <c r="B17" s="61">
        <v>12</v>
      </c>
      <c r="C17" s="66" t="s">
        <v>105</v>
      </c>
      <c r="D17" s="66" t="s">
        <v>102</v>
      </c>
      <c r="E17" s="66" t="s">
        <v>92</v>
      </c>
      <c r="F17" s="66"/>
      <c r="G17" s="66"/>
      <c r="H17" s="66"/>
      <c r="I17" s="66"/>
      <c r="J17" s="66"/>
      <c r="K17" s="66"/>
      <c r="L17" s="66"/>
      <c r="M17" s="66"/>
      <c r="N17" s="66"/>
      <c r="O17" s="67"/>
    </row>
    <row r="18" spans="2:15" ht="28.5" customHeight="1" x14ac:dyDescent="0.4">
      <c r="B18" s="61">
        <v>13</v>
      </c>
      <c r="C18" s="66" t="s">
        <v>144</v>
      </c>
      <c r="D18" s="66" t="s">
        <v>82</v>
      </c>
      <c r="E18" s="66" t="s">
        <v>97</v>
      </c>
      <c r="F18" s="66"/>
      <c r="G18" s="66"/>
      <c r="H18" s="66"/>
      <c r="I18" s="66"/>
      <c r="J18" s="66"/>
      <c r="K18" s="66"/>
      <c r="L18" s="66"/>
      <c r="M18" s="66"/>
      <c r="N18" s="66"/>
      <c r="O18" s="67"/>
    </row>
    <row r="19" spans="2:15" ht="28.5" customHeight="1" x14ac:dyDescent="0.4">
      <c r="B19" s="61">
        <v>14</v>
      </c>
      <c r="C19" s="66" t="s">
        <v>103</v>
      </c>
      <c r="D19" s="66" t="s">
        <v>74</v>
      </c>
      <c r="E19" s="66" t="s">
        <v>85</v>
      </c>
      <c r="F19" s="66"/>
      <c r="G19" s="66"/>
      <c r="H19" s="66"/>
      <c r="I19" s="66"/>
      <c r="J19" s="66"/>
      <c r="K19" s="66"/>
      <c r="L19" s="66"/>
      <c r="M19" s="66"/>
      <c r="N19" s="66"/>
      <c r="O19" s="67"/>
    </row>
    <row r="20" spans="2:15" ht="28.5" customHeight="1" x14ac:dyDescent="0.4">
      <c r="B20" s="61">
        <v>15</v>
      </c>
      <c r="C20" s="66" t="s">
        <v>133</v>
      </c>
      <c r="D20" s="66" t="s">
        <v>96</v>
      </c>
      <c r="E20" s="66" t="s">
        <v>95</v>
      </c>
      <c r="F20" s="66"/>
      <c r="G20" s="66"/>
      <c r="H20" s="66"/>
      <c r="I20" s="66"/>
      <c r="J20" s="66"/>
      <c r="K20" s="66"/>
      <c r="L20" s="66"/>
      <c r="M20" s="66"/>
      <c r="N20" s="66"/>
      <c r="O20" s="67"/>
    </row>
    <row r="21" spans="2:15" ht="28.5" customHeight="1" x14ac:dyDescent="0.4">
      <c r="B21" s="61">
        <v>16</v>
      </c>
      <c r="C21" s="66" t="s">
        <v>141</v>
      </c>
      <c r="D21" s="66" t="s">
        <v>79</v>
      </c>
      <c r="E21" s="66" t="s">
        <v>81</v>
      </c>
      <c r="F21" s="66"/>
      <c r="G21" s="66"/>
      <c r="H21" s="66"/>
      <c r="I21" s="66"/>
      <c r="J21" s="66"/>
      <c r="K21" s="66"/>
      <c r="L21" s="66"/>
      <c r="M21" s="66"/>
      <c r="N21" s="66"/>
      <c r="O21" s="67"/>
    </row>
    <row r="22" spans="2:15" ht="28.5" customHeight="1" x14ac:dyDescent="0.4">
      <c r="B22" s="61">
        <v>17</v>
      </c>
      <c r="C22" s="66" t="s">
        <v>142</v>
      </c>
      <c r="D22" s="66" t="s">
        <v>101</v>
      </c>
      <c r="E22" s="66" t="s">
        <v>71</v>
      </c>
      <c r="F22" s="66"/>
      <c r="G22" s="66"/>
      <c r="H22" s="66"/>
      <c r="I22" s="66"/>
      <c r="J22" s="66"/>
      <c r="K22" s="66"/>
      <c r="L22" s="66"/>
      <c r="M22" s="66"/>
      <c r="N22" s="66"/>
      <c r="O22" s="67"/>
    </row>
    <row r="23" spans="2:15" ht="28.5" customHeight="1" x14ac:dyDescent="0.4">
      <c r="B23" s="61">
        <v>18</v>
      </c>
      <c r="C23" s="66" t="s">
        <v>152</v>
      </c>
      <c r="D23" s="66" t="s">
        <v>94</v>
      </c>
      <c r="E23" s="66" t="s">
        <v>75</v>
      </c>
      <c r="F23" s="66"/>
      <c r="G23" s="66"/>
      <c r="H23" s="66"/>
      <c r="I23" s="66"/>
      <c r="J23" s="66"/>
      <c r="K23" s="66"/>
      <c r="L23" s="66"/>
      <c r="M23" s="66"/>
      <c r="N23" s="66"/>
      <c r="O23" s="67"/>
    </row>
    <row r="24" spans="2:15" ht="28.5" customHeight="1" x14ac:dyDescent="0.4">
      <c r="B24" s="61">
        <v>19</v>
      </c>
      <c r="C24" s="66" t="s">
        <v>147</v>
      </c>
      <c r="D24" s="66" t="s">
        <v>89</v>
      </c>
      <c r="E24" s="66" t="s">
        <v>83</v>
      </c>
      <c r="F24" s="66"/>
      <c r="G24" s="66"/>
      <c r="H24" s="66"/>
      <c r="I24" s="66"/>
      <c r="J24" s="66"/>
      <c r="K24" s="66"/>
      <c r="L24" s="66"/>
      <c r="M24" s="66"/>
      <c r="N24" s="66"/>
      <c r="O24" s="67"/>
    </row>
    <row r="25" spans="2:15" ht="28.5" customHeight="1" x14ac:dyDescent="0.4">
      <c r="B25" s="61">
        <v>20</v>
      </c>
      <c r="C25" s="66" t="s">
        <v>113</v>
      </c>
      <c r="D25" s="66" t="s">
        <v>86</v>
      </c>
      <c r="E25" s="66" t="s">
        <v>98</v>
      </c>
      <c r="F25" s="66"/>
      <c r="G25" s="66"/>
      <c r="H25" s="66"/>
      <c r="I25" s="66"/>
      <c r="J25" s="66"/>
      <c r="K25" s="66"/>
      <c r="L25" s="66"/>
      <c r="M25" s="66"/>
      <c r="N25" s="66"/>
      <c r="O25" s="67"/>
    </row>
    <row r="26" spans="2:15" ht="28.5" customHeight="1" x14ac:dyDescent="0.4">
      <c r="B26" s="61">
        <v>21</v>
      </c>
      <c r="C26" s="66" t="s">
        <v>135</v>
      </c>
      <c r="D26" s="66" t="s">
        <v>77</v>
      </c>
      <c r="E26" s="66" t="s">
        <v>93</v>
      </c>
      <c r="F26" s="66"/>
      <c r="G26" s="66"/>
      <c r="H26" s="66"/>
      <c r="I26" s="66"/>
      <c r="J26" s="66"/>
      <c r="K26" s="66"/>
      <c r="L26" s="66"/>
      <c r="M26" s="66"/>
      <c r="N26" s="66"/>
      <c r="O26" s="67"/>
    </row>
    <row r="27" spans="2:15" ht="28.5" customHeight="1" x14ac:dyDescent="0.4">
      <c r="B27" s="61">
        <v>22</v>
      </c>
      <c r="C27" s="66" t="s">
        <v>127</v>
      </c>
      <c r="D27" s="66" t="s">
        <v>72</v>
      </c>
      <c r="E27" s="66" t="s">
        <v>84</v>
      </c>
      <c r="F27" s="66"/>
      <c r="G27" s="66"/>
      <c r="H27" s="66"/>
      <c r="I27" s="66"/>
      <c r="J27" s="66"/>
      <c r="K27" s="66"/>
      <c r="L27" s="66"/>
      <c r="M27" s="66"/>
      <c r="N27" s="66"/>
      <c r="O27" s="67"/>
    </row>
    <row r="28" spans="2:15" ht="28.5" customHeight="1" x14ac:dyDescent="0.4">
      <c r="B28" s="61">
        <v>23</v>
      </c>
      <c r="C28" s="66" t="s">
        <v>160</v>
      </c>
      <c r="D28" s="66" t="s">
        <v>80</v>
      </c>
      <c r="E28" s="66" t="s">
        <v>90</v>
      </c>
      <c r="F28" s="66"/>
      <c r="G28" s="66"/>
      <c r="H28" s="66"/>
      <c r="I28" s="66"/>
      <c r="J28" s="66"/>
      <c r="K28" s="66"/>
      <c r="L28" s="66"/>
      <c r="M28" s="66"/>
      <c r="N28" s="66"/>
      <c r="O28" s="67"/>
    </row>
    <row r="29" spans="2:15" ht="28.5" customHeight="1" x14ac:dyDescent="0.4">
      <c r="B29" s="61">
        <v>24</v>
      </c>
      <c r="C29" s="66" t="s">
        <v>150</v>
      </c>
      <c r="D29" s="66" t="s">
        <v>78</v>
      </c>
      <c r="E29" s="66" t="s">
        <v>88</v>
      </c>
      <c r="F29" s="66"/>
      <c r="G29" s="66"/>
      <c r="H29" s="66"/>
      <c r="I29" s="66"/>
      <c r="J29" s="66"/>
      <c r="K29" s="66"/>
      <c r="L29" s="66"/>
      <c r="M29" s="66"/>
      <c r="N29" s="66"/>
      <c r="O29" s="67"/>
    </row>
    <row r="30" spans="2:15" ht="28.5" customHeight="1" x14ac:dyDescent="0.4">
      <c r="B30" s="61">
        <v>25</v>
      </c>
      <c r="C30" s="66" t="s">
        <v>111</v>
      </c>
      <c r="D30" s="66" t="s">
        <v>51</v>
      </c>
      <c r="E30" s="66" t="s">
        <v>67</v>
      </c>
      <c r="F30" s="66"/>
      <c r="G30" s="66"/>
      <c r="H30" s="66"/>
      <c r="I30" s="66"/>
      <c r="J30" s="66"/>
      <c r="K30" s="66"/>
      <c r="L30" s="66"/>
      <c r="M30" s="66"/>
      <c r="N30" s="66"/>
      <c r="O30" s="67"/>
    </row>
    <row r="31" spans="2:15" ht="28.5" customHeight="1" x14ac:dyDescent="0.4">
      <c r="B31" s="61">
        <v>26</v>
      </c>
      <c r="C31" s="66" t="s">
        <v>155</v>
      </c>
      <c r="D31" s="66" t="s">
        <v>137</v>
      </c>
      <c r="E31" s="66" t="s">
        <v>159</v>
      </c>
      <c r="F31" s="66"/>
      <c r="G31" s="66"/>
      <c r="H31" s="66"/>
      <c r="I31" s="66"/>
      <c r="J31" s="66"/>
      <c r="K31" s="66"/>
      <c r="L31" s="66"/>
      <c r="M31" s="66"/>
      <c r="N31" s="66"/>
      <c r="O31" s="67"/>
    </row>
    <row r="32" spans="2:15" ht="28.5" customHeight="1" x14ac:dyDescent="0.4">
      <c r="B32" s="61">
        <v>27</v>
      </c>
      <c r="C32" s="66" t="s">
        <v>139</v>
      </c>
      <c r="D32" s="66" t="s">
        <v>170</v>
      </c>
      <c r="E32" s="66" t="s">
        <v>175</v>
      </c>
      <c r="F32" s="66"/>
      <c r="G32" s="66"/>
      <c r="H32" s="66"/>
      <c r="I32" s="66"/>
      <c r="J32" s="66"/>
      <c r="K32" s="66"/>
      <c r="L32" s="66"/>
      <c r="M32" s="66"/>
      <c r="N32" s="66"/>
      <c r="O32" s="67"/>
    </row>
    <row r="33" spans="2:15" ht="28.5" customHeight="1" x14ac:dyDescent="0.4">
      <c r="B33" s="61">
        <v>28</v>
      </c>
      <c r="C33" s="66" t="s">
        <v>151</v>
      </c>
      <c r="D33" s="66" t="s">
        <v>49</v>
      </c>
      <c r="E33" s="66" t="s">
        <v>66</v>
      </c>
      <c r="F33" s="66"/>
      <c r="G33" s="66"/>
      <c r="H33" s="66"/>
      <c r="I33" s="66"/>
      <c r="J33" s="66"/>
      <c r="K33" s="66"/>
      <c r="L33" s="66"/>
      <c r="M33" s="66"/>
      <c r="N33" s="66"/>
      <c r="O33" s="67"/>
    </row>
    <row r="34" spans="2:15" ht="28.5" customHeight="1" x14ac:dyDescent="0.4">
      <c r="B34" s="61">
        <v>29</v>
      </c>
      <c r="C34" s="66" t="s">
        <v>116</v>
      </c>
      <c r="D34" s="66" t="s">
        <v>65</v>
      </c>
      <c r="E34" s="66" t="s">
        <v>60</v>
      </c>
      <c r="F34" s="66"/>
      <c r="G34" s="66"/>
      <c r="H34" s="66"/>
      <c r="I34" s="66"/>
      <c r="J34" s="66"/>
      <c r="K34" s="66"/>
      <c r="L34" s="66"/>
      <c r="M34" s="66"/>
      <c r="N34" s="66"/>
      <c r="O34" s="67"/>
    </row>
    <row r="35" spans="2:15" ht="28.5" customHeight="1" x14ac:dyDescent="0.4">
      <c r="B35" s="61">
        <v>30</v>
      </c>
      <c r="C35" s="66" t="s">
        <v>128</v>
      </c>
      <c r="D35" s="66" t="s">
        <v>47</v>
      </c>
      <c r="E35" s="66" t="s">
        <v>169</v>
      </c>
      <c r="F35" s="66"/>
      <c r="G35" s="66"/>
      <c r="H35" s="66"/>
      <c r="I35" s="66"/>
      <c r="J35" s="66"/>
      <c r="K35" s="66"/>
      <c r="L35" s="66"/>
      <c r="M35" s="66"/>
      <c r="N35" s="66"/>
      <c r="O35" s="67"/>
    </row>
    <row r="36" spans="2:15" ht="28.5" customHeight="1" x14ac:dyDescent="0.4">
      <c r="B36" s="61">
        <v>31</v>
      </c>
      <c r="C36" s="66" t="s">
        <v>104</v>
      </c>
      <c r="D36" s="66" t="s">
        <v>59</v>
      </c>
      <c r="E36" s="66" t="s">
        <v>61</v>
      </c>
      <c r="F36" s="66"/>
      <c r="G36" s="66"/>
      <c r="H36" s="66"/>
      <c r="I36" s="66"/>
      <c r="J36" s="66"/>
      <c r="K36" s="66"/>
      <c r="L36" s="66"/>
      <c r="M36" s="66"/>
      <c r="N36" s="66"/>
      <c r="O36" s="67"/>
    </row>
    <row r="37" spans="2:15" ht="28.5" customHeight="1" x14ac:dyDescent="0.4">
      <c r="B37" s="61">
        <v>32</v>
      </c>
      <c r="C37" s="66" t="s">
        <v>146</v>
      </c>
      <c r="D37" s="66" t="s">
        <v>50</v>
      </c>
      <c r="E37" s="66" t="s">
        <v>48</v>
      </c>
      <c r="F37" s="66"/>
      <c r="G37" s="66"/>
      <c r="H37" s="66"/>
      <c r="I37" s="66"/>
      <c r="J37" s="66"/>
      <c r="K37" s="66"/>
      <c r="L37" s="66"/>
      <c r="M37" s="66"/>
      <c r="N37" s="66"/>
      <c r="O37" s="67"/>
    </row>
    <row r="38" spans="2:15" ht="28.5" customHeight="1" x14ac:dyDescent="0.4">
      <c r="B38" s="61">
        <v>33</v>
      </c>
      <c r="C38" s="66" t="s">
        <v>158</v>
      </c>
      <c r="D38" s="66" t="s">
        <v>87</v>
      </c>
      <c r="E38" s="66" t="s">
        <v>76</v>
      </c>
      <c r="F38" s="66"/>
      <c r="G38" s="66"/>
      <c r="H38" s="66"/>
      <c r="I38" s="66"/>
      <c r="J38" s="66"/>
      <c r="K38" s="66"/>
      <c r="L38" s="66"/>
      <c r="M38" s="66"/>
      <c r="N38" s="66"/>
      <c r="O38" s="67"/>
    </row>
    <row r="39" spans="2:15" ht="28.5" customHeight="1" x14ac:dyDescent="0.4">
      <c r="B39" s="61">
        <v>34</v>
      </c>
      <c r="C39" s="66" t="s">
        <v>164</v>
      </c>
      <c r="D39" s="66" t="s">
        <v>99</v>
      </c>
      <c r="E39" s="66" t="s">
        <v>68</v>
      </c>
      <c r="F39" s="66"/>
      <c r="G39" s="66"/>
      <c r="H39" s="66"/>
      <c r="I39" s="66"/>
      <c r="J39" s="66"/>
      <c r="K39" s="66"/>
      <c r="L39" s="66"/>
      <c r="M39" s="66"/>
      <c r="N39" s="66"/>
      <c r="O39" s="67"/>
    </row>
    <row r="40" spans="2:15" ht="28.5" customHeight="1" x14ac:dyDescent="0.4">
      <c r="B40" s="61">
        <v>35</v>
      </c>
      <c r="C40" s="66" t="s">
        <v>165</v>
      </c>
      <c r="D40" s="66" t="s">
        <v>64</v>
      </c>
      <c r="E40" s="66" t="s">
        <v>73</v>
      </c>
      <c r="F40" s="66"/>
      <c r="G40" s="66"/>
      <c r="H40" s="66"/>
      <c r="I40" s="66"/>
      <c r="J40" s="66"/>
      <c r="K40" s="66"/>
      <c r="L40" s="66"/>
      <c r="M40" s="66"/>
      <c r="N40" s="66"/>
      <c r="O40" s="67"/>
    </row>
    <row r="41" spans="2:15" ht="28.5" customHeight="1" x14ac:dyDescent="0.4">
      <c r="B41" s="61">
        <v>36</v>
      </c>
      <c r="C41" s="66" t="s">
        <v>121</v>
      </c>
      <c r="D41" s="66" t="s">
        <v>55</v>
      </c>
      <c r="E41" s="66" t="s">
        <v>54</v>
      </c>
      <c r="F41" s="66"/>
      <c r="G41" s="66"/>
      <c r="H41" s="66"/>
      <c r="I41" s="66"/>
      <c r="J41" s="66"/>
      <c r="K41" s="66"/>
      <c r="L41" s="66"/>
      <c r="M41" s="66"/>
      <c r="N41" s="66"/>
      <c r="O41" s="67"/>
    </row>
    <row r="42" spans="2:15" ht="28.5" customHeight="1" x14ac:dyDescent="0.4">
      <c r="B42" s="61">
        <v>37</v>
      </c>
      <c r="C42" s="66" t="s">
        <v>161</v>
      </c>
      <c r="D42" s="66" t="s">
        <v>63</v>
      </c>
      <c r="E42" s="66" t="s">
        <v>70</v>
      </c>
      <c r="F42" s="66"/>
      <c r="G42" s="66"/>
      <c r="H42" s="66"/>
      <c r="I42" s="66"/>
      <c r="J42" s="66"/>
      <c r="K42" s="66"/>
      <c r="L42" s="66"/>
      <c r="M42" s="66"/>
      <c r="N42" s="66"/>
      <c r="O42" s="67"/>
    </row>
    <row r="43" spans="2:15" ht="28.5" customHeight="1" x14ac:dyDescent="0.4">
      <c r="B43" s="61">
        <v>38</v>
      </c>
      <c r="C43" s="66" t="s">
        <v>108</v>
      </c>
      <c r="D43" s="66" t="s">
        <v>53</v>
      </c>
      <c r="E43" s="66" t="s">
        <v>58</v>
      </c>
      <c r="F43" s="66"/>
      <c r="G43" s="66"/>
      <c r="H43" s="66"/>
      <c r="I43" s="66"/>
      <c r="J43" s="66"/>
      <c r="K43" s="66"/>
      <c r="L43" s="66"/>
      <c r="M43" s="66"/>
      <c r="N43" s="66"/>
      <c r="O43" s="67"/>
    </row>
    <row r="44" spans="2:15" ht="28.5" customHeight="1" x14ac:dyDescent="0.4">
      <c r="B44" s="61">
        <v>39</v>
      </c>
      <c r="C44" s="66" t="s">
        <v>126</v>
      </c>
      <c r="D44" s="66" t="s">
        <v>62</v>
      </c>
      <c r="E44" s="66" t="s">
        <v>57</v>
      </c>
      <c r="F44" s="66"/>
      <c r="G44" s="66"/>
      <c r="H44" s="66"/>
      <c r="I44" s="66"/>
      <c r="J44" s="66"/>
      <c r="K44" s="66"/>
      <c r="L44" s="66"/>
      <c r="M44" s="66"/>
      <c r="N44" s="66"/>
      <c r="O44" s="67"/>
    </row>
    <row r="45" spans="2:15" ht="28.5" customHeight="1" x14ac:dyDescent="0.4">
      <c r="B45" s="62">
        <v>40</v>
      </c>
      <c r="C45" s="68" t="s">
        <v>163</v>
      </c>
      <c r="D45" s="68" t="s">
        <v>69</v>
      </c>
      <c r="E45" s="68" t="s">
        <v>52</v>
      </c>
      <c r="F45" s="68"/>
      <c r="G45" s="68"/>
      <c r="H45" s="68"/>
      <c r="I45" s="68"/>
      <c r="J45" s="68"/>
      <c r="K45" s="68"/>
      <c r="L45" s="68"/>
      <c r="M45" s="68"/>
      <c r="N45" s="68"/>
      <c r="O45" s="69"/>
    </row>
    <row r="46" spans="2:15" ht="29.25" customHeight="1" x14ac:dyDescent="0.4">
      <c r="B46" s="63" t="s">
        <v>39</v>
      </c>
      <c r="C46" s="64">
        <f t="shared" ref="C46:O46" si="0">IF(COUNTA(C6:C45)=0,"",COUNTA(C6:C45))</f>
        <v>40</v>
      </c>
      <c r="D46" s="64">
        <f t="shared" si="0"/>
        <v>40</v>
      </c>
      <c r="E46" s="64">
        <f t="shared" si="0"/>
        <v>40</v>
      </c>
      <c r="F46" s="64" t="str">
        <f t="shared" si="0"/>
        <v/>
      </c>
      <c r="G46" s="64" t="str">
        <f t="shared" si="0"/>
        <v/>
      </c>
      <c r="H46" s="64" t="str">
        <f t="shared" si="0"/>
        <v/>
      </c>
      <c r="I46" s="64" t="str">
        <f t="shared" si="0"/>
        <v/>
      </c>
      <c r="J46" s="64" t="str">
        <f t="shared" si="0"/>
        <v/>
      </c>
      <c r="K46" s="64" t="str">
        <f t="shared" si="0"/>
        <v/>
      </c>
      <c r="L46" s="64" t="str">
        <f t="shared" si="0"/>
        <v/>
      </c>
      <c r="M46" s="64" t="str">
        <f t="shared" si="0"/>
        <v/>
      </c>
      <c r="N46" s="64" t="str">
        <f t="shared" si="0"/>
        <v/>
      </c>
      <c r="O46" s="65" t="str">
        <f t="shared" si="0"/>
        <v/>
      </c>
    </row>
    <row r="47" spans="2:15" ht="9" customHeight="1" x14ac:dyDescent="0.4"/>
  </sheetData>
  <sheetProtection algorithmName="SHA-512" hashValue="pAGZPd5nfpq1c1+AxS2JGRcqSX3pGxPno+UMXMZIIU+DkzWPCRIgibZm7kL1+KFjUBNBIwabeH0vl3mAK582ZA==" saltValue="via06akuVz5l4wqJhcEmXA==" spinCount="100000" sheet="1" objects="1" scenarios="1" selectLockedCells="1"/>
  <mergeCells count="4">
    <mergeCell ref="B1:O1"/>
    <mergeCell ref="B2:O2"/>
    <mergeCell ref="K3:L3"/>
    <mergeCell ref="N3:O3"/>
  </mergeCells>
  <phoneticPr fontId="16" type="noConversion"/>
  <dataValidations count="3">
    <dataValidation type="list" allowBlank="1" showInputMessage="1" showErrorMessage="1" errorTitle="학년 입력 오류" error="학년을 잘못 입력 했습니다. 다시 입력하세요." sqref="G3" xr:uid="{00000000-0002-0000-0100-000000000000}">
      <formula1>"1,2,3"</formula1>
    </dataValidation>
    <dataValidation type="whole" allowBlank="1" showInputMessage="1" showErrorMessage="1" errorTitle="학년도 입력 오류" error="학년도를 잘못입력했습니다. 최소 2014년에서 2029년까지 입니다." sqref="C3" xr:uid="{00000000-0002-0000-0100-000001000000}">
      <formula1>2017</formula1>
      <formula2>2100</formula2>
    </dataValidation>
    <dataValidation operator="equal" allowBlank="1" showInputMessage="1" showErrorMessage="1" errorTitle="편성 학급수 입력 오류" error="최대 학급수는 13학급 입니다. 다시 입력하세요." sqref="N3" xr:uid="{00000000-0002-0000-0100-000002000000}"/>
  </dataValidations>
  <printOptions horizontalCentered="1"/>
  <pageMargins left="0.51138889789581299" right="0.51138889789581299" top="0.74750000238418579" bottom="0.74750000238418579" header="0" footer="0"/>
  <pageSetup paperSize="9" scale="55" orientation="portrait" r:id="rId1"/>
  <headerFooter>
    <oddHeader xml:space="preserve">&amp;C&amp;"돋움,Regular" </oddHeader>
    <oddFooter xml:space="preserve">&amp;C&amp;"돋움,Regular"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315F97"/>
  </sheetPr>
  <dimension ref="A1:D103"/>
  <sheetViews>
    <sheetView showGridLines="0" view="pageBreakPreview" zoomScale="90" zoomScaleNormal="100" zoomScaleSheetLayoutView="90" workbookViewId="0">
      <pane xSplit="3" ySplit="3" topLeftCell="D4" activePane="bottomRight" state="frozen"/>
      <selection pane="topRight"/>
      <selection pane="bottomLeft"/>
      <selection pane="bottomRight" activeCell="D4" sqref="D4"/>
    </sheetView>
  </sheetViews>
  <sheetFormatPr defaultColWidth="9" defaultRowHeight="17.399999999999999" x14ac:dyDescent="0.4"/>
  <cols>
    <col min="1" max="1" width="9" style="1"/>
    <col min="2" max="2" width="11.59765625" style="1" customWidth="1"/>
    <col min="3" max="3" width="8.5" style="1" customWidth="1"/>
    <col min="4" max="4" width="97.59765625" style="2" customWidth="1"/>
    <col min="5" max="16384" width="9" style="1"/>
  </cols>
  <sheetData>
    <row r="1" spans="1:4" ht="69" customHeight="1" x14ac:dyDescent="0.4">
      <c r="A1" s="123" t="str">
        <f>기본설정!D6&amp;"과 영역별 성취 기준"</f>
        <v>네트워크프로그래밍과 영역별 성취 기준</v>
      </c>
      <c r="B1" s="123"/>
      <c r="C1" s="123"/>
      <c r="D1" s="123"/>
    </row>
    <row r="2" spans="1:4" ht="30" customHeight="1" x14ac:dyDescent="0.4">
      <c r="A2" s="124" t="str">
        <f>명렬표!C3&amp;"학년도"</f>
        <v>2018학년도</v>
      </c>
      <c r="B2" s="124"/>
      <c r="C2" s="71" t="str">
        <f>명렬표!G3&amp;"학년"</f>
        <v>2학년</v>
      </c>
      <c r="D2" s="72" t="str">
        <f>CONCATENATE(명렬표!E3,"          담당교사 : "&amp;기본설정!L6)</f>
        <v>2학기          담당교사 : 이동윤</v>
      </c>
    </row>
    <row r="3" spans="1:4" ht="47.25" customHeight="1" x14ac:dyDescent="0.4">
      <c r="A3" s="13" t="s">
        <v>33</v>
      </c>
      <c r="B3" s="14" t="s">
        <v>145</v>
      </c>
      <c r="C3" s="15" t="s">
        <v>134</v>
      </c>
      <c r="D3" s="16" t="s">
        <v>22</v>
      </c>
    </row>
    <row r="4" spans="1:4" ht="46.8" x14ac:dyDescent="0.4">
      <c r="A4" s="120">
        <v>1</v>
      </c>
      <c r="B4" s="125" t="s">
        <v>23</v>
      </c>
      <c r="C4" s="3" t="s">
        <v>37</v>
      </c>
      <c r="D4" s="7" t="s">
        <v>14</v>
      </c>
    </row>
    <row r="5" spans="1:4" ht="46.8" x14ac:dyDescent="0.4">
      <c r="A5" s="120"/>
      <c r="B5" s="118"/>
      <c r="C5" s="4" t="s">
        <v>28</v>
      </c>
      <c r="D5" s="8" t="s">
        <v>2</v>
      </c>
    </row>
    <row r="6" spans="1:4" ht="31.2" x14ac:dyDescent="0.4">
      <c r="A6" s="120"/>
      <c r="B6" s="118"/>
      <c r="C6" s="4" t="s">
        <v>40</v>
      </c>
      <c r="D6" s="8" t="s">
        <v>11</v>
      </c>
    </row>
    <row r="7" spans="1:4" ht="31.2" x14ac:dyDescent="0.4">
      <c r="A7" s="120"/>
      <c r="B7" s="118"/>
      <c r="C7" s="4" t="s">
        <v>35</v>
      </c>
      <c r="D7" s="8" t="s">
        <v>17</v>
      </c>
    </row>
    <row r="8" spans="1:4" x14ac:dyDescent="0.4">
      <c r="A8" s="120"/>
      <c r="B8" s="118"/>
      <c r="C8" s="5" t="s">
        <v>42</v>
      </c>
      <c r="D8" s="9" t="s">
        <v>9</v>
      </c>
    </row>
    <row r="9" spans="1:4" ht="46.8" x14ac:dyDescent="0.4">
      <c r="A9" s="120">
        <v>2</v>
      </c>
      <c r="B9" s="126" t="s">
        <v>20</v>
      </c>
      <c r="C9" s="3" t="s">
        <v>37</v>
      </c>
      <c r="D9" s="10" t="s">
        <v>24</v>
      </c>
    </row>
    <row r="10" spans="1:4" ht="31.2" x14ac:dyDescent="0.4">
      <c r="A10" s="120"/>
      <c r="B10" s="126"/>
      <c r="C10" s="4" t="s">
        <v>28</v>
      </c>
      <c r="D10" s="8" t="s">
        <v>4</v>
      </c>
    </row>
    <row r="11" spans="1:4" ht="31.2" x14ac:dyDescent="0.4">
      <c r="A11" s="120"/>
      <c r="B11" s="126"/>
      <c r="C11" s="4" t="s">
        <v>40</v>
      </c>
      <c r="D11" s="8" t="s">
        <v>19</v>
      </c>
    </row>
    <row r="12" spans="1:4" ht="31.2" x14ac:dyDescent="0.4">
      <c r="A12" s="120"/>
      <c r="B12" s="126"/>
      <c r="C12" s="4" t="s">
        <v>35</v>
      </c>
      <c r="D12" s="8" t="s">
        <v>16</v>
      </c>
    </row>
    <row r="13" spans="1:4" ht="31.2" x14ac:dyDescent="0.4">
      <c r="A13" s="120"/>
      <c r="B13" s="126"/>
      <c r="C13" s="5" t="s">
        <v>42</v>
      </c>
      <c r="D13" s="9" t="s">
        <v>6</v>
      </c>
    </row>
    <row r="14" spans="1:4" ht="31.2" x14ac:dyDescent="0.4">
      <c r="A14" s="120">
        <v>3</v>
      </c>
      <c r="B14" s="118" t="s">
        <v>177</v>
      </c>
      <c r="C14" s="3" t="s">
        <v>37</v>
      </c>
      <c r="D14" s="10" t="s">
        <v>3</v>
      </c>
    </row>
    <row r="15" spans="1:4" ht="31.2" x14ac:dyDescent="0.4">
      <c r="A15" s="120"/>
      <c r="B15" s="118"/>
      <c r="C15" s="4" t="s">
        <v>28</v>
      </c>
      <c r="D15" s="8" t="s">
        <v>0</v>
      </c>
    </row>
    <row r="16" spans="1:4" ht="31.2" x14ac:dyDescent="0.4">
      <c r="A16" s="120"/>
      <c r="B16" s="118"/>
      <c r="C16" s="4" t="s">
        <v>40</v>
      </c>
      <c r="D16" s="8" t="s">
        <v>18</v>
      </c>
    </row>
    <row r="17" spans="1:4" ht="31.2" x14ac:dyDescent="0.4">
      <c r="A17" s="120"/>
      <c r="B17" s="118"/>
      <c r="C17" s="4" t="s">
        <v>35</v>
      </c>
      <c r="D17" s="8" t="s">
        <v>10</v>
      </c>
    </row>
    <row r="18" spans="1:4" x14ac:dyDescent="0.4">
      <c r="A18" s="120"/>
      <c r="B18" s="118"/>
      <c r="C18" s="5" t="s">
        <v>42</v>
      </c>
      <c r="D18" s="9" t="s">
        <v>7</v>
      </c>
    </row>
    <row r="19" spans="1:4" ht="31.2" x14ac:dyDescent="0.4">
      <c r="A19" s="120">
        <v>4</v>
      </c>
      <c r="B19" s="118" t="s">
        <v>173</v>
      </c>
      <c r="C19" s="3" t="s">
        <v>37</v>
      </c>
      <c r="D19" s="10" t="s">
        <v>5</v>
      </c>
    </row>
    <row r="20" spans="1:4" x14ac:dyDescent="0.4">
      <c r="A20" s="120"/>
      <c r="B20" s="118"/>
      <c r="C20" s="4" t="s">
        <v>28</v>
      </c>
      <c r="D20" s="8" t="s">
        <v>15</v>
      </c>
    </row>
    <row r="21" spans="1:4" x14ac:dyDescent="0.4">
      <c r="A21" s="120"/>
      <c r="B21" s="118"/>
      <c r="C21" s="4" t="s">
        <v>40</v>
      </c>
      <c r="D21" s="8" t="s">
        <v>8</v>
      </c>
    </row>
    <row r="22" spans="1:4" x14ac:dyDescent="0.4">
      <c r="A22" s="120"/>
      <c r="B22" s="118"/>
      <c r="C22" s="4" t="s">
        <v>35</v>
      </c>
      <c r="D22" s="8" t="s">
        <v>1</v>
      </c>
    </row>
    <row r="23" spans="1:4" x14ac:dyDescent="0.4">
      <c r="A23" s="120"/>
      <c r="B23" s="118"/>
      <c r="C23" s="5" t="s">
        <v>42</v>
      </c>
      <c r="D23" s="9" t="s">
        <v>12</v>
      </c>
    </row>
    <row r="24" spans="1:4" ht="46.8" x14ac:dyDescent="0.4">
      <c r="A24" s="120">
        <v>5</v>
      </c>
      <c r="B24" s="118">
        <v>5</v>
      </c>
      <c r="C24" s="3" t="s">
        <v>37</v>
      </c>
      <c r="D24" s="10" t="s">
        <v>13</v>
      </c>
    </row>
    <row r="25" spans="1:4" ht="46.8" x14ac:dyDescent="0.4">
      <c r="A25" s="120"/>
      <c r="B25" s="118"/>
      <c r="C25" s="4" t="s">
        <v>28</v>
      </c>
      <c r="D25" s="8" t="s">
        <v>13</v>
      </c>
    </row>
    <row r="26" spans="1:4" x14ac:dyDescent="0.4">
      <c r="A26" s="120"/>
      <c r="B26" s="118"/>
      <c r="C26" s="4" t="s">
        <v>40</v>
      </c>
      <c r="D26" s="8">
        <v>53</v>
      </c>
    </row>
    <row r="27" spans="1:4" x14ac:dyDescent="0.4">
      <c r="A27" s="120"/>
      <c r="B27" s="118"/>
      <c r="C27" s="4" t="s">
        <v>35</v>
      </c>
      <c r="D27" s="8"/>
    </row>
    <row r="28" spans="1:4" x14ac:dyDescent="0.4">
      <c r="A28" s="120"/>
      <c r="B28" s="118"/>
      <c r="C28" s="5" t="s">
        <v>42</v>
      </c>
      <c r="D28" s="9"/>
    </row>
    <row r="29" spans="1:4" ht="46.8" x14ac:dyDescent="0.4">
      <c r="A29" s="120">
        <v>6</v>
      </c>
      <c r="B29" s="118">
        <v>6</v>
      </c>
      <c r="C29" s="3" t="s">
        <v>37</v>
      </c>
      <c r="D29" s="10" t="s">
        <v>13</v>
      </c>
    </row>
    <row r="30" spans="1:4" x14ac:dyDescent="0.4">
      <c r="A30" s="120"/>
      <c r="B30" s="118"/>
      <c r="C30" s="4" t="s">
        <v>28</v>
      </c>
      <c r="D30" s="8"/>
    </row>
    <row r="31" spans="1:4" x14ac:dyDescent="0.4">
      <c r="A31" s="120"/>
      <c r="B31" s="118"/>
      <c r="C31" s="4" t="s">
        <v>40</v>
      </c>
      <c r="D31" s="8">
        <v>63</v>
      </c>
    </row>
    <row r="32" spans="1:4" x14ac:dyDescent="0.4">
      <c r="A32" s="120"/>
      <c r="B32" s="118"/>
      <c r="C32" s="4" t="s">
        <v>35</v>
      </c>
      <c r="D32" s="8"/>
    </row>
    <row r="33" spans="1:4" x14ac:dyDescent="0.4">
      <c r="A33" s="121"/>
      <c r="B33" s="119"/>
      <c r="C33" s="5" t="s">
        <v>42</v>
      </c>
      <c r="D33" s="9"/>
    </row>
    <row r="34" spans="1:4" ht="46.8" x14ac:dyDescent="0.4">
      <c r="A34" s="120">
        <v>7</v>
      </c>
      <c r="B34" s="118">
        <v>7</v>
      </c>
      <c r="C34" s="3" t="s">
        <v>37</v>
      </c>
      <c r="D34" s="10" t="s">
        <v>13</v>
      </c>
    </row>
    <row r="35" spans="1:4" x14ac:dyDescent="0.4">
      <c r="A35" s="120"/>
      <c r="B35" s="118"/>
      <c r="C35" s="4" t="s">
        <v>28</v>
      </c>
      <c r="D35" s="8"/>
    </row>
    <row r="36" spans="1:4" x14ac:dyDescent="0.4">
      <c r="A36" s="120"/>
      <c r="B36" s="118"/>
      <c r="C36" s="4" t="s">
        <v>40</v>
      </c>
      <c r="D36" s="8">
        <v>73</v>
      </c>
    </row>
    <row r="37" spans="1:4" x14ac:dyDescent="0.4">
      <c r="A37" s="120"/>
      <c r="B37" s="118"/>
      <c r="C37" s="4" t="s">
        <v>35</v>
      </c>
      <c r="D37" s="8"/>
    </row>
    <row r="38" spans="1:4" x14ac:dyDescent="0.4">
      <c r="A38" s="121"/>
      <c r="B38" s="119"/>
      <c r="C38" s="5" t="s">
        <v>42</v>
      </c>
      <c r="D38" s="9"/>
    </row>
    <row r="39" spans="1:4" ht="46.8" x14ac:dyDescent="0.4">
      <c r="A39" s="120">
        <v>8</v>
      </c>
      <c r="B39" s="118">
        <v>8</v>
      </c>
      <c r="C39" s="3" t="s">
        <v>37</v>
      </c>
      <c r="D39" s="10" t="s">
        <v>13</v>
      </c>
    </row>
    <row r="40" spans="1:4" x14ac:dyDescent="0.4">
      <c r="A40" s="120"/>
      <c r="B40" s="118"/>
      <c r="C40" s="4" t="s">
        <v>28</v>
      </c>
      <c r="D40" s="8"/>
    </row>
    <row r="41" spans="1:4" x14ac:dyDescent="0.4">
      <c r="A41" s="120"/>
      <c r="B41" s="118"/>
      <c r="C41" s="4" t="s">
        <v>40</v>
      </c>
      <c r="D41" s="8">
        <v>83</v>
      </c>
    </row>
    <row r="42" spans="1:4" x14ac:dyDescent="0.4">
      <c r="A42" s="120"/>
      <c r="B42" s="118"/>
      <c r="C42" s="4" t="s">
        <v>35</v>
      </c>
      <c r="D42" s="8"/>
    </row>
    <row r="43" spans="1:4" x14ac:dyDescent="0.4">
      <c r="A43" s="121"/>
      <c r="B43" s="119"/>
      <c r="C43" s="6" t="s">
        <v>42</v>
      </c>
      <c r="D43" s="11"/>
    </row>
    <row r="44" spans="1:4" ht="46.8" x14ac:dyDescent="0.4">
      <c r="A44" s="120">
        <v>9</v>
      </c>
      <c r="B44" s="118">
        <v>9</v>
      </c>
      <c r="C44" s="3" t="s">
        <v>37</v>
      </c>
      <c r="D44" s="10" t="s">
        <v>13</v>
      </c>
    </row>
    <row r="45" spans="1:4" x14ac:dyDescent="0.4">
      <c r="A45" s="120"/>
      <c r="B45" s="118"/>
      <c r="C45" s="4" t="s">
        <v>28</v>
      </c>
      <c r="D45" s="8"/>
    </row>
    <row r="46" spans="1:4" x14ac:dyDescent="0.4">
      <c r="A46" s="120"/>
      <c r="B46" s="118"/>
      <c r="C46" s="4" t="s">
        <v>40</v>
      </c>
      <c r="D46" s="8">
        <v>93</v>
      </c>
    </row>
    <row r="47" spans="1:4" x14ac:dyDescent="0.4">
      <c r="A47" s="120"/>
      <c r="B47" s="118"/>
      <c r="C47" s="4" t="s">
        <v>35</v>
      </c>
      <c r="D47" s="8"/>
    </row>
    <row r="48" spans="1:4" x14ac:dyDescent="0.4">
      <c r="A48" s="121"/>
      <c r="B48" s="119"/>
      <c r="C48" s="5" t="s">
        <v>42</v>
      </c>
      <c r="D48" s="9"/>
    </row>
    <row r="49" spans="1:4" ht="46.8" x14ac:dyDescent="0.4">
      <c r="A49" s="120">
        <v>10</v>
      </c>
      <c r="B49" s="118">
        <v>10</v>
      </c>
      <c r="C49" s="3" t="s">
        <v>37</v>
      </c>
      <c r="D49" s="10" t="s">
        <v>13</v>
      </c>
    </row>
    <row r="50" spans="1:4" x14ac:dyDescent="0.4">
      <c r="A50" s="120"/>
      <c r="B50" s="118"/>
      <c r="C50" s="4" t="s">
        <v>28</v>
      </c>
      <c r="D50" s="8"/>
    </row>
    <row r="51" spans="1:4" x14ac:dyDescent="0.4">
      <c r="A51" s="120"/>
      <c r="B51" s="118"/>
      <c r="C51" s="4" t="s">
        <v>40</v>
      </c>
      <c r="D51" s="8">
        <v>103</v>
      </c>
    </row>
    <row r="52" spans="1:4" x14ac:dyDescent="0.4">
      <c r="A52" s="120"/>
      <c r="B52" s="118"/>
      <c r="C52" s="4" t="s">
        <v>35</v>
      </c>
      <c r="D52" s="8"/>
    </row>
    <row r="53" spans="1:4" x14ac:dyDescent="0.4">
      <c r="A53" s="121"/>
      <c r="B53" s="119"/>
      <c r="C53" s="6" t="s">
        <v>42</v>
      </c>
      <c r="D53" s="11"/>
    </row>
    <row r="54" spans="1:4" ht="46.8" x14ac:dyDescent="0.4">
      <c r="A54" s="120">
        <v>11</v>
      </c>
      <c r="B54" s="118">
        <v>11</v>
      </c>
      <c r="C54" s="3" t="s">
        <v>37</v>
      </c>
      <c r="D54" s="10" t="s">
        <v>13</v>
      </c>
    </row>
    <row r="55" spans="1:4" x14ac:dyDescent="0.4">
      <c r="A55" s="120"/>
      <c r="B55" s="118"/>
      <c r="C55" s="4" t="s">
        <v>28</v>
      </c>
      <c r="D55" s="8"/>
    </row>
    <row r="56" spans="1:4" x14ac:dyDescent="0.4">
      <c r="A56" s="120"/>
      <c r="B56" s="118"/>
      <c r="C56" s="4" t="s">
        <v>40</v>
      </c>
      <c r="D56" s="8">
        <v>113</v>
      </c>
    </row>
    <row r="57" spans="1:4" x14ac:dyDescent="0.4">
      <c r="A57" s="120"/>
      <c r="B57" s="118"/>
      <c r="C57" s="4" t="s">
        <v>35</v>
      </c>
      <c r="D57" s="8"/>
    </row>
    <row r="58" spans="1:4" x14ac:dyDescent="0.4">
      <c r="A58" s="121"/>
      <c r="B58" s="119"/>
      <c r="C58" s="5" t="s">
        <v>42</v>
      </c>
      <c r="D58" s="9"/>
    </row>
    <row r="59" spans="1:4" ht="46.8" x14ac:dyDescent="0.4">
      <c r="A59" s="120">
        <v>12</v>
      </c>
      <c r="B59" s="118">
        <v>12</v>
      </c>
      <c r="C59" s="3" t="s">
        <v>37</v>
      </c>
      <c r="D59" s="10" t="s">
        <v>13</v>
      </c>
    </row>
    <row r="60" spans="1:4" x14ac:dyDescent="0.4">
      <c r="A60" s="120"/>
      <c r="B60" s="118"/>
      <c r="C60" s="4" t="s">
        <v>28</v>
      </c>
      <c r="D60" s="8"/>
    </row>
    <row r="61" spans="1:4" x14ac:dyDescent="0.4">
      <c r="A61" s="120"/>
      <c r="B61" s="118"/>
      <c r="C61" s="4" t="s">
        <v>40</v>
      </c>
      <c r="D61" s="8">
        <v>123</v>
      </c>
    </row>
    <row r="62" spans="1:4" x14ac:dyDescent="0.4">
      <c r="A62" s="120"/>
      <c r="B62" s="118"/>
      <c r="C62" s="4" t="s">
        <v>35</v>
      </c>
      <c r="D62" s="8"/>
    </row>
    <row r="63" spans="1:4" x14ac:dyDescent="0.4">
      <c r="A63" s="121"/>
      <c r="B63" s="119"/>
      <c r="C63" s="5" t="s">
        <v>42</v>
      </c>
      <c r="D63" s="9"/>
    </row>
    <row r="64" spans="1:4" ht="46.8" x14ac:dyDescent="0.4">
      <c r="A64" s="120">
        <v>13</v>
      </c>
      <c r="B64" s="118">
        <v>13</v>
      </c>
      <c r="C64" s="3" t="s">
        <v>37</v>
      </c>
      <c r="D64" s="10" t="s">
        <v>13</v>
      </c>
    </row>
    <row r="65" spans="1:4" x14ac:dyDescent="0.4">
      <c r="A65" s="120"/>
      <c r="B65" s="118"/>
      <c r="C65" s="4" t="s">
        <v>28</v>
      </c>
      <c r="D65" s="8"/>
    </row>
    <row r="66" spans="1:4" x14ac:dyDescent="0.4">
      <c r="A66" s="120"/>
      <c r="B66" s="118"/>
      <c r="C66" s="4" t="s">
        <v>40</v>
      </c>
      <c r="D66" s="8">
        <v>133</v>
      </c>
    </row>
    <row r="67" spans="1:4" x14ac:dyDescent="0.4">
      <c r="A67" s="120"/>
      <c r="B67" s="118"/>
      <c r="C67" s="4" t="s">
        <v>35</v>
      </c>
      <c r="D67" s="8"/>
    </row>
    <row r="68" spans="1:4" x14ac:dyDescent="0.4">
      <c r="A68" s="121"/>
      <c r="B68" s="119"/>
      <c r="C68" s="6" t="s">
        <v>42</v>
      </c>
      <c r="D68" s="11"/>
    </row>
    <row r="69" spans="1:4" ht="46.8" x14ac:dyDescent="0.4">
      <c r="A69" s="120">
        <v>14</v>
      </c>
      <c r="B69" s="118">
        <v>14</v>
      </c>
      <c r="C69" s="3" t="s">
        <v>37</v>
      </c>
      <c r="D69" s="10" t="s">
        <v>13</v>
      </c>
    </row>
    <row r="70" spans="1:4" x14ac:dyDescent="0.4">
      <c r="A70" s="120"/>
      <c r="B70" s="118"/>
      <c r="C70" s="4" t="s">
        <v>28</v>
      </c>
      <c r="D70" s="8"/>
    </row>
    <row r="71" spans="1:4" x14ac:dyDescent="0.4">
      <c r="A71" s="120"/>
      <c r="B71" s="118"/>
      <c r="C71" s="4" t="s">
        <v>40</v>
      </c>
      <c r="D71" s="8">
        <v>143</v>
      </c>
    </row>
    <row r="72" spans="1:4" x14ac:dyDescent="0.4">
      <c r="A72" s="120"/>
      <c r="B72" s="118"/>
      <c r="C72" s="4" t="s">
        <v>35</v>
      </c>
      <c r="D72" s="8"/>
    </row>
    <row r="73" spans="1:4" x14ac:dyDescent="0.4">
      <c r="A73" s="121"/>
      <c r="B73" s="119"/>
      <c r="C73" s="5" t="s">
        <v>42</v>
      </c>
      <c r="D73" s="9"/>
    </row>
    <row r="74" spans="1:4" ht="46.8" x14ac:dyDescent="0.4">
      <c r="A74" s="120">
        <v>15</v>
      </c>
      <c r="B74" s="118">
        <v>15</v>
      </c>
      <c r="C74" s="3" t="s">
        <v>37</v>
      </c>
      <c r="D74" s="10" t="s">
        <v>13</v>
      </c>
    </row>
    <row r="75" spans="1:4" x14ac:dyDescent="0.4">
      <c r="A75" s="120"/>
      <c r="B75" s="118"/>
      <c r="C75" s="4" t="s">
        <v>28</v>
      </c>
      <c r="D75" s="8"/>
    </row>
    <row r="76" spans="1:4" x14ac:dyDescent="0.4">
      <c r="A76" s="120"/>
      <c r="B76" s="118"/>
      <c r="C76" s="4" t="s">
        <v>40</v>
      </c>
      <c r="D76" s="8">
        <v>153</v>
      </c>
    </row>
    <row r="77" spans="1:4" x14ac:dyDescent="0.4">
      <c r="A77" s="120"/>
      <c r="B77" s="118"/>
      <c r="C77" s="4" t="s">
        <v>35</v>
      </c>
      <c r="D77" s="8"/>
    </row>
    <row r="78" spans="1:4" x14ac:dyDescent="0.4">
      <c r="A78" s="121"/>
      <c r="B78" s="122"/>
      <c r="C78" s="6" t="s">
        <v>42</v>
      </c>
      <c r="D78" s="12"/>
    </row>
    <row r="79" spans="1:4" ht="46.8" x14ac:dyDescent="0.4">
      <c r="A79" s="120">
        <v>16</v>
      </c>
      <c r="B79" s="118">
        <v>16</v>
      </c>
      <c r="C79" s="3" t="s">
        <v>37</v>
      </c>
      <c r="D79" s="10" t="s">
        <v>13</v>
      </c>
    </row>
    <row r="80" spans="1:4" x14ac:dyDescent="0.4">
      <c r="A80" s="120"/>
      <c r="B80" s="118"/>
      <c r="C80" s="4" t="s">
        <v>28</v>
      </c>
      <c r="D80" s="8"/>
    </row>
    <row r="81" spans="1:4" x14ac:dyDescent="0.4">
      <c r="A81" s="120"/>
      <c r="B81" s="118"/>
      <c r="C81" s="4" t="s">
        <v>40</v>
      </c>
      <c r="D81" s="8">
        <v>163</v>
      </c>
    </row>
    <row r="82" spans="1:4" x14ac:dyDescent="0.4">
      <c r="A82" s="120"/>
      <c r="B82" s="118"/>
      <c r="C82" s="4" t="s">
        <v>35</v>
      </c>
      <c r="D82" s="8"/>
    </row>
    <row r="83" spans="1:4" x14ac:dyDescent="0.4">
      <c r="A83" s="121"/>
      <c r="B83" s="119"/>
      <c r="C83" s="5" t="s">
        <v>42</v>
      </c>
      <c r="D83" s="9"/>
    </row>
    <row r="84" spans="1:4" ht="46.8" x14ac:dyDescent="0.4">
      <c r="A84" s="120">
        <v>17</v>
      </c>
      <c r="B84" s="118">
        <v>17</v>
      </c>
      <c r="C84" s="3" t="s">
        <v>37</v>
      </c>
      <c r="D84" s="10" t="s">
        <v>13</v>
      </c>
    </row>
    <row r="85" spans="1:4" x14ac:dyDescent="0.4">
      <c r="A85" s="120"/>
      <c r="B85" s="118"/>
      <c r="C85" s="4" t="s">
        <v>28</v>
      </c>
      <c r="D85" s="8"/>
    </row>
    <row r="86" spans="1:4" x14ac:dyDescent="0.4">
      <c r="A86" s="120"/>
      <c r="B86" s="118"/>
      <c r="C86" s="4" t="s">
        <v>40</v>
      </c>
      <c r="D86" s="8">
        <v>173</v>
      </c>
    </row>
    <row r="87" spans="1:4" x14ac:dyDescent="0.4">
      <c r="A87" s="120"/>
      <c r="B87" s="118"/>
      <c r="C87" s="4" t="s">
        <v>35</v>
      </c>
      <c r="D87" s="8"/>
    </row>
    <row r="88" spans="1:4" x14ac:dyDescent="0.4">
      <c r="A88" s="121"/>
      <c r="B88" s="119"/>
      <c r="C88" s="5" t="s">
        <v>42</v>
      </c>
      <c r="D88" s="9"/>
    </row>
    <row r="89" spans="1:4" ht="46.8" x14ac:dyDescent="0.4">
      <c r="A89" s="120">
        <v>18</v>
      </c>
      <c r="B89" s="118">
        <v>18</v>
      </c>
      <c r="C89" s="3" t="s">
        <v>37</v>
      </c>
      <c r="D89" s="10" t="s">
        <v>13</v>
      </c>
    </row>
    <row r="90" spans="1:4" x14ac:dyDescent="0.4">
      <c r="A90" s="120"/>
      <c r="B90" s="118"/>
      <c r="C90" s="4" t="s">
        <v>28</v>
      </c>
      <c r="D90" s="8"/>
    </row>
    <row r="91" spans="1:4" x14ac:dyDescent="0.4">
      <c r="A91" s="120"/>
      <c r="B91" s="118"/>
      <c r="C91" s="4" t="s">
        <v>40</v>
      </c>
      <c r="D91" s="8">
        <v>183</v>
      </c>
    </row>
    <row r="92" spans="1:4" x14ac:dyDescent="0.4">
      <c r="A92" s="120"/>
      <c r="B92" s="118"/>
      <c r="C92" s="4" t="s">
        <v>35</v>
      </c>
      <c r="D92" s="8"/>
    </row>
    <row r="93" spans="1:4" x14ac:dyDescent="0.4">
      <c r="A93" s="121"/>
      <c r="B93" s="119"/>
      <c r="C93" s="6" t="s">
        <v>42</v>
      </c>
      <c r="D93" s="11"/>
    </row>
    <row r="94" spans="1:4" ht="46.8" x14ac:dyDescent="0.4">
      <c r="A94" s="120">
        <v>19</v>
      </c>
      <c r="B94" s="118">
        <v>19</v>
      </c>
      <c r="C94" s="3" t="s">
        <v>37</v>
      </c>
      <c r="D94" s="10" t="s">
        <v>13</v>
      </c>
    </row>
    <row r="95" spans="1:4" x14ac:dyDescent="0.4">
      <c r="A95" s="120"/>
      <c r="B95" s="118"/>
      <c r="C95" s="4" t="s">
        <v>28</v>
      </c>
      <c r="D95" s="8"/>
    </row>
    <row r="96" spans="1:4" x14ac:dyDescent="0.4">
      <c r="A96" s="120"/>
      <c r="B96" s="118"/>
      <c r="C96" s="4" t="s">
        <v>40</v>
      </c>
      <c r="D96" s="8">
        <v>193</v>
      </c>
    </row>
    <row r="97" spans="1:4" x14ac:dyDescent="0.4">
      <c r="A97" s="120"/>
      <c r="B97" s="118"/>
      <c r="C97" s="4" t="s">
        <v>35</v>
      </c>
      <c r="D97" s="8"/>
    </row>
    <row r="98" spans="1:4" x14ac:dyDescent="0.4">
      <c r="A98" s="121"/>
      <c r="B98" s="119"/>
      <c r="C98" s="5" t="s">
        <v>42</v>
      </c>
      <c r="D98" s="9"/>
    </row>
    <row r="99" spans="1:4" ht="46.8" x14ac:dyDescent="0.4">
      <c r="A99" s="120">
        <v>20</v>
      </c>
      <c r="B99" s="118">
        <v>20</v>
      </c>
      <c r="C99" s="3" t="s">
        <v>37</v>
      </c>
      <c r="D99" s="10" t="s">
        <v>13</v>
      </c>
    </row>
    <row r="100" spans="1:4" x14ac:dyDescent="0.4">
      <c r="A100" s="120"/>
      <c r="B100" s="118"/>
      <c r="C100" s="4" t="s">
        <v>28</v>
      </c>
      <c r="D100" s="8"/>
    </row>
    <row r="101" spans="1:4" x14ac:dyDescent="0.4">
      <c r="A101" s="120"/>
      <c r="B101" s="118"/>
      <c r="C101" s="4" t="s">
        <v>40</v>
      </c>
      <c r="D101" s="8">
        <v>203</v>
      </c>
    </row>
    <row r="102" spans="1:4" x14ac:dyDescent="0.4">
      <c r="A102" s="120"/>
      <c r="B102" s="118"/>
      <c r="C102" s="4" t="s">
        <v>35</v>
      </c>
      <c r="D102" s="8"/>
    </row>
    <row r="103" spans="1:4" x14ac:dyDescent="0.4">
      <c r="A103" s="121"/>
      <c r="B103" s="122"/>
      <c r="C103" s="6" t="s">
        <v>42</v>
      </c>
      <c r="D103" s="12"/>
    </row>
  </sheetData>
  <sheetProtection algorithmName="SHA-512" hashValue="9qOuLwZu/NYR6iSIC65KGdTSmDQaWS3ChKaf0/1N+AsFrZY3GSrITzyNwqJvoxYxbPdBZB4DEDU5kxwEDUjKcQ==" saltValue="F3K5JHm9po8t/+pyRHNJ7g==" spinCount="100000" sheet="1" objects="1" scenarios="1"/>
  <mergeCells count="42">
    <mergeCell ref="A99:A103"/>
    <mergeCell ref="B99:B103"/>
    <mergeCell ref="A94:A98"/>
    <mergeCell ref="B94:B98"/>
    <mergeCell ref="B84:B88"/>
    <mergeCell ref="A89:A93"/>
    <mergeCell ref="A84:A88"/>
    <mergeCell ref="A4:A8"/>
    <mergeCell ref="A9:A13"/>
    <mergeCell ref="A14:A18"/>
    <mergeCell ref="B4:B8"/>
    <mergeCell ref="B9:B13"/>
    <mergeCell ref="B14:B18"/>
    <mergeCell ref="B19:B23"/>
    <mergeCell ref="B89:B93"/>
    <mergeCell ref="A29:A33"/>
    <mergeCell ref="B29:B33"/>
    <mergeCell ref="A1:D1"/>
    <mergeCell ref="A79:A83"/>
    <mergeCell ref="B79:B83"/>
    <mergeCell ref="A19:A23"/>
    <mergeCell ref="A24:A28"/>
    <mergeCell ref="B24:B28"/>
    <mergeCell ref="A2:B2"/>
    <mergeCell ref="A44:A48"/>
    <mergeCell ref="B44:B48"/>
    <mergeCell ref="A39:A43"/>
    <mergeCell ref="B39:B43"/>
    <mergeCell ref="A34:A38"/>
    <mergeCell ref="B34:B38"/>
    <mergeCell ref="A69:A73"/>
    <mergeCell ref="B69:B73"/>
    <mergeCell ref="A74:A78"/>
    <mergeCell ref="B74:B78"/>
    <mergeCell ref="A49:A53"/>
    <mergeCell ref="B49:B53"/>
    <mergeCell ref="A54:A58"/>
    <mergeCell ref="B54:B58"/>
    <mergeCell ref="A59:A63"/>
    <mergeCell ref="B59:B63"/>
    <mergeCell ref="A64:A68"/>
    <mergeCell ref="B64:B68"/>
  </mergeCells>
  <phoneticPr fontId="16" type="noConversion"/>
  <printOptions horizontalCentered="1"/>
  <pageMargins left="0.51166665554046631" right="0.51166665554046631" top="0.74777776002883911" bottom="0.55097222328186035" header="0" footer="0.39347222447395325"/>
  <pageSetup paperSize="9" scale="65" orientation="portrait" r:id="rId1"/>
  <headerFooter>
    <oddFooter>&amp;C&amp;"돋움,Regular"&amp;P/&amp;N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85BF4C"/>
    <pageSetUpPr fitToPage="1"/>
  </sheetPr>
  <dimension ref="A1:C43"/>
  <sheetViews>
    <sheetView showZeros="0" zoomScale="85" zoomScaleNormal="85" zoomScaleSheetLayoutView="75" workbookViewId="0">
      <selection activeCell="C19" sqref="C19"/>
    </sheetView>
  </sheetViews>
  <sheetFormatPr defaultColWidth="9" defaultRowHeight="17.399999999999999" x14ac:dyDescent="0.4"/>
  <cols>
    <col min="1" max="1" width="5.19921875" style="30" customWidth="1"/>
    <col min="2" max="2" width="10.8984375" style="30" customWidth="1"/>
    <col min="3" max="3" width="115.8984375" style="30" customWidth="1"/>
    <col min="4" max="15" width="9" style="30" customWidth="1"/>
    <col min="16" max="16384" width="9" style="30"/>
  </cols>
  <sheetData>
    <row r="1" spans="1:3" ht="62.25" customHeight="1" x14ac:dyDescent="0.4">
      <c r="A1" s="127" t="s">
        <v>21</v>
      </c>
      <c r="B1" s="127"/>
      <c r="C1" s="127"/>
    </row>
    <row r="2" spans="1:3" ht="28.5" customHeight="1" x14ac:dyDescent="0.4">
      <c r="A2" s="128" t="s">
        <v>56</v>
      </c>
      <c r="B2" s="128"/>
      <c r="C2" s="40" t="s">
        <v>45</v>
      </c>
    </row>
    <row r="3" spans="1:3" ht="33.75" customHeight="1" x14ac:dyDescent="0.4">
      <c r="A3" s="75" t="s">
        <v>36</v>
      </c>
      <c r="B3" s="76" t="s">
        <v>41</v>
      </c>
      <c r="C3" s="77" t="s">
        <v>46</v>
      </c>
    </row>
    <row r="4" spans="1:3" x14ac:dyDescent="0.4">
      <c r="A4" s="73">
        <v>1</v>
      </c>
      <c r="B4" s="78">
        <v>1</v>
      </c>
      <c r="C4" s="79"/>
    </row>
    <row r="5" spans="1:3" x14ac:dyDescent="0.4">
      <c r="A5" s="73">
        <v>2</v>
      </c>
      <c r="B5" s="78">
        <v>2</v>
      </c>
      <c r="C5" s="79"/>
    </row>
    <row r="6" spans="1:3" x14ac:dyDescent="0.4">
      <c r="A6" s="73">
        <v>3</v>
      </c>
      <c r="B6" s="78">
        <v>3</v>
      </c>
      <c r="C6" s="80"/>
    </row>
    <row r="7" spans="1:3" x14ac:dyDescent="0.4">
      <c r="A7" s="73">
        <v>4</v>
      </c>
      <c r="B7" s="78">
        <v>4</v>
      </c>
      <c r="C7" s="80"/>
    </row>
    <row r="8" spans="1:3" x14ac:dyDescent="0.4">
      <c r="A8" s="73">
        <v>5</v>
      </c>
      <c r="B8" s="78">
        <v>5</v>
      </c>
      <c r="C8" s="80"/>
    </row>
    <row r="9" spans="1:3" x14ac:dyDescent="0.4">
      <c r="A9" s="73">
        <v>6</v>
      </c>
      <c r="B9" s="78">
        <v>6</v>
      </c>
      <c r="C9" s="80"/>
    </row>
    <row r="10" spans="1:3" x14ac:dyDescent="0.4">
      <c r="A10" s="73">
        <v>7</v>
      </c>
      <c r="B10" s="78">
        <v>7</v>
      </c>
      <c r="C10" s="80"/>
    </row>
    <row r="11" spans="1:3" x14ac:dyDescent="0.4">
      <c r="A11" s="73">
        <v>8</v>
      </c>
      <c r="B11" s="78">
        <v>8</v>
      </c>
      <c r="C11" s="80"/>
    </row>
    <row r="12" spans="1:3" x14ac:dyDescent="0.4">
      <c r="A12" s="73">
        <v>9</v>
      </c>
      <c r="B12" s="78">
        <v>9</v>
      </c>
      <c r="C12" s="80"/>
    </row>
    <row r="13" spans="1:3" x14ac:dyDescent="0.4">
      <c r="A13" s="73">
        <v>10</v>
      </c>
      <c r="B13" s="78">
        <v>10</v>
      </c>
      <c r="C13" s="80"/>
    </row>
    <row r="14" spans="1:3" x14ac:dyDescent="0.4">
      <c r="A14" s="73">
        <v>11</v>
      </c>
      <c r="B14" s="78">
        <v>11</v>
      </c>
      <c r="C14" s="80"/>
    </row>
    <row r="15" spans="1:3" x14ac:dyDescent="0.4">
      <c r="A15" s="73">
        <v>12</v>
      </c>
      <c r="B15" s="78">
        <v>12</v>
      </c>
      <c r="C15" s="80"/>
    </row>
    <row r="16" spans="1:3" x14ac:dyDescent="0.4">
      <c r="A16" s="73">
        <v>13</v>
      </c>
      <c r="B16" s="78">
        <v>13</v>
      </c>
      <c r="C16" s="80"/>
    </row>
    <row r="17" spans="1:3" x14ac:dyDescent="0.4">
      <c r="A17" s="73">
        <v>14</v>
      </c>
      <c r="B17" s="78">
        <v>14</v>
      </c>
      <c r="C17" s="80"/>
    </row>
    <row r="18" spans="1:3" x14ac:dyDescent="0.4">
      <c r="A18" s="73">
        <v>15</v>
      </c>
      <c r="B18" s="78">
        <v>15</v>
      </c>
      <c r="C18" s="80"/>
    </row>
    <row r="19" spans="1:3" x14ac:dyDescent="0.4">
      <c r="A19" s="73">
        <v>16</v>
      </c>
      <c r="B19" s="78">
        <v>16</v>
      </c>
      <c r="C19" s="80"/>
    </row>
    <row r="20" spans="1:3" x14ac:dyDescent="0.4">
      <c r="A20" s="73">
        <v>17</v>
      </c>
      <c r="B20" s="78">
        <v>17</v>
      </c>
      <c r="C20" s="80"/>
    </row>
    <row r="21" spans="1:3" x14ac:dyDescent="0.4">
      <c r="A21" s="73">
        <v>18</v>
      </c>
      <c r="B21" s="78">
        <v>18</v>
      </c>
      <c r="C21" s="80"/>
    </row>
    <row r="22" spans="1:3" x14ac:dyDescent="0.4">
      <c r="A22" s="73">
        <v>19</v>
      </c>
      <c r="B22" s="78">
        <v>19</v>
      </c>
      <c r="C22" s="80"/>
    </row>
    <row r="23" spans="1:3" x14ac:dyDescent="0.4">
      <c r="A23" s="73">
        <v>20</v>
      </c>
      <c r="B23" s="78">
        <v>20</v>
      </c>
      <c r="C23" s="80"/>
    </row>
    <row r="24" spans="1:3" x14ac:dyDescent="0.4">
      <c r="A24" s="73">
        <v>21</v>
      </c>
      <c r="B24" s="78">
        <v>21</v>
      </c>
      <c r="C24" s="80"/>
    </row>
    <row r="25" spans="1:3" x14ac:dyDescent="0.4">
      <c r="A25" s="73">
        <v>22</v>
      </c>
      <c r="B25" s="78">
        <v>22</v>
      </c>
      <c r="C25" s="80"/>
    </row>
    <row r="26" spans="1:3" x14ac:dyDescent="0.4">
      <c r="A26" s="73">
        <v>23</v>
      </c>
      <c r="B26" s="78">
        <v>23</v>
      </c>
      <c r="C26" s="80"/>
    </row>
    <row r="27" spans="1:3" x14ac:dyDescent="0.4">
      <c r="A27" s="73">
        <v>24</v>
      </c>
      <c r="B27" s="78">
        <v>24</v>
      </c>
      <c r="C27" s="80"/>
    </row>
    <row r="28" spans="1:3" x14ac:dyDescent="0.4">
      <c r="A28" s="73">
        <v>25</v>
      </c>
      <c r="B28" s="78">
        <v>25</v>
      </c>
      <c r="C28" s="80"/>
    </row>
    <row r="29" spans="1:3" x14ac:dyDescent="0.4">
      <c r="A29" s="73">
        <v>26</v>
      </c>
      <c r="B29" s="78">
        <v>26</v>
      </c>
      <c r="C29" s="80"/>
    </row>
    <row r="30" spans="1:3" x14ac:dyDescent="0.4">
      <c r="A30" s="73">
        <v>27</v>
      </c>
      <c r="B30" s="78">
        <v>27</v>
      </c>
      <c r="C30" s="80"/>
    </row>
    <row r="31" spans="1:3" x14ac:dyDescent="0.4">
      <c r="A31" s="73">
        <v>28</v>
      </c>
      <c r="B31" s="78">
        <v>28</v>
      </c>
      <c r="C31" s="80"/>
    </row>
    <row r="32" spans="1:3" x14ac:dyDescent="0.4">
      <c r="A32" s="73">
        <v>29</v>
      </c>
      <c r="B32" s="78">
        <v>29</v>
      </c>
      <c r="C32" s="80"/>
    </row>
    <row r="33" spans="1:3" x14ac:dyDescent="0.4">
      <c r="A33" s="73">
        <v>30</v>
      </c>
      <c r="B33" s="78">
        <v>30</v>
      </c>
      <c r="C33" s="80"/>
    </row>
    <row r="34" spans="1:3" x14ac:dyDescent="0.4">
      <c r="A34" s="73">
        <v>31</v>
      </c>
      <c r="B34" s="78">
        <v>31</v>
      </c>
      <c r="C34" s="80"/>
    </row>
    <row r="35" spans="1:3" x14ac:dyDescent="0.4">
      <c r="A35" s="73">
        <v>32</v>
      </c>
      <c r="B35" s="78">
        <v>32</v>
      </c>
      <c r="C35" s="80"/>
    </row>
    <row r="36" spans="1:3" x14ac:dyDescent="0.4">
      <c r="A36" s="73">
        <v>33</v>
      </c>
      <c r="B36" s="78">
        <v>33</v>
      </c>
      <c r="C36" s="80"/>
    </row>
    <row r="37" spans="1:3" x14ac:dyDescent="0.4">
      <c r="A37" s="73">
        <v>34</v>
      </c>
      <c r="B37" s="78">
        <v>34</v>
      </c>
      <c r="C37" s="80"/>
    </row>
    <row r="38" spans="1:3" x14ac:dyDescent="0.4">
      <c r="A38" s="73">
        <v>35</v>
      </c>
      <c r="B38" s="78">
        <v>35</v>
      </c>
      <c r="C38" s="80"/>
    </row>
    <row r="39" spans="1:3" x14ac:dyDescent="0.4">
      <c r="A39" s="73">
        <v>36</v>
      </c>
      <c r="B39" s="78">
        <v>36</v>
      </c>
      <c r="C39" s="80"/>
    </row>
    <row r="40" spans="1:3" x14ac:dyDescent="0.4">
      <c r="A40" s="73">
        <v>37</v>
      </c>
      <c r="B40" s="78">
        <v>37</v>
      </c>
      <c r="C40" s="80"/>
    </row>
    <row r="41" spans="1:3" x14ac:dyDescent="0.4">
      <c r="A41" s="73">
        <v>38</v>
      </c>
      <c r="B41" s="78">
        <v>38</v>
      </c>
      <c r="C41" s="80"/>
    </row>
    <row r="42" spans="1:3" x14ac:dyDescent="0.4">
      <c r="A42" s="73">
        <v>39</v>
      </c>
      <c r="B42" s="78">
        <v>39</v>
      </c>
      <c r="C42" s="80"/>
    </row>
    <row r="43" spans="1:3" x14ac:dyDescent="0.4">
      <c r="A43" s="74">
        <v>40</v>
      </c>
      <c r="B43" s="81">
        <v>40</v>
      </c>
      <c r="C43" s="82"/>
    </row>
  </sheetData>
  <mergeCells count="2">
    <mergeCell ref="A1:C1"/>
    <mergeCell ref="A2:B2"/>
  </mergeCells>
  <phoneticPr fontId="16" type="noConversion"/>
  <printOptions horizontalCentered="1"/>
  <pageMargins left="0.7086111307144165" right="0.51166665554046631" top="0.55097222328186035" bottom="0.55097222328186035" header="0" footer="0.39347222447395325"/>
  <pageSetup paperSize="9" scale="42" fitToHeight="0" orientation="landscape" errors="blank"/>
  <headerFooter>
    <oddFooter>&amp;C&amp;"돋움,Regular"&amp;P/&amp;N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85BF4C"/>
    <pageSetUpPr fitToPage="1"/>
  </sheetPr>
  <dimension ref="A1:W45"/>
  <sheetViews>
    <sheetView showZeros="0" zoomScale="85" zoomScaleNormal="85" zoomScaleSheetLayoutView="75" workbookViewId="0">
      <pane xSplit="2" ySplit="4" topLeftCell="C5" activePane="bottomRight" state="frozen"/>
      <selection pane="topRight"/>
      <selection pane="bottomLeft"/>
      <selection pane="bottomRight" activeCell="C5" sqref="C5"/>
    </sheetView>
  </sheetViews>
  <sheetFormatPr defaultColWidth="9" defaultRowHeight="17.399999999999999" x14ac:dyDescent="0.4"/>
  <cols>
    <col min="1" max="1" width="7" style="30" customWidth="1"/>
    <col min="2" max="2" width="9.5" style="30" customWidth="1"/>
    <col min="3" max="3" width="8" style="30" customWidth="1"/>
    <col min="4" max="4" width="8" style="30" customWidth="1" collapsed="1"/>
    <col min="5" max="9" width="8" style="30" customWidth="1"/>
    <col min="10" max="12" width="8" style="30" hidden="1" customWidth="1"/>
    <col min="13" max="13" width="8" style="30" hidden="1" customWidth="1" collapsed="1"/>
    <col min="14" max="22" width="8" style="30" hidden="1" customWidth="1"/>
    <col min="23" max="23" width="115.8984375" style="30" customWidth="1"/>
    <col min="24" max="35" width="9" style="30" customWidth="1"/>
    <col min="36" max="16384" width="9" style="30"/>
  </cols>
  <sheetData>
    <row r="1" spans="1:23" ht="62.25" customHeight="1" x14ac:dyDescent="0.4">
      <c r="A1" s="127" t="str">
        <f>CONCATENATE(기본설정!D6,"과 평가 예시문")</f>
        <v>네트워크프로그래밍과 평가 예시문</v>
      </c>
      <c r="B1" s="127"/>
      <c r="C1" s="127"/>
      <c r="D1" s="127"/>
      <c r="E1" s="127"/>
      <c r="F1" s="127"/>
      <c r="G1" s="127"/>
      <c r="H1" s="127"/>
      <c r="I1" s="127"/>
      <c r="J1" s="127"/>
      <c r="K1" s="127"/>
      <c r="L1" s="127"/>
      <c r="M1" s="127"/>
      <c r="N1" s="127"/>
      <c r="O1" s="127"/>
      <c r="P1" s="127"/>
      <c r="Q1" s="127"/>
      <c r="R1" s="127"/>
      <c r="S1" s="127"/>
      <c r="T1" s="127"/>
      <c r="U1" s="127"/>
      <c r="V1" s="127"/>
      <c r="W1" s="127"/>
    </row>
    <row r="2" spans="1:23" ht="28.5" customHeight="1" x14ac:dyDescent="0.4">
      <c r="A2" s="129" t="str">
        <f>CONCATENATE(기본설정!D4,"학년도")</f>
        <v>2018학년도</v>
      </c>
      <c r="B2" s="129"/>
      <c r="C2" s="35" t="str">
        <f>CONCATENATE(기본설정!L4)</f>
        <v>2학기</v>
      </c>
      <c r="D2" s="36"/>
      <c r="E2" s="36" t="str">
        <f>CONCATENATE(기본설정!D5,"학년")</f>
        <v>2학년</v>
      </c>
      <c r="F2" s="132" t="str">
        <f ca="1">RIGHT(CELL("filename",A1),LEN(CELL("filename",A1))-FIND("]",CELL("filename",A1)))</f>
        <v>반</v>
      </c>
      <c r="G2" s="132"/>
      <c r="H2" s="38"/>
      <c r="I2" s="38"/>
      <c r="J2" s="38"/>
      <c r="K2" s="38"/>
      <c r="L2" s="38"/>
      <c r="M2" s="39"/>
      <c r="N2" s="39"/>
      <c r="O2" s="37"/>
      <c r="P2" s="37"/>
      <c r="Q2" s="38"/>
      <c r="R2" s="38"/>
      <c r="S2" s="38"/>
      <c r="T2" s="38"/>
      <c r="U2" s="38"/>
      <c r="V2" s="38"/>
      <c r="W2" s="40" t="str">
        <f>CONCATENATE("담당교사 : ",기본설정!L6)</f>
        <v>담당교사 : 이동윤</v>
      </c>
    </row>
    <row r="3" spans="1:23" ht="70.5" customHeight="1" x14ac:dyDescent="0.4">
      <c r="A3" s="19" t="s">
        <v>36</v>
      </c>
      <c r="B3" s="20" t="s">
        <v>31</v>
      </c>
      <c r="C3" s="21" t="str">
        <f ca="1">INDIRECT($B$4&amp;C$4)</f>
        <v>1열과 우리생활</v>
      </c>
      <c r="D3" s="21" t="str">
        <f ca="1">INDIRECT($B$4&amp;D$4)</f>
        <v>2분자운동과 상태변화</v>
      </c>
      <c r="E3" s="21" t="str">
        <f t="shared" ref="E3:V3" ca="1" si="0">INDIRECT($B$4&amp;E$4)</f>
        <v>3프로젝트</v>
      </c>
      <c r="F3" s="21" t="str">
        <f t="shared" ca="1" si="0"/>
        <v>4포4트폴리오</v>
      </c>
      <c r="G3" s="21">
        <f t="shared" ca="1" si="0"/>
        <v>5</v>
      </c>
      <c r="H3" s="21">
        <f t="shared" ca="1" si="0"/>
        <v>6</v>
      </c>
      <c r="I3" s="21">
        <f t="shared" ca="1" si="0"/>
        <v>7</v>
      </c>
      <c r="J3" s="21">
        <f t="shared" ca="1" si="0"/>
        <v>8</v>
      </c>
      <c r="K3" s="21">
        <f t="shared" ca="1" si="0"/>
        <v>9</v>
      </c>
      <c r="L3" s="21">
        <f t="shared" ca="1" si="0"/>
        <v>10</v>
      </c>
      <c r="M3" s="21">
        <f t="shared" ca="1" si="0"/>
        <v>11</v>
      </c>
      <c r="N3" s="21">
        <f t="shared" ca="1" si="0"/>
        <v>12</v>
      </c>
      <c r="O3" s="21">
        <f t="shared" ca="1" si="0"/>
        <v>13</v>
      </c>
      <c r="P3" s="21">
        <f t="shared" ca="1" si="0"/>
        <v>14</v>
      </c>
      <c r="Q3" s="21">
        <f t="shared" ca="1" si="0"/>
        <v>15</v>
      </c>
      <c r="R3" s="21">
        <f t="shared" ca="1" si="0"/>
        <v>16</v>
      </c>
      <c r="S3" s="21">
        <f t="shared" ca="1" si="0"/>
        <v>17</v>
      </c>
      <c r="T3" s="21">
        <f t="shared" ca="1" si="0"/>
        <v>18</v>
      </c>
      <c r="U3" s="21">
        <f t="shared" ca="1" si="0"/>
        <v>19</v>
      </c>
      <c r="V3" s="21">
        <f t="shared" ca="1" si="0"/>
        <v>20</v>
      </c>
      <c r="W3" s="22" t="s">
        <v>46</v>
      </c>
    </row>
    <row r="4" spans="1:23" ht="23.25" hidden="1" customHeight="1" x14ac:dyDescent="0.4">
      <c r="A4" s="83"/>
      <c r="B4" s="31" t="s">
        <v>178</v>
      </c>
      <c r="C4" s="32">
        <v>4</v>
      </c>
      <c r="D4" s="33">
        <v>9</v>
      </c>
      <c r="E4" s="33">
        <v>14</v>
      </c>
      <c r="F4" s="33">
        <v>19</v>
      </c>
      <c r="G4" s="33">
        <v>24</v>
      </c>
      <c r="H4" s="33">
        <v>29</v>
      </c>
      <c r="I4" s="33">
        <v>34</v>
      </c>
      <c r="J4" s="33">
        <v>39</v>
      </c>
      <c r="K4" s="33">
        <v>44</v>
      </c>
      <c r="L4" s="33">
        <v>49</v>
      </c>
      <c r="M4" s="33">
        <v>54</v>
      </c>
      <c r="N4" s="33">
        <v>59</v>
      </c>
      <c r="O4" s="33">
        <v>64</v>
      </c>
      <c r="P4" s="33">
        <v>69</v>
      </c>
      <c r="Q4" s="33">
        <v>74</v>
      </c>
      <c r="R4" s="33">
        <v>79</v>
      </c>
      <c r="S4" s="33">
        <v>84</v>
      </c>
      <c r="T4" s="33">
        <v>89</v>
      </c>
      <c r="U4" s="33">
        <v>94</v>
      </c>
      <c r="V4" s="33">
        <v>99</v>
      </c>
      <c r="W4" s="34"/>
    </row>
    <row r="5" spans="1:23" x14ac:dyDescent="0.4">
      <c r="A5" s="23">
        <v>1</v>
      </c>
      <c r="B5" s="24">
        <f ca="1">INDIRECT("명렬표!R"&amp;A5+5&amp;"C"&amp;$A$4+2,0)</f>
        <v>1</v>
      </c>
      <c r="C5" s="25"/>
      <c r="D5" s="26"/>
      <c r="E5" s="26"/>
      <c r="F5" s="26"/>
      <c r="G5" s="26"/>
      <c r="H5" s="26"/>
      <c r="I5" s="26"/>
      <c r="J5" s="26"/>
      <c r="K5" s="26"/>
      <c r="L5" s="26"/>
      <c r="M5" s="26"/>
      <c r="N5" s="26"/>
      <c r="O5" s="26"/>
      <c r="P5" s="26"/>
      <c r="Q5" s="26"/>
      <c r="R5" s="26"/>
      <c r="S5" s="70"/>
      <c r="T5" s="70"/>
      <c r="U5" s="70"/>
      <c r="V5" s="70"/>
      <c r="W5" s="17" t="str">
        <f t="shared" ref="W5:W44" si="1">CONCATENATE(IF(C5="","",VLOOKUP(C5,영역1,2,0)),IF(D5="","",VLOOKUP(D5,영역2,2,0)),IF(E5="","",VLOOKUP(E5,영역3,2,0)),IF(F5="","",VLOOKUP(F5,영역4,2,0)),IF(G5="","",VLOOKUP(G5,영역5,2,0)),IF(H5="","",VLOOKUP(H5,영역6,2,0)),IF(I5="","",VLOOKUP(I5,영역7,2,0)),IF(I5="","",VLOOKUP(I5,영역8,2,0)),IF(K5="","",VLOOKUP(K5,영역9,2,0)),IF(L5="","",VLOOKUP(L5,영역10,2,0)),IF(M5="","",VLOOKUP(M5,영역11,2,0)),IF(N5="","",VLOOKUP(N5,영역12,2,0)),IF(O5="","",VLOOKUP(O5,영역13,2,0)),IF(P5="","",VLOOKUP(P5,영역14,2,0)),IF(Q5="","",VLOOKUP(Q5,영역15,2,0)),IF(R5="","",VLOOKUP(R5,영역16,2,0)),IF(S5="","",VLOOKUP(S5,영역17,2,0)),IF(T5="","",VLOOKUP(T5,영역18,2,0)),IF(U5="","",VLOOKUP(U5,영역19,2,0)),IF(V5="","",VLOOKUP(V5,영역20,2,0)))</f>
        <v/>
      </c>
    </row>
    <row r="6" spans="1:23" x14ac:dyDescent="0.4">
      <c r="A6" s="23">
        <v>2</v>
      </c>
      <c r="B6" s="24">
        <f t="shared" ref="B6:B44" ca="1" si="2">INDIRECT("명렬표!R"&amp;A6+5&amp;"C"&amp;$A$4+2,0)</f>
        <v>2</v>
      </c>
      <c r="C6" s="25"/>
      <c r="D6" s="26"/>
      <c r="E6" s="26"/>
      <c r="F6" s="26"/>
      <c r="G6" s="26"/>
      <c r="H6" s="26"/>
      <c r="I6" s="26"/>
      <c r="J6" s="26"/>
      <c r="K6" s="26"/>
      <c r="L6" s="26"/>
      <c r="M6" s="26"/>
      <c r="N6" s="26"/>
      <c r="O6" s="26"/>
      <c r="P6" s="26"/>
      <c r="Q6" s="26"/>
      <c r="R6" s="26"/>
      <c r="S6" s="70"/>
      <c r="T6" s="70"/>
      <c r="U6" s="70"/>
      <c r="V6" s="70"/>
      <c r="W6" s="17" t="str">
        <f t="shared" si="1"/>
        <v/>
      </c>
    </row>
    <row r="7" spans="1:23" x14ac:dyDescent="0.4">
      <c r="A7" s="23">
        <v>3</v>
      </c>
      <c r="B7" s="24">
        <f t="shared" ca="1" si="2"/>
        <v>3</v>
      </c>
      <c r="C7" s="25"/>
      <c r="D7" s="26"/>
      <c r="E7" s="26"/>
      <c r="F7" s="26"/>
      <c r="G7" s="26"/>
      <c r="H7" s="26"/>
      <c r="I7" s="26"/>
      <c r="J7" s="26"/>
      <c r="K7" s="26"/>
      <c r="L7" s="26"/>
      <c r="M7" s="26"/>
      <c r="N7" s="26"/>
      <c r="O7" s="26"/>
      <c r="P7" s="26"/>
      <c r="Q7" s="26"/>
      <c r="R7" s="26"/>
      <c r="S7" s="70"/>
      <c r="T7" s="70"/>
      <c r="U7" s="70"/>
      <c r="V7" s="70"/>
      <c r="W7" s="18" t="str">
        <f t="shared" si="1"/>
        <v/>
      </c>
    </row>
    <row r="8" spans="1:23" x14ac:dyDescent="0.4">
      <c r="A8" s="23">
        <v>4</v>
      </c>
      <c r="B8" s="24">
        <f t="shared" ca="1" si="2"/>
        <v>4</v>
      </c>
      <c r="C8" s="25"/>
      <c r="D8" s="26"/>
      <c r="E8" s="26"/>
      <c r="F8" s="26"/>
      <c r="G8" s="26"/>
      <c r="H8" s="26"/>
      <c r="I8" s="26"/>
      <c r="J8" s="26"/>
      <c r="K8" s="26"/>
      <c r="L8" s="26"/>
      <c r="M8" s="26"/>
      <c r="N8" s="26"/>
      <c r="O8" s="26"/>
      <c r="P8" s="26"/>
      <c r="Q8" s="26"/>
      <c r="R8" s="26"/>
      <c r="S8" s="70"/>
      <c r="T8" s="70"/>
      <c r="U8" s="70"/>
      <c r="V8" s="70"/>
      <c r="W8" s="18" t="str">
        <f t="shared" si="1"/>
        <v/>
      </c>
    </row>
    <row r="9" spans="1:23" x14ac:dyDescent="0.4">
      <c r="A9" s="23">
        <v>5</v>
      </c>
      <c r="B9" s="24">
        <f t="shared" ca="1" si="2"/>
        <v>5</v>
      </c>
      <c r="C9" s="25"/>
      <c r="D9" s="26"/>
      <c r="E9" s="26"/>
      <c r="F9" s="26"/>
      <c r="G9" s="26"/>
      <c r="H9" s="26"/>
      <c r="I9" s="26"/>
      <c r="J9" s="26"/>
      <c r="K9" s="26"/>
      <c r="L9" s="26"/>
      <c r="M9" s="26"/>
      <c r="N9" s="26"/>
      <c r="O9" s="26"/>
      <c r="P9" s="26"/>
      <c r="Q9" s="26"/>
      <c r="R9" s="26"/>
      <c r="S9" s="70"/>
      <c r="T9" s="70"/>
      <c r="U9" s="70"/>
      <c r="V9" s="70"/>
      <c r="W9" s="18" t="str">
        <f t="shared" si="1"/>
        <v/>
      </c>
    </row>
    <row r="10" spans="1:23" x14ac:dyDescent="0.4">
      <c r="A10" s="23">
        <v>6</v>
      </c>
      <c r="B10" s="24">
        <f t="shared" ca="1" si="2"/>
        <v>6</v>
      </c>
      <c r="C10" s="25"/>
      <c r="D10" s="26"/>
      <c r="E10" s="26"/>
      <c r="F10" s="26"/>
      <c r="G10" s="26"/>
      <c r="H10" s="26"/>
      <c r="I10" s="26"/>
      <c r="J10" s="26"/>
      <c r="K10" s="26"/>
      <c r="L10" s="26"/>
      <c r="M10" s="26"/>
      <c r="N10" s="26"/>
      <c r="O10" s="26"/>
      <c r="P10" s="26"/>
      <c r="Q10" s="26"/>
      <c r="R10" s="26"/>
      <c r="S10" s="70"/>
      <c r="T10" s="70"/>
      <c r="U10" s="70"/>
      <c r="V10" s="70"/>
      <c r="W10" s="18" t="str">
        <f t="shared" si="1"/>
        <v/>
      </c>
    </row>
    <row r="11" spans="1:23" x14ac:dyDescent="0.4">
      <c r="A11" s="23">
        <v>7</v>
      </c>
      <c r="B11" s="24">
        <f t="shared" ca="1" si="2"/>
        <v>7</v>
      </c>
      <c r="C11" s="25"/>
      <c r="D11" s="26"/>
      <c r="E11" s="26"/>
      <c r="F11" s="26"/>
      <c r="G11" s="26"/>
      <c r="H11" s="26"/>
      <c r="I11" s="26"/>
      <c r="J11" s="26"/>
      <c r="K11" s="26"/>
      <c r="L11" s="26"/>
      <c r="M11" s="26"/>
      <c r="N11" s="26"/>
      <c r="O11" s="26"/>
      <c r="P11" s="26"/>
      <c r="Q11" s="26"/>
      <c r="R11" s="26"/>
      <c r="S11" s="70"/>
      <c r="T11" s="70"/>
      <c r="U11" s="70"/>
      <c r="V11" s="70"/>
      <c r="W11" s="18" t="str">
        <f t="shared" si="1"/>
        <v/>
      </c>
    </row>
    <row r="12" spans="1:23" x14ac:dyDescent="0.4">
      <c r="A12" s="23">
        <v>8</v>
      </c>
      <c r="B12" s="24">
        <f t="shared" ca="1" si="2"/>
        <v>8</v>
      </c>
      <c r="C12" s="25"/>
      <c r="D12" s="26"/>
      <c r="E12" s="26"/>
      <c r="F12" s="26"/>
      <c r="G12" s="26"/>
      <c r="H12" s="26"/>
      <c r="I12" s="26"/>
      <c r="J12" s="26"/>
      <c r="K12" s="26"/>
      <c r="L12" s="26"/>
      <c r="M12" s="26"/>
      <c r="N12" s="26"/>
      <c r="O12" s="26"/>
      <c r="P12" s="26"/>
      <c r="Q12" s="26"/>
      <c r="R12" s="26"/>
      <c r="S12" s="70"/>
      <c r="T12" s="70"/>
      <c r="U12" s="70"/>
      <c r="V12" s="70"/>
      <c r="W12" s="18" t="str">
        <f t="shared" si="1"/>
        <v/>
      </c>
    </row>
    <row r="13" spans="1:23" x14ac:dyDescent="0.4">
      <c r="A13" s="23">
        <v>9</v>
      </c>
      <c r="B13" s="24">
        <f t="shared" ca="1" si="2"/>
        <v>9</v>
      </c>
      <c r="C13" s="25"/>
      <c r="D13" s="26"/>
      <c r="E13" s="26"/>
      <c r="F13" s="26"/>
      <c r="G13" s="26"/>
      <c r="H13" s="26"/>
      <c r="I13" s="26"/>
      <c r="J13" s="26"/>
      <c r="K13" s="26"/>
      <c r="L13" s="26"/>
      <c r="M13" s="26"/>
      <c r="N13" s="26"/>
      <c r="O13" s="26"/>
      <c r="P13" s="26"/>
      <c r="Q13" s="26"/>
      <c r="R13" s="26"/>
      <c r="S13" s="70"/>
      <c r="T13" s="70"/>
      <c r="U13" s="70"/>
      <c r="V13" s="70"/>
      <c r="W13" s="18" t="str">
        <f t="shared" si="1"/>
        <v/>
      </c>
    </row>
    <row r="14" spans="1:23" x14ac:dyDescent="0.4">
      <c r="A14" s="23">
        <v>10</v>
      </c>
      <c r="B14" s="24">
        <f t="shared" ca="1" si="2"/>
        <v>10</v>
      </c>
      <c r="C14" s="25"/>
      <c r="D14" s="26"/>
      <c r="E14" s="26"/>
      <c r="F14" s="26"/>
      <c r="G14" s="26"/>
      <c r="H14" s="26"/>
      <c r="I14" s="26"/>
      <c r="J14" s="26"/>
      <c r="K14" s="26"/>
      <c r="L14" s="26"/>
      <c r="M14" s="26"/>
      <c r="N14" s="26"/>
      <c r="O14" s="26"/>
      <c r="P14" s="26"/>
      <c r="Q14" s="26"/>
      <c r="R14" s="26"/>
      <c r="S14" s="70"/>
      <c r="T14" s="70"/>
      <c r="U14" s="70"/>
      <c r="V14" s="70"/>
      <c r="W14" s="18" t="str">
        <f t="shared" si="1"/>
        <v/>
      </c>
    </row>
    <row r="15" spans="1:23" x14ac:dyDescent="0.4">
      <c r="A15" s="23">
        <v>11</v>
      </c>
      <c r="B15" s="24">
        <f t="shared" ca="1" si="2"/>
        <v>11</v>
      </c>
      <c r="C15" s="25"/>
      <c r="D15" s="26"/>
      <c r="E15" s="26"/>
      <c r="F15" s="26"/>
      <c r="G15" s="26"/>
      <c r="H15" s="26"/>
      <c r="I15" s="26"/>
      <c r="J15" s="26"/>
      <c r="K15" s="26"/>
      <c r="L15" s="26"/>
      <c r="M15" s="26"/>
      <c r="N15" s="26"/>
      <c r="O15" s="26"/>
      <c r="P15" s="26"/>
      <c r="Q15" s="26"/>
      <c r="R15" s="26"/>
      <c r="S15" s="70"/>
      <c r="T15" s="70"/>
      <c r="U15" s="70"/>
      <c r="V15" s="70"/>
      <c r="W15" s="18" t="str">
        <f t="shared" si="1"/>
        <v/>
      </c>
    </row>
    <row r="16" spans="1:23" x14ac:dyDescent="0.4">
      <c r="A16" s="23">
        <v>12</v>
      </c>
      <c r="B16" s="24">
        <f t="shared" ca="1" si="2"/>
        <v>12</v>
      </c>
      <c r="C16" s="25"/>
      <c r="D16" s="26"/>
      <c r="E16" s="26"/>
      <c r="F16" s="26"/>
      <c r="G16" s="26"/>
      <c r="H16" s="26"/>
      <c r="I16" s="26"/>
      <c r="J16" s="26"/>
      <c r="K16" s="26"/>
      <c r="L16" s="26"/>
      <c r="M16" s="26"/>
      <c r="N16" s="26"/>
      <c r="O16" s="26"/>
      <c r="P16" s="26"/>
      <c r="Q16" s="26"/>
      <c r="R16" s="26"/>
      <c r="S16" s="70"/>
      <c r="T16" s="70"/>
      <c r="U16" s="70"/>
      <c r="V16" s="70"/>
      <c r="W16" s="18" t="str">
        <f t="shared" si="1"/>
        <v/>
      </c>
    </row>
    <row r="17" spans="1:23" x14ac:dyDescent="0.4">
      <c r="A17" s="23">
        <v>13</v>
      </c>
      <c r="B17" s="24">
        <f t="shared" ca="1" si="2"/>
        <v>13</v>
      </c>
      <c r="C17" s="25"/>
      <c r="D17" s="26"/>
      <c r="E17" s="26"/>
      <c r="F17" s="26"/>
      <c r="G17" s="26"/>
      <c r="H17" s="26"/>
      <c r="I17" s="26"/>
      <c r="J17" s="26"/>
      <c r="K17" s="26"/>
      <c r="L17" s="26"/>
      <c r="M17" s="26"/>
      <c r="N17" s="26"/>
      <c r="O17" s="26"/>
      <c r="P17" s="26"/>
      <c r="Q17" s="26"/>
      <c r="R17" s="26"/>
      <c r="S17" s="70"/>
      <c r="T17" s="70"/>
      <c r="U17" s="70"/>
      <c r="V17" s="70"/>
      <c r="W17" s="18" t="str">
        <f t="shared" si="1"/>
        <v/>
      </c>
    </row>
    <row r="18" spans="1:23" x14ac:dyDescent="0.4">
      <c r="A18" s="23">
        <v>14</v>
      </c>
      <c r="B18" s="24">
        <f t="shared" ca="1" si="2"/>
        <v>14</v>
      </c>
      <c r="C18" s="25"/>
      <c r="D18" s="26"/>
      <c r="E18" s="26"/>
      <c r="F18" s="26"/>
      <c r="G18" s="26"/>
      <c r="H18" s="26"/>
      <c r="I18" s="26"/>
      <c r="J18" s="26"/>
      <c r="K18" s="26"/>
      <c r="L18" s="26"/>
      <c r="M18" s="26"/>
      <c r="N18" s="26"/>
      <c r="O18" s="26"/>
      <c r="P18" s="26"/>
      <c r="Q18" s="26"/>
      <c r="R18" s="26"/>
      <c r="S18" s="70"/>
      <c r="T18" s="70"/>
      <c r="U18" s="70"/>
      <c r="V18" s="70"/>
      <c r="W18" s="18" t="str">
        <f t="shared" si="1"/>
        <v/>
      </c>
    </row>
    <row r="19" spans="1:23" x14ac:dyDescent="0.4">
      <c r="A19" s="23">
        <v>15</v>
      </c>
      <c r="B19" s="24">
        <f t="shared" ca="1" si="2"/>
        <v>15</v>
      </c>
      <c r="C19" s="25"/>
      <c r="D19" s="26"/>
      <c r="E19" s="26"/>
      <c r="F19" s="26"/>
      <c r="G19" s="26"/>
      <c r="H19" s="26"/>
      <c r="I19" s="26"/>
      <c r="J19" s="26"/>
      <c r="K19" s="26"/>
      <c r="L19" s="26"/>
      <c r="M19" s="26"/>
      <c r="N19" s="26"/>
      <c r="O19" s="26"/>
      <c r="P19" s="26"/>
      <c r="Q19" s="26"/>
      <c r="R19" s="26"/>
      <c r="S19" s="70"/>
      <c r="T19" s="70"/>
      <c r="U19" s="70"/>
      <c r="V19" s="70"/>
      <c r="W19" s="18" t="str">
        <f t="shared" si="1"/>
        <v/>
      </c>
    </row>
    <row r="20" spans="1:23" x14ac:dyDescent="0.4">
      <c r="A20" s="23">
        <v>16</v>
      </c>
      <c r="B20" s="24">
        <f t="shared" ca="1" si="2"/>
        <v>16</v>
      </c>
      <c r="C20" s="25"/>
      <c r="D20" s="26"/>
      <c r="E20" s="26"/>
      <c r="F20" s="26"/>
      <c r="G20" s="26"/>
      <c r="H20" s="26"/>
      <c r="I20" s="26"/>
      <c r="J20" s="26"/>
      <c r="K20" s="26"/>
      <c r="L20" s="26"/>
      <c r="M20" s="26"/>
      <c r="N20" s="26"/>
      <c r="O20" s="26"/>
      <c r="P20" s="26"/>
      <c r="Q20" s="26"/>
      <c r="R20" s="26"/>
      <c r="S20" s="70"/>
      <c r="T20" s="70"/>
      <c r="U20" s="70"/>
      <c r="V20" s="70"/>
      <c r="W20" s="18" t="str">
        <f t="shared" si="1"/>
        <v/>
      </c>
    </row>
    <row r="21" spans="1:23" x14ac:dyDescent="0.4">
      <c r="A21" s="23">
        <v>17</v>
      </c>
      <c r="B21" s="24">
        <f t="shared" ca="1" si="2"/>
        <v>17</v>
      </c>
      <c r="C21" s="25"/>
      <c r="D21" s="26"/>
      <c r="E21" s="26"/>
      <c r="F21" s="26"/>
      <c r="G21" s="26"/>
      <c r="H21" s="26"/>
      <c r="I21" s="26"/>
      <c r="J21" s="26"/>
      <c r="K21" s="26"/>
      <c r="L21" s="26"/>
      <c r="M21" s="26"/>
      <c r="N21" s="26"/>
      <c r="O21" s="26"/>
      <c r="P21" s="26"/>
      <c r="Q21" s="26"/>
      <c r="R21" s="26"/>
      <c r="S21" s="70"/>
      <c r="T21" s="70"/>
      <c r="U21" s="70"/>
      <c r="V21" s="70"/>
      <c r="W21" s="18" t="str">
        <f t="shared" si="1"/>
        <v/>
      </c>
    </row>
    <row r="22" spans="1:23" x14ac:dyDescent="0.4">
      <c r="A22" s="23">
        <v>18</v>
      </c>
      <c r="B22" s="24">
        <f t="shared" ca="1" si="2"/>
        <v>18</v>
      </c>
      <c r="C22" s="25"/>
      <c r="D22" s="26"/>
      <c r="E22" s="26"/>
      <c r="F22" s="26"/>
      <c r="G22" s="26"/>
      <c r="H22" s="26"/>
      <c r="I22" s="26"/>
      <c r="J22" s="26"/>
      <c r="K22" s="26"/>
      <c r="L22" s="26"/>
      <c r="M22" s="26"/>
      <c r="N22" s="26"/>
      <c r="O22" s="26"/>
      <c r="P22" s="26"/>
      <c r="Q22" s="26"/>
      <c r="R22" s="26"/>
      <c r="S22" s="70"/>
      <c r="T22" s="70"/>
      <c r="U22" s="70"/>
      <c r="V22" s="70"/>
      <c r="W22" s="18" t="str">
        <f t="shared" si="1"/>
        <v/>
      </c>
    </row>
    <row r="23" spans="1:23" x14ac:dyDescent="0.4">
      <c r="A23" s="23">
        <v>19</v>
      </c>
      <c r="B23" s="24">
        <f t="shared" ca="1" si="2"/>
        <v>19</v>
      </c>
      <c r="C23" s="25"/>
      <c r="D23" s="26"/>
      <c r="E23" s="26"/>
      <c r="F23" s="26"/>
      <c r="G23" s="26"/>
      <c r="H23" s="26"/>
      <c r="I23" s="26"/>
      <c r="J23" s="26"/>
      <c r="K23" s="26"/>
      <c r="L23" s="26"/>
      <c r="M23" s="26"/>
      <c r="N23" s="26"/>
      <c r="O23" s="26"/>
      <c r="P23" s="26"/>
      <c r="Q23" s="26"/>
      <c r="R23" s="26"/>
      <c r="S23" s="70"/>
      <c r="T23" s="70"/>
      <c r="U23" s="70"/>
      <c r="V23" s="70"/>
      <c r="W23" s="18" t="str">
        <f t="shared" si="1"/>
        <v/>
      </c>
    </row>
    <row r="24" spans="1:23" x14ac:dyDescent="0.4">
      <c r="A24" s="23">
        <v>20</v>
      </c>
      <c r="B24" s="24">
        <f t="shared" ca="1" si="2"/>
        <v>20</v>
      </c>
      <c r="C24" s="25"/>
      <c r="D24" s="26"/>
      <c r="E24" s="26"/>
      <c r="F24" s="26"/>
      <c r="G24" s="26"/>
      <c r="H24" s="26"/>
      <c r="I24" s="26"/>
      <c r="J24" s="26"/>
      <c r="K24" s="26"/>
      <c r="L24" s="26"/>
      <c r="M24" s="26"/>
      <c r="N24" s="26"/>
      <c r="O24" s="26"/>
      <c r="P24" s="26"/>
      <c r="Q24" s="26"/>
      <c r="R24" s="26"/>
      <c r="S24" s="70"/>
      <c r="T24" s="70"/>
      <c r="U24" s="70"/>
      <c r="V24" s="70"/>
      <c r="W24" s="18" t="str">
        <f t="shared" si="1"/>
        <v/>
      </c>
    </row>
    <row r="25" spans="1:23" x14ac:dyDescent="0.4">
      <c r="A25" s="23">
        <v>21</v>
      </c>
      <c r="B25" s="24">
        <f t="shared" ca="1" si="2"/>
        <v>21</v>
      </c>
      <c r="C25" s="25"/>
      <c r="D25" s="26"/>
      <c r="E25" s="26"/>
      <c r="F25" s="26"/>
      <c r="G25" s="26"/>
      <c r="H25" s="26"/>
      <c r="I25" s="26"/>
      <c r="J25" s="26"/>
      <c r="K25" s="26"/>
      <c r="L25" s="26"/>
      <c r="M25" s="26"/>
      <c r="N25" s="26"/>
      <c r="O25" s="26"/>
      <c r="P25" s="26"/>
      <c r="Q25" s="26"/>
      <c r="R25" s="26"/>
      <c r="S25" s="70"/>
      <c r="T25" s="70"/>
      <c r="U25" s="70"/>
      <c r="V25" s="70"/>
      <c r="W25" s="18" t="str">
        <f t="shared" si="1"/>
        <v/>
      </c>
    </row>
    <row r="26" spans="1:23" x14ac:dyDescent="0.4">
      <c r="A26" s="23">
        <v>22</v>
      </c>
      <c r="B26" s="24">
        <f t="shared" ca="1" si="2"/>
        <v>22</v>
      </c>
      <c r="C26" s="25"/>
      <c r="D26" s="26"/>
      <c r="E26" s="26"/>
      <c r="F26" s="26"/>
      <c r="G26" s="26"/>
      <c r="H26" s="26"/>
      <c r="I26" s="26"/>
      <c r="J26" s="26"/>
      <c r="K26" s="26"/>
      <c r="L26" s="26"/>
      <c r="M26" s="26"/>
      <c r="N26" s="26"/>
      <c r="O26" s="26"/>
      <c r="P26" s="26"/>
      <c r="Q26" s="26"/>
      <c r="R26" s="26"/>
      <c r="S26" s="70"/>
      <c r="T26" s="70"/>
      <c r="U26" s="70"/>
      <c r="V26" s="70"/>
      <c r="W26" s="18" t="str">
        <f t="shared" si="1"/>
        <v/>
      </c>
    </row>
    <row r="27" spans="1:23" x14ac:dyDescent="0.4">
      <c r="A27" s="23">
        <v>23</v>
      </c>
      <c r="B27" s="24">
        <f t="shared" ca="1" si="2"/>
        <v>23</v>
      </c>
      <c r="C27" s="25"/>
      <c r="D27" s="26"/>
      <c r="E27" s="26"/>
      <c r="F27" s="26"/>
      <c r="G27" s="26"/>
      <c r="H27" s="26"/>
      <c r="I27" s="26"/>
      <c r="J27" s="26"/>
      <c r="K27" s="26"/>
      <c r="L27" s="26"/>
      <c r="M27" s="26"/>
      <c r="N27" s="26"/>
      <c r="O27" s="26"/>
      <c r="P27" s="26"/>
      <c r="Q27" s="26"/>
      <c r="R27" s="26"/>
      <c r="S27" s="70"/>
      <c r="T27" s="70"/>
      <c r="U27" s="70"/>
      <c r="V27" s="70"/>
      <c r="W27" s="18" t="str">
        <f t="shared" si="1"/>
        <v/>
      </c>
    </row>
    <row r="28" spans="1:23" x14ac:dyDescent="0.4">
      <c r="A28" s="23">
        <v>24</v>
      </c>
      <c r="B28" s="24">
        <f t="shared" ca="1" si="2"/>
        <v>24</v>
      </c>
      <c r="C28" s="25"/>
      <c r="D28" s="26"/>
      <c r="E28" s="26"/>
      <c r="F28" s="26"/>
      <c r="G28" s="26"/>
      <c r="H28" s="26"/>
      <c r="I28" s="26"/>
      <c r="J28" s="26"/>
      <c r="K28" s="26"/>
      <c r="L28" s="26"/>
      <c r="M28" s="26"/>
      <c r="N28" s="26"/>
      <c r="O28" s="26"/>
      <c r="P28" s="26"/>
      <c r="Q28" s="26"/>
      <c r="R28" s="26"/>
      <c r="S28" s="70"/>
      <c r="T28" s="70"/>
      <c r="U28" s="70"/>
      <c r="V28" s="70"/>
      <c r="W28" s="18" t="str">
        <f t="shared" si="1"/>
        <v/>
      </c>
    </row>
    <row r="29" spans="1:23" x14ac:dyDescent="0.4">
      <c r="A29" s="23">
        <v>25</v>
      </c>
      <c r="B29" s="24">
        <f t="shared" ca="1" si="2"/>
        <v>25</v>
      </c>
      <c r="C29" s="25"/>
      <c r="D29" s="26"/>
      <c r="E29" s="26"/>
      <c r="F29" s="26"/>
      <c r="G29" s="26"/>
      <c r="H29" s="26"/>
      <c r="I29" s="26"/>
      <c r="J29" s="26"/>
      <c r="K29" s="26"/>
      <c r="L29" s="26"/>
      <c r="M29" s="26"/>
      <c r="N29" s="26"/>
      <c r="O29" s="26"/>
      <c r="P29" s="26"/>
      <c r="Q29" s="26"/>
      <c r="R29" s="26"/>
      <c r="S29" s="70"/>
      <c r="T29" s="70"/>
      <c r="U29" s="70"/>
      <c r="V29" s="70"/>
      <c r="W29" s="18" t="str">
        <f t="shared" si="1"/>
        <v/>
      </c>
    </row>
    <row r="30" spans="1:23" x14ac:dyDescent="0.4">
      <c r="A30" s="23">
        <v>26</v>
      </c>
      <c r="B30" s="24">
        <f t="shared" ca="1" si="2"/>
        <v>26</v>
      </c>
      <c r="C30" s="25"/>
      <c r="D30" s="26"/>
      <c r="E30" s="26"/>
      <c r="F30" s="26"/>
      <c r="G30" s="26"/>
      <c r="H30" s="26"/>
      <c r="I30" s="26"/>
      <c r="J30" s="26"/>
      <c r="K30" s="26"/>
      <c r="L30" s="26"/>
      <c r="M30" s="26"/>
      <c r="N30" s="26"/>
      <c r="O30" s="26"/>
      <c r="P30" s="26"/>
      <c r="Q30" s="26"/>
      <c r="R30" s="26"/>
      <c r="S30" s="70"/>
      <c r="T30" s="70"/>
      <c r="U30" s="70"/>
      <c r="V30" s="70"/>
      <c r="W30" s="18" t="str">
        <f t="shared" si="1"/>
        <v/>
      </c>
    </row>
    <row r="31" spans="1:23" x14ac:dyDescent="0.4">
      <c r="A31" s="23">
        <v>27</v>
      </c>
      <c r="B31" s="24">
        <f t="shared" ca="1" si="2"/>
        <v>27</v>
      </c>
      <c r="C31" s="25"/>
      <c r="D31" s="26"/>
      <c r="E31" s="26"/>
      <c r="F31" s="26"/>
      <c r="G31" s="26"/>
      <c r="H31" s="26"/>
      <c r="I31" s="26"/>
      <c r="J31" s="26"/>
      <c r="K31" s="26"/>
      <c r="L31" s="26"/>
      <c r="M31" s="26"/>
      <c r="N31" s="26"/>
      <c r="O31" s="26"/>
      <c r="P31" s="26"/>
      <c r="Q31" s="26"/>
      <c r="R31" s="26"/>
      <c r="S31" s="70"/>
      <c r="T31" s="70"/>
      <c r="U31" s="70"/>
      <c r="V31" s="70"/>
      <c r="W31" s="18" t="str">
        <f t="shared" si="1"/>
        <v/>
      </c>
    </row>
    <row r="32" spans="1:23" x14ac:dyDescent="0.4">
      <c r="A32" s="23">
        <v>28</v>
      </c>
      <c r="B32" s="24">
        <f t="shared" ca="1" si="2"/>
        <v>28</v>
      </c>
      <c r="C32" s="25"/>
      <c r="D32" s="26"/>
      <c r="E32" s="26"/>
      <c r="F32" s="26"/>
      <c r="G32" s="26"/>
      <c r="H32" s="26"/>
      <c r="I32" s="26"/>
      <c r="J32" s="26"/>
      <c r="K32" s="26"/>
      <c r="L32" s="26"/>
      <c r="M32" s="26"/>
      <c r="N32" s="26"/>
      <c r="O32" s="26"/>
      <c r="P32" s="26"/>
      <c r="Q32" s="26"/>
      <c r="R32" s="26"/>
      <c r="S32" s="70"/>
      <c r="T32" s="70"/>
      <c r="U32" s="70"/>
      <c r="V32" s="70"/>
      <c r="W32" s="18" t="str">
        <f t="shared" si="1"/>
        <v/>
      </c>
    </row>
    <row r="33" spans="1:23" x14ac:dyDescent="0.4">
      <c r="A33" s="23">
        <v>29</v>
      </c>
      <c r="B33" s="24">
        <f t="shared" ca="1" si="2"/>
        <v>29</v>
      </c>
      <c r="C33" s="25"/>
      <c r="D33" s="26"/>
      <c r="E33" s="26"/>
      <c r="F33" s="26"/>
      <c r="G33" s="26"/>
      <c r="H33" s="26"/>
      <c r="I33" s="26"/>
      <c r="J33" s="26"/>
      <c r="K33" s="26"/>
      <c r="L33" s="26"/>
      <c r="M33" s="26"/>
      <c r="N33" s="26"/>
      <c r="O33" s="26"/>
      <c r="P33" s="26"/>
      <c r="Q33" s="26"/>
      <c r="R33" s="26"/>
      <c r="S33" s="70"/>
      <c r="T33" s="70"/>
      <c r="U33" s="70"/>
      <c r="V33" s="70"/>
      <c r="W33" s="18" t="str">
        <f t="shared" si="1"/>
        <v/>
      </c>
    </row>
    <row r="34" spans="1:23" x14ac:dyDescent="0.4">
      <c r="A34" s="23">
        <v>30</v>
      </c>
      <c r="B34" s="24">
        <f t="shared" ca="1" si="2"/>
        <v>30</v>
      </c>
      <c r="C34" s="25"/>
      <c r="D34" s="26"/>
      <c r="E34" s="26"/>
      <c r="F34" s="26"/>
      <c r="G34" s="26"/>
      <c r="H34" s="26"/>
      <c r="I34" s="26"/>
      <c r="J34" s="26"/>
      <c r="K34" s="26"/>
      <c r="L34" s="26"/>
      <c r="M34" s="26"/>
      <c r="N34" s="26"/>
      <c r="O34" s="26"/>
      <c r="P34" s="26"/>
      <c r="Q34" s="26"/>
      <c r="R34" s="26"/>
      <c r="S34" s="70"/>
      <c r="T34" s="70"/>
      <c r="U34" s="70"/>
      <c r="V34" s="70"/>
      <c r="W34" s="18" t="str">
        <f t="shared" si="1"/>
        <v/>
      </c>
    </row>
    <row r="35" spans="1:23" x14ac:dyDescent="0.4">
      <c r="A35" s="23">
        <v>31</v>
      </c>
      <c r="B35" s="24">
        <f t="shared" ca="1" si="2"/>
        <v>31</v>
      </c>
      <c r="C35" s="25"/>
      <c r="D35" s="26"/>
      <c r="E35" s="26"/>
      <c r="F35" s="26"/>
      <c r="G35" s="26"/>
      <c r="H35" s="26"/>
      <c r="I35" s="26"/>
      <c r="J35" s="26"/>
      <c r="K35" s="26"/>
      <c r="L35" s="26"/>
      <c r="M35" s="26"/>
      <c r="N35" s="26"/>
      <c r="O35" s="26"/>
      <c r="P35" s="26"/>
      <c r="Q35" s="26"/>
      <c r="R35" s="26"/>
      <c r="S35" s="70"/>
      <c r="T35" s="70"/>
      <c r="U35" s="70"/>
      <c r="V35" s="70"/>
      <c r="W35" s="18" t="str">
        <f t="shared" si="1"/>
        <v/>
      </c>
    </row>
    <row r="36" spans="1:23" x14ac:dyDescent="0.4">
      <c r="A36" s="23">
        <v>32</v>
      </c>
      <c r="B36" s="24">
        <f t="shared" ca="1" si="2"/>
        <v>32</v>
      </c>
      <c r="C36" s="25"/>
      <c r="D36" s="26"/>
      <c r="E36" s="26"/>
      <c r="F36" s="26"/>
      <c r="G36" s="26"/>
      <c r="H36" s="26"/>
      <c r="I36" s="26"/>
      <c r="J36" s="26"/>
      <c r="K36" s="26"/>
      <c r="L36" s="26"/>
      <c r="M36" s="26"/>
      <c r="N36" s="26"/>
      <c r="O36" s="26"/>
      <c r="P36" s="26"/>
      <c r="Q36" s="26"/>
      <c r="R36" s="26"/>
      <c r="S36" s="70"/>
      <c r="T36" s="70"/>
      <c r="U36" s="70"/>
      <c r="V36" s="70"/>
      <c r="W36" s="18" t="str">
        <f t="shared" si="1"/>
        <v/>
      </c>
    </row>
    <row r="37" spans="1:23" x14ac:dyDescent="0.4">
      <c r="A37" s="23">
        <v>33</v>
      </c>
      <c r="B37" s="24">
        <f t="shared" ca="1" si="2"/>
        <v>33</v>
      </c>
      <c r="C37" s="25"/>
      <c r="D37" s="26"/>
      <c r="E37" s="26"/>
      <c r="F37" s="26"/>
      <c r="G37" s="26"/>
      <c r="H37" s="26"/>
      <c r="I37" s="26"/>
      <c r="J37" s="26"/>
      <c r="K37" s="26"/>
      <c r="L37" s="26"/>
      <c r="M37" s="26"/>
      <c r="N37" s="26"/>
      <c r="O37" s="26"/>
      <c r="P37" s="26"/>
      <c r="Q37" s="26"/>
      <c r="R37" s="26"/>
      <c r="S37" s="70"/>
      <c r="T37" s="70"/>
      <c r="U37" s="70"/>
      <c r="V37" s="70"/>
      <c r="W37" s="18" t="str">
        <f t="shared" si="1"/>
        <v/>
      </c>
    </row>
    <row r="38" spans="1:23" x14ac:dyDescent="0.4">
      <c r="A38" s="23">
        <v>34</v>
      </c>
      <c r="B38" s="24">
        <f t="shared" ca="1" si="2"/>
        <v>34</v>
      </c>
      <c r="C38" s="25"/>
      <c r="D38" s="26"/>
      <c r="E38" s="26"/>
      <c r="F38" s="26"/>
      <c r="G38" s="26"/>
      <c r="H38" s="26"/>
      <c r="I38" s="26"/>
      <c r="J38" s="26"/>
      <c r="K38" s="26"/>
      <c r="L38" s="26"/>
      <c r="M38" s="26"/>
      <c r="N38" s="26"/>
      <c r="O38" s="26"/>
      <c r="P38" s="26"/>
      <c r="Q38" s="26"/>
      <c r="R38" s="26"/>
      <c r="S38" s="70"/>
      <c r="T38" s="70"/>
      <c r="U38" s="70"/>
      <c r="V38" s="70"/>
      <c r="W38" s="18" t="str">
        <f t="shared" si="1"/>
        <v/>
      </c>
    </row>
    <row r="39" spans="1:23" x14ac:dyDescent="0.4">
      <c r="A39" s="23">
        <v>35</v>
      </c>
      <c r="B39" s="24">
        <f t="shared" ca="1" si="2"/>
        <v>35</v>
      </c>
      <c r="C39" s="25"/>
      <c r="D39" s="26"/>
      <c r="E39" s="26"/>
      <c r="F39" s="26"/>
      <c r="G39" s="26"/>
      <c r="H39" s="26"/>
      <c r="I39" s="26"/>
      <c r="J39" s="26"/>
      <c r="K39" s="26"/>
      <c r="L39" s="26"/>
      <c r="M39" s="26"/>
      <c r="N39" s="26"/>
      <c r="O39" s="26"/>
      <c r="P39" s="26"/>
      <c r="Q39" s="26"/>
      <c r="R39" s="26"/>
      <c r="S39" s="70"/>
      <c r="T39" s="70"/>
      <c r="U39" s="70"/>
      <c r="V39" s="70"/>
      <c r="W39" s="18" t="str">
        <f t="shared" si="1"/>
        <v/>
      </c>
    </row>
    <row r="40" spans="1:23" x14ac:dyDescent="0.4">
      <c r="A40" s="23">
        <v>36</v>
      </c>
      <c r="B40" s="24">
        <f t="shared" ca="1" si="2"/>
        <v>36</v>
      </c>
      <c r="C40" s="25"/>
      <c r="D40" s="26"/>
      <c r="E40" s="26"/>
      <c r="F40" s="26"/>
      <c r="G40" s="26"/>
      <c r="H40" s="26"/>
      <c r="I40" s="26"/>
      <c r="J40" s="26"/>
      <c r="K40" s="26"/>
      <c r="L40" s="26"/>
      <c r="M40" s="26"/>
      <c r="N40" s="26"/>
      <c r="O40" s="26"/>
      <c r="P40" s="26"/>
      <c r="Q40" s="26"/>
      <c r="R40" s="26"/>
      <c r="S40" s="70"/>
      <c r="T40" s="70"/>
      <c r="U40" s="70"/>
      <c r="V40" s="70"/>
      <c r="W40" s="18" t="str">
        <f t="shared" si="1"/>
        <v/>
      </c>
    </row>
    <row r="41" spans="1:23" x14ac:dyDescent="0.4">
      <c r="A41" s="23">
        <v>37</v>
      </c>
      <c r="B41" s="24">
        <f t="shared" ca="1" si="2"/>
        <v>37</v>
      </c>
      <c r="C41" s="25"/>
      <c r="D41" s="26"/>
      <c r="E41" s="26"/>
      <c r="F41" s="26"/>
      <c r="G41" s="26"/>
      <c r="H41" s="26"/>
      <c r="I41" s="26"/>
      <c r="J41" s="26"/>
      <c r="K41" s="26"/>
      <c r="L41" s="26"/>
      <c r="M41" s="26"/>
      <c r="N41" s="26"/>
      <c r="O41" s="26"/>
      <c r="P41" s="26"/>
      <c r="Q41" s="26"/>
      <c r="R41" s="26"/>
      <c r="S41" s="70"/>
      <c r="T41" s="70"/>
      <c r="U41" s="70"/>
      <c r="V41" s="70"/>
      <c r="W41" s="18" t="str">
        <f t="shared" si="1"/>
        <v/>
      </c>
    </row>
    <row r="42" spans="1:23" x14ac:dyDescent="0.4">
      <c r="A42" s="23">
        <v>38</v>
      </c>
      <c r="B42" s="24">
        <f t="shared" ca="1" si="2"/>
        <v>38</v>
      </c>
      <c r="C42" s="25"/>
      <c r="D42" s="26"/>
      <c r="E42" s="26"/>
      <c r="F42" s="26"/>
      <c r="G42" s="26"/>
      <c r="H42" s="26"/>
      <c r="I42" s="26"/>
      <c r="J42" s="26"/>
      <c r="K42" s="26"/>
      <c r="L42" s="26"/>
      <c r="M42" s="26"/>
      <c r="N42" s="26"/>
      <c r="O42" s="26"/>
      <c r="P42" s="26"/>
      <c r="Q42" s="26"/>
      <c r="R42" s="26"/>
      <c r="S42" s="70"/>
      <c r="T42" s="70"/>
      <c r="U42" s="70"/>
      <c r="V42" s="70"/>
      <c r="W42" s="18" t="str">
        <f t="shared" si="1"/>
        <v/>
      </c>
    </row>
    <row r="43" spans="1:23" x14ac:dyDescent="0.4">
      <c r="A43" s="23">
        <v>39</v>
      </c>
      <c r="B43" s="24">
        <f t="shared" ca="1" si="2"/>
        <v>39</v>
      </c>
      <c r="C43" s="25"/>
      <c r="D43" s="26"/>
      <c r="E43" s="26"/>
      <c r="F43" s="26"/>
      <c r="G43" s="26"/>
      <c r="H43" s="26"/>
      <c r="I43" s="26"/>
      <c r="J43" s="26"/>
      <c r="K43" s="26"/>
      <c r="L43" s="26"/>
      <c r="M43" s="26"/>
      <c r="N43" s="26"/>
      <c r="O43" s="26"/>
      <c r="P43" s="26"/>
      <c r="Q43" s="26"/>
      <c r="R43" s="26"/>
      <c r="S43" s="70"/>
      <c r="T43" s="70"/>
      <c r="U43" s="70"/>
      <c r="V43" s="70"/>
      <c r="W43" s="18" t="str">
        <f t="shared" si="1"/>
        <v/>
      </c>
    </row>
    <row r="44" spans="1:23" x14ac:dyDescent="0.4">
      <c r="A44" s="23">
        <v>40</v>
      </c>
      <c r="B44" s="24">
        <f t="shared" ca="1" si="2"/>
        <v>40</v>
      </c>
      <c r="C44" s="25"/>
      <c r="D44" s="26"/>
      <c r="E44" s="26"/>
      <c r="F44" s="26"/>
      <c r="G44" s="26"/>
      <c r="H44" s="26"/>
      <c r="I44" s="26"/>
      <c r="J44" s="26"/>
      <c r="K44" s="26"/>
      <c r="L44" s="26"/>
      <c r="M44" s="26"/>
      <c r="N44" s="26"/>
      <c r="O44" s="26"/>
      <c r="P44" s="26"/>
      <c r="Q44" s="26"/>
      <c r="R44" s="26"/>
      <c r="S44" s="70"/>
      <c r="T44" s="70"/>
      <c r="U44" s="70"/>
      <c r="V44" s="70"/>
      <c r="W44" s="18" t="str">
        <f t="shared" si="1"/>
        <v/>
      </c>
    </row>
    <row r="45" spans="1:23" ht="21" x14ac:dyDescent="0.4">
      <c r="A45" s="130" t="s">
        <v>115</v>
      </c>
      <c r="B45" s="131"/>
      <c r="C45" s="27" t="str">
        <f t="shared" ref="C45:L45" si="3">IF(COUNTA(C5:C44)=0,"",COUNTA(C5:C44))</f>
        <v/>
      </c>
      <c r="D45" s="28" t="str">
        <f t="shared" si="3"/>
        <v/>
      </c>
      <c r="E45" s="28" t="str">
        <f t="shared" si="3"/>
        <v/>
      </c>
      <c r="F45" s="28" t="str">
        <f t="shared" si="3"/>
        <v/>
      </c>
      <c r="G45" s="28" t="str">
        <f t="shared" si="3"/>
        <v/>
      </c>
      <c r="H45" s="28" t="str">
        <f t="shared" si="3"/>
        <v/>
      </c>
      <c r="I45" s="28" t="str">
        <f t="shared" si="3"/>
        <v/>
      </c>
      <c r="J45" s="28" t="str">
        <f t="shared" si="3"/>
        <v/>
      </c>
      <c r="K45" s="28" t="str">
        <f t="shared" si="3"/>
        <v/>
      </c>
      <c r="L45" s="28" t="str">
        <f t="shared" si="3"/>
        <v/>
      </c>
      <c r="M45" s="28" t="str">
        <f t="shared" ref="M45:U45" si="4">IF(COUNTA(M5:M44)=0,"",COUNTA(M5:M44))</f>
        <v/>
      </c>
      <c r="N45" s="28" t="str">
        <f t="shared" si="4"/>
        <v/>
      </c>
      <c r="O45" s="28" t="str">
        <f t="shared" si="4"/>
        <v/>
      </c>
      <c r="P45" s="28" t="str">
        <f t="shared" si="4"/>
        <v/>
      </c>
      <c r="Q45" s="28" t="str">
        <f t="shared" si="4"/>
        <v/>
      </c>
      <c r="R45" s="28" t="str">
        <f t="shared" si="4"/>
        <v/>
      </c>
      <c r="S45" s="28" t="str">
        <f t="shared" si="4"/>
        <v/>
      </c>
      <c r="T45" s="28" t="str">
        <f t="shared" si="4"/>
        <v/>
      </c>
      <c r="U45" s="28" t="str">
        <f t="shared" si="4"/>
        <v/>
      </c>
      <c r="V45" s="28" t="str">
        <f>IF(COUNTA(V5:V44)=0,"",COUNTA(V5:V44))</f>
        <v/>
      </c>
      <c r="W45" s="29"/>
    </row>
  </sheetData>
  <sheetProtection password="E442" sheet="1" objects="1" scenarios="1"/>
  <mergeCells count="4">
    <mergeCell ref="A1:W1"/>
    <mergeCell ref="A2:B2"/>
    <mergeCell ref="A45:B45"/>
    <mergeCell ref="F2:G2"/>
  </mergeCells>
  <phoneticPr fontId="16" type="noConversion"/>
  <dataValidations count="3">
    <dataValidation type="list" imeMode="halfAlpha" allowBlank="1" showInputMessage="1" showErrorMessage="1" errorTitle="성취도 입력" error="영문 대문자로 입력하세요...." sqref="V6:V44 C5:D44 F5:U44 E6:E44" xr:uid="{00000000-0002-0000-0400-000000000000}">
      <formula1>"A,B,C,D,E"</formula1>
    </dataValidation>
    <dataValidation type="list" imeMode="halfAlpha" allowBlank="1" showInputMessage="1" showErrorMessage="1" sqref="V5" xr:uid="{00000000-0002-0000-0400-000001000000}">
      <formula1>"A,B,C,D,E"</formula1>
    </dataValidation>
    <dataValidation type="list" imeMode="halfAlpha" allowBlank="1" showInputMessage="1" showErrorMessage="1" errorTitle="성취도입력" error="영문 대문자로 입력하세요..." sqref="E5" xr:uid="{00000000-0002-0000-0400-000002000000}">
      <formula1>"A,B,C,D,E"</formula1>
    </dataValidation>
  </dataValidations>
  <printOptions horizontalCentered="1"/>
  <pageMargins left="0.7086111307144165" right="0.51166665554046631" top="0.55097222328186035" bottom="0.55097222328186035" header="0" footer="0.39347222447395325"/>
  <pageSetup paperSize="9" scale="42" fitToHeight="0" orientation="landscape" errors="blank"/>
  <headerFooter>
    <oddFooter>&amp;C&amp;"돋움,Regular"&amp;P/&amp;N</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85BF4C"/>
    <pageSetUpPr fitToPage="1"/>
  </sheetPr>
  <dimension ref="A1:W45"/>
  <sheetViews>
    <sheetView showZeros="0" zoomScale="85" zoomScaleNormal="85" zoomScaleSheetLayoutView="75" workbookViewId="0">
      <pane xSplit="2" ySplit="4" topLeftCell="C5" activePane="bottomRight" state="frozen"/>
      <selection pane="topRight"/>
      <selection pane="bottomLeft"/>
      <selection pane="bottomRight" activeCell="C5" sqref="C5"/>
    </sheetView>
  </sheetViews>
  <sheetFormatPr defaultColWidth="9" defaultRowHeight="17.399999999999999" x14ac:dyDescent="0.4"/>
  <cols>
    <col min="1" max="1" width="7" style="30" customWidth="1"/>
    <col min="2" max="2" width="9.5" style="30" customWidth="1"/>
    <col min="3" max="3" width="8" style="30" customWidth="1"/>
    <col min="4" max="4" width="8" style="30" customWidth="1" collapsed="1"/>
    <col min="5" max="9" width="8" style="30" customWidth="1"/>
    <col min="10" max="12" width="8" style="30" hidden="1" customWidth="1"/>
    <col min="13" max="13" width="8" style="30" hidden="1" customWidth="1" collapsed="1"/>
    <col min="14" max="22" width="8" style="30" hidden="1" customWidth="1"/>
    <col min="23" max="23" width="115.8984375" style="30" customWidth="1"/>
    <col min="24" max="35" width="9" style="30" customWidth="1"/>
    <col min="36" max="16384" width="9" style="30"/>
  </cols>
  <sheetData>
    <row r="1" spans="1:23" ht="62.25" customHeight="1" x14ac:dyDescent="0.4">
      <c r="A1" s="127" t="str">
        <f>CONCATENATE(기본설정!D6,"과 평가 예시문")</f>
        <v>네트워크프로그래밍과 평가 예시문</v>
      </c>
      <c r="B1" s="127"/>
      <c r="C1" s="127"/>
      <c r="D1" s="127"/>
      <c r="E1" s="127"/>
      <c r="F1" s="127"/>
      <c r="G1" s="127"/>
      <c r="H1" s="127"/>
      <c r="I1" s="127"/>
      <c r="J1" s="127"/>
      <c r="K1" s="127"/>
      <c r="L1" s="127"/>
      <c r="M1" s="127"/>
      <c r="N1" s="127"/>
      <c r="O1" s="127"/>
      <c r="P1" s="127"/>
      <c r="Q1" s="127"/>
      <c r="R1" s="127"/>
      <c r="S1" s="127"/>
      <c r="T1" s="127"/>
      <c r="U1" s="127"/>
      <c r="V1" s="127"/>
      <c r="W1" s="127"/>
    </row>
    <row r="2" spans="1:23" ht="28.5" customHeight="1" x14ac:dyDescent="0.4">
      <c r="A2" s="129" t="str">
        <f>CONCATENATE(기본설정!D4,"학년도")</f>
        <v>2018학년도</v>
      </c>
      <c r="B2" s="129"/>
      <c r="C2" s="35" t="str">
        <f>CONCATENATE(기본설정!L4)</f>
        <v>2학기</v>
      </c>
      <c r="D2" s="36"/>
      <c r="E2" s="36" t="str">
        <f>CONCATENATE(기본설정!D5,"학년")</f>
        <v>2학년</v>
      </c>
      <c r="F2" s="132" t="str">
        <f ca="1">RIGHT(CELL("filename",A1),LEN(CELL("filename",A1))-FIND("]",CELL("filename",A1)))</f>
        <v>5반</v>
      </c>
      <c r="G2" s="132"/>
      <c r="H2" s="38"/>
      <c r="I2" s="38"/>
      <c r="J2" s="38"/>
      <c r="K2" s="38"/>
      <c r="L2" s="38"/>
      <c r="M2" s="39"/>
      <c r="N2" s="39"/>
      <c r="O2" s="37"/>
      <c r="P2" s="37"/>
      <c r="Q2" s="38"/>
      <c r="R2" s="38"/>
      <c r="S2" s="38"/>
      <c r="T2" s="38"/>
      <c r="U2" s="38"/>
      <c r="V2" s="38"/>
      <c r="W2" s="40" t="str">
        <f>CONCATENATE("담당교사 : ",기본설정!L6)</f>
        <v>담당교사 : 이동윤</v>
      </c>
    </row>
    <row r="3" spans="1:23" ht="70.5" customHeight="1" x14ac:dyDescent="0.4">
      <c r="A3" s="19" t="s">
        <v>36</v>
      </c>
      <c r="B3" s="20" t="s">
        <v>31</v>
      </c>
      <c r="C3" s="21" t="str">
        <f ca="1">INDIRECT($B$4&amp;C$4)</f>
        <v>1열과 우리생활</v>
      </c>
      <c r="D3" s="21" t="str">
        <f ca="1">INDIRECT($B$4&amp;D$4)</f>
        <v>2분자운동과 상태변화</v>
      </c>
      <c r="E3" s="21" t="str">
        <f t="shared" ref="E3:V3" ca="1" si="0">INDIRECT($B$4&amp;E$4)</f>
        <v>3프로젝트</v>
      </c>
      <c r="F3" s="21" t="str">
        <f t="shared" ca="1" si="0"/>
        <v>4포4트폴리오</v>
      </c>
      <c r="G3" s="21">
        <f t="shared" ca="1" si="0"/>
        <v>5</v>
      </c>
      <c r="H3" s="21">
        <f t="shared" ca="1" si="0"/>
        <v>6</v>
      </c>
      <c r="I3" s="21">
        <f t="shared" ca="1" si="0"/>
        <v>7</v>
      </c>
      <c r="J3" s="21">
        <f t="shared" ca="1" si="0"/>
        <v>8</v>
      </c>
      <c r="K3" s="21">
        <f t="shared" ca="1" si="0"/>
        <v>9</v>
      </c>
      <c r="L3" s="21">
        <f t="shared" ca="1" si="0"/>
        <v>10</v>
      </c>
      <c r="M3" s="21">
        <f t="shared" ca="1" si="0"/>
        <v>11</v>
      </c>
      <c r="N3" s="21">
        <f t="shared" ca="1" si="0"/>
        <v>12</v>
      </c>
      <c r="O3" s="21">
        <f t="shared" ca="1" si="0"/>
        <v>13</v>
      </c>
      <c r="P3" s="21">
        <f t="shared" ca="1" si="0"/>
        <v>14</v>
      </c>
      <c r="Q3" s="21">
        <f t="shared" ca="1" si="0"/>
        <v>15</v>
      </c>
      <c r="R3" s="21">
        <f t="shared" ca="1" si="0"/>
        <v>16</v>
      </c>
      <c r="S3" s="21">
        <f t="shared" ca="1" si="0"/>
        <v>17</v>
      </c>
      <c r="T3" s="21">
        <f t="shared" ca="1" si="0"/>
        <v>18</v>
      </c>
      <c r="U3" s="21">
        <f t="shared" ca="1" si="0"/>
        <v>19</v>
      </c>
      <c r="V3" s="21">
        <f t="shared" ca="1" si="0"/>
        <v>20</v>
      </c>
      <c r="W3" s="22" t="s">
        <v>46</v>
      </c>
    </row>
    <row r="4" spans="1:23" ht="23.25" hidden="1" customHeight="1" x14ac:dyDescent="0.4">
      <c r="A4" s="83">
        <v>1</v>
      </c>
      <c r="B4" s="31" t="s">
        <v>178</v>
      </c>
      <c r="C4" s="32">
        <v>4</v>
      </c>
      <c r="D4" s="33">
        <v>9</v>
      </c>
      <c r="E4" s="33">
        <v>14</v>
      </c>
      <c r="F4" s="33">
        <v>19</v>
      </c>
      <c r="G4" s="33">
        <v>24</v>
      </c>
      <c r="H4" s="33">
        <v>29</v>
      </c>
      <c r="I4" s="33">
        <v>34</v>
      </c>
      <c r="J4" s="33">
        <v>39</v>
      </c>
      <c r="K4" s="33">
        <v>44</v>
      </c>
      <c r="L4" s="33">
        <v>49</v>
      </c>
      <c r="M4" s="33">
        <v>54</v>
      </c>
      <c r="N4" s="33">
        <v>59</v>
      </c>
      <c r="O4" s="33">
        <v>64</v>
      </c>
      <c r="P4" s="33">
        <v>69</v>
      </c>
      <c r="Q4" s="33">
        <v>74</v>
      </c>
      <c r="R4" s="33">
        <v>79</v>
      </c>
      <c r="S4" s="33">
        <v>84</v>
      </c>
      <c r="T4" s="33">
        <v>89</v>
      </c>
      <c r="U4" s="33">
        <v>94</v>
      </c>
      <c r="V4" s="33">
        <v>99</v>
      </c>
      <c r="W4" s="34"/>
    </row>
    <row r="5" spans="1:23" ht="226.2" x14ac:dyDescent="0.4">
      <c r="A5" s="23">
        <v>1</v>
      </c>
      <c r="B5" s="24" t="str">
        <f ca="1">INDIRECT("명렬표!R"&amp;A5+5&amp;"C"&amp;$A$4+2,0)</f>
        <v>학생101</v>
      </c>
      <c r="C5" s="25" t="s">
        <v>28</v>
      </c>
      <c r="D5" s="26" t="s">
        <v>37</v>
      </c>
      <c r="E5" s="26" t="s">
        <v>37</v>
      </c>
      <c r="F5" s="26" t="s">
        <v>28</v>
      </c>
      <c r="G5" s="26" t="s">
        <v>28</v>
      </c>
      <c r="H5" s="26" t="s">
        <v>37</v>
      </c>
      <c r="I5" s="26" t="s">
        <v>37</v>
      </c>
      <c r="J5" s="26"/>
      <c r="K5" s="26"/>
      <c r="L5" s="26"/>
      <c r="M5" s="26"/>
      <c r="N5" s="26"/>
      <c r="O5" s="26"/>
      <c r="P5" s="26"/>
      <c r="Q5" s="26"/>
      <c r="R5" s="26"/>
      <c r="S5" s="70"/>
      <c r="T5" s="70"/>
      <c r="U5" s="70"/>
      <c r="V5" s="70"/>
      <c r="W5" s="17" t="str">
        <f t="shared" ref="W5:W44" si="1">CONCATENATE(IF(C5="","",VLOOKUP(C5,영역1,2,0)),IF(D5="","",VLOOKUP(D5,영역2,2,0)),IF(E5="","",VLOOKUP(E5,영역3,2,0)),IF(F5="","",VLOOKUP(F5,영역4,2,0)),IF(G5="","",VLOOKUP(G5,영역5,2,0)),IF(H5="","",VLOOKUP(H5,영역6,2,0)),IF(I5="","",VLOOKUP(I5,영역7,2,0)),IF(I5="","",VLOOKUP(I5,영역8,2,0)),IF(K5="","",VLOOKUP(K5,영역9,2,0)),IF(L5="","",VLOOKUP(L5,영역10,2,0)),IF(M5="","",VLOOKUP(M5,영역11,2,0)),IF(N5="","",VLOOKUP(N5,영역12,2,0)),IF(O5="","",VLOOKUP(O5,영역13,2,0)),IF(P5="","",VLOOKUP(P5,영역14,2,0)),IF(Q5="","",VLOOKUP(Q5,영역15,2,0)),IF(R5="","",VLOOKUP(R5,영역16,2,0)),IF(S5="","",VLOOKUP(S5,영역17,2,0)),IF(T5="","",VLOOKUP(T5,영역18,2,0)),IF(U5="","",VLOOKUP(U5,영역19,2,0)),IF(V5="","",VLOOKUP(V5,영역20,2,0)))</f>
        <v>온도를 분자운동 모형으로 설명할 수 있고, 물체 사이의 온도가 다르면 열의 이동이 일어남을 이해하며, 열의 이동 방법에는 전도, 대류, 복사가 있음을 알고 지구온난화 같은 일상생활에서 열에너지와 관련된 사례를 이해함.압력과 기체의 부피와의 관계를 실험을 통해 알아내고 압력 변화에 따른 기체의 분자 배열의 변화 및 운동 상태의 변화를 분자모형으로 그릴 수 있으며, 온도와 기체의 부피와의 관계를 실험을 통해 알아내고 온도 변화에 따른 기체의 분자 배열의 변화 및 운동 상태의 변화를 분자 모형으로 그릴 수 있음.과학 관련 직업을 조사하여 제시하고, 과학이 발달함에 따라 과학 관련 직업이 다양해지고 있음을 설명하며 자신의 진로 선택과 관련지을 수 있음.모둠원들과 함께 문제해결을 위해 필요한 정보를 찾아 활용할 줄 알고, 자료를 바르게 정리함.물체 사이의 온도가 다르면 열의 이동이 일어남을 이해하며, 열의 이동 방법에는 전도, 대류, 복사가 있음을 알고 있으며 냉난방기구사용, 단열과 폐열의 사용, 지구온난화 같은 일상생활에서 열에너지와 관련된 사례를 열의 이동방법과 관련지어 이해함.물체 사이의 온도가 다르면 열의 이동이 일어남을 이해하며, 열의 이동 방법에는 전도, 대류, 복사가 있음을 알고 있으며 냉난방기구사용, 단열과 폐열의 사용, 지구온난화 같은 일상생활에서 열에너지와 관련된 사례를 열의 이동방법과 관련지어 이해함.물체 사이의 온도가 다르면 열의 이동이 일어남을 이해하며, 열의 이동 방법에는 전도, 대류, 복사가 있음을 알고 있으며 냉난방기구사용, 단열과 폐열의 사용, 지구온난화 같은 일상생활에서 열에너지와 관련된 사례를 열의 이동방법과 관련지어 이해함.물체 사이의 온도가 다르면 열의 이동이 일어남을 이해하며, 열의 이동 방법에는 전도, 대류, 복사가 있음을 알고 있으며 냉난방기구사용, 단열과 폐열의 사용, 지구온난화 같은 일상생활에서 열에너지와 관련된 사례를 열의 이동방법과 관련지어 이해함.</v>
      </c>
    </row>
    <row r="6" spans="1:23" x14ac:dyDescent="0.4">
      <c r="A6" s="23">
        <v>2</v>
      </c>
      <c r="B6" s="24" t="str">
        <f t="shared" ref="B6:B44" ca="1" si="2">INDIRECT("명렬표!R"&amp;A6+5&amp;"C"&amp;$A$4+2,0)</f>
        <v>학생102</v>
      </c>
      <c r="C6" s="25"/>
      <c r="D6" s="26"/>
      <c r="E6" s="26"/>
      <c r="F6" s="26"/>
      <c r="G6" s="26"/>
      <c r="H6" s="26"/>
      <c r="I6" s="26"/>
      <c r="J6" s="26"/>
      <c r="K6" s="26"/>
      <c r="L6" s="26"/>
      <c r="M6" s="26"/>
      <c r="N6" s="26"/>
      <c r="O6" s="26"/>
      <c r="P6" s="26"/>
      <c r="Q6" s="26"/>
      <c r="R6" s="26"/>
      <c r="S6" s="70"/>
      <c r="T6" s="70"/>
      <c r="U6" s="70"/>
      <c r="V6" s="70"/>
      <c r="W6" s="17" t="str">
        <f t="shared" si="1"/>
        <v/>
      </c>
    </row>
    <row r="7" spans="1:23" x14ac:dyDescent="0.4">
      <c r="A7" s="23">
        <v>3</v>
      </c>
      <c r="B7" s="24" t="str">
        <f t="shared" ca="1" si="2"/>
        <v>학생103</v>
      </c>
      <c r="C7" s="25"/>
      <c r="D7" s="26"/>
      <c r="E7" s="26"/>
      <c r="F7" s="26"/>
      <c r="G7" s="26"/>
      <c r="H7" s="26"/>
      <c r="I7" s="26"/>
      <c r="J7" s="26"/>
      <c r="K7" s="26"/>
      <c r="L7" s="26"/>
      <c r="M7" s="26"/>
      <c r="N7" s="26"/>
      <c r="O7" s="26"/>
      <c r="P7" s="26"/>
      <c r="Q7" s="26"/>
      <c r="R7" s="26"/>
      <c r="S7" s="70"/>
      <c r="T7" s="70"/>
      <c r="U7" s="70"/>
      <c r="V7" s="70"/>
      <c r="W7" s="18" t="str">
        <f t="shared" si="1"/>
        <v/>
      </c>
    </row>
    <row r="8" spans="1:23" x14ac:dyDescent="0.4">
      <c r="A8" s="23">
        <v>4</v>
      </c>
      <c r="B8" s="24" t="str">
        <f t="shared" ca="1" si="2"/>
        <v>학생104</v>
      </c>
      <c r="C8" s="25"/>
      <c r="D8" s="26"/>
      <c r="E8" s="26"/>
      <c r="F8" s="26"/>
      <c r="G8" s="26"/>
      <c r="H8" s="26"/>
      <c r="I8" s="26"/>
      <c r="J8" s="26"/>
      <c r="K8" s="26"/>
      <c r="L8" s="26"/>
      <c r="M8" s="26"/>
      <c r="N8" s="26"/>
      <c r="O8" s="26"/>
      <c r="P8" s="26"/>
      <c r="Q8" s="26"/>
      <c r="R8" s="26"/>
      <c r="S8" s="70"/>
      <c r="T8" s="70"/>
      <c r="U8" s="70"/>
      <c r="V8" s="70"/>
      <c r="W8" s="18" t="str">
        <f t="shared" si="1"/>
        <v/>
      </c>
    </row>
    <row r="9" spans="1:23" x14ac:dyDescent="0.4">
      <c r="A9" s="23">
        <v>5</v>
      </c>
      <c r="B9" s="24" t="str">
        <f t="shared" ca="1" si="2"/>
        <v>학생105</v>
      </c>
      <c r="C9" s="25"/>
      <c r="D9" s="26"/>
      <c r="E9" s="26"/>
      <c r="F9" s="26"/>
      <c r="G9" s="26"/>
      <c r="H9" s="26"/>
      <c r="I9" s="26"/>
      <c r="J9" s="26"/>
      <c r="K9" s="26"/>
      <c r="L9" s="26"/>
      <c r="M9" s="26"/>
      <c r="N9" s="26"/>
      <c r="O9" s="26"/>
      <c r="P9" s="26"/>
      <c r="Q9" s="26"/>
      <c r="R9" s="26"/>
      <c r="S9" s="70"/>
      <c r="T9" s="70"/>
      <c r="U9" s="70"/>
      <c r="V9" s="70"/>
      <c r="W9" s="18" t="str">
        <f t="shared" si="1"/>
        <v/>
      </c>
    </row>
    <row r="10" spans="1:23" x14ac:dyDescent="0.4">
      <c r="A10" s="23">
        <v>6</v>
      </c>
      <c r="B10" s="24" t="str">
        <f t="shared" ca="1" si="2"/>
        <v>학생106</v>
      </c>
      <c r="C10" s="25"/>
      <c r="D10" s="26"/>
      <c r="E10" s="26"/>
      <c r="F10" s="26"/>
      <c r="G10" s="26"/>
      <c r="H10" s="26"/>
      <c r="I10" s="26"/>
      <c r="J10" s="26"/>
      <c r="K10" s="26"/>
      <c r="L10" s="26"/>
      <c r="M10" s="26"/>
      <c r="N10" s="26"/>
      <c r="O10" s="26"/>
      <c r="P10" s="26"/>
      <c r="Q10" s="26"/>
      <c r="R10" s="26"/>
      <c r="S10" s="70"/>
      <c r="T10" s="70"/>
      <c r="U10" s="70"/>
      <c r="V10" s="70"/>
      <c r="W10" s="18" t="str">
        <f t="shared" si="1"/>
        <v/>
      </c>
    </row>
    <row r="11" spans="1:23" x14ac:dyDescent="0.4">
      <c r="A11" s="23">
        <v>7</v>
      </c>
      <c r="B11" s="24" t="str">
        <f t="shared" ca="1" si="2"/>
        <v>학생107</v>
      </c>
      <c r="C11" s="25"/>
      <c r="D11" s="26"/>
      <c r="E11" s="26"/>
      <c r="F11" s="26"/>
      <c r="G11" s="26"/>
      <c r="H11" s="26"/>
      <c r="I11" s="26"/>
      <c r="J11" s="26"/>
      <c r="K11" s="26"/>
      <c r="L11" s="26"/>
      <c r="M11" s="26"/>
      <c r="N11" s="26"/>
      <c r="O11" s="26"/>
      <c r="P11" s="26"/>
      <c r="Q11" s="26"/>
      <c r="R11" s="26"/>
      <c r="S11" s="70"/>
      <c r="T11" s="70"/>
      <c r="U11" s="70"/>
      <c r="V11" s="70"/>
      <c r="W11" s="18" t="str">
        <f t="shared" si="1"/>
        <v/>
      </c>
    </row>
    <row r="12" spans="1:23" x14ac:dyDescent="0.4">
      <c r="A12" s="23">
        <v>8</v>
      </c>
      <c r="B12" s="24" t="str">
        <f t="shared" ca="1" si="2"/>
        <v>학생108</v>
      </c>
      <c r="C12" s="25"/>
      <c r="D12" s="26"/>
      <c r="E12" s="26"/>
      <c r="F12" s="26"/>
      <c r="G12" s="26"/>
      <c r="H12" s="26"/>
      <c r="I12" s="26"/>
      <c r="J12" s="26"/>
      <c r="K12" s="26"/>
      <c r="L12" s="26"/>
      <c r="M12" s="26"/>
      <c r="N12" s="26"/>
      <c r="O12" s="26"/>
      <c r="P12" s="26"/>
      <c r="Q12" s="26"/>
      <c r="R12" s="26"/>
      <c r="S12" s="70"/>
      <c r="T12" s="70"/>
      <c r="U12" s="70"/>
      <c r="V12" s="70"/>
      <c r="W12" s="18" t="str">
        <f t="shared" si="1"/>
        <v/>
      </c>
    </row>
    <row r="13" spans="1:23" x14ac:dyDescent="0.4">
      <c r="A13" s="23">
        <v>9</v>
      </c>
      <c r="B13" s="24" t="str">
        <f t="shared" ca="1" si="2"/>
        <v>학생109</v>
      </c>
      <c r="C13" s="25"/>
      <c r="D13" s="26"/>
      <c r="E13" s="26"/>
      <c r="F13" s="26"/>
      <c r="G13" s="26"/>
      <c r="H13" s="26"/>
      <c r="I13" s="26"/>
      <c r="J13" s="26"/>
      <c r="K13" s="26"/>
      <c r="L13" s="26"/>
      <c r="M13" s="26"/>
      <c r="N13" s="26"/>
      <c r="O13" s="26"/>
      <c r="P13" s="26"/>
      <c r="Q13" s="26"/>
      <c r="R13" s="26"/>
      <c r="S13" s="70"/>
      <c r="T13" s="70"/>
      <c r="U13" s="70"/>
      <c r="V13" s="70"/>
      <c r="W13" s="18" t="str">
        <f t="shared" si="1"/>
        <v/>
      </c>
    </row>
    <row r="14" spans="1:23" x14ac:dyDescent="0.4">
      <c r="A14" s="23">
        <v>10</v>
      </c>
      <c r="B14" s="24" t="str">
        <f t="shared" ca="1" si="2"/>
        <v>학생110</v>
      </c>
      <c r="C14" s="25"/>
      <c r="D14" s="26"/>
      <c r="E14" s="26"/>
      <c r="F14" s="26"/>
      <c r="G14" s="26"/>
      <c r="H14" s="26"/>
      <c r="I14" s="26"/>
      <c r="J14" s="26"/>
      <c r="K14" s="26"/>
      <c r="L14" s="26"/>
      <c r="M14" s="26"/>
      <c r="N14" s="26"/>
      <c r="O14" s="26"/>
      <c r="P14" s="26"/>
      <c r="Q14" s="26"/>
      <c r="R14" s="26"/>
      <c r="S14" s="70"/>
      <c r="T14" s="70"/>
      <c r="U14" s="70"/>
      <c r="V14" s="70"/>
      <c r="W14" s="18" t="str">
        <f t="shared" si="1"/>
        <v/>
      </c>
    </row>
    <row r="15" spans="1:23" x14ac:dyDescent="0.4">
      <c r="A15" s="23">
        <v>11</v>
      </c>
      <c r="B15" s="24" t="str">
        <f t="shared" ca="1" si="2"/>
        <v>학생111</v>
      </c>
      <c r="C15" s="25"/>
      <c r="D15" s="26"/>
      <c r="E15" s="26"/>
      <c r="F15" s="26"/>
      <c r="G15" s="26"/>
      <c r="H15" s="26"/>
      <c r="I15" s="26"/>
      <c r="J15" s="26"/>
      <c r="K15" s="26"/>
      <c r="L15" s="26"/>
      <c r="M15" s="26"/>
      <c r="N15" s="26"/>
      <c r="O15" s="26"/>
      <c r="P15" s="26"/>
      <c r="Q15" s="26"/>
      <c r="R15" s="26"/>
      <c r="S15" s="70"/>
      <c r="T15" s="70"/>
      <c r="U15" s="70"/>
      <c r="V15" s="70"/>
      <c r="W15" s="18" t="str">
        <f t="shared" si="1"/>
        <v/>
      </c>
    </row>
    <row r="16" spans="1:23" x14ac:dyDescent="0.4">
      <c r="A16" s="23">
        <v>12</v>
      </c>
      <c r="B16" s="24" t="str">
        <f t="shared" ca="1" si="2"/>
        <v>학생112</v>
      </c>
      <c r="C16" s="25"/>
      <c r="D16" s="26"/>
      <c r="E16" s="26"/>
      <c r="F16" s="26"/>
      <c r="G16" s="26"/>
      <c r="H16" s="26"/>
      <c r="I16" s="26"/>
      <c r="J16" s="26"/>
      <c r="K16" s="26"/>
      <c r="L16" s="26"/>
      <c r="M16" s="26"/>
      <c r="N16" s="26"/>
      <c r="O16" s="26"/>
      <c r="P16" s="26"/>
      <c r="Q16" s="26"/>
      <c r="R16" s="26"/>
      <c r="S16" s="70"/>
      <c r="T16" s="70"/>
      <c r="U16" s="70"/>
      <c r="V16" s="70"/>
      <c r="W16" s="18" t="str">
        <f t="shared" si="1"/>
        <v/>
      </c>
    </row>
    <row r="17" spans="1:23" x14ac:dyDescent="0.4">
      <c r="A17" s="23">
        <v>13</v>
      </c>
      <c r="B17" s="24" t="str">
        <f t="shared" ca="1" si="2"/>
        <v>학생113</v>
      </c>
      <c r="C17" s="25"/>
      <c r="D17" s="26"/>
      <c r="E17" s="26"/>
      <c r="F17" s="26"/>
      <c r="G17" s="26"/>
      <c r="H17" s="26"/>
      <c r="I17" s="26"/>
      <c r="J17" s="26"/>
      <c r="K17" s="26"/>
      <c r="L17" s="26"/>
      <c r="M17" s="26"/>
      <c r="N17" s="26"/>
      <c r="O17" s="26"/>
      <c r="P17" s="26"/>
      <c r="Q17" s="26"/>
      <c r="R17" s="26"/>
      <c r="S17" s="70"/>
      <c r="T17" s="70"/>
      <c r="U17" s="70"/>
      <c r="V17" s="70"/>
      <c r="W17" s="18" t="str">
        <f t="shared" si="1"/>
        <v/>
      </c>
    </row>
    <row r="18" spans="1:23" x14ac:dyDescent="0.4">
      <c r="A18" s="23">
        <v>14</v>
      </c>
      <c r="B18" s="24" t="str">
        <f t="shared" ca="1" si="2"/>
        <v>학생114</v>
      </c>
      <c r="C18" s="25"/>
      <c r="D18" s="26"/>
      <c r="E18" s="26"/>
      <c r="F18" s="26"/>
      <c r="G18" s="26"/>
      <c r="H18" s="26"/>
      <c r="I18" s="26"/>
      <c r="J18" s="26"/>
      <c r="K18" s="26"/>
      <c r="L18" s="26"/>
      <c r="M18" s="26"/>
      <c r="N18" s="26"/>
      <c r="O18" s="26"/>
      <c r="P18" s="26"/>
      <c r="Q18" s="26"/>
      <c r="R18" s="26"/>
      <c r="S18" s="70"/>
      <c r="T18" s="70"/>
      <c r="U18" s="70"/>
      <c r="V18" s="70"/>
      <c r="W18" s="18" t="str">
        <f t="shared" si="1"/>
        <v/>
      </c>
    </row>
    <row r="19" spans="1:23" x14ac:dyDescent="0.4">
      <c r="A19" s="23">
        <v>15</v>
      </c>
      <c r="B19" s="24" t="str">
        <f t="shared" ca="1" si="2"/>
        <v>학생115</v>
      </c>
      <c r="C19" s="25"/>
      <c r="D19" s="26"/>
      <c r="E19" s="26"/>
      <c r="F19" s="26"/>
      <c r="G19" s="26"/>
      <c r="H19" s="26"/>
      <c r="I19" s="26"/>
      <c r="J19" s="26"/>
      <c r="K19" s="26"/>
      <c r="L19" s="26"/>
      <c r="M19" s="26"/>
      <c r="N19" s="26"/>
      <c r="O19" s="26"/>
      <c r="P19" s="26"/>
      <c r="Q19" s="26"/>
      <c r="R19" s="26"/>
      <c r="S19" s="70"/>
      <c r="T19" s="70"/>
      <c r="U19" s="70"/>
      <c r="V19" s="70"/>
      <c r="W19" s="18" t="str">
        <f t="shared" si="1"/>
        <v/>
      </c>
    </row>
    <row r="20" spans="1:23" x14ac:dyDescent="0.4">
      <c r="A20" s="23">
        <v>16</v>
      </c>
      <c r="B20" s="24" t="str">
        <f t="shared" ca="1" si="2"/>
        <v>학생116</v>
      </c>
      <c r="C20" s="25"/>
      <c r="D20" s="26"/>
      <c r="E20" s="26"/>
      <c r="F20" s="26"/>
      <c r="G20" s="26"/>
      <c r="H20" s="26"/>
      <c r="I20" s="26"/>
      <c r="J20" s="26"/>
      <c r="K20" s="26"/>
      <c r="L20" s="26"/>
      <c r="M20" s="26"/>
      <c r="N20" s="26"/>
      <c r="O20" s="26"/>
      <c r="P20" s="26"/>
      <c r="Q20" s="26"/>
      <c r="R20" s="26"/>
      <c r="S20" s="70"/>
      <c r="T20" s="70"/>
      <c r="U20" s="70"/>
      <c r="V20" s="70"/>
      <c r="W20" s="18" t="str">
        <f t="shared" si="1"/>
        <v/>
      </c>
    </row>
    <row r="21" spans="1:23" x14ac:dyDescent="0.4">
      <c r="A21" s="23">
        <v>17</v>
      </c>
      <c r="B21" s="24" t="str">
        <f t="shared" ca="1" si="2"/>
        <v>학생117</v>
      </c>
      <c r="C21" s="25"/>
      <c r="D21" s="26"/>
      <c r="E21" s="26"/>
      <c r="F21" s="26"/>
      <c r="G21" s="26"/>
      <c r="H21" s="26"/>
      <c r="I21" s="26"/>
      <c r="J21" s="26"/>
      <c r="K21" s="26"/>
      <c r="L21" s="26"/>
      <c r="M21" s="26"/>
      <c r="N21" s="26"/>
      <c r="O21" s="26"/>
      <c r="P21" s="26"/>
      <c r="Q21" s="26"/>
      <c r="R21" s="26"/>
      <c r="S21" s="70"/>
      <c r="T21" s="70"/>
      <c r="U21" s="70"/>
      <c r="V21" s="70"/>
      <c r="W21" s="18" t="str">
        <f t="shared" si="1"/>
        <v/>
      </c>
    </row>
    <row r="22" spans="1:23" x14ac:dyDescent="0.4">
      <c r="A22" s="23">
        <v>18</v>
      </c>
      <c r="B22" s="24" t="str">
        <f t="shared" ca="1" si="2"/>
        <v>학생118</v>
      </c>
      <c r="C22" s="25"/>
      <c r="D22" s="26"/>
      <c r="E22" s="26"/>
      <c r="F22" s="26"/>
      <c r="G22" s="26"/>
      <c r="H22" s="26"/>
      <c r="I22" s="26"/>
      <c r="J22" s="26"/>
      <c r="K22" s="26"/>
      <c r="L22" s="26"/>
      <c r="M22" s="26"/>
      <c r="N22" s="26"/>
      <c r="O22" s="26"/>
      <c r="P22" s="26"/>
      <c r="Q22" s="26"/>
      <c r="R22" s="26"/>
      <c r="S22" s="70"/>
      <c r="T22" s="70"/>
      <c r="U22" s="70"/>
      <c r="V22" s="70"/>
      <c r="W22" s="18" t="str">
        <f t="shared" si="1"/>
        <v/>
      </c>
    </row>
    <row r="23" spans="1:23" x14ac:dyDescent="0.4">
      <c r="A23" s="23">
        <v>19</v>
      </c>
      <c r="B23" s="24" t="str">
        <f t="shared" ca="1" si="2"/>
        <v>학생119</v>
      </c>
      <c r="C23" s="25"/>
      <c r="D23" s="26"/>
      <c r="E23" s="26"/>
      <c r="F23" s="26"/>
      <c r="G23" s="26"/>
      <c r="H23" s="26"/>
      <c r="I23" s="26"/>
      <c r="J23" s="26"/>
      <c r="K23" s="26"/>
      <c r="L23" s="26"/>
      <c r="M23" s="26"/>
      <c r="N23" s="26"/>
      <c r="O23" s="26"/>
      <c r="P23" s="26"/>
      <c r="Q23" s="26"/>
      <c r="R23" s="26"/>
      <c r="S23" s="70"/>
      <c r="T23" s="70"/>
      <c r="U23" s="70"/>
      <c r="V23" s="70"/>
      <c r="W23" s="18" t="str">
        <f t="shared" si="1"/>
        <v/>
      </c>
    </row>
    <row r="24" spans="1:23" x14ac:dyDescent="0.4">
      <c r="A24" s="23">
        <v>20</v>
      </c>
      <c r="B24" s="24" t="str">
        <f t="shared" ca="1" si="2"/>
        <v>학생120</v>
      </c>
      <c r="C24" s="25"/>
      <c r="D24" s="26"/>
      <c r="E24" s="26"/>
      <c r="F24" s="26"/>
      <c r="G24" s="26"/>
      <c r="H24" s="26"/>
      <c r="I24" s="26"/>
      <c r="J24" s="26"/>
      <c r="K24" s="26"/>
      <c r="L24" s="26"/>
      <c r="M24" s="26"/>
      <c r="N24" s="26"/>
      <c r="O24" s="26"/>
      <c r="P24" s="26"/>
      <c r="Q24" s="26"/>
      <c r="R24" s="26"/>
      <c r="S24" s="70"/>
      <c r="T24" s="70"/>
      <c r="U24" s="70"/>
      <c r="V24" s="70"/>
      <c r="W24" s="18" t="str">
        <f t="shared" si="1"/>
        <v/>
      </c>
    </row>
    <row r="25" spans="1:23" x14ac:dyDescent="0.4">
      <c r="A25" s="23">
        <v>21</v>
      </c>
      <c r="B25" s="24" t="str">
        <f t="shared" ca="1" si="2"/>
        <v>학생121</v>
      </c>
      <c r="C25" s="25"/>
      <c r="D25" s="26"/>
      <c r="E25" s="26"/>
      <c r="F25" s="26"/>
      <c r="G25" s="26"/>
      <c r="H25" s="26"/>
      <c r="I25" s="26"/>
      <c r="J25" s="26"/>
      <c r="K25" s="26"/>
      <c r="L25" s="26"/>
      <c r="M25" s="26"/>
      <c r="N25" s="26"/>
      <c r="O25" s="26"/>
      <c r="P25" s="26"/>
      <c r="Q25" s="26"/>
      <c r="R25" s="26"/>
      <c r="S25" s="70"/>
      <c r="T25" s="70"/>
      <c r="U25" s="70"/>
      <c r="V25" s="70"/>
      <c r="W25" s="18" t="str">
        <f t="shared" si="1"/>
        <v/>
      </c>
    </row>
    <row r="26" spans="1:23" x14ac:dyDescent="0.4">
      <c r="A26" s="23">
        <v>22</v>
      </c>
      <c r="B26" s="24" t="str">
        <f t="shared" ca="1" si="2"/>
        <v>학생122</v>
      </c>
      <c r="C26" s="25"/>
      <c r="D26" s="26"/>
      <c r="E26" s="26"/>
      <c r="F26" s="26"/>
      <c r="G26" s="26"/>
      <c r="H26" s="26"/>
      <c r="I26" s="26"/>
      <c r="J26" s="26"/>
      <c r="K26" s="26"/>
      <c r="L26" s="26"/>
      <c r="M26" s="26"/>
      <c r="N26" s="26"/>
      <c r="O26" s="26"/>
      <c r="P26" s="26"/>
      <c r="Q26" s="26"/>
      <c r="R26" s="26"/>
      <c r="S26" s="70"/>
      <c r="T26" s="70"/>
      <c r="U26" s="70"/>
      <c r="V26" s="70"/>
      <c r="W26" s="18" t="str">
        <f t="shared" si="1"/>
        <v/>
      </c>
    </row>
    <row r="27" spans="1:23" x14ac:dyDescent="0.4">
      <c r="A27" s="23">
        <v>23</v>
      </c>
      <c r="B27" s="24" t="str">
        <f t="shared" ca="1" si="2"/>
        <v>학생123</v>
      </c>
      <c r="C27" s="25"/>
      <c r="D27" s="26"/>
      <c r="E27" s="26"/>
      <c r="F27" s="26"/>
      <c r="G27" s="26"/>
      <c r="H27" s="26"/>
      <c r="I27" s="26"/>
      <c r="J27" s="26"/>
      <c r="K27" s="26"/>
      <c r="L27" s="26"/>
      <c r="M27" s="26"/>
      <c r="N27" s="26"/>
      <c r="O27" s="26"/>
      <c r="P27" s="26"/>
      <c r="Q27" s="26"/>
      <c r="R27" s="26"/>
      <c r="S27" s="70"/>
      <c r="T27" s="70"/>
      <c r="U27" s="70"/>
      <c r="V27" s="70"/>
      <c r="W27" s="18" t="str">
        <f t="shared" si="1"/>
        <v/>
      </c>
    </row>
    <row r="28" spans="1:23" x14ac:dyDescent="0.4">
      <c r="A28" s="23">
        <v>24</v>
      </c>
      <c r="B28" s="24" t="str">
        <f t="shared" ca="1" si="2"/>
        <v>학생124</v>
      </c>
      <c r="C28" s="25"/>
      <c r="D28" s="26"/>
      <c r="E28" s="26"/>
      <c r="F28" s="26"/>
      <c r="G28" s="26"/>
      <c r="H28" s="26"/>
      <c r="I28" s="26"/>
      <c r="J28" s="26"/>
      <c r="K28" s="26"/>
      <c r="L28" s="26"/>
      <c r="M28" s="26"/>
      <c r="N28" s="26"/>
      <c r="O28" s="26"/>
      <c r="P28" s="26"/>
      <c r="Q28" s="26"/>
      <c r="R28" s="26"/>
      <c r="S28" s="70"/>
      <c r="T28" s="70"/>
      <c r="U28" s="70"/>
      <c r="V28" s="70"/>
      <c r="W28" s="18" t="str">
        <f t="shared" si="1"/>
        <v/>
      </c>
    </row>
    <row r="29" spans="1:23" x14ac:dyDescent="0.4">
      <c r="A29" s="23">
        <v>25</v>
      </c>
      <c r="B29" s="24" t="str">
        <f t="shared" ca="1" si="2"/>
        <v>학생125</v>
      </c>
      <c r="C29" s="25"/>
      <c r="D29" s="26"/>
      <c r="E29" s="26"/>
      <c r="F29" s="26"/>
      <c r="G29" s="26"/>
      <c r="H29" s="26"/>
      <c r="I29" s="26"/>
      <c r="J29" s="26"/>
      <c r="K29" s="26"/>
      <c r="L29" s="26"/>
      <c r="M29" s="26"/>
      <c r="N29" s="26"/>
      <c r="O29" s="26"/>
      <c r="P29" s="26"/>
      <c r="Q29" s="26"/>
      <c r="R29" s="26"/>
      <c r="S29" s="70"/>
      <c r="T29" s="70"/>
      <c r="U29" s="70"/>
      <c r="V29" s="70"/>
      <c r="W29" s="18" t="str">
        <f t="shared" si="1"/>
        <v/>
      </c>
    </row>
    <row r="30" spans="1:23" x14ac:dyDescent="0.4">
      <c r="A30" s="23">
        <v>26</v>
      </c>
      <c r="B30" s="24" t="str">
        <f t="shared" ca="1" si="2"/>
        <v>학생126</v>
      </c>
      <c r="C30" s="25"/>
      <c r="D30" s="26"/>
      <c r="E30" s="26"/>
      <c r="F30" s="26"/>
      <c r="G30" s="26"/>
      <c r="H30" s="26"/>
      <c r="I30" s="26"/>
      <c r="J30" s="26"/>
      <c r="K30" s="26"/>
      <c r="L30" s="26"/>
      <c r="M30" s="26"/>
      <c r="N30" s="26"/>
      <c r="O30" s="26"/>
      <c r="P30" s="26"/>
      <c r="Q30" s="26"/>
      <c r="R30" s="26"/>
      <c r="S30" s="70"/>
      <c r="T30" s="70"/>
      <c r="U30" s="70"/>
      <c r="V30" s="70"/>
      <c r="W30" s="18" t="str">
        <f t="shared" si="1"/>
        <v/>
      </c>
    </row>
    <row r="31" spans="1:23" x14ac:dyDescent="0.4">
      <c r="A31" s="23">
        <v>27</v>
      </c>
      <c r="B31" s="24" t="str">
        <f t="shared" ca="1" si="2"/>
        <v>학생127</v>
      </c>
      <c r="C31" s="25"/>
      <c r="D31" s="26"/>
      <c r="E31" s="26"/>
      <c r="F31" s="26"/>
      <c r="G31" s="26"/>
      <c r="H31" s="26"/>
      <c r="I31" s="26"/>
      <c r="J31" s="26"/>
      <c r="K31" s="26"/>
      <c r="L31" s="26"/>
      <c r="M31" s="26"/>
      <c r="N31" s="26"/>
      <c r="O31" s="26"/>
      <c r="P31" s="26"/>
      <c r="Q31" s="26"/>
      <c r="R31" s="26"/>
      <c r="S31" s="70"/>
      <c r="T31" s="70"/>
      <c r="U31" s="70"/>
      <c r="V31" s="70"/>
      <c r="W31" s="18" t="str">
        <f t="shared" si="1"/>
        <v/>
      </c>
    </row>
    <row r="32" spans="1:23" x14ac:dyDescent="0.4">
      <c r="A32" s="23">
        <v>28</v>
      </c>
      <c r="B32" s="24" t="str">
        <f t="shared" ca="1" si="2"/>
        <v>학생128</v>
      </c>
      <c r="C32" s="25"/>
      <c r="D32" s="26"/>
      <c r="E32" s="26"/>
      <c r="F32" s="26"/>
      <c r="G32" s="26"/>
      <c r="H32" s="26"/>
      <c r="I32" s="26"/>
      <c r="J32" s="26"/>
      <c r="K32" s="26"/>
      <c r="L32" s="26"/>
      <c r="M32" s="26"/>
      <c r="N32" s="26"/>
      <c r="O32" s="26"/>
      <c r="P32" s="26"/>
      <c r="Q32" s="26"/>
      <c r="R32" s="26"/>
      <c r="S32" s="70"/>
      <c r="T32" s="70"/>
      <c r="U32" s="70"/>
      <c r="V32" s="70"/>
      <c r="W32" s="18" t="str">
        <f t="shared" si="1"/>
        <v/>
      </c>
    </row>
    <row r="33" spans="1:23" x14ac:dyDescent="0.4">
      <c r="A33" s="23">
        <v>29</v>
      </c>
      <c r="B33" s="24" t="str">
        <f t="shared" ca="1" si="2"/>
        <v>학생129</v>
      </c>
      <c r="C33" s="25"/>
      <c r="D33" s="26"/>
      <c r="E33" s="26"/>
      <c r="F33" s="26"/>
      <c r="G33" s="26"/>
      <c r="H33" s="26"/>
      <c r="I33" s="26"/>
      <c r="J33" s="26"/>
      <c r="K33" s="26"/>
      <c r="L33" s="26"/>
      <c r="M33" s="26"/>
      <c r="N33" s="26"/>
      <c r="O33" s="26"/>
      <c r="P33" s="26"/>
      <c r="Q33" s="26"/>
      <c r="R33" s="26"/>
      <c r="S33" s="70"/>
      <c r="T33" s="70"/>
      <c r="U33" s="70"/>
      <c r="V33" s="70"/>
      <c r="W33" s="18" t="str">
        <f t="shared" si="1"/>
        <v/>
      </c>
    </row>
    <row r="34" spans="1:23" x14ac:dyDescent="0.4">
      <c r="A34" s="23">
        <v>30</v>
      </c>
      <c r="B34" s="24" t="str">
        <f t="shared" ca="1" si="2"/>
        <v>학생130</v>
      </c>
      <c r="C34" s="25"/>
      <c r="D34" s="26"/>
      <c r="E34" s="26"/>
      <c r="F34" s="26"/>
      <c r="G34" s="26"/>
      <c r="H34" s="26"/>
      <c r="I34" s="26"/>
      <c r="J34" s="26"/>
      <c r="K34" s="26"/>
      <c r="L34" s="26"/>
      <c r="M34" s="26"/>
      <c r="N34" s="26"/>
      <c r="O34" s="26"/>
      <c r="P34" s="26"/>
      <c r="Q34" s="26"/>
      <c r="R34" s="26"/>
      <c r="S34" s="70"/>
      <c r="T34" s="70"/>
      <c r="U34" s="70"/>
      <c r="V34" s="70"/>
      <c r="W34" s="18" t="str">
        <f t="shared" si="1"/>
        <v/>
      </c>
    </row>
    <row r="35" spans="1:23" x14ac:dyDescent="0.4">
      <c r="A35" s="23">
        <v>31</v>
      </c>
      <c r="B35" s="24" t="str">
        <f t="shared" ca="1" si="2"/>
        <v>학생131</v>
      </c>
      <c r="C35" s="25"/>
      <c r="D35" s="26"/>
      <c r="E35" s="26"/>
      <c r="F35" s="26"/>
      <c r="G35" s="26"/>
      <c r="H35" s="26"/>
      <c r="I35" s="26"/>
      <c r="J35" s="26"/>
      <c r="K35" s="26"/>
      <c r="L35" s="26"/>
      <c r="M35" s="26"/>
      <c r="N35" s="26"/>
      <c r="O35" s="26"/>
      <c r="P35" s="26"/>
      <c r="Q35" s="26"/>
      <c r="R35" s="26"/>
      <c r="S35" s="70"/>
      <c r="T35" s="70"/>
      <c r="U35" s="70"/>
      <c r="V35" s="70"/>
      <c r="W35" s="18" t="str">
        <f t="shared" si="1"/>
        <v/>
      </c>
    </row>
    <row r="36" spans="1:23" x14ac:dyDescent="0.4">
      <c r="A36" s="23">
        <v>32</v>
      </c>
      <c r="B36" s="24" t="str">
        <f t="shared" ca="1" si="2"/>
        <v>학생132</v>
      </c>
      <c r="C36" s="25"/>
      <c r="D36" s="26"/>
      <c r="E36" s="26"/>
      <c r="F36" s="26"/>
      <c r="G36" s="26"/>
      <c r="H36" s="26"/>
      <c r="I36" s="26"/>
      <c r="J36" s="26"/>
      <c r="K36" s="26"/>
      <c r="L36" s="26"/>
      <c r="M36" s="26"/>
      <c r="N36" s="26"/>
      <c r="O36" s="26"/>
      <c r="P36" s="26"/>
      <c r="Q36" s="26"/>
      <c r="R36" s="26"/>
      <c r="S36" s="70"/>
      <c r="T36" s="70"/>
      <c r="U36" s="70"/>
      <c r="V36" s="70"/>
      <c r="W36" s="18" t="str">
        <f t="shared" si="1"/>
        <v/>
      </c>
    </row>
    <row r="37" spans="1:23" x14ac:dyDescent="0.4">
      <c r="A37" s="23">
        <v>33</v>
      </c>
      <c r="B37" s="24" t="str">
        <f t="shared" ca="1" si="2"/>
        <v>학생133</v>
      </c>
      <c r="C37" s="25"/>
      <c r="D37" s="26"/>
      <c r="E37" s="26"/>
      <c r="F37" s="26"/>
      <c r="G37" s="26"/>
      <c r="H37" s="26"/>
      <c r="I37" s="26"/>
      <c r="J37" s="26"/>
      <c r="K37" s="26"/>
      <c r="L37" s="26"/>
      <c r="M37" s="26"/>
      <c r="N37" s="26"/>
      <c r="O37" s="26"/>
      <c r="P37" s="26"/>
      <c r="Q37" s="26"/>
      <c r="R37" s="26"/>
      <c r="S37" s="70"/>
      <c r="T37" s="70"/>
      <c r="U37" s="70"/>
      <c r="V37" s="70"/>
      <c r="W37" s="18" t="str">
        <f t="shared" si="1"/>
        <v/>
      </c>
    </row>
    <row r="38" spans="1:23" x14ac:dyDescent="0.4">
      <c r="A38" s="23">
        <v>34</v>
      </c>
      <c r="B38" s="24" t="str">
        <f t="shared" ca="1" si="2"/>
        <v>학생134</v>
      </c>
      <c r="C38" s="25"/>
      <c r="D38" s="26"/>
      <c r="E38" s="26"/>
      <c r="F38" s="26"/>
      <c r="G38" s="26"/>
      <c r="H38" s="26"/>
      <c r="I38" s="26"/>
      <c r="J38" s="26"/>
      <c r="K38" s="26"/>
      <c r="L38" s="26"/>
      <c r="M38" s="26"/>
      <c r="N38" s="26"/>
      <c r="O38" s="26"/>
      <c r="P38" s="26"/>
      <c r="Q38" s="26"/>
      <c r="R38" s="26"/>
      <c r="S38" s="70"/>
      <c r="T38" s="70"/>
      <c r="U38" s="70"/>
      <c r="V38" s="70"/>
      <c r="W38" s="18" t="str">
        <f t="shared" si="1"/>
        <v/>
      </c>
    </row>
    <row r="39" spans="1:23" x14ac:dyDescent="0.4">
      <c r="A39" s="23">
        <v>35</v>
      </c>
      <c r="B39" s="24" t="str">
        <f t="shared" ca="1" si="2"/>
        <v>학생135</v>
      </c>
      <c r="C39" s="25"/>
      <c r="D39" s="26"/>
      <c r="E39" s="26"/>
      <c r="F39" s="26"/>
      <c r="G39" s="26"/>
      <c r="H39" s="26"/>
      <c r="I39" s="26"/>
      <c r="J39" s="26"/>
      <c r="K39" s="26"/>
      <c r="L39" s="26"/>
      <c r="M39" s="26"/>
      <c r="N39" s="26"/>
      <c r="O39" s="26"/>
      <c r="P39" s="26"/>
      <c r="Q39" s="26"/>
      <c r="R39" s="26"/>
      <c r="S39" s="70"/>
      <c r="T39" s="70"/>
      <c r="U39" s="70"/>
      <c r="V39" s="70"/>
      <c r="W39" s="18" t="str">
        <f t="shared" si="1"/>
        <v/>
      </c>
    </row>
    <row r="40" spans="1:23" x14ac:dyDescent="0.4">
      <c r="A40" s="23">
        <v>36</v>
      </c>
      <c r="B40" s="24" t="str">
        <f t="shared" ca="1" si="2"/>
        <v>학생136</v>
      </c>
      <c r="C40" s="25"/>
      <c r="D40" s="26"/>
      <c r="E40" s="26"/>
      <c r="F40" s="26"/>
      <c r="G40" s="26"/>
      <c r="H40" s="26"/>
      <c r="I40" s="26"/>
      <c r="J40" s="26"/>
      <c r="K40" s="26"/>
      <c r="L40" s="26"/>
      <c r="M40" s="26"/>
      <c r="N40" s="26"/>
      <c r="O40" s="26"/>
      <c r="P40" s="26"/>
      <c r="Q40" s="26"/>
      <c r="R40" s="26"/>
      <c r="S40" s="70"/>
      <c r="T40" s="70"/>
      <c r="U40" s="70"/>
      <c r="V40" s="70"/>
      <c r="W40" s="18" t="str">
        <f t="shared" si="1"/>
        <v/>
      </c>
    </row>
    <row r="41" spans="1:23" x14ac:dyDescent="0.4">
      <c r="A41" s="23">
        <v>37</v>
      </c>
      <c r="B41" s="24" t="str">
        <f t="shared" ca="1" si="2"/>
        <v>학생137</v>
      </c>
      <c r="C41" s="25"/>
      <c r="D41" s="26"/>
      <c r="E41" s="26"/>
      <c r="F41" s="26"/>
      <c r="G41" s="26"/>
      <c r="H41" s="26"/>
      <c r="I41" s="26"/>
      <c r="J41" s="26"/>
      <c r="K41" s="26"/>
      <c r="L41" s="26"/>
      <c r="M41" s="26"/>
      <c r="N41" s="26"/>
      <c r="O41" s="26"/>
      <c r="P41" s="26"/>
      <c r="Q41" s="26"/>
      <c r="R41" s="26"/>
      <c r="S41" s="70"/>
      <c r="T41" s="70"/>
      <c r="U41" s="70"/>
      <c r="V41" s="70"/>
      <c r="W41" s="18" t="str">
        <f t="shared" si="1"/>
        <v/>
      </c>
    </row>
    <row r="42" spans="1:23" x14ac:dyDescent="0.4">
      <c r="A42" s="23">
        <v>38</v>
      </c>
      <c r="B42" s="24" t="str">
        <f t="shared" ca="1" si="2"/>
        <v>학생138</v>
      </c>
      <c r="C42" s="25"/>
      <c r="D42" s="26"/>
      <c r="E42" s="26"/>
      <c r="F42" s="26"/>
      <c r="G42" s="26"/>
      <c r="H42" s="26"/>
      <c r="I42" s="26"/>
      <c r="J42" s="26"/>
      <c r="K42" s="26"/>
      <c r="L42" s="26"/>
      <c r="M42" s="26"/>
      <c r="N42" s="26"/>
      <c r="O42" s="26"/>
      <c r="P42" s="26"/>
      <c r="Q42" s="26"/>
      <c r="R42" s="26"/>
      <c r="S42" s="70"/>
      <c r="T42" s="70"/>
      <c r="U42" s="70"/>
      <c r="V42" s="70"/>
      <c r="W42" s="18" t="str">
        <f t="shared" si="1"/>
        <v/>
      </c>
    </row>
    <row r="43" spans="1:23" x14ac:dyDescent="0.4">
      <c r="A43" s="23">
        <v>39</v>
      </c>
      <c r="B43" s="24" t="str">
        <f t="shared" ca="1" si="2"/>
        <v>학생139</v>
      </c>
      <c r="C43" s="25"/>
      <c r="D43" s="26"/>
      <c r="E43" s="26"/>
      <c r="F43" s="26"/>
      <c r="G43" s="26"/>
      <c r="H43" s="26"/>
      <c r="I43" s="26"/>
      <c r="J43" s="26"/>
      <c r="K43" s="26"/>
      <c r="L43" s="26"/>
      <c r="M43" s="26"/>
      <c r="N43" s="26"/>
      <c r="O43" s="26"/>
      <c r="P43" s="26"/>
      <c r="Q43" s="26"/>
      <c r="R43" s="26"/>
      <c r="S43" s="70"/>
      <c r="T43" s="70"/>
      <c r="U43" s="70"/>
      <c r="V43" s="70"/>
      <c r="W43" s="18" t="str">
        <f t="shared" si="1"/>
        <v/>
      </c>
    </row>
    <row r="44" spans="1:23" x14ac:dyDescent="0.4">
      <c r="A44" s="23">
        <v>40</v>
      </c>
      <c r="B44" s="24" t="str">
        <f t="shared" ca="1" si="2"/>
        <v>학생140</v>
      </c>
      <c r="C44" s="25"/>
      <c r="D44" s="26"/>
      <c r="E44" s="26"/>
      <c r="F44" s="26"/>
      <c r="G44" s="26"/>
      <c r="H44" s="26"/>
      <c r="I44" s="26"/>
      <c r="J44" s="26"/>
      <c r="K44" s="26"/>
      <c r="L44" s="26"/>
      <c r="M44" s="26"/>
      <c r="N44" s="26"/>
      <c r="O44" s="26"/>
      <c r="P44" s="26"/>
      <c r="Q44" s="26"/>
      <c r="R44" s="26"/>
      <c r="S44" s="70"/>
      <c r="T44" s="70"/>
      <c r="U44" s="70"/>
      <c r="V44" s="70"/>
      <c r="W44" s="18" t="str">
        <f t="shared" si="1"/>
        <v/>
      </c>
    </row>
    <row r="45" spans="1:23" ht="21" x14ac:dyDescent="0.4">
      <c r="A45" s="130" t="s">
        <v>115</v>
      </c>
      <c r="B45" s="131"/>
      <c r="C45" s="27">
        <f t="shared" ref="C45:L45" si="3">IF(COUNTA(C5:C44)=0,"",COUNTA(C5:C44))</f>
        <v>1</v>
      </c>
      <c r="D45" s="28">
        <f t="shared" si="3"/>
        <v>1</v>
      </c>
      <c r="E45" s="28">
        <f t="shared" si="3"/>
        <v>1</v>
      </c>
      <c r="F45" s="28">
        <f t="shared" si="3"/>
        <v>1</v>
      </c>
      <c r="G45" s="28">
        <f t="shared" si="3"/>
        <v>1</v>
      </c>
      <c r="H45" s="28">
        <f t="shared" si="3"/>
        <v>1</v>
      </c>
      <c r="I45" s="28">
        <f t="shared" si="3"/>
        <v>1</v>
      </c>
      <c r="J45" s="28" t="str">
        <f t="shared" si="3"/>
        <v/>
      </c>
      <c r="K45" s="28" t="str">
        <f t="shared" si="3"/>
        <v/>
      </c>
      <c r="L45" s="28" t="str">
        <f t="shared" si="3"/>
        <v/>
      </c>
      <c r="M45" s="28" t="str">
        <f t="shared" ref="M45:U45" si="4">IF(COUNTA(M5:M44)=0,"",COUNTA(M5:M44))</f>
        <v/>
      </c>
      <c r="N45" s="28" t="str">
        <f t="shared" si="4"/>
        <v/>
      </c>
      <c r="O45" s="28" t="str">
        <f t="shared" si="4"/>
        <v/>
      </c>
      <c r="P45" s="28" t="str">
        <f t="shared" si="4"/>
        <v/>
      </c>
      <c r="Q45" s="28" t="str">
        <f t="shared" si="4"/>
        <v/>
      </c>
      <c r="R45" s="28" t="str">
        <f t="shared" si="4"/>
        <v/>
      </c>
      <c r="S45" s="28" t="str">
        <f t="shared" si="4"/>
        <v/>
      </c>
      <c r="T45" s="28" t="str">
        <f t="shared" si="4"/>
        <v/>
      </c>
      <c r="U45" s="28" t="str">
        <f t="shared" si="4"/>
        <v/>
      </c>
      <c r="V45" s="28" t="str">
        <f>IF(COUNTA(V5:V44)=0,"",COUNTA(V5:V44))</f>
        <v/>
      </c>
      <c r="W45" s="29"/>
    </row>
  </sheetData>
  <sheetProtection password="E442" sheet="1" objects="1" scenarios="1"/>
  <mergeCells count="4">
    <mergeCell ref="A1:W1"/>
    <mergeCell ref="A2:B2"/>
    <mergeCell ref="A45:B45"/>
    <mergeCell ref="F2:G2"/>
  </mergeCells>
  <phoneticPr fontId="16" type="noConversion"/>
  <dataValidations count="3">
    <dataValidation type="list" imeMode="halfAlpha" allowBlank="1" showInputMessage="1" showErrorMessage="1" errorTitle="성취도 입력" error="영문 대문자로 입력하세요...." sqref="V6:V44 C5:D44 F5:U44 E6:E44" xr:uid="{00000000-0002-0000-0500-000000000000}">
      <formula1>"A,B,C,D,E"</formula1>
    </dataValidation>
    <dataValidation type="list" imeMode="halfAlpha" allowBlank="1" showInputMessage="1" showErrorMessage="1" sqref="V5" xr:uid="{00000000-0002-0000-0500-000001000000}">
      <formula1>"A,B,C,D,E"</formula1>
    </dataValidation>
    <dataValidation type="list" imeMode="halfAlpha" allowBlank="1" showInputMessage="1" showErrorMessage="1" errorTitle="성취도입력" error="영문 대문자로 입력하세요..." sqref="E5" xr:uid="{00000000-0002-0000-0500-000002000000}">
      <formula1>"A,B,C,D,E"</formula1>
    </dataValidation>
  </dataValidations>
  <printOptions horizontalCentered="1"/>
  <pageMargins left="0.7086111307144165" right="0.51166665554046631" top="0.55097222328186035" bottom="0.55097222328186035" header="0" footer="0.39347222447395325"/>
  <pageSetup paperSize="9" scale="42" fitToHeight="0" orientation="landscape" errors="blank"/>
  <headerFooter>
    <oddFooter>&amp;C&amp;"돋움,Regular"&amp;P/&amp;N</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85BF4C"/>
    <pageSetUpPr fitToPage="1"/>
  </sheetPr>
  <dimension ref="A1:W45"/>
  <sheetViews>
    <sheetView showZeros="0" zoomScale="85" zoomScaleNormal="85" zoomScaleSheetLayoutView="75" workbookViewId="0">
      <pane xSplit="2" ySplit="4" topLeftCell="C5" activePane="bottomRight" state="frozen"/>
      <selection pane="topRight"/>
      <selection pane="bottomLeft"/>
      <selection pane="bottomRight" activeCell="C5" sqref="C5"/>
    </sheetView>
  </sheetViews>
  <sheetFormatPr defaultColWidth="9" defaultRowHeight="17.399999999999999" x14ac:dyDescent="0.4"/>
  <cols>
    <col min="1" max="1" width="7" style="30" customWidth="1"/>
    <col min="2" max="2" width="9.5" style="30" customWidth="1"/>
    <col min="3" max="3" width="8" style="30" customWidth="1"/>
    <col min="4" max="4" width="8" style="30" customWidth="1" collapsed="1"/>
    <col min="5" max="9" width="8" style="30" customWidth="1"/>
    <col min="10" max="12" width="8" style="30" hidden="1" customWidth="1"/>
    <col min="13" max="13" width="8" style="30" hidden="1" customWidth="1" collapsed="1"/>
    <col min="14" max="22" width="8" style="30" hidden="1" customWidth="1"/>
    <col min="23" max="23" width="115.8984375" style="30" customWidth="1"/>
    <col min="24" max="35" width="9" style="30" customWidth="1"/>
    <col min="36" max="16384" width="9" style="30"/>
  </cols>
  <sheetData>
    <row r="1" spans="1:23" ht="62.25" customHeight="1" x14ac:dyDescent="0.4">
      <c r="A1" s="127" t="str">
        <f>CONCATENATE(기본설정!D6,"과 평가 예시문")</f>
        <v>네트워크프로그래밍과 평가 예시문</v>
      </c>
      <c r="B1" s="127"/>
      <c r="C1" s="127"/>
      <c r="D1" s="127"/>
      <c r="E1" s="127"/>
      <c r="F1" s="127"/>
      <c r="G1" s="127"/>
      <c r="H1" s="127"/>
      <c r="I1" s="127"/>
      <c r="J1" s="127"/>
      <c r="K1" s="127"/>
      <c r="L1" s="127"/>
      <c r="M1" s="127"/>
      <c r="N1" s="127"/>
      <c r="O1" s="127"/>
      <c r="P1" s="127"/>
      <c r="Q1" s="127"/>
      <c r="R1" s="127"/>
      <c r="S1" s="127"/>
      <c r="T1" s="127"/>
      <c r="U1" s="127"/>
      <c r="V1" s="127"/>
      <c r="W1" s="127"/>
    </row>
    <row r="2" spans="1:23" ht="28.5" customHeight="1" x14ac:dyDescent="0.4">
      <c r="A2" s="129" t="str">
        <f>CONCATENATE(기본설정!D4,"학년도")</f>
        <v>2018학년도</v>
      </c>
      <c r="B2" s="129"/>
      <c r="C2" s="35" t="str">
        <f>CONCATENATE(기본설정!L4)</f>
        <v>2학기</v>
      </c>
      <c r="D2" s="36"/>
      <c r="E2" s="36" t="str">
        <f>CONCATENATE(기본설정!D5,"학년")</f>
        <v>2학년</v>
      </c>
      <c r="F2" s="132" t="str">
        <f ca="1">RIGHT(CELL("filename",A1),LEN(CELL("filename",A1))-FIND("]",CELL("filename",A1)))</f>
        <v>6반</v>
      </c>
      <c r="G2" s="132"/>
      <c r="H2" s="38"/>
      <c r="I2" s="38"/>
      <c r="J2" s="38"/>
      <c r="K2" s="38"/>
      <c r="L2" s="38"/>
      <c r="M2" s="39"/>
      <c r="N2" s="39"/>
      <c r="O2" s="37"/>
      <c r="P2" s="37"/>
      <c r="Q2" s="38"/>
      <c r="R2" s="38"/>
      <c r="S2" s="38"/>
      <c r="T2" s="38"/>
      <c r="U2" s="38"/>
      <c r="V2" s="38"/>
      <c r="W2" s="40" t="str">
        <f>CONCATENATE("담당교사 : ",기본설정!L6)</f>
        <v>담당교사 : 이동윤</v>
      </c>
    </row>
    <row r="3" spans="1:23" ht="70.5" customHeight="1" x14ac:dyDescent="0.4">
      <c r="A3" s="19" t="s">
        <v>36</v>
      </c>
      <c r="B3" s="20" t="s">
        <v>31</v>
      </c>
      <c r="C3" s="21" t="str">
        <f ca="1">INDIRECT($B$4&amp;C$4)</f>
        <v>1열과 우리생활</v>
      </c>
      <c r="D3" s="21" t="str">
        <f ca="1">INDIRECT($B$4&amp;D$4)</f>
        <v>2분자운동과 상태변화</v>
      </c>
      <c r="E3" s="21" t="str">
        <f t="shared" ref="E3:V3" ca="1" si="0">INDIRECT($B$4&amp;E$4)</f>
        <v>3프로젝트</v>
      </c>
      <c r="F3" s="21" t="str">
        <f t="shared" ca="1" si="0"/>
        <v>4포4트폴리오</v>
      </c>
      <c r="G3" s="21">
        <f t="shared" ca="1" si="0"/>
        <v>5</v>
      </c>
      <c r="H3" s="21">
        <f t="shared" ca="1" si="0"/>
        <v>6</v>
      </c>
      <c r="I3" s="21">
        <f t="shared" ca="1" si="0"/>
        <v>7</v>
      </c>
      <c r="J3" s="21">
        <f t="shared" ca="1" si="0"/>
        <v>8</v>
      </c>
      <c r="K3" s="21">
        <f t="shared" ca="1" si="0"/>
        <v>9</v>
      </c>
      <c r="L3" s="21">
        <f t="shared" ca="1" si="0"/>
        <v>10</v>
      </c>
      <c r="M3" s="21">
        <f t="shared" ca="1" si="0"/>
        <v>11</v>
      </c>
      <c r="N3" s="21">
        <f t="shared" ca="1" si="0"/>
        <v>12</v>
      </c>
      <c r="O3" s="21">
        <f t="shared" ca="1" si="0"/>
        <v>13</v>
      </c>
      <c r="P3" s="21">
        <f t="shared" ca="1" si="0"/>
        <v>14</v>
      </c>
      <c r="Q3" s="21">
        <f t="shared" ca="1" si="0"/>
        <v>15</v>
      </c>
      <c r="R3" s="21">
        <f t="shared" ca="1" si="0"/>
        <v>16</v>
      </c>
      <c r="S3" s="21">
        <f t="shared" ca="1" si="0"/>
        <v>17</v>
      </c>
      <c r="T3" s="21">
        <f t="shared" ca="1" si="0"/>
        <v>18</v>
      </c>
      <c r="U3" s="21">
        <f t="shared" ca="1" si="0"/>
        <v>19</v>
      </c>
      <c r="V3" s="21">
        <f t="shared" ca="1" si="0"/>
        <v>20</v>
      </c>
      <c r="W3" s="22" t="s">
        <v>46</v>
      </c>
    </row>
    <row r="4" spans="1:23" ht="23.25" hidden="1" customHeight="1" x14ac:dyDescent="0.4">
      <c r="A4" s="83">
        <v>2</v>
      </c>
      <c r="B4" s="31" t="s">
        <v>178</v>
      </c>
      <c r="C4" s="32">
        <v>4</v>
      </c>
      <c r="D4" s="33">
        <v>9</v>
      </c>
      <c r="E4" s="33">
        <v>14</v>
      </c>
      <c r="F4" s="33">
        <v>19</v>
      </c>
      <c r="G4" s="33">
        <v>24</v>
      </c>
      <c r="H4" s="33">
        <v>29</v>
      </c>
      <c r="I4" s="33">
        <v>34</v>
      </c>
      <c r="J4" s="33">
        <v>39</v>
      </c>
      <c r="K4" s="33">
        <v>44</v>
      </c>
      <c r="L4" s="33">
        <v>49</v>
      </c>
      <c r="M4" s="33">
        <v>54</v>
      </c>
      <c r="N4" s="33">
        <v>59</v>
      </c>
      <c r="O4" s="33">
        <v>64</v>
      </c>
      <c r="P4" s="33">
        <v>69</v>
      </c>
      <c r="Q4" s="33">
        <v>74</v>
      </c>
      <c r="R4" s="33">
        <v>79</v>
      </c>
      <c r="S4" s="33">
        <v>84</v>
      </c>
      <c r="T4" s="33">
        <v>89</v>
      </c>
      <c r="U4" s="33">
        <v>94</v>
      </c>
      <c r="V4" s="33">
        <v>99</v>
      </c>
      <c r="W4" s="34"/>
    </row>
    <row r="5" spans="1:23" x14ac:dyDescent="0.4">
      <c r="A5" s="23">
        <v>1</v>
      </c>
      <c r="B5" s="24" t="str">
        <f ca="1">INDIRECT("명렬표!R"&amp;A5+5&amp;"C"&amp;$A$4+2,0)</f>
        <v>학생201</v>
      </c>
      <c r="C5" s="25"/>
      <c r="D5" s="26"/>
      <c r="E5" s="26"/>
      <c r="F5" s="26"/>
      <c r="G5" s="26"/>
      <c r="H5" s="26"/>
      <c r="I5" s="26"/>
      <c r="J5" s="26"/>
      <c r="K5" s="26"/>
      <c r="L5" s="26"/>
      <c r="M5" s="26"/>
      <c r="N5" s="26"/>
      <c r="O5" s="26"/>
      <c r="P5" s="26"/>
      <c r="Q5" s="26"/>
      <c r="R5" s="26"/>
      <c r="S5" s="70"/>
      <c r="T5" s="70"/>
      <c r="U5" s="70"/>
      <c r="V5" s="70"/>
      <c r="W5" s="17" t="str">
        <f t="shared" ref="W5:W44" si="1">CONCATENATE(IF(C5="","",VLOOKUP(C5,영역1,2,0)),IF(D5="","",VLOOKUP(D5,영역2,2,0)),IF(E5="","",VLOOKUP(E5,영역3,2,0)),IF(F5="","",VLOOKUP(F5,영역4,2,0)),IF(G5="","",VLOOKUP(G5,영역5,2,0)),IF(H5="","",VLOOKUP(H5,영역6,2,0)),IF(I5="","",VLOOKUP(I5,영역7,2,0)),IF(I5="","",VLOOKUP(I5,영역8,2,0)),IF(K5="","",VLOOKUP(K5,영역9,2,0)),IF(L5="","",VLOOKUP(L5,영역10,2,0)),IF(M5="","",VLOOKUP(M5,영역11,2,0)),IF(N5="","",VLOOKUP(N5,영역12,2,0)),IF(O5="","",VLOOKUP(O5,영역13,2,0)),IF(P5="","",VLOOKUP(P5,영역14,2,0)),IF(Q5="","",VLOOKUP(Q5,영역15,2,0)),IF(R5="","",VLOOKUP(R5,영역16,2,0)),IF(S5="","",VLOOKUP(S5,영역17,2,0)),IF(T5="","",VLOOKUP(T5,영역18,2,0)),IF(U5="","",VLOOKUP(U5,영역19,2,0)),IF(V5="","",VLOOKUP(V5,영역20,2,0)))</f>
        <v/>
      </c>
    </row>
    <row r="6" spans="1:23" x14ac:dyDescent="0.4">
      <c r="A6" s="23">
        <v>2</v>
      </c>
      <c r="B6" s="24" t="str">
        <f t="shared" ref="B6:B44" ca="1" si="2">INDIRECT("명렬표!R"&amp;A6+5&amp;"C"&amp;$A$4+2,0)</f>
        <v>학생202</v>
      </c>
      <c r="C6" s="25"/>
      <c r="D6" s="26"/>
      <c r="E6" s="26"/>
      <c r="F6" s="26"/>
      <c r="G6" s="26"/>
      <c r="H6" s="26"/>
      <c r="I6" s="26"/>
      <c r="J6" s="26"/>
      <c r="K6" s="26"/>
      <c r="L6" s="26"/>
      <c r="M6" s="26"/>
      <c r="N6" s="26"/>
      <c r="O6" s="26"/>
      <c r="P6" s="26"/>
      <c r="Q6" s="26"/>
      <c r="R6" s="26"/>
      <c r="S6" s="70"/>
      <c r="T6" s="70"/>
      <c r="U6" s="70"/>
      <c r="V6" s="70"/>
      <c r="W6" s="17" t="str">
        <f t="shared" si="1"/>
        <v/>
      </c>
    </row>
    <row r="7" spans="1:23" x14ac:dyDescent="0.4">
      <c r="A7" s="23">
        <v>3</v>
      </c>
      <c r="B7" s="24" t="str">
        <f t="shared" ca="1" si="2"/>
        <v>학생203</v>
      </c>
      <c r="C7" s="25"/>
      <c r="D7" s="26"/>
      <c r="E7" s="26"/>
      <c r="F7" s="26"/>
      <c r="G7" s="26"/>
      <c r="H7" s="26"/>
      <c r="I7" s="26"/>
      <c r="J7" s="26"/>
      <c r="K7" s="26"/>
      <c r="L7" s="26"/>
      <c r="M7" s="26"/>
      <c r="N7" s="26"/>
      <c r="O7" s="26"/>
      <c r="P7" s="26"/>
      <c r="Q7" s="26"/>
      <c r="R7" s="26"/>
      <c r="S7" s="70"/>
      <c r="T7" s="70"/>
      <c r="U7" s="70"/>
      <c r="V7" s="70"/>
      <c r="W7" s="18" t="str">
        <f t="shared" si="1"/>
        <v/>
      </c>
    </row>
    <row r="8" spans="1:23" x14ac:dyDescent="0.4">
      <c r="A8" s="23">
        <v>4</v>
      </c>
      <c r="B8" s="24" t="str">
        <f t="shared" ca="1" si="2"/>
        <v>학생204</v>
      </c>
      <c r="C8" s="25"/>
      <c r="D8" s="26"/>
      <c r="E8" s="26"/>
      <c r="F8" s="26"/>
      <c r="G8" s="26"/>
      <c r="H8" s="26"/>
      <c r="I8" s="26"/>
      <c r="J8" s="26"/>
      <c r="K8" s="26"/>
      <c r="L8" s="26"/>
      <c r="M8" s="26"/>
      <c r="N8" s="26"/>
      <c r="O8" s="26"/>
      <c r="P8" s="26"/>
      <c r="Q8" s="26"/>
      <c r="R8" s="26"/>
      <c r="S8" s="70"/>
      <c r="T8" s="70"/>
      <c r="U8" s="70"/>
      <c r="V8" s="70"/>
      <c r="W8" s="18" t="str">
        <f t="shared" si="1"/>
        <v/>
      </c>
    </row>
    <row r="9" spans="1:23" x14ac:dyDescent="0.4">
      <c r="A9" s="23">
        <v>5</v>
      </c>
      <c r="B9" s="24" t="str">
        <f t="shared" ca="1" si="2"/>
        <v>학생205</v>
      </c>
      <c r="C9" s="25"/>
      <c r="D9" s="26"/>
      <c r="E9" s="26"/>
      <c r="F9" s="26"/>
      <c r="G9" s="26"/>
      <c r="H9" s="26"/>
      <c r="I9" s="26"/>
      <c r="J9" s="26"/>
      <c r="K9" s="26"/>
      <c r="L9" s="26"/>
      <c r="M9" s="26"/>
      <c r="N9" s="26"/>
      <c r="O9" s="26"/>
      <c r="P9" s="26"/>
      <c r="Q9" s="26"/>
      <c r="R9" s="26"/>
      <c r="S9" s="70"/>
      <c r="T9" s="70"/>
      <c r="U9" s="70"/>
      <c r="V9" s="70"/>
      <c r="W9" s="18" t="str">
        <f t="shared" si="1"/>
        <v/>
      </c>
    </row>
    <row r="10" spans="1:23" x14ac:dyDescent="0.4">
      <c r="A10" s="23">
        <v>6</v>
      </c>
      <c r="B10" s="24" t="str">
        <f t="shared" ca="1" si="2"/>
        <v>학생206</v>
      </c>
      <c r="C10" s="25"/>
      <c r="D10" s="26"/>
      <c r="E10" s="26"/>
      <c r="F10" s="26"/>
      <c r="G10" s="26"/>
      <c r="H10" s="26"/>
      <c r="I10" s="26"/>
      <c r="J10" s="26"/>
      <c r="K10" s="26"/>
      <c r="L10" s="26"/>
      <c r="M10" s="26"/>
      <c r="N10" s="26"/>
      <c r="O10" s="26"/>
      <c r="P10" s="26"/>
      <c r="Q10" s="26"/>
      <c r="R10" s="26"/>
      <c r="S10" s="70"/>
      <c r="T10" s="70"/>
      <c r="U10" s="70"/>
      <c r="V10" s="70"/>
      <c r="W10" s="18" t="str">
        <f t="shared" si="1"/>
        <v/>
      </c>
    </row>
    <row r="11" spans="1:23" x14ac:dyDescent="0.4">
      <c r="A11" s="23">
        <v>7</v>
      </c>
      <c r="B11" s="24" t="str">
        <f t="shared" ca="1" si="2"/>
        <v>학생207</v>
      </c>
      <c r="C11" s="25"/>
      <c r="D11" s="26"/>
      <c r="E11" s="26"/>
      <c r="F11" s="26"/>
      <c r="G11" s="26"/>
      <c r="H11" s="26"/>
      <c r="I11" s="26"/>
      <c r="J11" s="26"/>
      <c r="K11" s="26"/>
      <c r="L11" s="26"/>
      <c r="M11" s="26"/>
      <c r="N11" s="26"/>
      <c r="O11" s="26"/>
      <c r="P11" s="26"/>
      <c r="Q11" s="26"/>
      <c r="R11" s="26"/>
      <c r="S11" s="70"/>
      <c r="T11" s="70"/>
      <c r="U11" s="70"/>
      <c r="V11" s="70"/>
      <c r="W11" s="18" t="str">
        <f t="shared" si="1"/>
        <v/>
      </c>
    </row>
    <row r="12" spans="1:23" x14ac:dyDescent="0.4">
      <c r="A12" s="23">
        <v>8</v>
      </c>
      <c r="B12" s="24" t="str">
        <f t="shared" ca="1" si="2"/>
        <v>학생208</v>
      </c>
      <c r="C12" s="25"/>
      <c r="D12" s="26"/>
      <c r="E12" s="26"/>
      <c r="F12" s="26"/>
      <c r="G12" s="26"/>
      <c r="H12" s="26"/>
      <c r="I12" s="26"/>
      <c r="J12" s="26"/>
      <c r="K12" s="26"/>
      <c r="L12" s="26"/>
      <c r="M12" s="26"/>
      <c r="N12" s="26"/>
      <c r="O12" s="26"/>
      <c r="P12" s="26"/>
      <c r="Q12" s="26"/>
      <c r="R12" s="26"/>
      <c r="S12" s="70"/>
      <c r="T12" s="70"/>
      <c r="U12" s="70"/>
      <c r="V12" s="70"/>
      <c r="W12" s="18" t="str">
        <f t="shared" si="1"/>
        <v/>
      </c>
    </row>
    <row r="13" spans="1:23" x14ac:dyDescent="0.4">
      <c r="A13" s="23">
        <v>9</v>
      </c>
      <c r="B13" s="24" t="str">
        <f t="shared" ca="1" si="2"/>
        <v>학생209</v>
      </c>
      <c r="C13" s="25"/>
      <c r="D13" s="26"/>
      <c r="E13" s="26"/>
      <c r="F13" s="26"/>
      <c r="G13" s="26"/>
      <c r="H13" s="26"/>
      <c r="I13" s="26"/>
      <c r="J13" s="26"/>
      <c r="K13" s="26"/>
      <c r="L13" s="26"/>
      <c r="M13" s="26"/>
      <c r="N13" s="26"/>
      <c r="O13" s="26"/>
      <c r="P13" s="26"/>
      <c r="Q13" s="26"/>
      <c r="R13" s="26"/>
      <c r="S13" s="70"/>
      <c r="T13" s="70"/>
      <c r="U13" s="70"/>
      <c r="V13" s="70"/>
      <c r="W13" s="18" t="str">
        <f t="shared" si="1"/>
        <v/>
      </c>
    </row>
    <row r="14" spans="1:23" x14ac:dyDescent="0.4">
      <c r="A14" s="23">
        <v>10</v>
      </c>
      <c r="B14" s="24" t="str">
        <f t="shared" ca="1" si="2"/>
        <v>학생210</v>
      </c>
      <c r="C14" s="25"/>
      <c r="D14" s="26"/>
      <c r="E14" s="26"/>
      <c r="F14" s="26"/>
      <c r="G14" s="26"/>
      <c r="H14" s="26"/>
      <c r="I14" s="26"/>
      <c r="J14" s="26"/>
      <c r="K14" s="26"/>
      <c r="L14" s="26"/>
      <c r="M14" s="26"/>
      <c r="N14" s="26"/>
      <c r="O14" s="26"/>
      <c r="P14" s="26"/>
      <c r="Q14" s="26"/>
      <c r="R14" s="26"/>
      <c r="S14" s="70"/>
      <c r="T14" s="70"/>
      <c r="U14" s="70"/>
      <c r="V14" s="70"/>
      <c r="W14" s="18" t="str">
        <f t="shared" si="1"/>
        <v/>
      </c>
    </row>
    <row r="15" spans="1:23" x14ac:dyDescent="0.4">
      <c r="A15" s="23">
        <v>11</v>
      </c>
      <c r="B15" s="24" t="str">
        <f t="shared" ca="1" si="2"/>
        <v>학생211</v>
      </c>
      <c r="C15" s="25"/>
      <c r="D15" s="26"/>
      <c r="E15" s="26"/>
      <c r="F15" s="26"/>
      <c r="G15" s="26"/>
      <c r="H15" s="26"/>
      <c r="I15" s="26"/>
      <c r="J15" s="26"/>
      <c r="K15" s="26"/>
      <c r="L15" s="26"/>
      <c r="M15" s="26"/>
      <c r="N15" s="26"/>
      <c r="O15" s="26"/>
      <c r="P15" s="26"/>
      <c r="Q15" s="26"/>
      <c r="R15" s="26"/>
      <c r="S15" s="70"/>
      <c r="T15" s="70"/>
      <c r="U15" s="70"/>
      <c r="V15" s="70"/>
      <c r="W15" s="18" t="str">
        <f t="shared" si="1"/>
        <v/>
      </c>
    </row>
    <row r="16" spans="1:23" x14ac:dyDescent="0.4">
      <c r="A16" s="23">
        <v>12</v>
      </c>
      <c r="B16" s="24" t="str">
        <f t="shared" ca="1" si="2"/>
        <v>학생212</v>
      </c>
      <c r="C16" s="25"/>
      <c r="D16" s="26"/>
      <c r="E16" s="26"/>
      <c r="F16" s="26"/>
      <c r="G16" s="26"/>
      <c r="H16" s="26"/>
      <c r="I16" s="26"/>
      <c r="J16" s="26"/>
      <c r="K16" s="26"/>
      <c r="L16" s="26"/>
      <c r="M16" s="26"/>
      <c r="N16" s="26"/>
      <c r="O16" s="26"/>
      <c r="P16" s="26"/>
      <c r="Q16" s="26"/>
      <c r="R16" s="26"/>
      <c r="S16" s="70"/>
      <c r="T16" s="70"/>
      <c r="U16" s="70"/>
      <c r="V16" s="70"/>
      <c r="W16" s="18" t="str">
        <f t="shared" si="1"/>
        <v/>
      </c>
    </row>
    <row r="17" spans="1:23" x14ac:dyDescent="0.4">
      <c r="A17" s="23">
        <v>13</v>
      </c>
      <c r="B17" s="24" t="str">
        <f t="shared" ca="1" si="2"/>
        <v>학생213</v>
      </c>
      <c r="C17" s="25"/>
      <c r="D17" s="26"/>
      <c r="E17" s="26"/>
      <c r="F17" s="26"/>
      <c r="G17" s="26"/>
      <c r="H17" s="26"/>
      <c r="I17" s="26"/>
      <c r="J17" s="26"/>
      <c r="K17" s="26"/>
      <c r="L17" s="26"/>
      <c r="M17" s="26"/>
      <c r="N17" s="26"/>
      <c r="O17" s="26"/>
      <c r="P17" s="26"/>
      <c r="Q17" s="26"/>
      <c r="R17" s="26"/>
      <c r="S17" s="70"/>
      <c r="T17" s="70"/>
      <c r="U17" s="70"/>
      <c r="V17" s="70"/>
      <c r="W17" s="18" t="str">
        <f t="shared" si="1"/>
        <v/>
      </c>
    </row>
    <row r="18" spans="1:23" x14ac:dyDescent="0.4">
      <c r="A18" s="23">
        <v>14</v>
      </c>
      <c r="B18" s="24" t="str">
        <f t="shared" ca="1" si="2"/>
        <v>학생214</v>
      </c>
      <c r="C18" s="25"/>
      <c r="D18" s="26"/>
      <c r="E18" s="26"/>
      <c r="F18" s="26"/>
      <c r="G18" s="26"/>
      <c r="H18" s="26"/>
      <c r="I18" s="26"/>
      <c r="J18" s="26"/>
      <c r="K18" s="26"/>
      <c r="L18" s="26"/>
      <c r="M18" s="26"/>
      <c r="N18" s="26"/>
      <c r="O18" s="26"/>
      <c r="P18" s="26"/>
      <c r="Q18" s="26"/>
      <c r="R18" s="26"/>
      <c r="S18" s="70"/>
      <c r="T18" s="70"/>
      <c r="U18" s="70"/>
      <c r="V18" s="70"/>
      <c r="W18" s="18" t="str">
        <f t="shared" si="1"/>
        <v/>
      </c>
    </row>
    <row r="19" spans="1:23" x14ac:dyDescent="0.4">
      <c r="A19" s="23">
        <v>15</v>
      </c>
      <c r="B19" s="24" t="str">
        <f t="shared" ca="1" si="2"/>
        <v>학생215</v>
      </c>
      <c r="C19" s="25"/>
      <c r="D19" s="26"/>
      <c r="E19" s="26"/>
      <c r="F19" s="26"/>
      <c r="G19" s="26"/>
      <c r="H19" s="26"/>
      <c r="I19" s="26"/>
      <c r="J19" s="26"/>
      <c r="K19" s="26"/>
      <c r="L19" s="26"/>
      <c r="M19" s="26"/>
      <c r="N19" s="26"/>
      <c r="O19" s="26"/>
      <c r="P19" s="26"/>
      <c r="Q19" s="26"/>
      <c r="R19" s="26"/>
      <c r="S19" s="70"/>
      <c r="T19" s="70"/>
      <c r="U19" s="70"/>
      <c r="V19" s="70"/>
      <c r="W19" s="18" t="str">
        <f t="shared" si="1"/>
        <v/>
      </c>
    </row>
    <row r="20" spans="1:23" x14ac:dyDescent="0.4">
      <c r="A20" s="23">
        <v>16</v>
      </c>
      <c r="B20" s="24" t="str">
        <f t="shared" ca="1" si="2"/>
        <v>학생216</v>
      </c>
      <c r="C20" s="25"/>
      <c r="D20" s="26"/>
      <c r="E20" s="26"/>
      <c r="F20" s="26"/>
      <c r="G20" s="26"/>
      <c r="H20" s="26"/>
      <c r="I20" s="26"/>
      <c r="J20" s="26"/>
      <c r="K20" s="26"/>
      <c r="L20" s="26"/>
      <c r="M20" s="26"/>
      <c r="N20" s="26"/>
      <c r="O20" s="26"/>
      <c r="P20" s="26"/>
      <c r="Q20" s="26"/>
      <c r="R20" s="26"/>
      <c r="S20" s="70"/>
      <c r="T20" s="70"/>
      <c r="U20" s="70"/>
      <c r="V20" s="70"/>
      <c r="W20" s="18" t="str">
        <f t="shared" si="1"/>
        <v/>
      </c>
    </row>
    <row r="21" spans="1:23" x14ac:dyDescent="0.4">
      <c r="A21" s="23">
        <v>17</v>
      </c>
      <c r="B21" s="24" t="str">
        <f t="shared" ca="1" si="2"/>
        <v>학생217</v>
      </c>
      <c r="C21" s="25"/>
      <c r="D21" s="26"/>
      <c r="E21" s="26"/>
      <c r="F21" s="26"/>
      <c r="G21" s="26"/>
      <c r="H21" s="26"/>
      <c r="I21" s="26"/>
      <c r="J21" s="26"/>
      <c r="K21" s="26"/>
      <c r="L21" s="26"/>
      <c r="M21" s="26"/>
      <c r="N21" s="26"/>
      <c r="O21" s="26"/>
      <c r="P21" s="26"/>
      <c r="Q21" s="26"/>
      <c r="R21" s="26"/>
      <c r="S21" s="70"/>
      <c r="T21" s="70"/>
      <c r="U21" s="70"/>
      <c r="V21" s="70"/>
      <c r="W21" s="18" t="str">
        <f t="shared" si="1"/>
        <v/>
      </c>
    </row>
    <row r="22" spans="1:23" x14ac:dyDescent="0.4">
      <c r="A22" s="23">
        <v>18</v>
      </c>
      <c r="B22" s="24" t="str">
        <f t="shared" ca="1" si="2"/>
        <v>학생218</v>
      </c>
      <c r="C22" s="25"/>
      <c r="D22" s="26"/>
      <c r="E22" s="26"/>
      <c r="F22" s="26"/>
      <c r="G22" s="26"/>
      <c r="H22" s="26"/>
      <c r="I22" s="26"/>
      <c r="J22" s="26"/>
      <c r="K22" s="26"/>
      <c r="L22" s="26"/>
      <c r="M22" s="26"/>
      <c r="N22" s="26"/>
      <c r="O22" s="26"/>
      <c r="P22" s="26"/>
      <c r="Q22" s="26"/>
      <c r="R22" s="26"/>
      <c r="S22" s="70"/>
      <c r="T22" s="70"/>
      <c r="U22" s="70"/>
      <c r="V22" s="70"/>
      <c r="W22" s="18" t="str">
        <f t="shared" si="1"/>
        <v/>
      </c>
    </row>
    <row r="23" spans="1:23" x14ac:dyDescent="0.4">
      <c r="A23" s="23">
        <v>19</v>
      </c>
      <c r="B23" s="24" t="str">
        <f t="shared" ca="1" si="2"/>
        <v>학생219</v>
      </c>
      <c r="C23" s="25"/>
      <c r="D23" s="26"/>
      <c r="E23" s="26"/>
      <c r="F23" s="26"/>
      <c r="G23" s="26"/>
      <c r="H23" s="26"/>
      <c r="I23" s="26"/>
      <c r="J23" s="26"/>
      <c r="K23" s="26"/>
      <c r="L23" s="26"/>
      <c r="M23" s="26"/>
      <c r="N23" s="26"/>
      <c r="O23" s="26"/>
      <c r="P23" s="26"/>
      <c r="Q23" s="26"/>
      <c r="R23" s="26"/>
      <c r="S23" s="70"/>
      <c r="T23" s="70"/>
      <c r="U23" s="70"/>
      <c r="V23" s="70"/>
      <c r="W23" s="18" t="str">
        <f t="shared" si="1"/>
        <v/>
      </c>
    </row>
    <row r="24" spans="1:23" x14ac:dyDescent="0.4">
      <c r="A24" s="23">
        <v>20</v>
      </c>
      <c r="B24" s="24" t="str">
        <f t="shared" ca="1" si="2"/>
        <v>학생220</v>
      </c>
      <c r="C24" s="25"/>
      <c r="D24" s="26"/>
      <c r="E24" s="26"/>
      <c r="F24" s="26"/>
      <c r="G24" s="26"/>
      <c r="H24" s="26"/>
      <c r="I24" s="26"/>
      <c r="J24" s="26"/>
      <c r="K24" s="26"/>
      <c r="L24" s="26"/>
      <c r="M24" s="26"/>
      <c r="N24" s="26"/>
      <c r="O24" s="26"/>
      <c r="P24" s="26"/>
      <c r="Q24" s="26"/>
      <c r="R24" s="26"/>
      <c r="S24" s="70"/>
      <c r="T24" s="70"/>
      <c r="U24" s="70"/>
      <c r="V24" s="70"/>
      <c r="W24" s="18" t="str">
        <f t="shared" si="1"/>
        <v/>
      </c>
    </row>
    <row r="25" spans="1:23" x14ac:dyDescent="0.4">
      <c r="A25" s="23">
        <v>21</v>
      </c>
      <c r="B25" s="24" t="str">
        <f t="shared" ca="1" si="2"/>
        <v>학생221</v>
      </c>
      <c r="C25" s="25"/>
      <c r="D25" s="26"/>
      <c r="E25" s="26"/>
      <c r="F25" s="26"/>
      <c r="G25" s="26"/>
      <c r="H25" s="26"/>
      <c r="I25" s="26"/>
      <c r="J25" s="26"/>
      <c r="K25" s="26"/>
      <c r="L25" s="26"/>
      <c r="M25" s="26"/>
      <c r="N25" s="26"/>
      <c r="O25" s="26"/>
      <c r="P25" s="26"/>
      <c r="Q25" s="26"/>
      <c r="R25" s="26"/>
      <c r="S25" s="70"/>
      <c r="T25" s="70"/>
      <c r="U25" s="70"/>
      <c r="V25" s="70"/>
      <c r="W25" s="18" t="str">
        <f t="shared" si="1"/>
        <v/>
      </c>
    </row>
    <row r="26" spans="1:23" x14ac:dyDescent="0.4">
      <c r="A26" s="23">
        <v>22</v>
      </c>
      <c r="B26" s="24" t="str">
        <f t="shared" ca="1" si="2"/>
        <v>학생222</v>
      </c>
      <c r="C26" s="25"/>
      <c r="D26" s="26"/>
      <c r="E26" s="26"/>
      <c r="F26" s="26"/>
      <c r="G26" s="26"/>
      <c r="H26" s="26"/>
      <c r="I26" s="26"/>
      <c r="J26" s="26"/>
      <c r="K26" s="26"/>
      <c r="L26" s="26"/>
      <c r="M26" s="26"/>
      <c r="N26" s="26"/>
      <c r="O26" s="26"/>
      <c r="P26" s="26"/>
      <c r="Q26" s="26"/>
      <c r="R26" s="26"/>
      <c r="S26" s="70"/>
      <c r="T26" s="70"/>
      <c r="U26" s="70"/>
      <c r="V26" s="70"/>
      <c r="W26" s="18" t="str">
        <f t="shared" si="1"/>
        <v/>
      </c>
    </row>
    <row r="27" spans="1:23" x14ac:dyDescent="0.4">
      <c r="A27" s="23">
        <v>23</v>
      </c>
      <c r="B27" s="24" t="str">
        <f t="shared" ca="1" si="2"/>
        <v>학생223</v>
      </c>
      <c r="C27" s="25"/>
      <c r="D27" s="26"/>
      <c r="E27" s="26"/>
      <c r="F27" s="26"/>
      <c r="G27" s="26"/>
      <c r="H27" s="26"/>
      <c r="I27" s="26"/>
      <c r="J27" s="26"/>
      <c r="K27" s="26"/>
      <c r="L27" s="26"/>
      <c r="M27" s="26"/>
      <c r="N27" s="26"/>
      <c r="O27" s="26"/>
      <c r="P27" s="26"/>
      <c r="Q27" s="26"/>
      <c r="R27" s="26"/>
      <c r="S27" s="70"/>
      <c r="T27" s="70"/>
      <c r="U27" s="70"/>
      <c r="V27" s="70"/>
      <c r="W27" s="18" t="str">
        <f t="shared" si="1"/>
        <v/>
      </c>
    </row>
    <row r="28" spans="1:23" x14ac:dyDescent="0.4">
      <c r="A28" s="23">
        <v>24</v>
      </c>
      <c r="B28" s="24" t="str">
        <f t="shared" ca="1" si="2"/>
        <v>학생224</v>
      </c>
      <c r="C28" s="25"/>
      <c r="D28" s="26"/>
      <c r="E28" s="26"/>
      <c r="F28" s="26"/>
      <c r="G28" s="26"/>
      <c r="H28" s="26"/>
      <c r="I28" s="26"/>
      <c r="J28" s="26"/>
      <c r="K28" s="26"/>
      <c r="L28" s="26"/>
      <c r="M28" s="26"/>
      <c r="N28" s="26"/>
      <c r="O28" s="26"/>
      <c r="P28" s="26"/>
      <c r="Q28" s="26"/>
      <c r="R28" s="26"/>
      <c r="S28" s="70"/>
      <c r="T28" s="70"/>
      <c r="U28" s="70"/>
      <c r="V28" s="70"/>
      <c r="W28" s="18" t="str">
        <f t="shared" si="1"/>
        <v/>
      </c>
    </row>
    <row r="29" spans="1:23" x14ac:dyDescent="0.4">
      <c r="A29" s="23">
        <v>25</v>
      </c>
      <c r="B29" s="24" t="str">
        <f t="shared" ca="1" si="2"/>
        <v>학생225</v>
      </c>
      <c r="C29" s="25"/>
      <c r="D29" s="26"/>
      <c r="E29" s="26"/>
      <c r="F29" s="26"/>
      <c r="G29" s="26"/>
      <c r="H29" s="26"/>
      <c r="I29" s="26"/>
      <c r="J29" s="26"/>
      <c r="K29" s="26"/>
      <c r="L29" s="26"/>
      <c r="M29" s="26"/>
      <c r="N29" s="26"/>
      <c r="O29" s="26"/>
      <c r="P29" s="26"/>
      <c r="Q29" s="26"/>
      <c r="R29" s="26"/>
      <c r="S29" s="70"/>
      <c r="T29" s="70"/>
      <c r="U29" s="70"/>
      <c r="V29" s="70"/>
      <c r="W29" s="18" t="str">
        <f t="shared" si="1"/>
        <v/>
      </c>
    </row>
    <row r="30" spans="1:23" x14ac:dyDescent="0.4">
      <c r="A30" s="23">
        <v>26</v>
      </c>
      <c r="B30" s="24" t="str">
        <f t="shared" ca="1" si="2"/>
        <v>학생226</v>
      </c>
      <c r="C30" s="25"/>
      <c r="D30" s="26"/>
      <c r="E30" s="26"/>
      <c r="F30" s="26"/>
      <c r="G30" s="26"/>
      <c r="H30" s="26"/>
      <c r="I30" s="26"/>
      <c r="J30" s="26"/>
      <c r="K30" s="26"/>
      <c r="L30" s="26"/>
      <c r="M30" s="26"/>
      <c r="N30" s="26"/>
      <c r="O30" s="26"/>
      <c r="P30" s="26"/>
      <c r="Q30" s="26"/>
      <c r="R30" s="26"/>
      <c r="S30" s="70"/>
      <c r="T30" s="70"/>
      <c r="U30" s="70"/>
      <c r="V30" s="70"/>
      <c r="W30" s="18" t="str">
        <f t="shared" si="1"/>
        <v/>
      </c>
    </row>
    <row r="31" spans="1:23" x14ac:dyDescent="0.4">
      <c r="A31" s="23">
        <v>27</v>
      </c>
      <c r="B31" s="24" t="str">
        <f t="shared" ca="1" si="2"/>
        <v>학생227</v>
      </c>
      <c r="C31" s="25"/>
      <c r="D31" s="26"/>
      <c r="E31" s="26"/>
      <c r="F31" s="26"/>
      <c r="G31" s="26"/>
      <c r="H31" s="26"/>
      <c r="I31" s="26"/>
      <c r="J31" s="26"/>
      <c r="K31" s="26"/>
      <c r="L31" s="26"/>
      <c r="M31" s="26"/>
      <c r="N31" s="26"/>
      <c r="O31" s="26"/>
      <c r="P31" s="26"/>
      <c r="Q31" s="26"/>
      <c r="R31" s="26"/>
      <c r="S31" s="70"/>
      <c r="T31" s="70"/>
      <c r="U31" s="70"/>
      <c r="V31" s="70"/>
      <c r="W31" s="18" t="str">
        <f t="shared" si="1"/>
        <v/>
      </c>
    </row>
    <row r="32" spans="1:23" x14ac:dyDescent="0.4">
      <c r="A32" s="23">
        <v>28</v>
      </c>
      <c r="B32" s="24" t="str">
        <f t="shared" ca="1" si="2"/>
        <v>학생228</v>
      </c>
      <c r="C32" s="25"/>
      <c r="D32" s="26"/>
      <c r="E32" s="26"/>
      <c r="F32" s="26"/>
      <c r="G32" s="26"/>
      <c r="H32" s="26"/>
      <c r="I32" s="26"/>
      <c r="J32" s="26"/>
      <c r="K32" s="26"/>
      <c r="L32" s="26"/>
      <c r="M32" s="26"/>
      <c r="N32" s="26"/>
      <c r="O32" s="26"/>
      <c r="P32" s="26"/>
      <c r="Q32" s="26"/>
      <c r="R32" s="26"/>
      <c r="S32" s="70"/>
      <c r="T32" s="70"/>
      <c r="U32" s="70"/>
      <c r="V32" s="70"/>
      <c r="W32" s="18" t="str">
        <f t="shared" si="1"/>
        <v/>
      </c>
    </row>
    <row r="33" spans="1:23" x14ac:dyDescent="0.4">
      <c r="A33" s="23">
        <v>29</v>
      </c>
      <c r="B33" s="24" t="str">
        <f t="shared" ca="1" si="2"/>
        <v>학생229</v>
      </c>
      <c r="C33" s="25"/>
      <c r="D33" s="26"/>
      <c r="E33" s="26"/>
      <c r="F33" s="26"/>
      <c r="G33" s="26"/>
      <c r="H33" s="26"/>
      <c r="I33" s="26"/>
      <c r="J33" s="26"/>
      <c r="K33" s="26"/>
      <c r="L33" s="26"/>
      <c r="M33" s="26"/>
      <c r="N33" s="26"/>
      <c r="O33" s="26"/>
      <c r="P33" s="26"/>
      <c r="Q33" s="26"/>
      <c r="R33" s="26"/>
      <c r="S33" s="70"/>
      <c r="T33" s="70"/>
      <c r="U33" s="70"/>
      <c r="V33" s="70"/>
      <c r="W33" s="18" t="str">
        <f t="shared" si="1"/>
        <v/>
      </c>
    </row>
    <row r="34" spans="1:23" x14ac:dyDescent="0.4">
      <c r="A34" s="23">
        <v>30</v>
      </c>
      <c r="B34" s="24" t="str">
        <f t="shared" ca="1" si="2"/>
        <v>학생230</v>
      </c>
      <c r="C34" s="25"/>
      <c r="D34" s="26"/>
      <c r="E34" s="26"/>
      <c r="F34" s="26"/>
      <c r="G34" s="26"/>
      <c r="H34" s="26"/>
      <c r="I34" s="26"/>
      <c r="J34" s="26"/>
      <c r="K34" s="26"/>
      <c r="L34" s="26"/>
      <c r="M34" s="26"/>
      <c r="N34" s="26"/>
      <c r="O34" s="26"/>
      <c r="P34" s="26"/>
      <c r="Q34" s="26"/>
      <c r="R34" s="26"/>
      <c r="S34" s="70"/>
      <c r="T34" s="70"/>
      <c r="U34" s="70"/>
      <c r="V34" s="70"/>
      <c r="W34" s="18" t="str">
        <f t="shared" si="1"/>
        <v/>
      </c>
    </row>
    <row r="35" spans="1:23" x14ac:dyDescent="0.4">
      <c r="A35" s="23">
        <v>31</v>
      </c>
      <c r="B35" s="24" t="str">
        <f t="shared" ca="1" si="2"/>
        <v>학생231</v>
      </c>
      <c r="C35" s="25"/>
      <c r="D35" s="26"/>
      <c r="E35" s="26"/>
      <c r="F35" s="26"/>
      <c r="G35" s="26"/>
      <c r="H35" s="26"/>
      <c r="I35" s="26"/>
      <c r="J35" s="26"/>
      <c r="K35" s="26"/>
      <c r="L35" s="26"/>
      <c r="M35" s="26"/>
      <c r="N35" s="26"/>
      <c r="O35" s="26"/>
      <c r="P35" s="26"/>
      <c r="Q35" s="26"/>
      <c r="R35" s="26"/>
      <c r="S35" s="70"/>
      <c r="T35" s="70"/>
      <c r="U35" s="70"/>
      <c r="V35" s="70"/>
      <c r="W35" s="18" t="str">
        <f t="shared" si="1"/>
        <v/>
      </c>
    </row>
    <row r="36" spans="1:23" x14ac:dyDescent="0.4">
      <c r="A36" s="23">
        <v>32</v>
      </c>
      <c r="B36" s="24" t="str">
        <f t="shared" ca="1" si="2"/>
        <v>학생232</v>
      </c>
      <c r="C36" s="25"/>
      <c r="D36" s="26"/>
      <c r="E36" s="26"/>
      <c r="F36" s="26"/>
      <c r="G36" s="26"/>
      <c r="H36" s="26"/>
      <c r="I36" s="26"/>
      <c r="J36" s="26"/>
      <c r="K36" s="26"/>
      <c r="L36" s="26"/>
      <c r="M36" s="26"/>
      <c r="N36" s="26"/>
      <c r="O36" s="26"/>
      <c r="P36" s="26"/>
      <c r="Q36" s="26"/>
      <c r="R36" s="26"/>
      <c r="S36" s="70"/>
      <c r="T36" s="70"/>
      <c r="U36" s="70"/>
      <c r="V36" s="70"/>
      <c r="W36" s="18" t="str">
        <f t="shared" si="1"/>
        <v/>
      </c>
    </row>
    <row r="37" spans="1:23" x14ac:dyDescent="0.4">
      <c r="A37" s="23">
        <v>33</v>
      </c>
      <c r="B37" s="24" t="str">
        <f t="shared" ca="1" si="2"/>
        <v>학생233</v>
      </c>
      <c r="C37" s="25"/>
      <c r="D37" s="26"/>
      <c r="E37" s="26"/>
      <c r="F37" s="26"/>
      <c r="G37" s="26"/>
      <c r="H37" s="26"/>
      <c r="I37" s="26"/>
      <c r="J37" s="26"/>
      <c r="K37" s="26"/>
      <c r="L37" s="26"/>
      <c r="M37" s="26"/>
      <c r="N37" s="26"/>
      <c r="O37" s="26"/>
      <c r="P37" s="26"/>
      <c r="Q37" s="26"/>
      <c r="R37" s="26"/>
      <c r="S37" s="70"/>
      <c r="T37" s="70"/>
      <c r="U37" s="70"/>
      <c r="V37" s="70"/>
      <c r="W37" s="18" t="str">
        <f t="shared" si="1"/>
        <v/>
      </c>
    </row>
    <row r="38" spans="1:23" x14ac:dyDescent="0.4">
      <c r="A38" s="23">
        <v>34</v>
      </c>
      <c r="B38" s="24" t="str">
        <f t="shared" ca="1" si="2"/>
        <v>학생234</v>
      </c>
      <c r="C38" s="25"/>
      <c r="D38" s="26"/>
      <c r="E38" s="26"/>
      <c r="F38" s="26"/>
      <c r="G38" s="26"/>
      <c r="H38" s="26"/>
      <c r="I38" s="26"/>
      <c r="J38" s="26"/>
      <c r="K38" s="26"/>
      <c r="L38" s="26"/>
      <c r="M38" s="26"/>
      <c r="N38" s="26"/>
      <c r="O38" s="26"/>
      <c r="P38" s="26"/>
      <c r="Q38" s="26"/>
      <c r="R38" s="26"/>
      <c r="S38" s="70"/>
      <c r="T38" s="70"/>
      <c r="U38" s="70"/>
      <c r="V38" s="70"/>
      <c r="W38" s="18" t="str">
        <f t="shared" si="1"/>
        <v/>
      </c>
    </row>
    <row r="39" spans="1:23" x14ac:dyDescent="0.4">
      <c r="A39" s="23">
        <v>35</v>
      </c>
      <c r="B39" s="24" t="str">
        <f t="shared" ca="1" si="2"/>
        <v>학생235</v>
      </c>
      <c r="C39" s="25"/>
      <c r="D39" s="26"/>
      <c r="E39" s="26"/>
      <c r="F39" s="26"/>
      <c r="G39" s="26"/>
      <c r="H39" s="26"/>
      <c r="I39" s="26"/>
      <c r="J39" s="26"/>
      <c r="K39" s="26"/>
      <c r="L39" s="26"/>
      <c r="M39" s="26"/>
      <c r="N39" s="26"/>
      <c r="O39" s="26"/>
      <c r="P39" s="26"/>
      <c r="Q39" s="26"/>
      <c r="R39" s="26"/>
      <c r="S39" s="70"/>
      <c r="T39" s="70"/>
      <c r="U39" s="70"/>
      <c r="V39" s="70"/>
      <c r="W39" s="18" t="str">
        <f t="shared" si="1"/>
        <v/>
      </c>
    </row>
    <row r="40" spans="1:23" x14ac:dyDescent="0.4">
      <c r="A40" s="23">
        <v>36</v>
      </c>
      <c r="B40" s="24" t="str">
        <f t="shared" ca="1" si="2"/>
        <v>학생236</v>
      </c>
      <c r="C40" s="25"/>
      <c r="D40" s="26"/>
      <c r="E40" s="26"/>
      <c r="F40" s="26"/>
      <c r="G40" s="26"/>
      <c r="H40" s="26"/>
      <c r="I40" s="26"/>
      <c r="J40" s="26"/>
      <c r="K40" s="26"/>
      <c r="L40" s="26"/>
      <c r="M40" s="26"/>
      <c r="N40" s="26"/>
      <c r="O40" s="26"/>
      <c r="P40" s="26"/>
      <c r="Q40" s="26"/>
      <c r="R40" s="26"/>
      <c r="S40" s="70"/>
      <c r="T40" s="70"/>
      <c r="U40" s="70"/>
      <c r="V40" s="70"/>
      <c r="W40" s="18" t="str">
        <f t="shared" si="1"/>
        <v/>
      </c>
    </row>
    <row r="41" spans="1:23" x14ac:dyDescent="0.4">
      <c r="A41" s="23">
        <v>37</v>
      </c>
      <c r="B41" s="24" t="str">
        <f t="shared" ca="1" si="2"/>
        <v>학생237</v>
      </c>
      <c r="C41" s="25"/>
      <c r="D41" s="26"/>
      <c r="E41" s="26"/>
      <c r="F41" s="26"/>
      <c r="G41" s="26"/>
      <c r="H41" s="26"/>
      <c r="I41" s="26"/>
      <c r="J41" s="26"/>
      <c r="K41" s="26"/>
      <c r="L41" s="26"/>
      <c r="M41" s="26"/>
      <c r="N41" s="26"/>
      <c r="O41" s="26"/>
      <c r="P41" s="26"/>
      <c r="Q41" s="26"/>
      <c r="R41" s="26"/>
      <c r="S41" s="70"/>
      <c r="T41" s="70"/>
      <c r="U41" s="70"/>
      <c r="V41" s="70"/>
      <c r="W41" s="18" t="str">
        <f t="shared" si="1"/>
        <v/>
      </c>
    </row>
    <row r="42" spans="1:23" x14ac:dyDescent="0.4">
      <c r="A42" s="23">
        <v>38</v>
      </c>
      <c r="B42" s="24" t="str">
        <f t="shared" ca="1" si="2"/>
        <v>학생238</v>
      </c>
      <c r="C42" s="25"/>
      <c r="D42" s="26"/>
      <c r="E42" s="26"/>
      <c r="F42" s="26"/>
      <c r="G42" s="26"/>
      <c r="H42" s="26"/>
      <c r="I42" s="26"/>
      <c r="J42" s="26"/>
      <c r="K42" s="26"/>
      <c r="L42" s="26"/>
      <c r="M42" s="26"/>
      <c r="N42" s="26"/>
      <c r="O42" s="26"/>
      <c r="P42" s="26"/>
      <c r="Q42" s="26"/>
      <c r="R42" s="26"/>
      <c r="S42" s="70"/>
      <c r="T42" s="70"/>
      <c r="U42" s="70"/>
      <c r="V42" s="70"/>
      <c r="W42" s="18" t="str">
        <f t="shared" si="1"/>
        <v/>
      </c>
    </row>
    <row r="43" spans="1:23" x14ac:dyDescent="0.4">
      <c r="A43" s="23">
        <v>39</v>
      </c>
      <c r="B43" s="24" t="str">
        <f t="shared" ca="1" si="2"/>
        <v>학생239</v>
      </c>
      <c r="C43" s="25"/>
      <c r="D43" s="26"/>
      <c r="E43" s="26"/>
      <c r="F43" s="26"/>
      <c r="G43" s="26"/>
      <c r="H43" s="26"/>
      <c r="I43" s="26"/>
      <c r="J43" s="26"/>
      <c r="K43" s="26"/>
      <c r="L43" s="26"/>
      <c r="M43" s="26"/>
      <c r="N43" s="26"/>
      <c r="O43" s="26"/>
      <c r="P43" s="26"/>
      <c r="Q43" s="26"/>
      <c r="R43" s="26"/>
      <c r="S43" s="70"/>
      <c r="T43" s="70"/>
      <c r="U43" s="70"/>
      <c r="V43" s="70"/>
      <c r="W43" s="18" t="str">
        <f t="shared" si="1"/>
        <v/>
      </c>
    </row>
    <row r="44" spans="1:23" x14ac:dyDescent="0.4">
      <c r="A44" s="23">
        <v>40</v>
      </c>
      <c r="B44" s="24" t="str">
        <f t="shared" ca="1" si="2"/>
        <v>학생240</v>
      </c>
      <c r="C44" s="25"/>
      <c r="D44" s="26"/>
      <c r="E44" s="26"/>
      <c r="F44" s="26"/>
      <c r="G44" s="26"/>
      <c r="H44" s="26"/>
      <c r="I44" s="26"/>
      <c r="J44" s="26"/>
      <c r="K44" s="26"/>
      <c r="L44" s="26"/>
      <c r="M44" s="26"/>
      <c r="N44" s="26"/>
      <c r="O44" s="26"/>
      <c r="P44" s="26"/>
      <c r="Q44" s="26"/>
      <c r="R44" s="26"/>
      <c r="S44" s="70"/>
      <c r="T44" s="70"/>
      <c r="U44" s="70"/>
      <c r="V44" s="70"/>
      <c r="W44" s="18" t="str">
        <f t="shared" si="1"/>
        <v/>
      </c>
    </row>
    <row r="45" spans="1:23" ht="21" x14ac:dyDescent="0.4">
      <c r="A45" s="130" t="s">
        <v>115</v>
      </c>
      <c r="B45" s="131"/>
      <c r="C45" s="27" t="str">
        <f t="shared" ref="C45:L45" si="3">IF(COUNTA(C5:C44)=0,"",COUNTA(C5:C44))</f>
        <v/>
      </c>
      <c r="D45" s="28" t="str">
        <f t="shared" si="3"/>
        <v/>
      </c>
      <c r="E45" s="28" t="str">
        <f t="shared" si="3"/>
        <v/>
      </c>
      <c r="F45" s="28" t="str">
        <f t="shared" si="3"/>
        <v/>
      </c>
      <c r="G45" s="28" t="str">
        <f t="shared" si="3"/>
        <v/>
      </c>
      <c r="H45" s="28" t="str">
        <f t="shared" si="3"/>
        <v/>
      </c>
      <c r="I45" s="28" t="str">
        <f t="shared" si="3"/>
        <v/>
      </c>
      <c r="J45" s="28" t="str">
        <f t="shared" si="3"/>
        <v/>
      </c>
      <c r="K45" s="28" t="str">
        <f t="shared" si="3"/>
        <v/>
      </c>
      <c r="L45" s="28" t="str">
        <f t="shared" si="3"/>
        <v/>
      </c>
      <c r="M45" s="28" t="str">
        <f t="shared" ref="M45:U45" si="4">IF(COUNTA(M5:M44)=0,"",COUNTA(M5:M44))</f>
        <v/>
      </c>
      <c r="N45" s="28" t="str">
        <f t="shared" si="4"/>
        <v/>
      </c>
      <c r="O45" s="28" t="str">
        <f t="shared" si="4"/>
        <v/>
      </c>
      <c r="P45" s="28" t="str">
        <f t="shared" si="4"/>
        <v/>
      </c>
      <c r="Q45" s="28" t="str">
        <f t="shared" si="4"/>
        <v/>
      </c>
      <c r="R45" s="28" t="str">
        <f t="shared" si="4"/>
        <v/>
      </c>
      <c r="S45" s="28" t="str">
        <f t="shared" si="4"/>
        <v/>
      </c>
      <c r="T45" s="28" t="str">
        <f t="shared" si="4"/>
        <v/>
      </c>
      <c r="U45" s="28" t="str">
        <f t="shared" si="4"/>
        <v/>
      </c>
      <c r="V45" s="28" t="str">
        <f>IF(COUNTA(V5:V44)=0,"",COUNTA(V5:V44))</f>
        <v/>
      </c>
      <c r="W45" s="29"/>
    </row>
  </sheetData>
  <sheetProtection password="E442" sheet="1" objects="1" scenarios="1"/>
  <mergeCells count="4">
    <mergeCell ref="A1:W1"/>
    <mergeCell ref="A2:B2"/>
    <mergeCell ref="A45:B45"/>
    <mergeCell ref="F2:G2"/>
  </mergeCells>
  <phoneticPr fontId="16" type="noConversion"/>
  <dataValidations count="3">
    <dataValidation type="list" imeMode="halfAlpha" allowBlank="1" showInputMessage="1" showErrorMessage="1" errorTitle="성취도 입력" error="영문 대문자로 입력하세요...." sqref="V6:V44 C5:D44 F5:U44 E6:E44" xr:uid="{00000000-0002-0000-0600-000000000000}">
      <formula1>"A,B,C,D,E"</formula1>
    </dataValidation>
    <dataValidation type="list" imeMode="halfAlpha" allowBlank="1" showInputMessage="1" showErrorMessage="1" sqref="V5" xr:uid="{00000000-0002-0000-0600-000001000000}">
      <formula1>"A,B,C,D,E"</formula1>
    </dataValidation>
    <dataValidation type="list" imeMode="halfAlpha" allowBlank="1" showInputMessage="1" showErrorMessage="1" errorTitle="성취도입력" error="영문 대문자로 입력하세요..." sqref="E5" xr:uid="{00000000-0002-0000-0600-000002000000}">
      <formula1>"A,B,C,D,E"</formula1>
    </dataValidation>
  </dataValidations>
  <printOptions horizontalCentered="1"/>
  <pageMargins left="0.7086111307144165" right="0.51166665554046631" top="0.55097222328186035" bottom="0.55097222328186035" header="0" footer="0.39347222447395325"/>
  <pageSetup paperSize="9" scale="42" fitToHeight="0" orientation="landscape" errors="blank"/>
  <headerFooter>
    <oddFooter>&amp;C&amp;"돋움,Regular"&amp;P/&amp;N</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85BF4C"/>
    <pageSetUpPr fitToPage="1"/>
  </sheetPr>
  <dimension ref="A1:W45"/>
  <sheetViews>
    <sheetView showZeros="0" zoomScale="85" zoomScaleNormal="85" zoomScaleSheetLayoutView="75" workbookViewId="0">
      <pane xSplit="2" ySplit="4" topLeftCell="C5" activePane="bottomRight" state="frozen"/>
      <selection pane="topRight"/>
      <selection pane="bottomLeft"/>
      <selection pane="bottomRight" activeCell="F18" sqref="F18"/>
    </sheetView>
  </sheetViews>
  <sheetFormatPr defaultColWidth="9" defaultRowHeight="17.399999999999999" x14ac:dyDescent="0.4"/>
  <cols>
    <col min="1" max="1" width="7" style="30" customWidth="1"/>
    <col min="2" max="2" width="9.5" style="30" customWidth="1"/>
    <col min="3" max="3" width="8" style="30" customWidth="1"/>
    <col min="4" max="4" width="8" style="30" customWidth="1" collapsed="1"/>
    <col min="5" max="9" width="8" style="30" customWidth="1"/>
    <col min="10" max="12" width="8" style="30" hidden="1" customWidth="1"/>
    <col min="13" max="13" width="8" style="30" hidden="1" customWidth="1" collapsed="1"/>
    <col min="14" max="22" width="8" style="30" hidden="1" customWidth="1"/>
    <col min="23" max="23" width="115.8984375" style="30" customWidth="1"/>
    <col min="24" max="35" width="9" style="30" customWidth="1"/>
    <col min="36" max="16384" width="9" style="30"/>
  </cols>
  <sheetData>
    <row r="1" spans="1:23" ht="62.25" customHeight="1" x14ac:dyDescent="0.4">
      <c r="A1" s="127" t="str">
        <f>CONCATENATE(기본설정!D6,"과 평가 예시문")</f>
        <v>네트워크프로그래밍과 평가 예시문</v>
      </c>
      <c r="B1" s="127"/>
      <c r="C1" s="127"/>
      <c r="D1" s="127"/>
      <c r="E1" s="127"/>
      <c r="F1" s="127"/>
      <c r="G1" s="127"/>
      <c r="H1" s="127"/>
      <c r="I1" s="127"/>
      <c r="J1" s="127"/>
      <c r="K1" s="127"/>
      <c r="L1" s="127"/>
      <c r="M1" s="127"/>
      <c r="N1" s="127"/>
      <c r="O1" s="127"/>
      <c r="P1" s="127"/>
      <c r="Q1" s="127"/>
      <c r="R1" s="127"/>
      <c r="S1" s="127"/>
      <c r="T1" s="127"/>
      <c r="U1" s="127"/>
      <c r="V1" s="127"/>
      <c r="W1" s="127"/>
    </row>
    <row r="2" spans="1:23" ht="28.5" customHeight="1" x14ac:dyDescent="0.4">
      <c r="A2" s="129" t="str">
        <f>CONCATENATE(기본설정!D4,"학년도")</f>
        <v>2018학년도</v>
      </c>
      <c r="B2" s="129"/>
      <c r="C2" s="35" t="str">
        <f>CONCATENATE(기본설정!L4)</f>
        <v>2학기</v>
      </c>
      <c r="D2" s="36"/>
      <c r="E2" s="36" t="str">
        <f>CONCATENATE(기본설정!D5,"학년")</f>
        <v>2학년</v>
      </c>
      <c r="F2" s="132" t="str">
        <f ca="1">RIGHT(CELL("filename",A1),LEN(CELL("filename",A1))-FIND("]",CELL("filename",A1)))</f>
        <v>7반</v>
      </c>
      <c r="G2" s="132"/>
      <c r="H2" s="38"/>
      <c r="I2" s="38"/>
      <c r="J2" s="38"/>
      <c r="K2" s="38"/>
      <c r="L2" s="38"/>
      <c r="M2" s="39"/>
      <c r="N2" s="39"/>
      <c r="O2" s="37"/>
      <c r="P2" s="37"/>
      <c r="Q2" s="38"/>
      <c r="R2" s="38"/>
      <c r="S2" s="38"/>
      <c r="T2" s="38"/>
      <c r="U2" s="38"/>
      <c r="V2" s="38"/>
      <c r="W2" s="40" t="str">
        <f>CONCATENATE("담당교사 : ",기본설정!L6)</f>
        <v>담당교사 : 이동윤</v>
      </c>
    </row>
    <row r="3" spans="1:23" ht="70.5" customHeight="1" x14ac:dyDescent="0.4">
      <c r="A3" s="19" t="s">
        <v>36</v>
      </c>
      <c r="B3" s="20" t="s">
        <v>31</v>
      </c>
      <c r="C3" s="21" t="str">
        <f ca="1">INDIRECT($B$4&amp;C$4)</f>
        <v>1열과 우리생활</v>
      </c>
      <c r="D3" s="21" t="str">
        <f ca="1">INDIRECT($B$4&amp;D$4)</f>
        <v>2분자운동과 상태변화</v>
      </c>
      <c r="E3" s="21" t="str">
        <f t="shared" ref="E3:V3" ca="1" si="0">INDIRECT($B$4&amp;E$4)</f>
        <v>3프로젝트</v>
      </c>
      <c r="F3" s="21" t="str">
        <f t="shared" ca="1" si="0"/>
        <v>4포4트폴리오</v>
      </c>
      <c r="G3" s="21">
        <f t="shared" ca="1" si="0"/>
        <v>5</v>
      </c>
      <c r="H3" s="21">
        <f t="shared" ca="1" si="0"/>
        <v>6</v>
      </c>
      <c r="I3" s="21">
        <f t="shared" ca="1" si="0"/>
        <v>7</v>
      </c>
      <c r="J3" s="21">
        <f t="shared" ca="1" si="0"/>
        <v>8</v>
      </c>
      <c r="K3" s="21">
        <f t="shared" ca="1" si="0"/>
        <v>9</v>
      </c>
      <c r="L3" s="21">
        <f t="shared" ca="1" si="0"/>
        <v>10</v>
      </c>
      <c r="M3" s="21">
        <f t="shared" ca="1" si="0"/>
        <v>11</v>
      </c>
      <c r="N3" s="21">
        <f t="shared" ca="1" si="0"/>
        <v>12</v>
      </c>
      <c r="O3" s="21">
        <f t="shared" ca="1" si="0"/>
        <v>13</v>
      </c>
      <c r="P3" s="21">
        <f t="shared" ca="1" si="0"/>
        <v>14</v>
      </c>
      <c r="Q3" s="21">
        <f t="shared" ca="1" si="0"/>
        <v>15</v>
      </c>
      <c r="R3" s="21">
        <f t="shared" ca="1" si="0"/>
        <v>16</v>
      </c>
      <c r="S3" s="21">
        <f t="shared" ca="1" si="0"/>
        <v>17</v>
      </c>
      <c r="T3" s="21">
        <f t="shared" ca="1" si="0"/>
        <v>18</v>
      </c>
      <c r="U3" s="21">
        <f t="shared" ca="1" si="0"/>
        <v>19</v>
      </c>
      <c r="V3" s="21">
        <f t="shared" ca="1" si="0"/>
        <v>20</v>
      </c>
      <c r="W3" s="22" t="s">
        <v>46</v>
      </c>
    </row>
    <row r="4" spans="1:23" ht="23.25" hidden="1" customHeight="1" x14ac:dyDescent="0.4">
      <c r="A4" s="83">
        <v>3</v>
      </c>
      <c r="B4" s="31" t="s">
        <v>178</v>
      </c>
      <c r="C4" s="32">
        <v>4</v>
      </c>
      <c r="D4" s="33">
        <v>9</v>
      </c>
      <c r="E4" s="33">
        <v>14</v>
      </c>
      <c r="F4" s="33">
        <v>19</v>
      </c>
      <c r="G4" s="33">
        <v>24</v>
      </c>
      <c r="H4" s="33">
        <v>29</v>
      </c>
      <c r="I4" s="33">
        <v>34</v>
      </c>
      <c r="J4" s="33">
        <v>39</v>
      </c>
      <c r="K4" s="33">
        <v>44</v>
      </c>
      <c r="L4" s="33">
        <v>49</v>
      </c>
      <c r="M4" s="33">
        <v>54</v>
      </c>
      <c r="N4" s="33">
        <v>59</v>
      </c>
      <c r="O4" s="33">
        <v>64</v>
      </c>
      <c r="P4" s="33">
        <v>69</v>
      </c>
      <c r="Q4" s="33">
        <v>74</v>
      </c>
      <c r="R4" s="33">
        <v>79</v>
      </c>
      <c r="S4" s="33">
        <v>84</v>
      </c>
      <c r="T4" s="33">
        <v>89</v>
      </c>
      <c r="U4" s="33">
        <v>94</v>
      </c>
      <c r="V4" s="33">
        <v>99</v>
      </c>
      <c r="W4" s="34"/>
    </row>
    <row r="5" spans="1:23" x14ac:dyDescent="0.4">
      <c r="A5" s="23">
        <v>1</v>
      </c>
      <c r="B5" s="24" t="str">
        <f ca="1">INDIRECT("명렬표!R"&amp;A5+5&amp;"C"&amp;$A$4+2,0)</f>
        <v>학생</v>
      </c>
      <c r="C5" s="25"/>
      <c r="D5" s="26"/>
      <c r="E5" s="26"/>
      <c r="F5" s="26"/>
      <c r="G5" s="26"/>
      <c r="H5" s="26"/>
      <c r="I5" s="26"/>
      <c r="J5" s="26"/>
      <c r="K5" s="26"/>
      <c r="L5" s="26"/>
      <c r="M5" s="26"/>
      <c r="N5" s="26"/>
      <c r="O5" s="26"/>
      <c r="P5" s="26"/>
      <c r="Q5" s="26"/>
      <c r="R5" s="26"/>
      <c r="S5" s="70"/>
      <c r="T5" s="70"/>
      <c r="U5" s="70"/>
      <c r="V5" s="70"/>
      <c r="W5" s="17" t="str">
        <f t="shared" ref="W5:W44" si="1">CONCATENATE(IF(C5="","",VLOOKUP(C5,영역1,2,0)),IF(D5="","",VLOOKUP(D5,영역2,2,0)),IF(E5="","",VLOOKUP(E5,영역3,2,0)),IF(F5="","",VLOOKUP(F5,영역4,2,0)),IF(G5="","",VLOOKUP(G5,영역5,2,0)),IF(H5="","",VLOOKUP(H5,영역6,2,0)),IF(I5="","",VLOOKUP(I5,영역7,2,0)),IF(I5="","",VLOOKUP(I5,영역8,2,0)),IF(K5="","",VLOOKUP(K5,영역9,2,0)),IF(L5="","",VLOOKUP(L5,영역10,2,0)),IF(M5="","",VLOOKUP(M5,영역11,2,0)),IF(N5="","",VLOOKUP(N5,영역12,2,0)),IF(O5="","",VLOOKUP(O5,영역13,2,0)),IF(P5="","",VLOOKUP(P5,영역14,2,0)),IF(Q5="","",VLOOKUP(Q5,영역15,2,0)),IF(R5="","",VLOOKUP(R5,영역16,2,0)),IF(S5="","",VLOOKUP(S5,영역17,2,0)),IF(T5="","",VLOOKUP(T5,영역18,2,0)),IF(U5="","",VLOOKUP(U5,영역19,2,0)),IF(V5="","",VLOOKUP(V5,영역20,2,0)))</f>
        <v/>
      </c>
    </row>
    <row r="6" spans="1:23" x14ac:dyDescent="0.4">
      <c r="A6" s="23">
        <v>2</v>
      </c>
      <c r="B6" s="24" t="str">
        <f t="shared" ref="B6:B44" ca="1" si="2">INDIRECT("명렬표!R"&amp;A6+5&amp;"C"&amp;$A$4+2,0)</f>
        <v>학생302</v>
      </c>
      <c r="C6" s="25"/>
      <c r="D6" s="26"/>
      <c r="E6" s="26"/>
      <c r="F6" s="26"/>
      <c r="G6" s="26"/>
      <c r="H6" s="26"/>
      <c r="I6" s="26"/>
      <c r="J6" s="26"/>
      <c r="K6" s="26"/>
      <c r="L6" s="26"/>
      <c r="M6" s="26"/>
      <c r="N6" s="26"/>
      <c r="O6" s="26"/>
      <c r="P6" s="26"/>
      <c r="Q6" s="26"/>
      <c r="R6" s="26"/>
      <c r="S6" s="70"/>
      <c r="T6" s="70"/>
      <c r="U6" s="70"/>
      <c r="V6" s="70"/>
      <c r="W6" s="17" t="str">
        <f t="shared" si="1"/>
        <v/>
      </c>
    </row>
    <row r="7" spans="1:23" x14ac:dyDescent="0.4">
      <c r="A7" s="23">
        <v>3</v>
      </c>
      <c r="B7" s="24" t="str">
        <f t="shared" ca="1" si="2"/>
        <v>학생303</v>
      </c>
      <c r="C7" s="25"/>
      <c r="D7" s="26"/>
      <c r="E7" s="26"/>
      <c r="F7" s="26"/>
      <c r="G7" s="26"/>
      <c r="H7" s="26"/>
      <c r="I7" s="26"/>
      <c r="J7" s="26"/>
      <c r="K7" s="26"/>
      <c r="L7" s="26"/>
      <c r="M7" s="26"/>
      <c r="N7" s="26"/>
      <c r="O7" s="26"/>
      <c r="P7" s="26"/>
      <c r="Q7" s="26"/>
      <c r="R7" s="26"/>
      <c r="S7" s="70"/>
      <c r="T7" s="70"/>
      <c r="U7" s="70"/>
      <c r="V7" s="70"/>
      <c r="W7" s="18" t="str">
        <f t="shared" si="1"/>
        <v/>
      </c>
    </row>
    <row r="8" spans="1:23" x14ac:dyDescent="0.4">
      <c r="A8" s="23">
        <v>4</v>
      </c>
      <c r="B8" s="24" t="str">
        <f t="shared" ca="1" si="2"/>
        <v>학생304</v>
      </c>
      <c r="C8" s="25"/>
      <c r="D8" s="26"/>
      <c r="E8" s="26"/>
      <c r="F8" s="26"/>
      <c r="G8" s="26"/>
      <c r="H8" s="26"/>
      <c r="I8" s="26"/>
      <c r="J8" s="26"/>
      <c r="K8" s="26"/>
      <c r="L8" s="26"/>
      <c r="M8" s="26"/>
      <c r="N8" s="26"/>
      <c r="O8" s="26"/>
      <c r="P8" s="26"/>
      <c r="Q8" s="26"/>
      <c r="R8" s="26"/>
      <c r="S8" s="70"/>
      <c r="T8" s="70"/>
      <c r="U8" s="70"/>
      <c r="V8" s="70"/>
      <c r="W8" s="18" t="str">
        <f t="shared" si="1"/>
        <v/>
      </c>
    </row>
    <row r="9" spans="1:23" x14ac:dyDescent="0.4">
      <c r="A9" s="23">
        <v>5</v>
      </c>
      <c r="B9" s="24" t="str">
        <f t="shared" ca="1" si="2"/>
        <v>학생305</v>
      </c>
      <c r="C9" s="25"/>
      <c r="D9" s="26"/>
      <c r="E9" s="26"/>
      <c r="F9" s="26"/>
      <c r="G9" s="26"/>
      <c r="H9" s="26"/>
      <c r="I9" s="26"/>
      <c r="J9" s="26"/>
      <c r="K9" s="26"/>
      <c r="L9" s="26"/>
      <c r="M9" s="26"/>
      <c r="N9" s="26"/>
      <c r="O9" s="26"/>
      <c r="P9" s="26"/>
      <c r="Q9" s="26"/>
      <c r="R9" s="26"/>
      <c r="S9" s="70"/>
      <c r="T9" s="70"/>
      <c r="U9" s="70"/>
      <c r="V9" s="70"/>
      <c r="W9" s="18" t="str">
        <f t="shared" si="1"/>
        <v/>
      </c>
    </row>
    <row r="10" spans="1:23" x14ac:dyDescent="0.4">
      <c r="A10" s="23">
        <v>6</v>
      </c>
      <c r="B10" s="24" t="str">
        <f t="shared" ca="1" si="2"/>
        <v>학생306</v>
      </c>
      <c r="C10" s="25"/>
      <c r="D10" s="26"/>
      <c r="E10" s="26"/>
      <c r="F10" s="26"/>
      <c r="G10" s="26"/>
      <c r="H10" s="26"/>
      <c r="I10" s="26"/>
      <c r="J10" s="26"/>
      <c r="K10" s="26"/>
      <c r="L10" s="26"/>
      <c r="M10" s="26"/>
      <c r="N10" s="26"/>
      <c r="O10" s="26"/>
      <c r="P10" s="26"/>
      <c r="Q10" s="26"/>
      <c r="R10" s="26"/>
      <c r="S10" s="70"/>
      <c r="T10" s="70"/>
      <c r="U10" s="70"/>
      <c r="V10" s="70"/>
      <c r="W10" s="18" t="str">
        <f t="shared" si="1"/>
        <v/>
      </c>
    </row>
    <row r="11" spans="1:23" x14ac:dyDescent="0.4">
      <c r="A11" s="23">
        <v>7</v>
      </c>
      <c r="B11" s="24" t="str">
        <f t="shared" ca="1" si="2"/>
        <v>학생307</v>
      </c>
      <c r="C11" s="25"/>
      <c r="D11" s="26"/>
      <c r="E11" s="26"/>
      <c r="F11" s="26"/>
      <c r="G11" s="26"/>
      <c r="H11" s="26"/>
      <c r="I11" s="26"/>
      <c r="J11" s="26"/>
      <c r="K11" s="26"/>
      <c r="L11" s="26"/>
      <c r="M11" s="26"/>
      <c r="N11" s="26"/>
      <c r="O11" s="26"/>
      <c r="P11" s="26"/>
      <c r="Q11" s="26"/>
      <c r="R11" s="26"/>
      <c r="S11" s="70"/>
      <c r="T11" s="70"/>
      <c r="U11" s="70"/>
      <c r="V11" s="70"/>
      <c r="W11" s="18" t="str">
        <f t="shared" si="1"/>
        <v/>
      </c>
    </row>
    <row r="12" spans="1:23" x14ac:dyDescent="0.4">
      <c r="A12" s="23">
        <v>8</v>
      </c>
      <c r="B12" s="24" t="str">
        <f t="shared" ca="1" si="2"/>
        <v>학생308</v>
      </c>
      <c r="C12" s="25"/>
      <c r="D12" s="26"/>
      <c r="E12" s="26"/>
      <c r="F12" s="26"/>
      <c r="G12" s="26"/>
      <c r="H12" s="26"/>
      <c r="I12" s="26"/>
      <c r="J12" s="26"/>
      <c r="K12" s="26"/>
      <c r="L12" s="26"/>
      <c r="M12" s="26"/>
      <c r="N12" s="26"/>
      <c r="O12" s="26"/>
      <c r="P12" s="26"/>
      <c r="Q12" s="26"/>
      <c r="R12" s="26"/>
      <c r="S12" s="70"/>
      <c r="T12" s="70"/>
      <c r="U12" s="70"/>
      <c r="V12" s="70"/>
      <c r="W12" s="18" t="str">
        <f t="shared" si="1"/>
        <v/>
      </c>
    </row>
    <row r="13" spans="1:23" x14ac:dyDescent="0.4">
      <c r="A13" s="23">
        <v>9</v>
      </c>
      <c r="B13" s="24" t="str">
        <f t="shared" ca="1" si="2"/>
        <v>학생309</v>
      </c>
      <c r="C13" s="25"/>
      <c r="D13" s="26"/>
      <c r="E13" s="26"/>
      <c r="F13" s="26"/>
      <c r="G13" s="26"/>
      <c r="H13" s="26"/>
      <c r="I13" s="26"/>
      <c r="J13" s="26"/>
      <c r="K13" s="26"/>
      <c r="L13" s="26"/>
      <c r="M13" s="26"/>
      <c r="N13" s="26"/>
      <c r="O13" s="26"/>
      <c r="P13" s="26"/>
      <c r="Q13" s="26"/>
      <c r="R13" s="26"/>
      <c r="S13" s="70"/>
      <c r="T13" s="70"/>
      <c r="U13" s="70"/>
      <c r="V13" s="70"/>
      <c r="W13" s="18" t="str">
        <f t="shared" si="1"/>
        <v/>
      </c>
    </row>
    <row r="14" spans="1:23" x14ac:dyDescent="0.4">
      <c r="A14" s="23">
        <v>10</v>
      </c>
      <c r="B14" s="24" t="str">
        <f t="shared" ca="1" si="2"/>
        <v>학생310</v>
      </c>
      <c r="C14" s="25"/>
      <c r="D14" s="26"/>
      <c r="E14" s="26"/>
      <c r="F14" s="26"/>
      <c r="G14" s="26"/>
      <c r="H14" s="26"/>
      <c r="I14" s="26"/>
      <c r="J14" s="26"/>
      <c r="K14" s="26"/>
      <c r="L14" s="26"/>
      <c r="M14" s="26"/>
      <c r="N14" s="26"/>
      <c r="O14" s="26"/>
      <c r="P14" s="26"/>
      <c r="Q14" s="26"/>
      <c r="R14" s="26"/>
      <c r="S14" s="70"/>
      <c r="T14" s="70"/>
      <c r="U14" s="70"/>
      <c r="V14" s="70"/>
      <c r="W14" s="18" t="str">
        <f t="shared" si="1"/>
        <v/>
      </c>
    </row>
    <row r="15" spans="1:23" x14ac:dyDescent="0.4">
      <c r="A15" s="23">
        <v>11</v>
      </c>
      <c r="B15" s="24" t="str">
        <f t="shared" ca="1" si="2"/>
        <v>학생311</v>
      </c>
      <c r="C15" s="25"/>
      <c r="D15" s="26"/>
      <c r="E15" s="26"/>
      <c r="F15" s="26"/>
      <c r="G15" s="26"/>
      <c r="H15" s="26"/>
      <c r="I15" s="26"/>
      <c r="J15" s="26"/>
      <c r="K15" s="26"/>
      <c r="L15" s="26"/>
      <c r="M15" s="26"/>
      <c r="N15" s="26"/>
      <c r="O15" s="26"/>
      <c r="P15" s="26"/>
      <c r="Q15" s="26"/>
      <c r="R15" s="26"/>
      <c r="S15" s="70"/>
      <c r="T15" s="70"/>
      <c r="U15" s="70"/>
      <c r="V15" s="70"/>
      <c r="W15" s="18" t="str">
        <f t="shared" si="1"/>
        <v/>
      </c>
    </row>
    <row r="16" spans="1:23" x14ac:dyDescent="0.4">
      <c r="A16" s="23">
        <v>12</v>
      </c>
      <c r="B16" s="24" t="str">
        <f t="shared" ca="1" si="2"/>
        <v>학생312</v>
      </c>
      <c r="C16" s="25"/>
      <c r="D16" s="26"/>
      <c r="E16" s="26"/>
      <c r="F16" s="26"/>
      <c r="G16" s="26"/>
      <c r="H16" s="26"/>
      <c r="I16" s="26"/>
      <c r="J16" s="26"/>
      <c r="K16" s="26"/>
      <c r="L16" s="26"/>
      <c r="M16" s="26"/>
      <c r="N16" s="26"/>
      <c r="O16" s="26"/>
      <c r="P16" s="26"/>
      <c r="Q16" s="26"/>
      <c r="R16" s="26"/>
      <c r="S16" s="70"/>
      <c r="T16" s="70"/>
      <c r="U16" s="70"/>
      <c r="V16" s="70"/>
      <c r="W16" s="18" t="str">
        <f t="shared" si="1"/>
        <v/>
      </c>
    </row>
    <row r="17" spans="1:23" x14ac:dyDescent="0.4">
      <c r="A17" s="23">
        <v>13</v>
      </c>
      <c r="B17" s="24" t="str">
        <f t="shared" ca="1" si="2"/>
        <v>학생313</v>
      </c>
      <c r="C17" s="25"/>
      <c r="D17" s="26"/>
      <c r="E17" s="26"/>
      <c r="F17" s="26"/>
      <c r="G17" s="26"/>
      <c r="H17" s="26"/>
      <c r="I17" s="26"/>
      <c r="J17" s="26"/>
      <c r="K17" s="26"/>
      <c r="L17" s="26"/>
      <c r="M17" s="26"/>
      <c r="N17" s="26"/>
      <c r="O17" s="26"/>
      <c r="P17" s="26"/>
      <c r="Q17" s="26"/>
      <c r="R17" s="26"/>
      <c r="S17" s="70"/>
      <c r="T17" s="70"/>
      <c r="U17" s="70"/>
      <c r="V17" s="70"/>
      <c r="W17" s="18" t="str">
        <f t="shared" si="1"/>
        <v/>
      </c>
    </row>
    <row r="18" spans="1:23" x14ac:dyDescent="0.4">
      <c r="A18" s="23">
        <v>14</v>
      </c>
      <c r="B18" s="24" t="str">
        <f t="shared" ca="1" si="2"/>
        <v>학생314</v>
      </c>
      <c r="C18" s="25"/>
      <c r="D18" s="26"/>
      <c r="E18" s="26"/>
      <c r="F18" s="26"/>
      <c r="G18" s="26"/>
      <c r="H18" s="26"/>
      <c r="I18" s="26"/>
      <c r="J18" s="26"/>
      <c r="K18" s="26"/>
      <c r="L18" s="26"/>
      <c r="M18" s="26"/>
      <c r="N18" s="26"/>
      <c r="O18" s="26"/>
      <c r="P18" s="26"/>
      <c r="Q18" s="26"/>
      <c r="R18" s="26"/>
      <c r="S18" s="70"/>
      <c r="T18" s="70"/>
      <c r="U18" s="70"/>
      <c r="V18" s="70"/>
      <c r="W18" s="18" t="str">
        <f t="shared" si="1"/>
        <v/>
      </c>
    </row>
    <row r="19" spans="1:23" x14ac:dyDescent="0.4">
      <c r="A19" s="23">
        <v>15</v>
      </c>
      <c r="B19" s="24" t="str">
        <f t="shared" ca="1" si="2"/>
        <v>학생315</v>
      </c>
      <c r="C19" s="25"/>
      <c r="D19" s="26"/>
      <c r="E19" s="26"/>
      <c r="F19" s="26"/>
      <c r="G19" s="26"/>
      <c r="H19" s="26"/>
      <c r="I19" s="26"/>
      <c r="J19" s="26"/>
      <c r="K19" s="26"/>
      <c r="L19" s="26"/>
      <c r="M19" s="26"/>
      <c r="N19" s="26"/>
      <c r="O19" s="26"/>
      <c r="P19" s="26"/>
      <c r="Q19" s="26"/>
      <c r="R19" s="26"/>
      <c r="S19" s="70"/>
      <c r="T19" s="70"/>
      <c r="U19" s="70"/>
      <c r="V19" s="70"/>
      <c r="W19" s="18" t="str">
        <f t="shared" si="1"/>
        <v/>
      </c>
    </row>
    <row r="20" spans="1:23" x14ac:dyDescent="0.4">
      <c r="A20" s="23">
        <v>16</v>
      </c>
      <c r="B20" s="24" t="str">
        <f t="shared" ca="1" si="2"/>
        <v>학생316</v>
      </c>
      <c r="C20" s="25"/>
      <c r="D20" s="26"/>
      <c r="E20" s="26"/>
      <c r="F20" s="26"/>
      <c r="G20" s="26"/>
      <c r="H20" s="26"/>
      <c r="I20" s="26"/>
      <c r="J20" s="26"/>
      <c r="K20" s="26"/>
      <c r="L20" s="26"/>
      <c r="M20" s="26"/>
      <c r="N20" s="26"/>
      <c r="O20" s="26"/>
      <c r="P20" s="26"/>
      <c r="Q20" s="26"/>
      <c r="R20" s="26"/>
      <c r="S20" s="70"/>
      <c r="T20" s="70"/>
      <c r="U20" s="70"/>
      <c r="V20" s="70"/>
      <c r="W20" s="18" t="str">
        <f t="shared" si="1"/>
        <v/>
      </c>
    </row>
    <row r="21" spans="1:23" x14ac:dyDescent="0.4">
      <c r="A21" s="23">
        <v>17</v>
      </c>
      <c r="B21" s="24" t="str">
        <f t="shared" ca="1" si="2"/>
        <v>학생317</v>
      </c>
      <c r="C21" s="25"/>
      <c r="D21" s="26"/>
      <c r="E21" s="26"/>
      <c r="F21" s="26"/>
      <c r="G21" s="26"/>
      <c r="H21" s="26"/>
      <c r="I21" s="26"/>
      <c r="J21" s="26"/>
      <c r="K21" s="26"/>
      <c r="L21" s="26"/>
      <c r="M21" s="26"/>
      <c r="N21" s="26"/>
      <c r="O21" s="26"/>
      <c r="P21" s="26"/>
      <c r="Q21" s="26"/>
      <c r="R21" s="26"/>
      <c r="S21" s="70"/>
      <c r="T21" s="70"/>
      <c r="U21" s="70"/>
      <c r="V21" s="70"/>
      <c r="W21" s="18" t="str">
        <f t="shared" si="1"/>
        <v/>
      </c>
    </row>
    <row r="22" spans="1:23" x14ac:dyDescent="0.4">
      <c r="A22" s="23">
        <v>18</v>
      </c>
      <c r="B22" s="24" t="str">
        <f t="shared" ca="1" si="2"/>
        <v>학생318</v>
      </c>
      <c r="C22" s="25"/>
      <c r="D22" s="26"/>
      <c r="E22" s="26"/>
      <c r="F22" s="26"/>
      <c r="G22" s="26"/>
      <c r="H22" s="26"/>
      <c r="I22" s="26"/>
      <c r="J22" s="26"/>
      <c r="K22" s="26"/>
      <c r="L22" s="26"/>
      <c r="M22" s="26"/>
      <c r="N22" s="26"/>
      <c r="O22" s="26"/>
      <c r="P22" s="26"/>
      <c r="Q22" s="26"/>
      <c r="R22" s="26"/>
      <c r="S22" s="70"/>
      <c r="T22" s="70"/>
      <c r="U22" s="70"/>
      <c r="V22" s="70"/>
      <c r="W22" s="18" t="str">
        <f t="shared" si="1"/>
        <v/>
      </c>
    </row>
    <row r="23" spans="1:23" x14ac:dyDescent="0.4">
      <c r="A23" s="23">
        <v>19</v>
      </c>
      <c r="B23" s="24" t="str">
        <f t="shared" ca="1" si="2"/>
        <v>학생319</v>
      </c>
      <c r="C23" s="25"/>
      <c r="D23" s="26"/>
      <c r="E23" s="26"/>
      <c r="F23" s="26"/>
      <c r="G23" s="26"/>
      <c r="H23" s="26"/>
      <c r="I23" s="26"/>
      <c r="J23" s="26"/>
      <c r="K23" s="26"/>
      <c r="L23" s="26"/>
      <c r="M23" s="26"/>
      <c r="N23" s="26"/>
      <c r="O23" s="26"/>
      <c r="P23" s="26"/>
      <c r="Q23" s="26"/>
      <c r="R23" s="26"/>
      <c r="S23" s="70"/>
      <c r="T23" s="70"/>
      <c r="U23" s="70"/>
      <c r="V23" s="70"/>
      <c r="W23" s="18" t="str">
        <f t="shared" si="1"/>
        <v/>
      </c>
    </row>
    <row r="24" spans="1:23" x14ac:dyDescent="0.4">
      <c r="A24" s="23">
        <v>20</v>
      </c>
      <c r="B24" s="24" t="str">
        <f t="shared" ca="1" si="2"/>
        <v>학생320</v>
      </c>
      <c r="C24" s="25"/>
      <c r="D24" s="26"/>
      <c r="E24" s="26"/>
      <c r="F24" s="26"/>
      <c r="G24" s="26"/>
      <c r="H24" s="26"/>
      <c r="I24" s="26"/>
      <c r="J24" s="26"/>
      <c r="K24" s="26"/>
      <c r="L24" s="26"/>
      <c r="M24" s="26"/>
      <c r="N24" s="26"/>
      <c r="O24" s="26"/>
      <c r="P24" s="26"/>
      <c r="Q24" s="26"/>
      <c r="R24" s="26"/>
      <c r="S24" s="70"/>
      <c r="T24" s="70"/>
      <c r="U24" s="70"/>
      <c r="V24" s="70"/>
      <c r="W24" s="18" t="str">
        <f t="shared" si="1"/>
        <v/>
      </c>
    </row>
    <row r="25" spans="1:23" x14ac:dyDescent="0.4">
      <c r="A25" s="23">
        <v>21</v>
      </c>
      <c r="B25" s="24" t="str">
        <f t="shared" ca="1" si="2"/>
        <v>학생321</v>
      </c>
      <c r="C25" s="25"/>
      <c r="D25" s="26"/>
      <c r="E25" s="26"/>
      <c r="F25" s="26"/>
      <c r="G25" s="26"/>
      <c r="H25" s="26"/>
      <c r="I25" s="26"/>
      <c r="J25" s="26"/>
      <c r="K25" s="26"/>
      <c r="L25" s="26"/>
      <c r="M25" s="26"/>
      <c r="N25" s="26"/>
      <c r="O25" s="26"/>
      <c r="P25" s="26"/>
      <c r="Q25" s="26"/>
      <c r="R25" s="26"/>
      <c r="S25" s="70"/>
      <c r="T25" s="70"/>
      <c r="U25" s="70"/>
      <c r="V25" s="70"/>
      <c r="W25" s="18" t="str">
        <f t="shared" si="1"/>
        <v/>
      </c>
    </row>
    <row r="26" spans="1:23" x14ac:dyDescent="0.4">
      <c r="A26" s="23">
        <v>22</v>
      </c>
      <c r="B26" s="24" t="str">
        <f t="shared" ca="1" si="2"/>
        <v>학생322</v>
      </c>
      <c r="C26" s="25"/>
      <c r="D26" s="26"/>
      <c r="E26" s="26"/>
      <c r="F26" s="26"/>
      <c r="G26" s="26"/>
      <c r="H26" s="26"/>
      <c r="I26" s="26"/>
      <c r="J26" s="26"/>
      <c r="K26" s="26"/>
      <c r="L26" s="26"/>
      <c r="M26" s="26"/>
      <c r="N26" s="26"/>
      <c r="O26" s="26"/>
      <c r="P26" s="26"/>
      <c r="Q26" s="26"/>
      <c r="R26" s="26"/>
      <c r="S26" s="70"/>
      <c r="T26" s="70"/>
      <c r="U26" s="70"/>
      <c r="V26" s="70"/>
      <c r="W26" s="18" t="str">
        <f t="shared" si="1"/>
        <v/>
      </c>
    </row>
    <row r="27" spans="1:23" x14ac:dyDescent="0.4">
      <c r="A27" s="23">
        <v>23</v>
      </c>
      <c r="B27" s="24" t="str">
        <f t="shared" ca="1" si="2"/>
        <v>학생323</v>
      </c>
      <c r="C27" s="25"/>
      <c r="D27" s="26"/>
      <c r="E27" s="26"/>
      <c r="F27" s="26"/>
      <c r="G27" s="26"/>
      <c r="H27" s="26"/>
      <c r="I27" s="26"/>
      <c r="J27" s="26"/>
      <c r="K27" s="26"/>
      <c r="L27" s="26"/>
      <c r="M27" s="26"/>
      <c r="N27" s="26"/>
      <c r="O27" s="26"/>
      <c r="P27" s="26"/>
      <c r="Q27" s="26"/>
      <c r="R27" s="26"/>
      <c r="S27" s="70"/>
      <c r="T27" s="70"/>
      <c r="U27" s="70"/>
      <c r="V27" s="70"/>
      <c r="W27" s="18" t="str">
        <f t="shared" si="1"/>
        <v/>
      </c>
    </row>
    <row r="28" spans="1:23" x14ac:dyDescent="0.4">
      <c r="A28" s="23">
        <v>24</v>
      </c>
      <c r="B28" s="24" t="str">
        <f t="shared" ca="1" si="2"/>
        <v>학생324</v>
      </c>
      <c r="C28" s="25"/>
      <c r="D28" s="26"/>
      <c r="E28" s="26"/>
      <c r="F28" s="26"/>
      <c r="G28" s="26"/>
      <c r="H28" s="26"/>
      <c r="I28" s="26"/>
      <c r="J28" s="26"/>
      <c r="K28" s="26"/>
      <c r="L28" s="26"/>
      <c r="M28" s="26"/>
      <c r="N28" s="26"/>
      <c r="O28" s="26"/>
      <c r="P28" s="26"/>
      <c r="Q28" s="26"/>
      <c r="R28" s="26"/>
      <c r="S28" s="70"/>
      <c r="T28" s="70"/>
      <c r="U28" s="70"/>
      <c r="V28" s="70"/>
      <c r="W28" s="18" t="str">
        <f t="shared" si="1"/>
        <v/>
      </c>
    </row>
    <row r="29" spans="1:23" x14ac:dyDescent="0.4">
      <c r="A29" s="23">
        <v>25</v>
      </c>
      <c r="B29" s="24" t="str">
        <f t="shared" ca="1" si="2"/>
        <v>학생325</v>
      </c>
      <c r="C29" s="25"/>
      <c r="D29" s="26"/>
      <c r="E29" s="26"/>
      <c r="F29" s="26"/>
      <c r="G29" s="26"/>
      <c r="H29" s="26"/>
      <c r="I29" s="26"/>
      <c r="J29" s="26"/>
      <c r="K29" s="26"/>
      <c r="L29" s="26"/>
      <c r="M29" s="26"/>
      <c r="N29" s="26"/>
      <c r="O29" s="26"/>
      <c r="P29" s="26"/>
      <c r="Q29" s="26"/>
      <c r="R29" s="26"/>
      <c r="S29" s="70"/>
      <c r="T29" s="70"/>
      <c r="U29" s="70"/>
      <c r="V29" s="70"/>
      <c r="W29" s="18" t="str">
        <f t="shared" si="1"/>
        <v/>
      </c>
    </row>
    <row r="30" spans="1:23" x14ac:dyDescent="0.4">
      <c r="A30" s="23">
        <v>26</v>
      </c>
      <c r="B30" s="24" t="str">
        <f t="shared" ca="1" si="2"/>
        <v>학생326</v>
      </c>
      <c r="C30" s="25"/>
      <c r="D30" s="26"/>
      <c r="E30" s="26"/>
      <c r="F30" s="26"/>
      <c r="G30" s="26"/>
      <c r="H30" s="26"/>
      <c r="I30" s="26"/>
      <c r="J30" s="26"/>
      <c r="K30" s="26"/>
      <c r="L30" s="26"/>
      <c r="M30" s="26"/>
      <c r="N30" s="26"/>
      <c r="O30" s="26"/>
      <c r="P30" s="26"/>
      <c r="Q30" s="26"/>
      <c r="R30" s="26"/>
      <c r="S30" s="70"/>
      <c r="T30" s="70"/>
      <c r="U30" s="70"/>
      <c r="V30" s="70"/>
      <c r="W30" s="18" t="str">
        <f t="shared" si="1"/>
        <v/>
      </c>
    </row>
    <row r="31" spans="1:23" x14ac:dyDescent="0.4">
      <c r="A31" s="23">
        <v>27</v>
      </c>
      <c r="B31" s="24" t="str">
        <f t="shared" ca="1" si="2"/>
        <v>학생327</v>
      </c>
      <c r="C31" s="25"/>
      <c r="D31" s="26"/>
      <c r="E31" s="26"/>
      <c r="F31" s="26"/>
      <c r="G31" s="26"/>
      <c r="H31" s="26"/>
      <c r="I31" s="26"/>
      <c r="J31" s="26"/>
      <c r="K31" s="26"/>
      <c r="L31" s="26"/>
      <c r="M31" s="26"/>
      <c r="N31" s="26"/>
      <c r="O31" s="26"/>
      <c r="P31" s="26"/>
      <c r="Q31" s="26"/>
      <c r="R31" s="26"/>
      <c r="S31" s="70"/>
      <c r="T31" s="70"/>
      <c r="U31" s="70"/>
      <c r="V31" s="70"/>
      <c r="W31" s="18" t="str">
        <f t="shared" si="1"/>
        <v/>
      </c>
    </row>
    <row r="32" spans="1:23" x14ac:dyDescent="0.4">
      <c r="A32" s="23">
        <v>28</v>
      </c>
      <c r="B32" s="24" t="str">
        <f t="shared" ca="1" si="2"/>
        <v>학생328</v>
      </c>
      <c r="C32" s="25"/>
      <c r="D32" s="26"/>
      <c r="E32" s="26"/>
      <c r="F32" s="26"/>
      <c r="G32" s="26"/>
      <c r="H32" s="26"/>
      <c r="I32" s="26"/>
      <c r="J32" s="26"/>
      <c r="K32" s="26"/>
      <c r="L32" s="26"/>
      <c r="M32" s="26"/>
      <c r="N32" s="26"/>
      <c r="O32" s="26"/>
      <c r="P32" s="26"/>
      <c r="Q32" s="26"/>
      <c r="R32" s="26"/>
      <c r="S32" s="70"/>
      <c r="T32" s="70"/>
      <c r="U32" s="70"/>
      <c r="V32" s="70"/>
      <c r="W32" s="18" t="str">
        <f t="shared" si="1"/>
        <v/>
      </c>
    </row>
    <row r="33" spans="1:23" x14ac:dyDescent="0.4">
      <c r="A33" s="23">
        <v>29</v>
      </c>
      <c r="B33" s="24" t="str">
        <f t="shared" ca="1" si="2"/>
        <v>학생329</v>
      </c>
      <c r="C33" s="25"/>
      <c r="D33" s="26"/>
      <c r="E33" s="26"/>
      <c r="F33" s="26"/>
      <c r="G33" s="26"/>
      <c r="H33" s="26"/>
      <c r="I33" s="26"/>
      <c r="J33" s="26"/>
      <c r="K33" s="26"/>
      <c r="L33" s="26"/>
      <c r="M33" s="26"/>
      <c r="N33" s="26"/>
      <c r="O33" s="26"/>
      <c r="P33" s="26"/>
      <c r="Q33" s="26"/>
      <c r="R33" s="26"/>
      <c r="S33" s="70"/>
      <c r="T33" s="70"/>
      <c r="U33" s="70"/>
      <c r="V33" s="70"/>
      <c r="W33" s="18" t="str">
        <f t="shared" si="1"/>
        <v/>
      </c>
    </row>
    <row r="34" spans="1:23" x14ac:dyDescent="0.4">
      <c r="A34" s="23">
        <v>30</v>
      </c>
      <c r="B34" s="24" t="str">
        <f t="shared" ca="1" si="2"/>
        <v>학생330</v>
      </c>
      <c r="C34" s="25"/>
      <c r="D34" s="26"/>
      <c r="E34" s="26"/>
      <c r="F34" s="26"/>
      <c r="G34" s="26"/>
      <c r="H34" s="26"/>
      <c r="I34" s="26"/>
      <c r="J34" s="26"/>
      <c r="K34" s="26"/>
      <c r="L34" s="26"/>
      <c r="M34" s="26"/>
      <c r="N34" s="26"/>
      <c r="O34" s="26"/>
      <c r="P34" s="26"/>
      <c r="Q34" s="26"/>
      <c r="R34" s="26"/>
      <c r="S34" s="70"/>
      <c r="T34" s="70"/>
      <c r="U34" s="70"/>
      <c r="V34" s="70"/>
      <c r="W34" s="18" t="str">
        <f t="shared" si="1"/>
        <v/>
      </c>
    </row>
    <row r="35" spans="1:23" x14ac:dyDescent="0.4">
      <c r="A35" s="23">
        <v>31</v>
      </c>
      <c r="B35" s="24" t="str">
        <f t="shared" ca="1" si="2"/>
        <v>학생331</v>
      </c>
      <c r="C35" s="25"/>
      <c r="D35" s="26"/>
      <c r="E35" s="26"/>
      <c r="F35" s="26"/>
      <c r="G35" s="26"/>
      <c r="H35" s="26"/>
      <c r="I35" s="26"/>
      <c r="J35" s="26"/>
      <c r="K35" s="26"/>
      <c r="L35" s="26"/>
      <c r="M35" s="26"/>
      <c r="N35" s="26"/>
      <c r="O35" s="26"/>
      <c r="P35" s="26"/>
      <c r="Q35" s="26"/>
      <c r="R35" s="26"/>
      <c r="S35" s="70"/>
      <c r="T35" s="70"/>
      <c r="U35" s="70"/>
      <c r="V35" s="70"/>
      <c r="W35" s="18" t="str">
        <f t="shared" si="1"/>
        <v/>
      </c>
    </row>
    <row r="36" spans="1:23" x14ac:dyDescent="0.4">
      <c r="A36" s="23">
        <v>32</v>
      </c>
      <c r="B36" s="24" t="str">
        <f t="shared" ca="1" si="2"/>
        <v>학생332</v>
      </c>
      <c r="C36" s="25"/>
      <c r="D36" s="26"/>
      <c r="E36" s="26"/>
      <c r="F36" s="26"/>
      <c r="G36" s="26"/>
      <c r="H36" s="26"/>
      <c r="I36" s="26"/>
      <c r="J36" s="26"/>
      <c r="K36" s="26"/>
      <c r="L36" s="26"/>
      <c r="M36" s="26"/>
      <c r="N36" s="26"/>
      <c r="O36" s="26"/>
      <c r="P36" s="26"/>
      <c r="Q36" s="26"/>
      <c r="R36" s="26"/>
      <c r="S36" s="70"/>
      <c r="T36" s="70"/>
      <c r="U36" s="70"/>
      <c r="V36" s="70"/>
      <c r="W36" s="18" t="str">
        <f t="shared" si="1"/>
        <v/>
      </c>
    </row>
    <row r="37" spans="1:23" x14ac:dyDescent="0.4">
      <c r="A37" s="23">
        <v>33</v>
      </c>
      <c r="B37" s="24" t="str">
        <f t="shared" ca="1" si="2"/>
        <v>학생333</v>
      </c>
      <c r="C37" s="25"/>
      <c r="D37" s="26"/>
      <c r="E37" s="26"/>
      <c r="F37" s="26"/>
      <c r="G37" s="26"/>
      <c r="H37" s="26"/>
      <c r="I37" s="26"/>
      <c r="J37" s="26"/>
      <c r="K37" s="26"/>
      <c r="L37" s="26"/>
      <c r="M37" s="26"/>
      <c r="N37" s="26"/>
      <c r="O37" s="26"/>
      <c r="P37" s="26"/>
      <c r="Q37" s="26"/>
      <c r="R37" s="26"/>
      <c r="S37" s="70"/>
      <c r="T37" s="70"/>
      <c r="U37" s="70"/>
      <c r="V37" s="70"/>
      <c r="W37" s="18" t="str">
        <f t="shared" si="1"/>
        <v/>
      </c>
    </row>
    <row r="38" spans="1:23" x14ac:dyDescent="0.4">
      <c r="A38" s="23">
        <v>34</v>
      </c>
      <c r="B38" s="24" t="str">
        <f t="shared" ca="1" si="2"/>
        <v>학생334</v>
      </c>
      <c r="C38" s="25"/>
      <c r="D38" s="26"/>
      <c r="E38" s="26"/>
      <c r="F38" s="26"/>
      <c r="G38" s="26"/>
      <c r="H38" s="26"/>
      <c r="I38" s="26"/>
      <c r="J38" s="26"/>
      <c r="K38" s="26"/>
      <c r="L38" s="26"/>
      <c r="M38" s="26"/>
      <c r="N38" s="26"/>
      <c r="O38" s="26"/>
      <c r="P38" s="26"/>
      <c r="Q38" s="26"/>
      <c r="R38" s="26"/>
      <c r="S38" s="70"/>
      <c r="T38" s="70"/>
      <c r="U38" s="70"/>
      <c r="V38" s="70"/>
      <c r="W38" s="18" t="str">
        <f t="shared" si="1"/>
        <v/>
      </c>
    </row>
    <row r="39" spans="1:23" x14ac:dyDescent="0.4">
      <c r="A39" s="23">
        <v>35</v>
      </c>
      <c r="B39" s="24" t="str">
        <f t="shared" ca="1" si="2"/>
        <v>학생335</v>
      </c>
      <c r="C39" s="25"/>
      <c r="D39" s="26"/>
      <c r="E39" s="26"/>
      <c r="F39" s="26"/>
      <c r="G39" s="26"/>
      <c r="H39" s="26"/>
      <c r="I39" s="26"/>
      <c r="J39" s="26"/>
      <c r="K39" s="26"/>
      <c r="L39" s="26"/>
      <c r="M39" s="26"/>
      <c r="N39" s="26"/>
      <c r="O39" s="26"/>
      <c r="P39" s="26"/>
      <c r="Q39" s="26"/>
      <c r="R39" s="26"/>
      <c r="S39" s="70"/>
      <c r="T39" s="70"/>
      <c r="U39" s="70"/>
      <c r="V39" s="70"/>
      <c r="W39" s="18" t="str">
        <f t="shared" si="1"/>
        <v/>
      </c>
    </row>
    <row r="40" spans="1:23" x14ac:dyDescent="0.4">
      <c r="A40" s="23">
        <v>36</v>
      </c>
      <c r="B40" s="24" t="str">
        <f t="shared" ca="1" si="2"/>
        <v>학생336</v>
      </c>
      <c r="C40" s="25"/>
      <c r="D40" s="26"/>
      <c r="E40" s="26"/>
      <c r="F40" s="26"/>
      <c r="G40" s="26"/>
      <c r="H40" s="26"/>
      <c r="I40" s="26"/>
      <c r="J40" s="26"/>
      <c r="K40" s="26"/>
      <c r="L40" s="26"/>
      <c r="M40" s="26"/>
      <c r="N40" s="26"/>
      <c r="O40" s="26"/>
      <c r="P40" s="26"/>
      <c r="Q40" s="26"/>
      <c r="R40" s="26"/>
      <c r="S40" s="70"/>
      <c r="T40" s="70"/>
      <c r="U40" s="70"/>
      <c r="V40" s="70"/>
      <c r="W40" s="18" t="str">
        <f t="shared" si="1"/>
        <v/>
      </c>
    </row>
    <row r="41" spans="1:23" x14ac:dyDescent="0.4">
      <c r="A41" s="23">
        <v>37</v>
      </c>
      <c r="B41" s="24" t="str">
        <f t="shared" ca="1" si="2"/>
        <v>학생337</v>
      </c>
      <c r="C41" s="25"/>
      <c r="D41" s="26"/>
      <c r="E41" s="26"/>
      <c r="F41" s="26"/>
      <c r="G41" s="26"/>
      <c r="H41" s="26"/>
      <c r="I41" s="26"/>
      <c r="J41" s="26"/>
      <c r="K41" s="26"/>
      <c r="L41" s="26"/>
      <c r="M41" s="26"/>
      <c r="N41" s="26"/>
      <c r="O41" s="26"/>
      <c r="P41" s="26"/>
      <c r="Q41" s="26"/>
      <c r="R41" s="26"/>
      <c r="S41" s="70"/>
      <c r="T41" s="70"/>
      <c r="U41" s="70"/>
      <c r="V41" s="70"/>
      <c r="W41" s="18" t="str">
        <f t="shared" si="1"/>
        <v/>
      </c>
    </row>
    <row r="42" spans="1:23" x14ac:dyDescent="0.4">
      <c r="A42" s="23">
        <v>38</v>
      </c>
      <c r="B42" s="24" t="str">
        <f t="shared" ca="1" si="2"/>
        <v>학생338</v>
      </c>
      <c r="C42" s="25"/>
      <c r="D42" s="26"/>
      <c r="E42" s="26"/>
      <c r="F42" s="26"/>
      <c r="G42" s="26"/>
      <c r="H42" s="26"/>
      <c r="I42" s="26"/>
      <c r="J42" s="26"/>
      <c r="K42" s="26"/>
      <c r="L42" s="26"/>
      <c r="M42" s="26"/>
      <c r="N42" s="26"/>
      <c r="O42" s="26"/>
      <c r="P42" s="26"/>
      <c r="Q42" s="26"/>
      <c r="R42" s="26"/>
      <c r="S42" s="70"/>
      <c r="T42" s="70"/>
      <c r="U42" s="70"/>
      <c r="V42" s="70"/>
      <c r="W42" s="18" t="str">
        <f t="shared" si="1"/>
        <v/>
      </c>
    </row>
    <row r="43" spans="1:23" x14ac:dyDescent="0.4">
      <c r="A43" s="23">
        <v>39</v>
      </c>
      <c r="B43" s="24" t="str">
        <f t="shared" ca="1" si="2"/>
        <v>학생339</v>
      </c>
      <c r="C43" s="25"/>
      <c r="D43" s="26"/>
      <c r="E43" s="26"/>
      <c r="F43" s="26"/>
      <c r="G43" s="26"/>
      <c r="H43" s="26"/>
      <c r="I43" s="26"/>
      <c r="J43" s="26"/>
      <c r="K43" s="26"/>
      <c r="L43" s="26"/>
      <c r="M43" s="26"/>
      <c r="N43" s="26"/>
      <c r="O43" s="26"/>
      <c r="P43" s="26"/>
      <c r="Q43" s="26"/>
      <c r="R43" s="26"/>
      <c r="S43" s="70"/>
      <c r="T43" s="70"/>
      <c r="U43" s="70"/>
      <c r="V43" s="70"/>
      <c r="W43" s="18" t="str">
        <f t="shared" si="1"/>
        <v/>
      </c>
    </row>
    <row r="44" spans="1:23" x14ac:dyDescent="0.4">
      <c r="A44" s="23">
        <v>40</v>
      </c>
      <c r="B44" s="24" t="str">
        <f t="shared" ca="1" si="2"/>
        <v>학생340</v>
      </c>
      <c r="C44" s="25"/>
      <c r="D44" s="26"/>
      <c r="E44" s="26"/>
      <c r="F44" s="26"/>
      <c r="G44" s="26"/>
      <c r="H44" s="26"/>
      <c r="I44" s="26"/>
      <c r="J44" s="26"/>
      <c r="K44" s="26"/>
      <c r="L44" s="26"/>
      <c r="M44" s="26"/>
      <c r="N44" s="26"/>
      <c r="O44" s="26"/>
      <c r="P44" s="26"/>
      <c r="Q44" s="26"/>
      <c r="R44" s="26"/>
      <c r="S44" s="70"/>
      <c r="T44" s="70"/>
      <c r="U44" s="70"/>
      <c r="V44" s="70"/>
      <c r="W44" s="18" t="str">
        <f t="shared" si="1"/>
        <v/>
      </c>
    </row>
    <row r="45" spans="1:23" ht="21" x14ac:dyDescent="0.4">
      <c r="A45" s="130" t="s">
        <v>115</v>
      </c>
      <c r="B45" s="131"/>
      <c r="C45" s="27" t="str">
        <f t="shared" ref="C45:L45" si="3">IF(COUNTA(C5:C44)=0,"",COUNTA(C5:C44))</f>
        <v/>
      </c>
      <c r="D45" s="28" t="str">
        <f t="shared" si="3"/>
        <v/>
      </c>
      <c r="E45" s="28" t="str">
        <f t="shared" si="3"/>
        <v/>
      </c>
      <c r="F45" s="28" t="str">
        <f t="shared" si="3"/>
        <v/>
      </c>
      <c r="G45" s="28" t="str">
        <f t="shared" si="3"/>
        <v/>
      </c>
      <c r="H45" s="28" t="str">
        <f t="shared" si="3"/>
        <v/>
      </c>
      <c r="I45" s="28" t="str">
        <f t="shared" si="3"/>
        <v/>
      </c>
      <c r="J45" s="28" t="str">
        <f t="shared" si="3"/>
        <v/>
      </c>
      <c r="K45" s="28" t="str">
        <f t="shared" si="3"/>
        <v/>
      </c>
      <c r="L45" s="28" t="str">
        <f t="shared" si="3"/>
        <v/>
      </c>
      <c r="M45" s="28" t="str">
        <f t="shared" ref="M45:U45" si="4">IF(COUNTA(M5:M44)=0,"",COUNTA(M5:M44))</f>
        <v/>
      </c>
      <c r="N45" s="28" t="str">
        <f t="shared" si="4"/>
        <v/>
      </c>
      <c r="O45" s="28" t="str">
        <f t="shared" si="4"/>
        <v/>
      </c>
      <c r="P45" s="28" t="str">
        <f t="shared" si="4"/>
        <v/>
      </c>
      <c r="Q45" s="28" t="str">
        <f t="shared" si="4"/>
        <v/>
      </c>
      <c r="R45" s="28" t="str">
        <f t="shared" si="4"/>
        <v/>
      </c>
      <c r="S45" s="28" t="str">
        <f t="shared" si="4"/>
        <v/>
      </c>
      <c r="T45" s="28" t="str">
        <f t="shared" si="4"/>
        <v/>
      </c>
      <c r="U45" s="28" t="str">
        <f t="shared" si="4"/>
        <v/>
      </c>
      <c r="V45" s="28" t="str">
        <f>IF(COUNTA(V5:V44)=0,"",COUNTA(V5:V44))</f>
        <v/>
      </c>
      <c r="W45" s="29"/>
    </row>
  </sheetData>
  <sheetProtection password="E442" sheet="1" objects="1" scenarios="1"/>
  <mergeCells count="4">
    <mergeCell ref="A1:W1"/>
    <mergeCell ref="A2:B2"/>
    <mergeCell ref="A45:B45"/>
    <mergeCell ref="F2:G2"/>
  </mergeCells>
  <phoneticPr fontId="16" type="noConversion"/>
  <dataValidations count="3">
    <dataValidation type="list" imeMode="halfAlpha" allowBlank="1" showInputMessage="1" showErrorMessage="1" errorTitle="성취도 입력" error="영문 대문자로 입력하세요...." sqref="V6:V44 C5:D44 F5:U44 E6:E44" xr:uid="{00000000-0002-0000-0700-000000000000}">
      <formula1>"A,B,C,D,E"</formula1>
    </dataValidation>
    <dataValidation type="list" imeMode="halfAlpha" allowBlank="1" showInputMessage="1" showErrorMessage="1" sqref="V5" xr:uid="{00000000-0002-0000-0700-000001000000}">
      <formula1>"A,B,C,D,E"</formula1>
    </dataValidation>
    <dataValidation type="list" imeMode="halfAlpha" allowBlank="1" showInputMessage="1" showErrorMessage="1" errorTitle="성취도입력" error="영문 대문자로 입력하세요..." sqref="E5" xr:uid="{00000000-0002-0000-0700-000002000000}">
      <formula1>"A,B,C,D,E"</formula1>
    </dataValidation>
  </dataValidations>
  <printOptions horizontalCentered="1"/>
  <pageMargins left="0.7086111307144165" right="0.51166665554046631" top="0.55097222328186035" bottom="0.55097222328186035" header="0" footer="0.39347222447395325"/>
  <pageSetup paperSize="9" scale="42" fitToHeight="0" orientation="landscape" errors="blank"/>
  <headerFooter>
    <oddFooter>&amp;C&amp;"돋움,Regular"&amp;P/&amp;N</oddFooter>
  </headerFooter>
  <drawing r:id="rId1"/>
</worksheet>
</file>

<file path=docProps/app.xml><?xml version="1.0" encoding="utf-8"?>
<Properties xmlns="http://schemas.openxmlformats.org/officeDocument/2006/extended-properties" xmlns:vt="http://schemas.openxmlformats.org/officeDocument/2006/docPropsVTypes">
  <TotalTime>6</TotalTime>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21</vt:i4>
      </vt:variant>
    </vt:vector>
  </HeadingPairs>
  <TitlesOfParts>
    <vt:vector size="29" baseType="lpstr">
      <vt:lpstr>기본설정</vt:lpstr>
      <vt:lpstr>명렬표</vt:lpstr>
      <vt:lpstr>성취기준</vt:lpstr>
      <vt:lpstr>예시문</vt:lpstr>
      <vt:lpstr>반</vt:lpstr>
      <vt:lpstr>5반</vt:lpstr>
      <vt:lpstr>6반</vt:lpstr>
      <vt:lpstr>7반</vt:lpstr>
      <vt:lpstr>명렬표!Print_Area</vt:lpstr>
      <vt:lpstr>영역1</vt:lpstr>
      <vt:lpstr>영역10</vt:lpstr>
      <vt:lpstr>영역11</vt:lpstr>
      <vt:lpstr>영역12</vt:lpstr>
      <vt:lpstr>영역13</vt:lpstr>
      <vt:lpstr>영역14</vt:lpstr>
      <vt:lpstr>영역15</vt:lpstr>
      <vt:lpstr>영역16</vt:lpstr>
      <vt:lpstr>영역17</vt:lpstr>
      <vt:lpstr>영역18</vt:lpstr>
      <vt:lpstr>영역19</vt:lpstr>
      <vt:lpstr>영역2</vt:lpstr>
      <vt:lpstr>영역20</vt:lpstr>
      <vt:lpstr>영역3</vt:lpstr>
      <vt:lpstr>영역4</vt:lpstr>
      <vt:lpstr>영역5</vt:lpstr>
      <vt:lpstr>영역6</vt:lpstr>
      <vt:lpstr>영역7</vt:lpstr>
      <vt:lpstr>영역8</vt:lpstr>
      <vt:lpstr>영역9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dongyoun lee</cp:lastModifiedBy>
  <cp:revision>29</cp:revision>
  <cp:lastPrinted>2018-07-16T13:45:10Z</cp:lastPrinted>
  <dcterms:created xsi:type="dcterms:W3CDTF">2013-11-09T14:51:19Z</dcterms:created>
  <dcterms:modified xsi:type="dcterms:W3CDTF">2018-12-14T07:10:57Z</dcterms:modified>
  <cp:version>0906.0100.01</cp:version>
</cp:coreProperties>
</file>