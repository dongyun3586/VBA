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goodl\Google 드라이브\01학교업무\01_담임업무\학생생활기록부(생기부)\생기부입력 프로그램\"/>
    </mc:Choice>
  </mc:AlternateContent>
  <bookViews>
    <workbookView xWindow="-15" yWindow="45" windowWidth="12660" windowHeight="11760" tabRatio="611" activeTab="1"/>
  </bookViews>
  <sheets>
    <sheet name="활동내용입력" sheetId="1" r:id="rId1"/>
    <sheet name="활동항목선택" sheetId="8" r:id="rId2"/>
    <sheet name="자율활동특기사항" sheetId="12" r:id="rId3"/>
  </sheets>
  <definedNames>
    <definedName name="_xlnm._FilterDatabase" localSheetId="0" hidden="1">활동내용입력!$B$3:$H$65</definedName>
    <definedName name="_xlnm.Print_Area" localSheetId="2">자율활동특기사항!$B$4:$D$44</definedName>
    <definedName name="_xlnm.Print_Area" localSheetId="0">활동내용입력!$B$2:$H$63</definedName>
    <definedName name="_xlnm.Print_Area" localSheetId="1">활동항목선택!$A$1:$BJ$44</definedName>
  </definedNames>
  <calcPr calcId="162913"/>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N6" i="8" l="1"/>
  <c r="CN7" i="8"/>
  <c r="CN8" i="8"/>
  <c r="CN9" i="8"/>
  <c r="CN10" i="8"/>
  <c r="CN11" i="8"/>
  <c r="CN12" i="8"/>
  <c r="CN13" i="8"/>
  <c r="CN14" i="8"/>
  <c r="CN15" i="8"/>
  <c r="CN16" i="8"/>
  <c r="CN17" i="8"/>
  <c r="CN18" i="8"/>
  <c r="CN19" i="8"/>
  <c r="CN20" i="8"/>
  <c r="CN21" i="8"/>
  <c r="CN22" i="8"/>
  <c r="CN23" i="8"/>
  <c r="CN24" i="8"/>
  <c r="CN25" i="8"/>
  <c r="CN26" i="8"/>
  <c r="CN27" i="8"/>
  <c r="CN28" i="8"/>
  <c r="CN29" i="8"/>
  <c r="CN30" i="8"/>
  <c r="CN31" i="8"/>
  <c r="CN32" i="8"/>
  <c r="CN33" i="8"/>
  <c r="CN34" i="8"/>
  <c r="CN35" i="8"/>
  <c r="CN36" i="8"/>
  <c r="CN37" i="8"/>
  <c r="CN38" i="8"/>
  <c r="CN39" i="8"/>
  <c r="CN40" i="8"/>
  <c r="CN41" i="8"/>
  <c r="CN42" i="8"/>
  <c r="CN43" i="8"/>
  <c r="CN44" i="8"/>
  <c r="CN5" i="8"/>
  <c r="B6" i="12" l="1"/>
  <c r="C6" i="12"/>
  <c r="B7" i="12"/>
  <c r="C7" i="12"/>
  <c r="B8" i="12"/>
  <c r="C8" i="12"/>
  <c r="B9" i="12"/>
  <c r="C9" i="12"/>
  <c r="B10" i="12"/>
  <c r="C10" i="12"/>
  <c r="B11" i="12"/>
  <c r="C11" i="12"/>
  <c r="B12" i="12"/>
  <c r="C12" i="12"/>
  <c r="B13" i="12"/>
  <c r="C13" i="12"/>
  <c r="B14" i="12"/>
  <c r="C14" i="12"/>
  <c r="B15" i="12"/>
  <c r="C15" i="12"/>
  <c r="B16" i="12"/>
  <c r="C16" i="12"/>
  <c r="B17" i="12"/>
  <c r="C17" i="12"/>
  <c r="B18" i="12"/>
  <c r="C18" i="12"/>
  <c r="B19" i="12"/>
  <c r="C19" i="12"/>
  <c r="B20" i="12"/>
  <c r="C20" i="12"/>
  <c r="B21" i="12"/>
  <c r="C21" i="12"/>
  <c r="B22" i="12"/>
  <c r="C22" i="12"/>
  <c r="B23" i="12"/>
  <c r="C23" i="12"/>
  <c r="B24" i="12"/>
  <c r="C24" i="12"/>
  <c r="B25" i="12"/>
  <c r="C25" i="12"/>
  <c r="B26" i="12"/>
  <c r="C26" i="12"/>
  <c r="B27" i="12"/>
  <c r="C27" i="12"/>
  <c r="B28" i="12"/>
  <c r="C28" i="12"/>
  <c r="B29" i="12"/>
  <c r="C29" i="12"/>
  <c r="B30" i="12"/>
  <c r="C30" i="12"/>
  <c r="B31" i="12"/>
  <c r="C31" i="12"/>
  <c r="B32" i="12"/>
  <c r="C32" i="12"/>
  <c r="B33" i="12"/>
  <c r="C33" i="12"/>
  <c r="B34" i="12"/>
  <c r="C34" i="12"/>
  <c r="B35" i="12"/>
  <c r="C35" i="12"/>
  <c r="B36" i="12"/>
  <c r="C36" i="12"/>
  <c r="B37" i="12"/>
  <c r="C37" i="12"/>
  <c r="B38" i="12"/>
  <c r="C38" i="12"/>
  <c r="B39" i="12"/>
  <c r="C39" i="12"/>
  <c r="B40" i="12"/>
  <c r="C40" i="12"/>
  <c r="B41" i="12"/>
  <c r="C41" i="12"/>
  <c r="B42" i="12"/>
  <c r="C42" i="12"/>
  <c r="B43" i="12"/>
  <c r="C43" i="12"/>
  <c r="B44" i="12"/>
  <c r="C44" i="12"/>
  <c r="C5" i="12"/>
  <c r="B5" i="12"/>
  <c r="BK6" i="8" l="1"/>
  <c r="BL6" i="8"/>
  <c r="BM6" i="8"/>
  <c r="BN6" i="8"/>
  <c r="BO6" i="8"/>
  <c r="BP6" i="8"/>
  <c r="BQ6" i="8"/>
  <c r="BR6" i="8"/>
  <c r="BS6" i="8"/>
  <c r="BT6" i="8"/>
  <c r="BK7" i="8"/>
  <c r="BL7" i="8"/>
  <c r="BM7" i="8"/>
  <c r="BN7" i="8"/>
  <c r="BO7" i="8"/>
  <c r="BP7" i="8"/>
  <c r="BQ7" i="8"/>
  <c r="BR7" i="8"/>
  <c r="BS7" i="8"/>
  <c r="BT7" i="8"/>
  <c r="BK8" i="8"/>
  <c r="BL8" i="8"/>
  <c r="BM8" i="8"/>
  <c r="BN8" i="8"/>
  <c r="BO8" i="8"/>
  <c r="BP8" i="8"/>
  <c r="BQ8" i="8"/>
  <c r="BR8" i="8"/>
  <c r="BS8" i="8"/>
  <c r="BT8" i="8"/>
  <c r="BK9" i="8"/>
  <c r="BL9" i="8"/>
  <c r="BM9" i="8"/>
  <c r="BN9" i="8"/>
  <c r="BO9" i="8"/>
  <c r="BP9" i="8"/>
  <c r="BQ9" i="8"/>
  <c r="BR9" i="8"/>
  <c r="BS9" i="8"/>
  <c r="BT9" i="8"/>
  <c r="BK10" i="8"/>
  <c r="BL10" i="8"/>
  <c r="BM10" i="8"/>
  <c r="BN10" i="8"/>
  <c r="BO10" i="8"/>
  <c r="BP10" i="8"/>
  <c r="BQ10" i="8"/>
  <c r="BR10" i="8"/>
  <c r="BS10" i="8"/>
  <c r="BT10" i="8"/>
  <c r="BK11" i="8"/>
  <c r="BL11" i="8"/>
  <c r="BM11" i="8"/>
  <c r="BN11" i="8"/>
  <c r="BO11" i="8"/>
  <c r="BP11" i="8"/>
  <c r="BQ11" i="8"/>
  <c r="BR11" i="8"/>
  <c r="BS11" i="8"/>
  <c r="BT11" i="8"/>
  <c r="BK12" i="8"/>
  <c r="BL12" i="8"/>
  <c r="BM12" i="8"/>
  <c r="BN12" i="8"/>
  <c r="BO12" i="8"/>
  <c r="BP12" i="8"/>
  <c r="BQ12" i="8"/>
  <c r="BR12" i="8"/>
  <c r="BS12" i="8"/>
  <c r="BT12" i="8"/>
  <c r="BK13" i="8"/>
  <c r="BL13" i="8"/>
  <c r="BM13" i="8"/>
  <c r="BN13" i="8"/>
  <c r="BO13" i="8"/>
  <c r="BP13" i="8"/>
  <c r="BQ13" i="8"/>
  <c r="BR13" i="8"/>
  <c r="BS13" i="8"/>
  <c r="BT13" i="8"/>
  <c r="BK14" i="8"/>
  <c r="BL14" i="8"/>
  <c r="BM14" i="8"/>
  <c r="BN14" i="8"/>
  <c r="BO14" i="8"/>
  <c r="BP14" i="8"/>
  <c r="BQ14" i="8"/>
  <c r="BR14" i="8"/>
  <c r="BS14" i="8"/>
  <c r="BT14" i="8"/>
  <c r="BK15" i="8"/>
  <c r="BL15" i="8"/>
  <c r="BM15" i="8"/>
  <c r="BN15" i="8"/>
  <c r="BO15" i="8"/>
  <c r="BP15" i="8"/>
  <c r="BQ15" i="8"/>
  <c r="BR15" i="8"/>
  <c r="BS15" i="8"/>
  <c r="BT15" i="8"/>
  <c r="BK16" i="8"/>
  <c r="BL16" i="8"/>
  <c r="BM16" i="8"/>
  <c r="BN16" i="8"/>
  <c r="BO16" i="8"/>
  <c r="BP16" i="8"/>
  <c r="BQ16" i="8"/>
  <c r="BR16" i="8"/>
  <c r="BS16" i="8"/>
  <c r="BT16" i="8"/>
  <c r="BK17" i="8"/>
  <c r="BL17" i="8"/>
  <c r="BM17" i="8"/>
  <c r="BN17" i="8"/>
  <c r="BO17" i="8"/>
  <c r="BP17" i="8"/>
  <c r="BQ17" i="8"/>
  <c r="BR17" i="8"/>
  <c r="BS17" i="8"/>
  <c r="BT17" i="8"/>
  <c r="BK18" i="8"/>
  <c r="BL18" i="8"/>
  <c r="BM18" i="8"/>
  <c r="BN18" i="8"/>
  <c r="BO18" i="8"/>
  <c r="BP18" i="8"/>
  <c r="BQ18" i="8"/>
  <c r="BR18" i="8"/>
  <c r="BS18" i="8"/>
  <c r="BT18" i="8"/>
  <c r="BK19" i="8"/>
  <c r="BL19" i="8"/>
  <c r="BM19" i="8"/>
  <c r="BN19" i="8"/>
  <c r="BO19" i="8"/>
  <c r="BP19" i="8"/>
  <c r="BQ19" i="8"/>
  <c r="BR19" i="8"/>
  <c r="BS19" i="8"/>
  <c r="BT19" i="8"/>
  <c r="BK20" i="8"/>
  <c r="BL20" i="8"/>
  <c r="BM20" i="8"/>
  <c r="BN20" i="8"/>
  <c r="BO20" i="8"/>
  <c r="BP20" i="8"/>
  <c r="BQ20" i="8"/>
  <c r="BR20" i="8"/>
  <c r="BS20" i="8"/>
  <c r="BT20" i="8"/>
  <c r="BK21" i="8"/>
  <c r="BL21" i="8"/>
  <c r="BM21" i="8"/>
  <c r="BN21" i="8"/>
  <c r="BO21" i="8"/>
  <c r="BP21" i="8"/>
  <c r="BQ21" i="8"/>
  <c r="BR21" i="8"/>
  <c r="BS21" i="8"/>
  <c r="BT21" i="8"/>
  <c r="BK22" i="8"/>
  <c r="BL22" i="8"/>
  <c r="BM22" i="8"/>
  <c r="BN22" i="8"/>
  <c r="BO22" i="8"/>
  <c r="BP22" i="8"/>
  <c r="BQ22" i="8"/>
  <c r="BR22" i="8"/>
  <c r="BS22" i="8"/>
  <c r="BT22" i="8"/>
  <c r="BK23" i="8"/>
  <c r="BL23" i="8"/>
  <c r="BM23" i="8"/>
  <c r="BN23" i="8"/>
  <c r="BO23" i="8"/>
  <c r="BP23" i="8"/>
  <c r="BQ23" i="8"/>
  <c r="BR23" i="8"/>
  <c r="BS23" i="8"/>
  <c r="BT23" i="8"/>
  <c r="BK24" i="8"/>
  <c r="BL24" i="8"/>
  <c r="BM24" i="8"/>
  <c r="BN24" i="8"/>
  <c r="BO24" i="8"/>
  <c r="BP24" i="8"/>
  <c r="BQ24" i="8"/>
  <c r="BR24" i="8"/>
  <c r="BS24" i="8"/>
  <c r="BT24" i="8"/>
  <c r="BK25" i="8"/>
  <c r="BL25" i="8"/>
  <c r="BM25" i="8"/>
  <c r="BN25" i="8"/>
  <c r="BO25" i="8"/>
  <c r="BP25" i="8"/>
  <c r="BQ25" i="8"/>
  <c r="BR25" i="8"/>
  <c r="BS25" i="8"/>
  <c r="BT25" i="8"/>
  <c r="BK26" i="8"/>
  <c r="BL26" i="8"/>
  <c r="BM26" i="8"/>
  <c r="BN26" i="8"/>
  <c r="BO26" i="8"/>
  <c r="BP26" i="8"/>
  <c r="BQ26" i="8"/>
  <c r="BR26" i="8"/>
  <c r="BS26" i="8"/>
  <c r="BT26" i="8"/>
  <c r="BK27" i="8"/>
  <c r="BL27" i="8"/>
  <c r="BM27" i="8"/>
  <c r="BN27" i="8"/>
  <c r="BO27" i="8"/>
  <c r="BP27" i="8"/>
  <c r="BQ27" i="8"/>
  <c r="BR27" i="8"/>
  <c r="BS27" i="8"/>
  <c r="BT27" i="8"/>
  <c r="BK28" i="8"/>
  <c r="BL28" i="8"/>
  <c r="BM28" i="8"/>
  <c r="BN28" i="8"/>
  <c r="BO28" i="8"/>
  <c r="BP28" i="8"/>
  <c r="BQ28" i="8"/>
  <c r="BR28" i="8"/>
  <c r="BS28" i="8"/>
  <c r="BT28" i="8"/>
  <c r="BK29" i="8"/>
  <c r="BL29" i="8"/>
  <c r="BM29" i="8"/>
  <c r="BN29" i="8"/>
  <c r="BO29" i="8"/>
  <c r="BP29" i="8"/>
  <c r="BQ29" i="8"/>
  <c r="BR29" i="8"/>
  <c r="BS29" i="8"/>
  <c r="BT29" i="8"/>
  <c r="BK30" i="8"/>
  <c r="BL30" i="8"/>
  <c r="BM30" i="8"/>
  <c r="BN30" i="8"/>
  <c r="BO30" i="8"/>
  <c r="BP30" i="8"/>
  <c r="BQ30" i="8"/>
  <c r="BR30" i="8"/>
  <c r="BS30" i="8"/>
  <c r="BT30" i="8"/>
  <c r="BK31" i="8"/>
  <c r="BL31" i="8"/>
  <c r="BM31" i="8"/>
  <c r="BN31" i="8"/>
  <c r="BO31" i="8"/>
  <c r="BP31" i="8"/>
  <c r="BQ31" i="8"/>
  <c r="BR31" i="8"/>
  <c r="BS31" i="8"/>
  <c r="BT31" i="8"/>
  <c r="BK32" i="8"/>
  <c r="BL32" i="8"/>
  <c r="BM32" i="8"/>
  <c r="BN32" i="8"/>
  <c r="BO32" i="8"/>
  <c r="BP32" i="8"/>
  <c r="BQ32" i="8"/>
  <c r="BR32" i="8"/>
  <c r="BS32" i="8"/>
  <c r="BT32" i="8"/>
  <c r="BK33" i="8"/>
  <c r="BL33" i="8"/>
  <c r="BM33" i="8"/>
  <c r="BN33" i="8"/>
  <c r="BO33" i="8"/>
  <c r="BP33" i="8"/>
  <c r="BQ33" i="8"/>
  <c r="BR33" i="8"/>
  <c r="BS33" i="8"/>
  <c r="BT33" i="8"/>
  <c r="BK34" i="8"/>
  <c r="BL34" i="8"/>
  <c r="BM34" i="8"/>
  <c r="BN34" i="8"/>
  <c r="BO34" i="8"/>
  <c r="BP34" i="8"/>
  <c r="BQ34" i="8"/>
  <c r="BR34" i="8"/>
  <c r="BS34" i="8"/>
  <c r="BT34" i="8"/>
  <c r="BK35" i="8"/>
  <c r="BL35" i="8"/>
  <c r="BM35" i="8"/>
  <c r="BN35" i="8"/>
  <c r="BO35" i="8"/>
  <c r="BP35" i="8"/>
  <c r="BQ35" i="8"/>
  <c r="BR35" i="8"/>
  <c r="BS35" i="8"/>
  <c r="BT35" i="8"/>
  <c r="BK36" i="8"/>
  <c r="BL36" i="8"/>
  <c r="BM36" i="8"/>
  <c r="BN36" i="8"/>
  <c r="BO36" i="8"/>
  <c r="BP36" i="8"/>
  <c r="BQ36" i="8"/>
  <c r="BR36" i="8"/>
  <c r="BS36" i="8"/>
  <c r="BT36" i="8"/>
  <c r="BK37" i="8"/>
  <c r="BL37" i="8"/>
  <c r="BM37" i="8"/>
  <c r="BN37" i="8"/>
  <c r="BO37" i="8"/>
  <c r="BP37" i="8"/>
  <c r="BQ37" i="8"/>
  <c r="BR37" i="8"/>
  <c r="BS37" i="8"/>
  <c r="BT37" i="8"/>
  <c r="BK38" i="8"/>
  <c r="BL38" i="8"/>
  <c r="BM38" i="8"/>
  <c r="BN38" i="8"/>
  <c r="BO38" i="8"/>
  <c r="BP38" i="8"/>
  <c r="BQ38" i="8"/>
  <c r="BR38" i="8"/>
  <c r="BS38" i="8"/>
  <c r="BT38" i="8"/>
  <c r="BK39" i="8"/>
  <c r="BL39" i="8"/>
  <c r="BM39" i="8"/>
  <c r="BN39" i="8"/>
  <c r="BO39" i="8"/>
  <c r="BP39" i="8"/>
  <c r="BQ39" i="8"/>
  <c r="BR39" i="8"/>
  <c r="BS39" i="8"/>
  <c r="BT39" i="8"/>
  <c r="BK40" i="8"/>
  <c r="BL40" i="8"/>
  <c r="BM40" i="8"/>
  <c r="BN40" i="8"/>
  <c r="BO40" i="8"/>
  <c r="BP40" i="8"/>
  <c r="BQ40" i="8"/>
  <c r="BR40" i="8"/>
  <c r="BS40" i="8"/>
  <c r="BT40" i="8"/>
  <c r="BK41" i="8"/>
  <c r="BL41" i="8"/>
  <c r="BM41" i="8"/>
  <c r="BN41" i="8"/>
  <c r="BO41" i="8"/>
  <c r="BP41" i="8"/>
  <c r="BQ41" i="8"/>
  <c r="BR41" i="8"/>
  <c r="BS41" i="8"/>
  <c r="BT41" i="8"/>
  <c r="BK42" i="8"/>
  <c r="BL42" i="8"/>
  <c r="BM42" i="8"/>
  <c r="BN42" i="8"/>
  <c r="BO42" i="8"/>
  <c r="BP42" i="8"/>
  <c r="BQ42" i="8"/>
  <c r="BR42" i="8"/>
  <c r="BS42" i="8"/>
  <c r="BT42" i="8"/>
  <c r="BK43" i="8"/>
  <c r="BL43" i="8"/>
  <c r="BM43" i="8"/>
  <c r="BN43" i="8"/>
  <c r="BO43" i="8"/>
  <c r="BP43" i="8"/>
  <c r="BQ43" i="8"/>
  <c r="BR43" i="8"/>
  <c r="BS43" i="8"/>
  <c r="BT43" i="8"/>
  <c r="BK44" i="8"/>
  <c r="BL44" i="8"/>
  <c r="BM44" i="8"/>
  <c r="BN44" i="8"/>
  <c r="BO44" i="8"/>
  <c r="BP44" i="8"/>
  <c r="BQ44" i="8"/>
  <c r="BR44" i="8"/>
  <c r="BS44" i="8"/>
  <c r="BT44" i="8"/>
  <c r="BN5" i="8"/>
  <c r="BM5" i="8"/>
  <c r="BL5" i="8"/>
  <c r="BK5" i="8"/>
  <c r="BU6" i="8"/>
  <c r="BV6" i="8"/>
  <c r="BW6" i="8"/>
  <c r="BX6" i="8"/>
  <c r="BY6" i="8"/>
  <c r="BZ6" i="8"/>
  <c r="CA6" i="8"/>
  <c r="CB6" i="8"/>
  <c r="CC6" i="8"/>
  <c r="CD6" i="8"/>
  <c r="CE6" i="8"/>
  <c r="CF6" i="8"/>
  <c r="CG6" i="8"/>
  <c r="CH6" i="8"/>
  <c r="CI6" i="8"/>
  <c r="CJ6" i="8"/>
  <c r="CK6" i="8"/>
  <c r="CL6" i="8"/>
  <c r="CM6" i="8"/>
  <c r="CO6" i="8"/>
  <c r="CP6" i="8"/>
  <c r="CQ6" i="8"/>
  <c r="CR6" i="8"/>
  <c r="CS6" i="8"/>
  <c r="CT6" i="8"/>
  <c r="CU6" i="8"/>
  <c r="CV6" i="8"/>
  <c r="CW6" i="8"/>
  <c r="CX6" i="8"/>
  <c r="CY6" i="8"/>
  <c r="CZ6" i="8"/>
  <c r="DA6" i="8"/>
  <c r="DB6" i="8"/>
  <c r="DC6" i="8"/>
  <c r="DD6" i="8"/>
  <c r="DE6" i="8"/>
  <c r="DF6" i="8"/>
  <c r="DG6" i="8"/>
  <c r="DH6" i="8"/>
  <c r="DI6" i="8"/>
  <c r="DJ6" i="8"/>
  <c r="DK6" i="8"/>
  <c r="DL6" i="8"/>
  <c r="DM6" i="8"/>
  <c r="DN6" i="8"/>
  <c r="DO6" i="8"/>
  <c r="DP6" i="8"/>
  <c r="DQ6" i="8"/>
  <c r="DR6" i="8"/>
  <c r="BU7" i="8"/>
  <c r="BV7" i="8"/>
  <c r="BW7" i="8"/>
  <c r="BX7" i="8"/>
  <c r="BY7" i="8"/>
  <c r="BZ7" i="8"/>
  <c r="CA7" i="8"/>
  <c r="CB7" i="8"/>
  <c r="CC7" i="8"/>
  <c r="CD7" i="8"/>
  <c r="CE7" i="8"/>
  <c r="CF7" i="8"/>
  <c r="CG7" i="8"/>
  <c r="CH7" i="8"/>
  <c r="CI7" i="8"/>
  <c r="CJ7" i="8"/>
  <c r="CK7" i="8"/>
  <c r="CL7" i="8"/>
  <c r="CM7" i="8"/>
  <c r="CO7" i="8"/>
  <c r="CP7" i="8"/>
  <c r="CQ7" i="8"/>
  <c r="CR7" i="8"/>
  <c r="CS7" i="8"/>
  <c r="CT7" i="8"/>
  <c r="CU7" i="8"/>
  <c r="CV7" i="8"/>
  <c r="CW7" i="8"/>
  <c r="CX7" i="8"/>
  <c r="CY7" i="8"/>
  <c r="CZ7" i="8"/>
  <c r="DA7" i="8"/>
  <c r="DB7" i="8"/>
  <c r="DC7" i="8"/>
  <c r="DD7" i="8"/>
  <c r="DE7" i="8"/>
  <c r="DF7" i="8"/>
  <c r="DG7" i="8"/>
  <c r="DH7" i="8"/>
  <c r="DI7" i="8"/>
  <c r="DJ7" i="8"/>
  <c r="DK7" i="8"/>
  <c r="DL7" i="8"/>
  <c r="DM7" i="8"/>
  <c r="DN7" i="8"/>
  <c r="DO7" i="8"/>
  <c r="DP7" i="8"/>
  <c r="DQ7" i="8"/>
  <c r="DR7" i="8"/>
  <c r="BU8" i="8"/>
  <c r="BV8" i="8"/>
  <c r="BW8" i="8"/>
  <c r="BX8" i="8"/>
  <c r="BY8" i="8"/>
  <c r="BZ8" i="8"/>
  <c r="CA8" i="8"/>
  <c r="CB8" i="8"/>
  <c r="CC8" i="8"/>
  <c r="CD8" i="8"/>
  <c r="CE8" i="8"/>
  <c r="CF8" i="8"/>
  <c r="CG8" i="8"/>
  <c r="CH8" i="8"/>
  <c r="CI8" i="8"/>
  <c r="CJ8" i="8"/>
  <c r="CK8" i="8"/>
  <c r="CL8" i="8"/>
  <c r="CM8" i="8"/>
  <c r="CO8" i="8"/>
  <c r="CP8" i="8"/>
  <c r="CQ8" i="8"/>
  <c r="CR8" i="8"/>
  <c r="CS8" i="8"/>
  <c r="CT8" i="8"/>
  <c r="CU8" i="8"/>
  <c r="CV8" i="8"/>
  <c r="CW8" i="8"/>
  <c r="CX8" i="8"/>
  <c r="CY8" i="8"/>
  <c r="CZ8" i="8"/>
  <c r="DA8" i="8"/>
  <c r="DB8" i="8"/>
  <c r="DC8" i="8"/>
  <c r="DD8" i="8"/>
  <c r="DE8" i="8"/>
  <c r="DF8" i="8"/>
  <c r="DG8" i="8"/>
  <c r="DH8" i="8"/>
  <c r="DI8" i="8"/>
  <c r="DJ8" i="8"/>
  <c r="DK8" i="8"/>
  <c r="DL8" i="8"/>
  <c r="DM8" i="8"/>
  <c r="DN8" i="8"/>
  <c r="DO8" i="8"/>
  <c r="DP8" i="8"/>
  <c r="DQ8" i="8"/>
  <c r="DR8" i="8"/>
  <c r="BU9" i="8"/>
  <c r="BV9" i="8"/>
  <c r="BW9" i="8"/>
  <c r="BX9" i="8"/>
  <c r="BY9" i="8"/>
  <c r="BZ9" i="8"/>
  <c r="CA9" i="8"/>
  <c r="CB9" i="8"/>
  <c r="CC9" i="8"/>
  <c r="CD9" i="8"/>
  <c r="CE9" i="8"/>
  <c r="CF9" i="8"/>
  <c r="CG9" i="8"/>
  <c r="CH9" i="8"/>
  <c r="CI9" i="8"/>
  <c r="CJ9" i="8"/>
  <c r="CK9" i="8"/>
  <c r="CL9" i="8"/>
  <c r="CM9" i="8"/>
  <c r="CO9" i="8"/>
  <c r="CP9" i="8"/>
  <c r="CQ9" i="8"/>
  <c r="CR9" i="8"/>
  <c r="CS9" i="8"/>
  <c r="CT9" i="8"/>
  <c r="CU9" i="8"/>
  <c r="CV9" i="8"/>
  <c r="CW9" i="8"/>
  <c r="CX9" i="8"/>
  <c r="CY9" i="8"/>
  <c r="CZ9" i="8"/>
  <c r="DA9" i="8"/>
  <c r="DB9" i="8"/>
  <c r="DC9" i="8"/>
  <c r="DD9" i="8"/>
  <c r="DE9" i="8"/>
  <c r="DF9" i="8"/>
  <c r="DG9" i="8"/>
  <c r="DH9" i="8"/>
  <c r="DI9" i="8"/>
  <c r="DJ9" i="8"/>
  <c r="DK9" i="8"/>
  <c r="DL9" i="8"/>
  <c r="DM9" i="8"/>
  <c r="DN9" i="8"/>
  <c r="DO9" i="8"/>
  <c r="DP9" i="8"/>
  <c r="DQ9" i="8"/>
  <c r="DR9" i="8"/>
  <c r="BU10" i="8"/>
  <c r="BV10" i="8"/>
  <c r="BW10" i="8"/>
  <c r="BX10" i="8"/>
  <c r="BY10" i="8"/>
  <c r="BZ10" i="8"/>
  <c r="CA10" i="8"/>
  <c r="CB10" i="8"/>
  <c r="CC10" i="8"/>
  <c r="CD10" i="8"/>
  <c r="CE10" i="8"/>
  <c r="CF10" i="8"/>
  <c r="CG10" i="8"/>
  <c r="CH10" i="8"/>
  <c r="CI10" i="8"/>
  <c r="CJ10" i="8"/>
  <c r="CK10" i="8"/>
  <c r="CL10" i="8"/>
  <c r="CM10" i="8"/>
  <c r="CO10" i="8"/>
  <c r="CP10" i="8"/>
  <c r="CQ10" i="8"/>
  <c r="CR10" i="8"/>
  <c r="CS10" i="8"/>
  <c r="CT10" i="8"/>
  <c r="CU10" i="8"/>
  <c r="CV10" i="8"/>
  <c r="CW10" i="8"/>
  <c r="CX10" i="8"/>
  <c r="CY10" i="8"/>
  <c r="CZ10" i="8"/>
  <c r="DA10" i="8"/>
  <c r="DB10" i="8"/>
  <c r="DC10" i="8"/>
  <c r="DD10" i="8"/>
  <c r="DE10" i="8"/>
  <c r="DF10" i="8"/>
  <c r="DG10" i="8"/>
  <c r="DH10" i="8"/>
  <c r="DI10" i="8"/>
  <c r="DJ10" i="8"/>
  <c r="DK10" i="8"/>
  <c r="DL10" i="8"/>
  <c r="DM10" i="8"/>
  <c r="DN10" i="8"/>
  <c r="DO10" i="8"/>
  <c r="DP10" i="8"/>
  <c r="DQ10" i="8"/>
  <c r="DR10" i="8"/>
  <c r="BU11" i="8"/>
  <c r="BV11" i="8"/>
  <c r="BW11" i="8"/>
  <c r="BX11" i="8"/>
  <c r="BY11" i="8"/>
  <c r="BZ11" i="8"/>
  <c r="CA11" i="8"/>
  <c r="CB11" i="8"/>
  <c r="CC11" i="8"/>
  <c r="CD11" i="8"/>
  <c r="CE11" i="8"/>
  <c r="CF11" i="8"/>
  <c r="CG11" i="8"/>
  <c r="CH11" i="8"/>
  <c r="CI11" i="8"/>
  <c r="CJ11" i="8"/>
  <c r="CK11" i="8"/>
  <c r="CL11" i="8"/>
  <c r="CM11" i="8"/>
  <c r="CO11" i="8"/>
  <c r="CP11" i="8"/>
  <c r="CQ11" i="8"/>
  <c r="CR11" i="8"/>
  <c r="CS11" i="8"/>
  <c r="CT11" i="8"/>
  <c r="CU11" i="8"/>
  <c r="CV11" i="8"/>
  <c r="CW11" i="8"/>
  <c r="CX11" i="8"/>
  <c r="CY11" i="8"/>
  <c r="CZ11" i="8"/>
  <c r="DA11" i="8"/>
  <c r="DB11" i="8"/>
  <c r="DC11" i="8"/>
  <c r="DD11" i="8"/>
  <c r="DE11" i="8"/>
  <c r="DF11" i="8"/>
  <c r="DG11" i="8"/>
  <c r="DH11" i="8"/>
  <c r="DI11" i="8"/>
  <c r="DJ11" i="8"/>
  <c r="DK11" i="8"/>
  <c r="DL11" i="8"/>
  <c r="DM11" i="8"/>
  <c r="DN11" i="8"/>
  <c r="DO11" i="8"/>
  <c r="DP11" i="8"/>
  <c r="DQ11" i="8"/>
  <c r="DR11" i="8"/>
  <c r="BU12" i="8"/>
  <c r="BV12" i="8"/>
  <c r="BW12" i="8"/>
  <c r="BX12" i="8"/>
  <c r="BY12" i="8"/>
  <c r="BZ12" i="8"/>
  <c r="CA12" i="8"/>
  <c r="CB12" i="8"/>
  <c r="CC12" i="8"/>
  <c r="CD12" i="8"/>
  <c r="CE12" i="8"/>
  <c r="CF12" i="8"/>
  <c r="CG12" i="8"/>
  <c r="CH12" i="8"/>
  <c r="CI12" i="8"/>
  <c r="CJ12" i="8"/>
  <c r="CK12" i="8"/>
  <c r="CL12" i="8"/>
  <c r="CM12" i="8"/>
  <c r="CO12" i="8"/>
  <c r="CP12" i="8"/>
  <c r="CQ12" i="8"/>
  <c r="CR12" i="8"/>
  <c r="CS12" i="8"/>
  <c r="CT12" i="8"/>
  <c r="CU12" i="8"/>
  <c r="CV12" i="8"/>
  <c r="CW12" i="8"/>
  <c r="CX12" i="8"/>
  <c r="CY12" i="8"/>
  <c r="CZ12" i="8"/>
  <c r="DA12" i="8"/>
  <c r="DB12" i="8"/>
  <c r="DC12" i="8"/>
  <c r="DD12" i="8"/>
  <c r="DE12" i="8"/>
  <c r="DF12" i="8"/>
  <c r="DG12" i="8"/>
  <c r="DH12" i="8"/>
  <c r="DI12" i="8"/>
  <c r="DJ12" i="8"/>
  <c r="DK12" i="8"/>
  <c r="DL12" i="8"/>
  <c r="DM12" i="8"/>
  <c r="DN12" i="8"/>
  <c r="DO12" i="8"/>
  <c r="DP12" i="8"/>
  <c r="DQ12" i="8"/>
  <c r="DR12" i="8"/>
  <c r="BU13" i="8"/>
  <c r="BV13" i="8"/>
  <c r="BW13" i="8"/>
  <c r="BX13" i="8"/>
  <c r="BY13" i="8"/>
  <c r="BZ13" i="8"/>
  <c r="CA13" i="8"/>
  <c r="CB13" i="8"/>
  <c r="CC13" i="8"/>
  <c r="CD13" i="8"/>
  <c r="CE13" i="8"/>
  <c r="CF13" i="8"/>
  <c r="CG13" i="8"/>
  <c r="CH13" i="8"/>
  <c r="CI13" i="8"/>
  <c r="CJ13" i="8"/>
  <c r="CK13" i="8"/>
  <c r="CL13" i="8"/>
  <c r="CM13" i="8"/>
  <c r="CO13" i="8"/>
  <c r="CP13" i="8"/>
  <c r="CQ13" i="8"/>
  <c r="CR13" i="8"/>
  <c r="CS13" i="8"/>
  <c r="CT13" i="8"/>
  <c r="CU13" i="8"/>
  <c r="CV13" i="8"/>
  <c r="CW13" i="8"/>
  <c r="CX13" i="8"/>
  <c r="CY13" i="8"/>
  <c r="CZ13" i="8"/>
  <c r="DA13" i="8"/>
  <c r="DB13" i="8"/>
  <c r="DC13" i="8"/>
  <c r="DD13" i="8"/>
  <c r="DE13" i="8"/>
  <c r="DF13" i="8"/>
  <c r="DG13" i="8"/>
  <c r="DH13" i="8"/>
  <c r="DI13" i="8"/>
  <c r="DJ13" i="8"/>
  <c r="DK13" i="8"/>
  <c r="DL13" i="8"/>
  <c r="DM13" i="8"/>
  <c r="DN13" i="8"/>
  <c r="DO13" i="8"/>
  <c r="DP13" i="8"/>
  <c r="DQ13" i="8"/>
  <c r="DR13" i="8"/>
  <c r="BU14" i="8"/>
  <c r="BV14" i="8"/>
  <c r="BW14" i="8"/>
  <c r="BX14" i="8"/>
  <c r="BY14" i="8"/>
  <c r="BZ14" i="8"/>
  <c r="CA14" i="8"/>
  <c r="CB14" i="8"/>
  <c r="CC14" i="8"/>
  <c r="CD14" i="8"/>
  <c r="CE14" i="8"/>
  <c r="CF14" i="8"/>
  <c r="CG14" i="8"/>
  <c r="CH14" i="8"/>
  <c r="CI14" i="8"/>
  <c r="CJ14" i="8"/>
  <c r="CK14" i="8"/>
  <c r="CL14" i="8"/>
  <c r="CM14" i="8"/>
  <c r="CO14" i="8"/>
  <c r="CP14" i="8"/>
  <c r="CQ14" i="8"/>
  <c r="CR14" i="8"/>
  <c r="CS14" i="8"/>
  <c r="CT14" i="8"/>
  <c r="CU14" i="8"/>
  <c r="CV14" i="8"/>
  <c r="CW14" i="8"/>
  <c r="CX14" i="8"/>
  <c r="CY14" i="8"/>
  <c r="CZ14" i="8"/>
  <c r="DA14" i="8"/>
  <c r="DB14" i="8"/>
  <c r="DC14" i="8"/>
  <c r="DD14" i="8"/>
  <c r="DE14" i="8"/>
  <c r="DF14" i="8"/>
  <c r="DG14" i="8"/>
  <c r="DH14" i="8"/>
  <c r="DI14" i="8"/>
  <c r="DJ14" i="8"/>
  <c r="DK14" i="8"/>
  <c r="DL14" i="8"/>
  <c r="DM14" i="8"/>
  <c r="DN14" i="8"/>
  <c r="DO14" i="8"/>
  <c r="DP14" i="8"/>
  <c r="DQ14" i="8"/>
  <c r="DR14" i="8"/>
  <c r="BU15" i="8"/>
  <c r="BV15" i="8"/>
  <c r="BW15" i="8"/>
  <c r="BX15" i="8"/>
  <c r="BY15" i="8"/>
  <c r="BZ15" i="8"/>
  <c r="CA15" i="8"/>
  <c r="CB15" i="8"/>
  <c r="CC15" i="8"/>
  <c r="CD15" i="8"/>
  <c r="CE15" i="8"/>
  <c r="CF15" i="8"/>
  <c r="CG15" i="8"/>
  <c r="CH15" i="8"/>
  <c r="CI15" i="8"/>
  <c r="CJ15" i="8"/>
  <c r="CK15" i="8"/>
  <c r="CL15" i="8"/>
  <c r="CM15" i="8"/>
  <c r="CO15" i="8"/>
  <c r="CP15" i="8"/>
  <c r="CQ15" i="8"/>
  <c r="CR15" i="8"/>
  <c r="CS15" i="8"/>
  <c r="CT15" i="8"/>
  <c r="CU15" i="8"/>
  <c r="CV15" i="8"/>
  <c r="CW15" i="8"/>
  <c r="CX15" i="8"/>
  <c r="CY15" i="8"/>
  <c r="CZ15" i="8"/>
  <c r="DA15" i="8"/>
  <c r="DB15" i="8"/>
  <c r="DC15" i="8"/>
  <c r="DD15" i="8"/>
  <c r="DE15" i="8"/>
  <c r="DF15" i="8"/>
  <c r="DG15" i="8"/>
  <c r="DH15" i="8"/>
  <c r="DI15" i="8"/>
  <c r="DJ15" i="8"/>
  <c r="DK15" i="8"/>
  <c r="DL15" i="8"/>
  <c r="DM15" i="8"/>
  <c r="DN15" i="8"/>
  <c r="DO15" i="8"/>
  <c r="DP15" i="8"/>
  <c r="DQ15" i="8"/>
  <c r="DR15" i="8"/>
  <c r="BU16" i="8"/>
  <c r="BV16" i="8"/>
  <c r="BW16" i="8"/>
  <c r="BX16" i="8"/>
  <c r="BY16" i="8"/>
  <c r="BZ16" i="8"/>
  <c r="CA16" i="8"/>
  <c r="CB16" i="8"/>
  <c r="CC16" i="8"/>
  <c r="CD16" i="8"/>
  <c r="CE16" i="8"/>
  <c r="CF16" i="8"/>
  <c r="CG16" i="8"/>
  <c r="CH16" i="8"/>
  <c r="CI16" i="8"/>
  <c r="CJ16" i="8"/>
  <c r="CK16" i="8"/>
  <c r="CL16" i="8"/>
  <c r="CM16" i="8"/>
  <c r="CO16" i="8"/>
  <c r="CP16" i="8"/>
  <c r="CQ16" i="8"/>
  <c r="CR16" i="8"/>
  <c r="CS16" i="8"/>
  <c r="CT16" i="8"/>
  <c r="CU16" i="8"/>
  <c r="CV16" i="8"/>
  <c r="CW16" i="8"/>
  <c r="CX16" i="8"/>
  <c r="CY16" i="8"/>
  <c r="CZ16" i="8"/>
  <c r="DA16" i="8"/>
  <c r="DB16" i="8"/>
  <c r="DC16" i="8"/>
  <c r="DD16" i="8"/>
  <c r="DE16" i="8"/>
  <c r="DF16" i="8"/>
  <c r="DG16" i="8"/>
  <c r="DH16" i="8"/>
  <c r="DI16" i="8"/>
  <c r="DJ16" i="8"/>
  <c r="DK16" i="8"/>
  <c r="DL16" i="8"/>
  <c r="DM16" i="8"/>
  <c r="DN16" i="8"/>
  <c r="DO16" i="8"/>
  <c r="DP16" i="8"/>
  <c r="DQ16" i="8"/>
  <c r="DR16" i="8"/>
  <c r="BU17" i="8"/>
  <c r="BV17" i="8"/>
  <c r="BW17" i="8"/>
  <c r="BX17" i="8"/>
  <c r="BY17" i="8"/>
  <c r="BZ17" i="8"/>
  <c r="CA17" i="8"/>
  <c r="CB17" i="8"/>
  <c r="CC17" i="8"/>
  <c r="CD17" i="8"/>
  <c r="CE17" i="8"/>
  <c r="CF17" i="8"/>
  <c r="CG17" i="8"/>
  <c r="CH17" i="8"/>
  <c r="CI17" i="8"/>
  <c r="CJ17" i="8"/>
  <c r="CK17" i="8"/>
  <c r="CL17" i="8"/>
  <c r="CM17" i="8"/>
  <c r="CO17" i="8"/>
  <c r="CP17" i="8"/>
  <c r="CQ17" i="8"/>
  <c r="CR17" i="8"/>
  <c r="CS17" i="8"/>
  <c r="CT17" i="8"/>
  <c r="CU17" i="8"/>
  <c r="CV17" i="8"/>
  <c r="CW17" i="8"/>
  <c r="CX17" i="8"/>
  <c r="CY17" i="8"/>
  <c r="CZ17" i="8"/>
  <c r="DA17" i="8"/>
  <c r="DB17" i="8"/>
  <c r="DC17" i="8"/>
  <c r="DD17" i="8"/>
  <c r="DE17" i="8"/>
  <c r="DF17" i="8"/>
  <c r="DG17" i="8"/>
  <c r="DH17" i="8"/>
  <c r="DI17" i="8"/>
  <c r="DJ17" i="8"/>
  <c r="DK17" i="8"/>
  <c r="DL17" i="8"/>
  <c r="DM17" i="8"/>
  <c r="DN17" i="8"/>
  <c r="DO17" i="8"/>
  <c r="DP17" i="8"/>
  <c r="DQ17" i="8"/>
  <c r="DR17" i="8"/>
  <c r="BU18" i="8"/>
  <c r="BV18" i="8"/>
  <c r="BW18" i="8"/>
  <c r="BX18" i="8"/>
  <c r="BY18" i="8"/>
  <c r="BZ18" i="8"/>
  <c r="CA18" i="8"/>
  <c r="CB18" i="8"/>
  <c r="CC18" i="8"/>
  <c r="CD18" i="8"/>
  <c r="CE18" i="8"/>
  <c r="CF18" i="8"/>
  <c r="CG18" i="8"/>
  <c r="CH18" i="8"/>
  <c r="CI18" i="8"/>
  <c r="CJ18" i="8"/>
  <c r="CK18" i="8"/>
  <c r="CL18" i="8"/>
  <c r="CM18" i="8"/>
  <c r="CO18" i="8"/>
  <c r="CP18" i="8"/>
  <c r="CQ18" i="8"/>
  <c r="CR18" i="8"/>
  <c r="CS18" i="8"/>
  <c r="CT18" i="8"/>
  <c r="CU18" i="8"/>
  <c r="CV18" i="8"/>
  <c r="CW18" i="8"/>
  <c r="CX18" i="8"/>
  <c r="CY18" i="8"/>
  <c r="CZ18" i="8"/>
  <c r="DA18" i="8"/>
  <c r="DB18" i="8"/>
  <c r="DC18" i="8"/>
  <c r="DD18" i="8"/>
  <c r="DE18" i="8"/>
  <c r="DF18" i="8"/>
  <c r="DG18" i="8"/>
  <c r="DH18" i="8"/>
  <c r="DI18" i="8"/>
  <c r="DJ18" i="8"/>
  <c r="DK18" i="8"/>
  <c r="DL18" i="8"/>
  <c r="DM18" i="8"/>
  <c r="DN18" i="8"/>
  <c r="DO18" i="8"/>
  <c r="DP18" i="8"/>
  <c r="DQ18" i="8"/>
  <c r="DR18" i="8"/>
  <c r="BU19" i="8"/>
  <c r="BV19" i="8"/>
  <c r="BW19" i="8"/>
  <c r="BX19" i="8"/>
  <c r="BY19" i="8"/>
  <c r="BZ19" i="8"/>
  <c r="CA19" i="8"/>
  <c r="CB19" i="8"/>
  <c r="CC19" i="8"/>
  <c r="CD19" i="8"/>
  <c r="CE19" i="8"/>
  <c r="CF19" i="8"/>
  <c r="CG19" i="8"/>
  <c r="CH19" i="8"/>
  <c r="CI19" i="8"/>
  <c r="CJ19" i="8"/>
  <c r="CK19" i="8"/>
  <c r="CL19" i="8"/>
  <c r="CM19" i="8"/>
  <c r="CO19" i="8"/>
  <c r="CP19" i="8"/>
  <c r="CQ19" i="8"/>
  <c r="CR19" i="8"/>
  <c r="CS19" i="8"/>
  <c r="CT19" i="8"/>
  <c r="CU19" i="8"/>
  <c r="CV19" i="8"/>
  <c r="CW19" i="8"/>
  <c r="CX19" i="8"/>
  <c r="CY19" i="8"/>
  <c r="CZ19" i="8"/>
  <c r="DA19" i="8"/>
  <c r="DB19" i="8"/>
  <c r="DC19" i="8"/>
  <c r="DD19" i="8"/>
  <c r="DE19" i="8"/>
  <c r="DF19" i="8"/>
  <c r="DG19" i="8"/>
  <c r="DH19" i="8"/>
  <c r="DI19" i="8"/>
  <c r="DJ19" i="8"/>
  <c r="DK19" i="8"/>
  <c r="DL19" i="8"/>
  <c r="DM19" i="8"/>
  <c r="DN19" i="8"/>
  <c r="DO19" i="8"/>
  <c r="DP19" i="8"/>
  <c r="DQ19" i="8"/>
  <c r="DR19" i="8"/>
  <c r="BU20" i="8"/>
  <c r="BV20" i="8"/>
  <c r="BW20" i="8"/>
  <c r="BX20" i="8"/>
  <c r="BY20" i="8"/>
  <c r="BZ20" i="8"/>
  <c r="CA20" i="8"/>
  <c r="CB20" i="8"/>
  <c r="CC20" i="8"/>
  <c r="CD20" i="8"/>
  <c r="CE20" i="8"/>
  <c r="CF20" i="8"/>
  <c r="CG20" i="8"/>
  <c r="CH20" i="8"/>
  <c r="CI20" i="8"/>
  <c r="CJ20" i="8"/>
  <c r="CK20" i="8"/>
  <c r="CL20" i="8"/>
  <c r="CM20" i="8"/>
  <c r="CO20" i="8"/>
  <c r="CP20" i="8"/>
  <c r="CQ20" i="8"/>
  <c r="CR20" i="8"/>
  <c r="CS20" i="8"/>
  <c r="CT20" i="8"/>
  <c r="CU20" i="8"/>
  <c r="CV20" i="8"/>
  <c r="CW20" i="8"/>
  <c r="CX20" i="8"/>
  <c r="CY20" i="8"/>
  <c r="CZ20" i="8"/>
  <c r="DA20" i="8"/>
  <c r="DB20" i="8"/>
  <c r="DC20" i="8"/>
  <c r="DD20" i="8"/>
  <c r="DE20" i="8"/>
  <c r="DF20" i="8"/>
  <c r="DG20" i="8"/>
  <c r="DH20" i="8"/>
  <c r="DI20" i="8"/>
  <c r="DJ20" i="8"/>
  <c r="DK20" i="8"/>
  <c r="DL20" i="8"/>
  <c r="DM20" i="8"/>
  <c r="DN20" i="8"/>
  <c r="DO20" i="8"/>
  <c r="DP20" i="8"/>
  <c r="DQ20" i="8"/>
  <c r="DR20" i="8"/>
  <c r="BU21" i="8"/>
  <c r="BV21" i="8"/>
  <c r="BW21" i="8"/>
  <c r="BX21" i="8"/>
  <c r="BY21" i="8"/>
  <c r="BZ21" i="8"/>
  <c r="CA21" i="8"/>
  <c r="CB21" i="8"/>
  <c r="CC21" i="8"/>
  <c r="CD21" i="8"/>
  <c r="CE21" i="8"/>
  <c r="CF21" i="8"/>
  <c r="CG21" i="8"/>
  <c r="CH21" i="8"/>
  <c r="CI21" i="8"/>
  <c r="CJ21" i="8"/>
  <c r="CK21" i="8"/>
  <c r="CL21" i="8"/>
  <c r="CM21" i="8"/>
  <c r="CO21" i="8"/>
  <c r="CP21" i="8"/>
  <c r="CQ21" i="8"/>
  <c r="CR21" i="8"/>
  <c r="CS21" i="8"/>
  <c r="CT21" i="8"/>
  <c r="CU21" i="8"/>
  <c r="CV21" i="8"/>
  <c r="CW21" i="8"/>
  <c r="CX21" i="8"/>
  <c r="CY21" i="8"/>
  <c r="CZ21" i="8"/>
  <c r="DA21" i="8"/>
  <c r="DB21" i="8"/>
  <c r="DC21" i="8"/>
  <c r="DD21" i="8"/>
  <c r="DE21" i="8"/>
  <c r="DF21" i="8"/>
  <c r="DG21" i="8"/>
  <c r="DH21" i="8"/>
  <c r="DI21" i="8"/>
  <c r="DJ21" i="8"/>
  <c r="DK21" i="8"/>
  <c r="DL21" i="8"/>
  <c r="DM21" i="8"/>
  <c r="DN21" i="8"/>
  <c r="DO21" i="8"/>
  <c r="DP21" i="8"/>
  <c r="DQ21" i="8"/>
  <c r="DR21" i="8"/>
  <c r="BU22" i="8"/>
  <c r="BV22" i="8"/>
  <c r="BW22" i="8"/>
  <c r="BX22" i="8"/>
  <c r="BY22" i="8"/>
  <c r="BZ22" i="8"/>
  <c r="CA22" i="8"/>
  <c r="CB22" i="8"/>
  <c r="CC22" i="8"/>
  <c r="CD22" i="8"/>
  <c r="CE22" i="8"/>
  <c r="CF22" i="8"/>
  <c r="CG22" i="8"/>
  <c r="CH22" i="8"/>
  <c r="CI22" i="8"/>
  <c r="CJ22" i="8"/>
  <c r="CK22" i="8"/>
  <c r="CL22" i="8"/>
  <c r="CM22" i="8"/>
  <c r="CO22" i="8"/>
  <c r="CP22" i="8"/>
  <c r="CQ22" i="8"/>
  <c r="CR22" i="8"/>
  <c r="CS22" i="8"/>
  <c r="CT22" i="8"/>
  <c r="CU22" i="8"/>
  <c r="CV22" i="8"/>
  <c r="CW22" i="8"/>
  <c r="CX22" i="8"/>
  <c r="CY22" i="8"/>
  <c r="CZ22" i="8"/>
  <c r="DA22" i="8"/>
  <c r="DB22" i="8"/>
  <c r="DC22" i="8"/>
  <c r="DD22" i="8"/>
  <c r="DE22" i="8"/>
  <c r="DF22" i="8"/>
  <c r="DG22" i="8"/>
  <c r="DH22" i="8"/>
  <c r="DI22" i="8"/>
  <c r="DJ22" i="8"/>
  <c r="DK22" i="8"/>
  <c r="DL22" i="8"/>
  <c r="DM22" i="8"/>
  <c r="DN22" i="8"/>
  <c r="DO22" i="8"/>
  <c r="DP22" i="8"/>
  <c r="DQ22" i="8"/>
  <c r="DR22" i="8"/>
  <c r="BU23" i="8"/>
  <c r="BV23" i="8"/>
  <c r="BW23" i="8"/>
  <c r="BX23" i="8"/>
  <c r="BY23" i="8"/>
  <c r="BZ23" i="8"/>
  <c r="CA23" i="8"/>
  <c r="CB23" i="8"/>
  <c r="CC23" i="8"/>
  <c r="CD23" i="8"/>
  <c r="CE23" i="8"/>
  <c r="CF23" i="8"/>
  <c r="CG23" i="8"/>
  <c r="CH23" i="8"/>
  <c r="CI23" i="8"/>
  <c r="CJ23" i="8"/>
  <c r="CK23" i="8"/>
  <c r="CL23" i="8"/>
  <c r="CM23" i="8"/>
  <c r="CO23" i="8"/>
  <c r="CP23" i="8"/>
  <c r="CQ23" i="8"/>
  <c r="CR23" i="8"/>
  <c r="CS23" i="8"/>
  <c r="CT23" i="8"/>
  <c r="CU23" i="8"/>
  <c r="CV23" i="8"/>
  <c r="CW23" i="8"/>
  <c r="CX23" i="8"/>
  <c r="CY23" i="8"/>
  <c r="CZ23" i="8"/>
  <c r="DA23" i="8"/>
  <c r="DB23" i="8"/>
  <c r="DC23" i="8"/>
  <c r="DD23" i="8"/>
  <c r="DE23" i="8"/>
  <c r="DF23" i="8"/>
  <c r="DG23" i="8"/>
  <c r="DH23" i="8"/>
  <c r="DI23" i="8"/>
  <c r="DJ23" i="8"/>
  <c r="DK23" i="8"/>
  <c r="DL23" i="8"/>
  <c r="DM23" i="8"/>
  <c r="DN23" i="8"/>
  <c r="DO23" i="8"/>
  <c r="DP23" i="8"/>
  <c r="DQ23" i="8"/>
  <c r="DR23" i="8"/>
  <c r="BU24" i="8"/>
  <c r="BV24" i="8"/>
  <c r="BW24" i="8"/>
  <c r="BX24" i="8"/>
  <c r="BY24" i="8"/>
  <c r="BZ24" i="8"/>
  <c r="CA24" i="8"/>
  <c r="CB24" i="8"/>
  <c r="CC24" i="8"/>
  <c r="CD24" i="8"/>
  <c r="CE24" i="8"/>
  <c r="CF24" i="8"/>
  <c r="CG24" i="8"/>
  <c r="CH24" i="8"/>
  <c r="CI24" i="8"/>
  <c r="CJ24" i="8"/>
  <c r="CK24" i="8"/>
  <c r="CL24" i="8"/>
  <c r="CM24" i="8"/>
  <c r="CO24" i="8"/>
  <c r="CP24" i="8"/>
  <c r="CQ24" i="8"/>
  <c r="CR24" i="8"/>
  <c r="CS24" i="8"/>
  <c r="CT24" i="8"/>
  <c r="CU24" i="8"/>
  <c r="CV24" i="8"/>
  <c r="CW24" i="8"/>
  <c r="CX24" i="8"/>
  <c r="CY24" i="8"/>
  <c r="CZ24" i="8"/>
  <c r="DA24" i="8"/>
  <c r="DB24" i="8"/>
  <c r="DC24" i="8"/>
  <c r="DD24" i="8"/>
  <c r="DE24" i="8"/>
  <c r="DF24" i="8"/>
  <c r="DG24" i="8"/>
  <c r="DH24" i="8"/>
  <c r="DI24" i="8"/>
  <c r="DJ24" i="8"/>
  <c r="DK24" i="8"/>
  <c r="DL24" i="8"/>
  <c r="DM24" i="8"/>
  <c r="DN24" i="8"/>
  <c r="DO24" i="8"/>
  <c r="DP24" i="8"/>
  <c r="DQ24" i="8"/>
  <c r="DR24" i="8"/>
  <c r="BU25" i="8"/>
  <c r="BV25" i="8"/>
  <c r="BW25" i="8"/>
  <c r="BX25" i="8"/>
  <c r="BY25" i="8"/>
  <c r="BZ25" i="8"/>
  <c r="CA25" i="8"/>
  <c r="CB25" i="8"/>
  <c r="CC25" i="8"/>
  <c r="CD25" i="8"/>
  <c r="CE25" i="8"/>
  <c r="CF25" i="8"/>
  <c r="CG25" i="8"/>
  <c r="CH25" i="8"/>
  <c r="CI25" i="8"/>
  <c r="CJ25" i="8"/>
  <c r="CK25" i="8"/>
  <c r="CL25" i="8"/>
  <c r="CM25" i="8"/>
  <c r="CO25" i="8"/>
  <c r="CP25" i="8"/>
  <c r="CQ25" i="8"/>
  <c r="CR25" i="8"/>
  <c r="CS25" i="8"/>
  <c r="CT25" i="8"/>
  <c r="CU25" i="8"/>
  <c r="CV25" i="8"/>
  <c r="CW25" i="8"/>
  <c r="CX25" i="8"/>
  <c r="CY25" i="8"/>
  <c r="CZ25" i="8"/>
  <c r="DA25" i="8"/>
  <c r="DB25" i="8"/>
  <c r="DC25" i="8"/>
  <c r="DD25" i="8"/>
  <c r="DE25" i="8"/>
  <c r="DF25" i="8"/>
  <c r="DG25" i="8"/>
  <c r="DH25" i="8"/>
  <c r="DI25" i="8"/>
  <c r="DJ25" i="8"/>
  <c r="DK25" i="8"/>
  <c r="DL25" i="8"/>
  <c r="DM25" i="8"/>
  <c r="DN25" i="8"/>
  <c r="DO25" i="8"/>
  <c r="DP25" i="8"/>
  <c r="DQ25" i="8"/>
  <c r="DR25" i="8"/>
  <c r="BU26" i="8"/>
  <c r="BV26" i="8"/>
  <c r="BW26" i="8"/>
  <c r="BX26" i="8"/>
  <c r="BY26" i="8"/>
  <c r="BZ26" i="8"/>
  <c r="CA26" i="8"/>
  <c r="CB26" i="8"/>
  <c r="CC26" i="8"/>
  <c r="CD26" i="8"/>
  <c r="CE26" i="8"/>
  <c r="CF26" i="8"/>
  <c r="CG26" i="8"/>
  <c r="CH26" i="8"/>
  <c r="CI26" i="8"/>
  <c r="CJ26" i="8"/>
  <c r="CK26" i="8"/>
  <c r="CL26" i="8"/>
  <c r="CM26" i="8"/>
  <c r="CO26" i="8"/>
  <c r="CP26" i="8"/>
  <c r="CQ26" i="8"/>
  <c r="CR26" i="8"/>
  <c r="CS26" i="8"/>
  <c r="CT26" i="8"/>
  <c r="CU26" i="8"/>
  <c r="CV26" i="8"/>
  <c r="CW26" i="8"/>
  <c r="CX26" i="8"/>
  <c r="CY26" i="8"/>
  <c r="CZ26" i="8"/>
  <c r="DA26" i="8"/>
  <c r="DB26" i="8"/>
  <c r="DC26" i="8"/>
  <c r="DD26" i="8"/>
  <c r="DE26" i="8"/>
  <c r="DF26" i="8"/>
  <c r="DG26" i="8"/>
  <c r="DH26" i="8"/>
  <c r="DI26" i="8"/>
  <c r="DJ26" i="8"/>
  <c r="DK26" i="8"/>
  <c r="DL26" i="8"/>
  <c r="DM26" i="8"/>
  <c r="DN26" i="8"/>
  <c r="DO26" i="8"/>
  <c r="DP26" i="8"/>
  <c r="DQ26" i="8"/>
  <c r="DR26" i="8"/>
  <c r="BU27" i="8"/>
  <c r="BV27" i="8"/>
  <c r="BW27" i="8"/>
  <c r="BX27" i="8"/>
  <c r="BY27" i="8"/>
  <c r="BZ27" i="8"/>
  <c r="CA27" i="8"/>
  <c r="CB27" i="8"/>
  <c r="CC27" i="8"/>
  <c r="CD27" i="8"/>
  <c r="CE27" i="8"/>
  <c r="CF27" i="8"/>
  <c r="CG27" i="8"/>
  <c r="CH27" i="8"/>
  <c r="CI27" i="8"/>
  <c r="CJ27" i="8"/>
  <c r="CK27" i="8"/>
  <c r="CL27" i="8"/>
  <c r="CM27" i="8"/>
  <c r="CO27" i="8"/>
  <c r="CP27" i="8"/>
  <c r="CQ27" i="8"/>
  <c r="CR27" i="8"/>
  <c r="CS27" i="8"/>
  <c r="CT27" i="8"/>
  <c r="CU27" i="8"/>
  <c r="CV27" i="8"/>
  <c r="CW27" i="8"/>
  <c r="CX27" i="8"/>
  <c r="CY27" i="8"/>
  <c r="CZ27" i="8"/>
  <c r="DA27" i="8"/>
  <c r="DB27" i="8"/>
  <c r="DC27" i="8"/>
  <c r="DD27" i="8"/>
  <c r="DE27" i="8"/>
  <c r="DF27" i="8"/>
  <c r="DG27" i="8"/>
  <c r="DH27" i="8"/>
  <c r="DI27" i="8"/>
  <c r="DJ27" i="8"/>
  <c r="DK27" i="8"/>
  <c r="DL27" i="8"/>
  <c r="DM27" i="8"/>
  <c r="DN27" i="8"/>
  <c r="DO27" i="8"/>
  <c r="DP27" i="8"/>
  <c r="DQ27" i="8"/>
  <c r="DR27" i="8"/>
  <c r="BU28" i="8"/>
  <c r="BV28" i="8"/>
  <c r="BW28" i="8"/>
  <c r="BX28" i="8"/>
  <c r="BY28" i="8"/>
  <c r="BZ28" i="8"/>
  <c r="CA28" i="8"/>
  <c r="CB28" i="8"/>
  <c r="CC28" i="8"/>
  <c r="CD28" i="8"/>
  <c r="CE28" i="8"/>
  <c r="CF28" i="8"/>
  <c r="CG28" i="8"/>
  <c r="CH28" i="8"/>
  <c r="CI28" i="8"/>
  <c r="CJ28" i="8"/>
  <c r="CK28" i="8"/>
  <c r="CL28" i="8"/>
  <c r="CM28" i="8"/>
  <c r="CO28" i="8"/>
  <c r="CP28" i="8"/>
  <c r="CQ28" i="8"/>
  <c r="CR28" i="8"/>
  <c r="CS28" i="8"/>
  <c r="CT28" i="8"/>
  <c r="CU28" i="8"/>
  <c r="CV28" i="8"/>
  <c r="CW28" i="8"/>
  <c r="CX28" i="8"/>
  <c r="CY28" i="8"/>
  <c r="CZ28" i="8"/>
  <c r="DA28" i="8"/>
  <c r="DB28" i="8"/>
  <c r="DC28" i="8"/>
  <c r="DD28" i="8"/>
  <c r="DE28" i="8"/>
  <c r="DF28" i="8"/>
  <c r="DG28" i="8"/>
  <c r="DH28" i="8"/>
  <c r="DI28" i="8"/>
  <c r="DJ28" i="8"/>
  <c r="DK28" i="8"/>
  <c r="DL28" i="8"/>
  <c r="DM28" i="8"/>
  <c r="DN28" i="8"/>
  <c r="DO28" i="8"/>
  <c r="DP28" i="8"/>
  <c r="DQ28" i="8"/>
  <c r="DR28" i="8"/>
  <c r="BU29" i="8"/>
  <c r="BV29" i="8"/>
  <c r="BW29" i="8"/>
  <c r="BX29" i="8"/>
  <c r="BY29" i="8"/>
  <c r="BZ29" i="8"/>
  <c r="CA29" i="8"/>
  <c r="CB29" i="8"/>
  <c r="CC29" i="8"/>
  <c r="CD29" i="8"/>
  <c r="CE29" i="8"/>
  <c r="CF29" i="8"/>
  <c r="CG29" i="8"/>
  <c r="CH29" i="8"/>
  <c r="CI29" i="8"/>
  <c r="CJ29" i="8"/>
  <c r="CK29" i="8"/>
  <c r="CL29" i="8"/>
  <c r="CM29" i="8"/>
  <c r="CO29" i="8"/>
  <c r="CP29" i="8"/>
  <c r="CQ29" i="8"/>
  <c r="CR29" i="8"/>
  <c r="CS29" i="8"/>
  <c r="CT29" i="8"/>
  <c r="CU29" i="8"/>
  <c r="CV29" i="8"/>
  <c r="CW29" i="8"/>
  <c r="CX29" i="8"/>
  <c r="CY29" i="8"/>
  <c r="CZ29" i="8"/>
  <c r="DA29" i="8"/>
  <c r="DB29" i="8"/>
  <c r="DC29" i="8"/>
  <c r="DD29" i="8"/>
  <c r="DE29" i="8"/>
  <c r="DF29" i="8"/>
  <c r="DG29" i="8"/>
  <c r="DH29" i="8"/>
  <c r="DI29" i="8"/>
  <c r="DJ29" i="8"/>
  <c r="DK29" i="8"/>
  <c r="DL29" i="8"/>
  <c r="DM29" i="8"/>
  <c r="DN29" i="8"/>
  <c r="DO29" i="8"/>
  <c r="DP29" i="8"/>
  <c r="DQ29" i="8"/>
  <c r="DR29" i="8"/>
  <c r="BU30" i="8"/>
  <c r="BV30" i="8"/>
  <c r="BW30" i="8"/>
  <c r="BX30" i="8"/>
  <c r="BY30" i="8"/>
  <c r="BZ30" i="8"/>
  <c r="CA30" i="8"/>
  <c r="CB30" i="8"/>
  <c r="CC30" i="8"/>
  <c r="CD30" i="8"/>
  <c r="CE30" i="8"/>
  <c r="CF30" i="8"/>
  <c r="CG30" i="8"/>
  <c r="CH30" i="8"/>
  <c r="CI30" i="8"/>
  <c r="CJ30" i="8"/>
  <c r="CK30" i="8"/>
  <c r="CL30" i="8"/>
  <c r="CM30" i="8"/>
  <c r="CO30" i="8"/>
  <c r="CP30" i="8"/>
  <c r="CQ30" i="8"/>
  <c r="CR30" i="8"/>
  <c r="CS30" i="8"/>
  <c r="CT30" i="8"/>
  <c r="CU30" i="8"/>
  <c r="CV30" i="8"/>
  <c r="CW30" i="8"/>
  <c r="CX30" i="8"/>
  <c r="CY30" i="8"/>
  <c r="CZ30" i="8"/>
  <c r="DA30" i="8"/>
  <c r="DB30" i="8"/>
  <c r="DC30" i="8"/>
  <c r="DD30" i="8"/>
  <c r="DE30" i="8"/>
  <c r="DF30" i="8"/>
  <c r="DG30" i="8"/>
  <c r="DH30" i="8"/>
  <c r="DI30" i="8"/>
  <c r="DJ30" i="8"/>
  <c r="DK30" i="8"/>
  <c r="DL30" i="8"/>
  <c r="DM30" i="8"/>
  <c r="DN30" i="8"/>
  <c r="DO30" i="8"/>
  <c r="DP30" i="8"/>
  <c r="DQ30" i="8"/>
  <c r="DR30" i="8"/>
  <c r="BU31" i="8"/>
  <c r="BV31" i="8"/>
  <c r="BW31" i="8"/>
  <c r="BX31" i="8"/>
  <c r="BY31" i="8"/>
  <c r="BZ31" i="8"/>
  <c r="CA31" i="8"/>
  <c r="CB31" i="8"/>
  <c r="CC31" i="8"/>
  <c r="CD31" i="8"/>
  <c r="CE31" i="8"/>
  <c r="CF31" i="8"/>
  <c r="CG31" i="8"/>
  <c r="CH31" i="8"/>
  <c r="CI31" i="8"/>
  <c r="CJ31" i="8"/>
  <c r="CK31" i="8"/>
  <c r="CL31" i="8"/>
  <c r="CM31" i="8"/>
  <c r="CO31" i="8"/>
  <c r="CP31" i="8"/>
  <c r="CQ31" i="8"/>
  <c r="CR31" i="8"/>
  <c r="CS31" i="8"/>
  <c r="CT31" i="8"/>
  <c r="CU31" i="8"/>
  <c r="CV31" i="8"/>
  <c r="CW31" i="8"/>
  <c r="CX31" i="8"/>
  <c r="CY31" i="8"/>
  <c r="CZ31" i="8"/>
  <c r="DA31" i="8"/>
  <c r="DB31" i="8"/>
  <c r="DC31" i="8"/>
  <c r="DD31" i="8"/>
  <c r="DE31" i="8"/>
  <c r="DF31" i="8"/>
  <c r="DG31" i="8"/>
  <c r="DH31" i="8"/>
  <c r="DI31" i="8"/>
  <c r="DJ31" i="8"/>
  <c r="DK31" i="8"/>
  <c r="DL31" i="8"/>
  <c r="DM31" i="8"/>
  <c r="DN31" i="8"/>
  <c r="DO31" i="8"/>
  <c r="DP31" i="8"/>
  <c r="DQ31" i="8"/>
  <c r="DR31" i="8"/>
  <c r="BU32" i="8"/>
  <c r="BV32" i="8"/>
  <c r="BW32" i="8"/>
  <c r="BX32" i="8"/>
  <c r="BY32" i="8"/>
  <c r="BZ32" i="8"/>
  <c r="CA32" i="8"/>
  <c r="CB32" i="8"/>
  <c r="CC32" i="8"/>
  <c r="CD32" i="8"/>
  <c r="CE32" i="8"/>
  <c r="CF32" i="8"/>
  <c r="CG32" i="8"/>
  <c r="CH32" i="8"/>
  <c r="CI32" i="8"/>
  <c r="CJ32" i="8"/>
  <c r="CK32" i="8"/>
  <c r="CL32" i="8"/>
  <c r="CM32" i="8"/>
  <c r="CO32" i="8"/>
  <c r="CP32" i="8"/>
  <c r="CQ32" i="8"/>
  <c r="CR32" i="8"/>
  <c r="CS32" i="8"/>
  <c r="CT32" i="8"/>
  <c r="CU32" i="8"/>
  <c r="CV32" i="8"/>
  <c r="CW32" i="8"/>
  <c r="CX32" i="8"/>
  <c r="CY32" i="8"/>
  <c r="CZ32" i="8"/>
  <c r="DA32" i="8"/>
  <c r="DB32" i="8"/>
  <c r="DC32" i="8"/>
  <c r="DD32" i="8"/>
  <c r="DE32" i="8"/>
  <c r="DF32" i="8"/>
  <c r="DG32" i="8"/>
  <c r="DH32" i="8"/>
  <c r="DI32" i="8"/>
  <c r="DJ32" i="8"/>
  <c r="DK32" i="8"/>
  <c r="DL32" i="8"/>
  <c r="DM32" i="8"/>
  <c r="DN32" i="8"/>
  <c r="DO32" i="8"/>
  <c r="DP32" i="8"/>
  <c r="DQ32" i="8"/>
  <c r="DR32" i="8"/>
  <c r="BU33" i="8"/>
  <c r="BV33" i="8"/>
  <c r="BW33" i="8"/>
  <c r="BX33" i="8"/>
  <c r="BY33" i="8"/>
  <c r="BZ33" i="8"/>
  <c r="CA33" i="8"/>
  <c r="CB33" i="8"/>
  <c r="CC33" i="8"/>
  <c r="CD33" i="8"/>
  <c r="CE33" i="8"/>
  <c r="CF33" i="8"/>
  <c r="CG33" i="8"/>
  <c r="CH33" i="8"/>
  <c r="CI33" i="8"/>
  <c r="CJ33" i="8"/>
  <c r="CK33" i="8"/>
  <c r="CL33" i="8"/>
  <c r="CM33" i="8"/>
  <c r="CO33" i="8"/>
  <c r="CP33" i="8"/>
  <c r="CQ33" i="8"/>
  <c r="CR33" i="8"/>
  <c r="CS33" i="8"/>
  <c r="CT33" i="8"/>
  <c r="CU33" i="8"/>
  <c r="CV33" i="8"/>
  <c r="CW33" i="8"/>
  <c r="CX33" i="8"/>
  <c r="CY33" i="8"/>
  <c r="CZ33" i="8"/>
  <c r="DA33" i="8"/>
  <c r="DB33" i="8"/>
  <c r="DC33" i="8"/>
  <c r="DD33" i="8"/>
  <c r="DE33" i="8"/>
  <c r="DF33" i="8"/>
  <c r="DG33" i="8"/>
  <c r="DH33" i="8"/>
  <c r="DI33" i="8"/>
  <c r="DJ33" i="8"/>
  <c r="DK33" i="8"/>
  <c r="DL33" i="8"/>
  <c r="DM33" i="8"/>
  <c r="DN33" i="8"/>
  <c r="DO33" i="8"/>
  <c r="DP33" i="8"/>
  <c r="DQ33" i="8"/>
  <c r="DR33" i="8"/>
  <c r="BU34" i="8"/>
  <c r="BV34" i="8"/>
  <c r="BW34" i="8"/>
  <c r="BX34" i="8"/>
  <c r="BY34" i="8"/>
  <c r="BZ34" i="8"/>
  <c r="CA34" i="8"/>
  <c r="CB34" i="8"/>
  <c r="CC34" i="8"/>
  <c r="CD34" i="8"/>
  <c r="CE34" i="8"/>
  <c r="CF34" i="8"/>
  <c r="CG34" i="8"/>
  <c r="CH34" i="8"/>
  <c r="CI34" i="8"/>
  <c r="CJ34" i="8"/>
  <c r="CK34" i="8"/>
  <c r="CL34" i="8"/>
  <c r="CM34" i="8"/>
  <c r="CO34" i="8"/>
  <c r="CP34" i="8"/>
  <c r="CQ34" i="8"/>
  <c r="CR34" i="8"/>
  <c r="CS34" i="8"/>
  <c r="CT34" i="8"/>
  <c r="CU34" i="8"/>
  <c r="CV34" i="8"/>
  <c r="CW34" i="8"/>
  <c r="CX34" i="8"/>
  <c r="CY34" i="8"/>
  <c r="CZ34" i="8"/>
  <c r="DA34" i="8"/>
  <c r="DB34" i="8"/>
  <c r="DC34" i="8"/>
  <c r="DD34" i="8"/>
  <c r="DE34" i="8"/>
  <c r="DF34" i="8"/>
  <c r="DG34" i="8"/>
  <c r="DH34" i="8"/>
  <c r="DI34" i="8"/>
  <c r="DJ34" i="8"/>
  <c r="DK34" i="8"/>
  <c r="DL34" i="8"/>
  <c r="DM34" i="8"/>
  <c r="DN34" i="8"/>
  <c r="DO34" i="8"/>
  <c r="DP34" i="8"/>
  <c r="DQ34" i="8"/>
  <c r="DR34" i="8"/>
  <c r="BU35" i="8"/>
  <c r="BV35" i="8"/>
  <c r="BW35" i="8"/>
  <c r="BX35" i="8"/>
  <c r="BY35" i="8"/>
  <c r="BZ35" i="8"/>
  <c r="CA35" i="8"/>
  <c r="CB35" i="8"/>
  <c r="CC35" i="8"/>
  <c r="CD35" i="8"/>
  <c r="CE35" i="8"/>
  <c r="CF35" i="8"/>
  <c r="CG35" i="8"/>
  <c r="CH35" i="8"/>
  <c r="CI35" i="8"/>
  <c r="CJ35" i="8"/>
  <c r="CK35" i="8"/>
  <c r="CL35" i="8"/>
  <c r="CM35" i="8"/>
  <c r="CO35" i="8"/>
  <c r="CP35" i="8"/>
  <c r="CQ35" i="8"/>
  <c r="CR35" i="8"/>
  <c r="CS35" i="8"/>
  <c r="CT35" i="8"/>
  <c r="CU35" i="8"/>
  <c r="CV35" i="8"/>
  <c r="CW35" i="8"/>
  <c r="CX35" i="8"/>
  <c r="CY35" i="8"/>
  <c r="CZ35" i="8"/>
  <c r="DA35" i="8"/>
  <c r="DB35" i="8"/>
  <c r="DC35" i="8"/>
  <c r="DD35" i="8"/>
  <c r="DE35" i="8"/>
  <c r="DF35" i="8"/>
  <c r="DG35" i="8"/>
  <c r="DH35" i="8"/>
  <c r="DI35" i="8"/>
  <c r="DJ35" i="8"/>
  <c r="DK35" i="8"/>
  <c r="DL35" i="8"/>
  <c r="DM35" i="8"/>
  <c r="DN35" i="8"/>
  <c r="DO35" i="8"/>
  <c r="DP35" i="8"/>
  <c r="DQ35" i="8"/>
  <c r="DR35" i="8"/>
  <c r="BU36" i="8"/>
  <c r="BV36" i="8"/>
  <c r="BW36" i="8"/>
  <c r="BX36" i="8"/>
  <c r="BY36" i="8"/>
  <c r="BZ36" i="8"/>
  <c r="CA36" i="8"/>
  <c r="CB36" i="8"/>
  <c r="CC36" i="8"/>
  <c r="CD36" i="8"/>
  <c r="CE36" i="8"/>
  <c r="CF36" i="8"/>
  <c r="CG36" i="8"/>
  <c r="CH36" i="8"/>
  <c r="CI36" i="8"/>
  <c r="CJ36" i="8"/>
  <c r="CK36" i="8"/>
  <c r="CL36" i="8"/>
  <c r="CM36" i="8"/>
  <c r="CO36" i="8"/>
  <c r="CP36" i="8"/>
  <c r="CQ36" i="8"/>
  <c r="CR36" i="8"/>
  <c r="CS36" i="8"/>
  <c r="CT36" i="8"/>
  <c r="CU36" i="8"/>
  <c r="CV36" i="8"/>
  <c r="CW36" i="8"/>
  <c r="CX36" i="8"/>
  <c r="CY36" i="8"/>
  <c r="CZ36" i="8"/>
  <c r="DA36" i="8"/>
  <c r="DB36" i="8"/>
  <c r="DC36" i="8"/>
  <c r="DD36" i="8"/>
  <c r="DE36" i="8"/>
  <c r="DF36" i="8"/>
  <c r="DG36" i="8"/>
  <c r="DH36" i="8"/>
  <c r="DI36" i="8"/>
  <c r="DJ36" i="8"/>
  <c r="DK36" i="8"/>
  <c r="DL36" i="8"/>
  <c r="DM36" i="8"/>
  <c r="DN36" i="8"/>
  <c r="DO36" i="8"/>
  <c r="DP36" i="8"/>
  <c r="DQ36" i="8"/>
  <c r="DR36" i="8"/>
  <c r="BU37" i="8"/>
  <c r="BV37" i="8"/>
  <c r="BW37" i="8"/>
  <c r="BX37" i="8"/>
  <c r="BY37" i="8"/>
  <c r="BZ37" i="8"/>
  <c r="CA37" i="8"/>
  <c r="CB37" i="8"/>
  <c r="CC37" i="8"/>
  <c r="CD37" i="8"/>
  <c r="CE37" i="8"/>
  <c r="CF37" i="8"/>
  <c r="CG37" i="8"/>
  <c r="CH37" i="8"/>
  <c r="CI37" i="8"/>
  <c r="CJ37" i="8"/>
  <c r="CK37" i="8"/>
  <c r="CL37" i="8"/>
  <c r="CM37" i="8"/>
  <c r="CO37" i="8"/>
  <c r="CP37" i="8"/>
  <c r="CQ37" i="8"/>
  <c r="CR37" i="8"/>
  <c r="CS37" i="8"/>
  <c r="CT37" i="8"/>
  <c r="CU37" i="8"/>
  <c r="CV37" i="8"/>
  <c r="CW37" i="8"/>
  <c r="CX37" i="8"/>
  <c r="CY37" i="8"/>
  <c r="CZ37" i="8"/>
  <c r="DA37" i="8"/>
  <c r="DB37" i="8"/>
  <c r="DC37" i="8"/>
  <c r="DD37" i="8"/>
  <c r="DE37" i="8"/>
  <c r="DF37" i="8"/>
  <c r="DG37" i="8"/>
  <c r="DH37" i="8"/>
  <c r="DI37" i="8"/>
  <c r="DJ37" i="8"/>
  <c r="DK37" i="8"/>
  <c r="DL37" i="8"/>
  <c r="DM37" i="8"/>
  <c r="DN37" i="8"/>
  <c r="DO37" i="8"/>
  <c r="DP37" i="8"/>
  <c r="DQ37" i="8"/>
  <c r="DR37" i="8"/>
  <c r="BU38" i="8"/>
  <c r="BV38" i="8"/>
  <c r="BW38" i="8"/>
  <c r="BX38" i="8"/>
  <c r="BY38" i="8"/>
  <c r="BZ38" i="8"/>
  <c r="CA38" i="8"/>
  <c r="CB38" i="8"/>
  <c r="CC38" i="8"/>
  <c r="CD38" i="8"/>
  <c r="CE38" i="8"/>
  <c r="CF38" i="8"/>
  <c r="CG38" i="8"/>
  <c r="CH38" i="8"/>
  <c r="CI38" i="8"/>
  <c r="CJ38" i="8"/>
  <c r="CK38" i="8"/>
  <c r="CL38" i="8"/>
  <c r="CM38" i="8"/>
  <c r="CO38" i="8"/>
  <c r="CP38" i="8"/>
  <c r="CQ38" i="8"/>
  <c r="CR38" i="8"/>
  <c r="CS38" i="8"/>
  <c r="CT38" i="8"/>
  <c r="CU38" i="8"/>
  <c r="CV38" i="8"/>
  <c r="CW38" i="8"/>
  <c r="CX38" i="8"/>
  <c r="CY38" i="8"/>
  <c r="CZ38" i="8"/>
  <c r="DA38" i="8"/>
  <c r="DB38" i="8"/>
  <c r="DC38" i="8"/>
  <c r="DD38" i="8"/>
  <c r="DE38" i="8"/>
  <c r="DF38" i="8"/>
  <c r="DG38" i="8"/>
  <c r="DH38" i="8"/>
  <c r="DI38" i="8"/>
  <c r="DJ38" i="8"/>
  <c r="DK38" i="8"/>
  <c r="DL38" i="8"/>
  <c r="DM38" i="8"/>
  <c r="DN38" i="8"/>
  <c r="DO38" i="8"/>
  <c r="DP38" i="8"/>
  <c r="DQ38" i="8"/>
  <c r="DR38" i="8"/>
  <c r="BU39" i="8"/>
  <c r="BV39" i="8"/>
  <c r="BW39" i="8"/>
  <c r="BX39" i="8"/>
  <c r="BY39" i="8"/>
  <c r="BZ39" i="8"/>
  <c r="CA39" i="8"/>
  <c r="CB39" i="8"/>
  <c r="CC39" i="8"/>
  <c r="CD39" i="8"/>
  <c r="CE39" i="8"/>
  <c r="CF39" i="8"/>
  <c r="CG39" i="8"/>
  <c r="CH39" i="8"/>
  <c r="CI39" i="8"/>
  <c r="CJ39" i="8"/>
  <c r="CK39" i="8"/>
  <c r="CL39" i="8"/>
  <c r="CM39" i="8"/>
  <c r="CO39" i="8"/>
  <c r="CP39" i="8"/>
  <c r="CQ39" i="8"/>
  <c r="CR39" i="8"/>
  <c r="CS39" i="8"/>
  <c r="CT39" i="8"/>
  <c r="CU39" i="8"/>
  <c r="CV39" i="8"/>
  <c r="CW39" i="8"/>
  <c r="CX39" i="8"/>
  <c r="CY39" i="8"/>
  <c r="CZ39" i="8"/>
  <c r="DA39" i="8"/>
  <c r="DB39" i="8"/>
  <c r="DC39" i="8"/>
  <c r="DD39" i="8"/>
  <c r="DE39" i="8"/>
  <c r="DF39" i="8"/>
  <c r="DG39" i="8"/>
  <c r="DH39" i="8"/>
  <c r="DI39" i="8"/>
  <c r="DJ39" i="8"/>
  <c r="DK39" i="8"/>
  <c r="DL39" i="8"/>
  <c r="DM39" i="8"/>
  <c r="DN39" i="8"/>
  <c r="DO39" i="8"/>
  <c r="DP39" i="8"/>
  <c r="DQ39" i="8"/>
  <c r="DR39" i="8"/>
  <c r="BU40" i="8"/>
  <c r="BV40" i="8"/>
  <c r="BW40" i="8"/>
  <c r="BX40" i="8"/>
  <c r="BY40" i="8"/>
  <c r="BZ40" i="8"/>
  <c r="CA40" i="8"/>
  <c r="CB40" i="8"/>
  <c r="CC40" i="8"/>
  <c r="CD40" i="8"/>
  <c r="CE40" i="8"/>
  <c r="CF40" i="8"/>
  <c r="CG40" i="8"/>
  <c r="CH40" i="8"/>
  <c r="CI40" i="8"/>
  <c r="CJ40" i="8"/>
  <c r="CK40" i="8"/>
  <c r="CL40" i="8"/>
  <c r="CM40" i="8"/>
  <c r="CO40" i="8"/>
  <c r="CP40" i="8"/>
  <c r="CQ40" i="8"/>
  <c r="CR40" i="8"/>
  <c r="CS40" i="8"/>
  <c r="CT40" i="8"/>
  <c r="CU40" i="8"/>
  <c r="CV40" i="8"/>
  <c r="CW40" i="8"/>
  <c r="CX40" i="8"/>
  <c r="CY40" i="8"/>
  <c r="CZ40" i="8"/>
  <c r="DA40" i="8"/>
  <c r="DB40" i="8"/>
  <c r="DC40" i="8"/>
  <c r="DD40" i="8"/>
  <c r="DE40" i="8"/>
  <c r="DF40" i="8"/>
  <c r="DG40" i="8"/>
  <c r="DH40" i="8"/>
  <c r="DI40" i="8"/>
  <c r="DJ40" i="8"/>
  <c r="DK40" i="8"/>
  <c r="DL40" i="8"/>
  <c r="DM40" i="8"/>
  <c r="DN40" i="8"/>
  <c r="DO40" i="8"/>
  <c r="DP40" i="8"/>
  <c r="DQ40" i="8"/>
  <c r="DR40" i="8"/>
  <c r="BU41" i="8"/>
  <c r="BV41" i="8"/>
  <c r="BW41" i="8"/>
  <c r="BX41" i="8"/>
  <c r="BY41" i="8"/>
  <c r="BZ41" i="8"/>
  <c r="CA41" i="8"/>
  <c r="CB41" i="8"/>
  <c r="CC41" i="8"/>
  <c r="CD41" i="8"/>
  <c r="CE41" i="8"/>
  <c r="CF41" i="8"/>
  <c r="CG41" i="8"/>
  <c r="CH41" i="8"/>
  <c r="CI41" i="8"/>
  <c r="CJ41" i="8"/>
  <c r="CK41" i="8"/>
  <c r="CL41" i="8"/>
  <c r="CM41" i="8"/>
  <c r="CO41" i="8"/>
  <c r="CP41" i="8"/>
  <c r="CQ41" i="8"/>
  <c r="CR41" i="8"/>
  <c r="CS41" i="8"/>
  <c r="CT41" i="8"/>
  <c r="CU41" i="8"/>
  <c r="CV41" i="8"/>
  <c r="CW41" i="8"/>
  <c r="CX41" i="8"/>
  <c r="CY41" i="8"/>
  <c r="CZ41" i="8"/>
  <c r="DA41" i="8"/>
  <c r="DB41" i="8"/>
  <c r="DC41" i="8"/>
  <c r="DD41" i="8"/>
  <c r="DE41" i="8"/>
  <c r="DF41" i="8"/>
  <c r="DG41" i="8"/>
  <c r="DH41" i="8"/>
  <c r="DI41" i="8"/>
  <c r="DJ41" i="8"/>
  <c r="DK41" i="8"/>
  <c r="DL41" i="8"/>
  <c r="DM41" i="8"/>
  <c r="DN41" i="8"/>
  <c r="DO41" i="8"/>
  <c r="DP41" i="8"/>
  <c r="DQ41" i="8"/>
  <c r="DR41" i="8"/>
  <c r="BU42" i="8"/>
  <c r="BV42" i="8"/>
  <c r="BW42" i="8"/>
  <c r="BX42" i="8"/>
  <c r="BY42" i="8"/>
  <c r="BZ42" i="8"/>
  <c r="CA42" i="8"/>
  <c r="CB42" i="8"/>
  <c r="CC42" i="8"/>
  <c r="CD42" i="8"/>
  <c r="CE42" i="8"/>
  <c r="CF42" i="8"/>
  <c r="CG42" i="8"/>
  <c r="CH42" i="8"/>
  <c r="CI42" i="8"/>
  <c r="CJ42" i="8"/>
  <c r="CK42" i="8"/>
  <c r="CL42" i="8"/>
  <c r="CM42" i="8"/>
  <c r="CO42" i="8"/>
  <c r="CP42" i="8"/>
  <c r="CQ42" i="8"/>
  <c r="CR42" i="8"/>
  <c r="CS42" i="8"/>
  <c r="CT42" i="8"/>
  <c r="CU42" i="8"/>
  <c r="CV42" i="8"/>
  <c r="CW42" i="8"/>
  <c r="CX42" i="8"/>
  <c r="CY42" i="8"/>
  <c r="CZ42" i="8"/>
  <c r="DA42" i="8"/>
  <c r="DB42" i="8"/>
  <c r="DC42" i="8"/>
  <c r="DD42" i="8"/>
  <c r="DE42" i="8"/>
  <c r="DF42" i="8"/>
  <c r="DG42" i="8"/>
  <c r="DH42" i="8"/>
  <c r="DI42" i="8"/>
  <c r="DJ42" i="8"/>
  <c r="DK42" i="8"/>
  <c r="DL42" i="8"/>
  <c r="DM42" i="8"/>
  <c r="DN42" i="8"/>
  <c r="DO42" i="8"/>
  <c r="DP42" i="8"/>
  <c r="DQ42" i="8"/>
  <c r="DR42" i="8"/>
  <c r="BU43" i="8"/>
  <c r="BV43" i="8"/>
  <c r="BW43" i="8"/>
  <c r="BX43" i="8"/>
  <c r="BY43" i="8"/>
  <c r="BZ43" i="8"/>
  <c r="CA43" i="8"/>
  <c r="CB43" i="8"/>
  <c r="CC43" i="8"/>
  <c r="CD43" i="8"/>
  <c r="CE43" i="8"/>
  <c r="CF43" i="8"/>
  <c r="CG43" i="8"/>
  <c r="CH43" i="8"/>
  <c r="CI43" i="8"/>
  <c r="CJ43" i="8"/>
  <c r="CK43" i="8"/>
  <c r="CL43" i="8"/>
  <c r="CM43" i="8"/>
  <c r="CO43" i="8"/>
  <c r="CP43" i="8"/>
  <c r="CQ43" i="8"/>
  <c r="CR43" i="8"/>
  <c r="CS43" i="8"/>
  <c r="CT43" i="8"/>
  <c r="CU43" i="8"/>
  <c r="CV43" i="8"/>
  <c r="CW43" i="8"/>
  <c r="CX43" i="8"/>
  <c r="CY43" i="8"/>
  <c r="CZ43" i="8"/>
  <c r="DA43" i="8"/>
  <c r="DB43" i="8"/>
  <c r="DC43" i="8"/>
  <c r="DD43" i="8"/>
  <c r="DE43" i="8"/>
  <c r="DF43" i="8"/>
  <c r="DG43" i="8"/>
  <c r="DH43" i="8"/>
  <c r="DI43" i="8"/>
  <c r="DJ43" i="8"/>
  <c r="DK43" i="8"/>
  <c r="DL43" i="8"/>
  <c r="DM43" i="8"/>
  <c r="DN43" i="8"/>
  <c r="DO43" i="8"/>
  <c r="DP43" i="8"/>
  <c r="DQ43" i="8"/>
  <c r="DR43" i="8"/>
  <c r="BU44" i="8"/>
  <c r="BV44" i="8"/>
  <c r="BW44" i="8"/>
  <c r="BX44" i="8"/>
  <c r="BY44" i="8"/>
  <c r="BZ44" i="8"/>
  <c r="CA44" i="8"/>
  <c r="CB44" i="8"/>
  <c r="CC44" i="8"/>
  <c r="CD44" i="8"/>
  <c r="CE44" i="8"/>
  <c r="CF44" i="8"/>
  <c r="CG44" i="8"/>
  <c r="CH44" i="8"/>
  <c r="CI44" i="8"/>
  <c r="CJ44" i="8"/>
  <c r="CK44" i="8"/>
  <c r="CL44" i="8"/>
  <c r="CM44" i="8"/>
  <c r="CO44" i="8"/>
  <c r="CP44" i="8"/>
  <c r="CQ44" i="8"/>
  <c r="CR44" i="8"/>
  <c r="CS44" i="8"/>
  <c r="CT44" i="8"/>
  <c r="CU44" i="8"/>
  <c r="CV44" i="8"/>
  <c r="CW44" i="8"/>
  <c r="CX44" i="8"/>
  <c r="CY44" i="8"/>
  <c r="CZ44" i="8"/>
  <c r="DA44" i="8"/>
  <c r="DB44" i="8"/>
  <c r="DC44" i="8"/>
  <c r="DD44" i="8"/>
  <c r="DE44" i="8"/>
  <c r="DF44" i="8"/>
  <c r="DG44" i="8"/>
  <c r="DH44" i="8"/>
  <c r="DI44" i="8"/>
  <c r="DJ44" i="8"/>
  <c r="DK44" i="8"/>
  <c r="DL44" i="8"/>
  <c r="DM44" i="8"/>
  <c r="DN44" i="8"/>
  <c r="DO44" i="8"/>
  <c r="DP44" i="8"/>
  <c r="DQ44" i="8"/>
  <c r="DR44" i="8"/>
  <c r="DR5" i="8"/>
  <c r="DQ5" i="8"/>
  <c r="DP5" i="8"/>
  <c r="DO5" i="8"/>
  <c r="DN5" i="8"/>
  <c r="DM5" i="8"/>
  <c r="DL5" i="8"/>
  <c r="DK5" i="8"/>
  <c r="DJ5" i="8"/>
  <c r="DI5" i="8"/>
  <c r="DH5" i="8"/>
  <c r="DG5" i="8"/>
  <c r="DF5" i="8"/>
  <c r="DE5" i="8"/>
  <c r="DD5" i="8"/>
  <c r="DC5" i="8"/>
  <c r="DB5" i="8"/>
  <c r="DA5" i="8"/>
  <c r="CZ5" i="8"/>
  <c r="CY5" i="8"/>
  <c r="CX5" i="8"/>
  <c r="CW5" i="8"/>
  <c r="CV5" i="8"/>
  <c r="CU5" i="8"/>
  <c r="CT5" i="8"/>
  <c r="CS5" i="8"/>
  <c r="CR5" i="8"/>
  <c r="CQ5" i="8"/>
  <c r="CP5" i="8"/>
  <c r="CO5" i="8"/>
  <c r="CM5" i="8"/>
  <c r="CL5" i="8"/>
  <c r="CK5" i="8"/>
  <c r="CJ5" i="8"/>
  <c r="CI5" i="8"/>
  <c r="CH5" i="8"/>
  <c r="CG5" i="8"/>
  <c r="CF5" i="8"/>
  <c r="CE5" i="8"/>
  <c r="CD5" i="8"/>
  <c r="CC5" i="8"/>
  <c r="CB5" i="8"/>
  <c r="CA5" i="8"/>
  <c r="BZ5" i="8"/>
  <c r="BY5" i="8"/>
  <c r="BX5" i="8"/>
  <c r="BW5" i="8"/>
  <c r="BV5" i="8"/>
  <c r="BU5" i="8"/>
  <c r="BT5" i="8"/>
  <c r="BS5" i="8"/>
  <c r="BR5" i="8"/>
  <c r="BQ5" i="8"/>
  <c r="BP5" i="8"/>
  <c r="BO5"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D3" i="8"/>
  <c r="C3" i="8"/>
  <c r="DS43" i="8" l="1"/>
  <c r="E43" i="12" s="1"/>
  <c r="DS42" i="8"/>
  <c r="E42" i="12" s="1"/>
  <c r="DS39" i="8"/>
  <c r="E39" i="12" s="1"/>
  <c r="DS5" i="8"/>
  <c r="DS44" i="8"/>
  <c r="E44" i="12" s="1"/>
  <c r="DS41" i="8"/>
  <c r="E41" i="12" s="1"/>
  <c r="DS40" i="8"/>
  <c r="E40" i="12" s="1"/>
  <c r="DS38" i="8"/>
  <c r="E38" i="12" s="1"/>
  <c r="DS37" i="8"/>
  <c r="E37" i="12" s="1"/>
  <c r="DS36" i="8"/>
  <c r="E36" i="12" s="1"/>
  <c r="DS35" i="8"/>
  <c r="E35" i="12" s="1"/>
  <c r="DS34" i="8"/>
  <c r="E34" i="12" s="1"/>
  <c r="DS33" i="8"/>
  <c r="E33" i="12" s="1"/>
  <c r="DS32" i="8"/>
  <c r="E32" i="12" s="1"/>
  <c r="DS31" i="8"/>
  <c r="E31" i="12" s="1"/>
  <c r="DS30" i="8"/>
  <c r="E30" i="12" s="1"/>
  <c r="DS29" i="8"/>
  <c r="E29" i="12" s="1"/>
  <c r="DS28" i="8"/>
  <c r="E28" i="12" s="1"/>
  <c r="DS27" i="8"/>
  <c r="E27" i="12" s="1"/>
  <c r="DS26" i="8"/>
  <c r="E26" i="12" s="1"/>
  <c r="DS25" i="8"/>
  <c r="E25" i="12" s="1"/>
  <c r="DS24" i="8"/>
  <c r="E24" i="12" s="1"/>
  <c r="DS23" i="8"/>
  <c r="E23" i="12" s="1"/>
  <c r="DS22" i="8"/>
  <c r="E22" i="12" s="1"/>
  <c r="DS21" i="8"/>
  <c r="E21" i="12" s="1"/>
  <c r="DS20" i="8"/>
  <c r="E20" i="12" s="1"/>
  <c r="DS19" i="8"/>
  <c r="E19" i="12" s="1"/>
  <c r="DS18" i="8"/>
  <c r="E18" i="12" s="1"/>
  <c r="DS17" i="8"/>
  <c r="E17" i="12" s="1"/>
  <c r="DS16" i="8"/>
  <c r="E16" i="12" s="1"/>
  <c r="DS15" i="8"/>
  <c r="E15" i="12" s="1"/>
  <c r="DS14" i="8"/>
  <c r="E14" i="12" s="1"/>
  <c r="DS13" i="8"/>
  <c r="E13" i="12" s="1"/>
  <c r="DS12" i="8"/>
  <c r="E12" i="12" s="1"/>
  <c r="DS11" i="8"/>
  <c r="E11" i="12" s="1"/>
  <c r="DS10" i="8"/>
  <c r="E10" i="12" s="1"/>
  <c r="DS9" i="8"/>
  <c r="E9" i="12" s="1"/>
  <c r="DS8" i="8"/>
  <c r="E8" i="12" s="1"/>
  <c r="DS7" i="8"/>
  <c r="E7" i="12" s="1"/>
  <c r="DS6" i="8"/>
  <c r="E6" i="12" s="1"/>
  <c r="DR2" i="8"/>
  <c r="DN2" i="8"/>
  <c r="DO2" i="8"/>
  <c r="DP2" i="8"/>
  <c r="DQ2" i="8"/>
  <c r="DD2" i="8"/>
  <c r="DE2" i="8"/>
  <c r="DF2" i="8"/>
  <c r="DG2" i="8"/>
  <c r="DH2" i="8"/>
  <c r="DI2" i="8"/>
  <c r="DJ2" i="8"/>
  <c r="DK2" i="8"/>
  <c r="DL2" i="8"/>
  <c r="DM2" i="8"/>
  <c r="BL2" i="8"/>
  <c r="BM2" i="8"/>
  <c r="BN2" i="8"/>
  <c r="BO2" i="8"/>
  <c r="BP2" i="8"/>
  <c r="BQ2" i="8"/>
  <c r="BR2" i="8"/>
  <c r="BS2" i="8"/>
  <c r="BT2" i="8"/>
  <c r="BU2" i="8"/>
  <c r="BV2" i="8"/>
  <c r="BW2" i="8"/>
  <c r="BX2" i="8"/>
  <c r="BY2" i="8"/>
  <c r="BZ2" i="8"/>
  <c r="CA2" i="8"/>
  <c r="CB2" i="8"/>
  <c r="CC2" i="8"/>
  <c r="CD2" i="8"/>
  <c r="CE2" i="8"/>
  <c r="CF2" i="8"/>
  <c r="CG2" i="8"/>
  <c r="CH2" i="8"/>
  <c r="CI2" i="8"/>
  <c r="CJ2" i="8"/>
  <c r="CK2" i="8"/>
  <c r="CL2" i="8"/>
  <c r="CM2" i="8"/>
  <c r="CN2" i="8"/>
  <c r="CO2" i="8"/>
  <c r="CP2" i="8"/>
  <c r="CQ2" i="8"/>
  <c r="CR2" i="8"/>
  <c r="CS2" i="8"/>
  <c r="CT2" i="8"/>
  <c r="CU2" i="8"/>
  <c r="CV2" i="8"/>
  <c r="CW2" i="8"/>
  <c r="CX2" i="8"/>
  <c r="CY2" i="8"/>
  <c r="CZ2" i="8"/>
  <c r="DA2" i="8"/>
  <c r="DB2" i="8"/>
  <c r="DC2" i="8"/>
  <c r="BK2" i="8"/>
  <c r="BL3" i="8"/>
  <c r="BM3" i="8"/>
  <c r="BN3" i="8"/>
  <c r="BO3" i="8"/>
  <c r="BP3" i="8"/>
  <c r="BQ3" i="8"/>
  <c r="BR3" i="8"/>
  <c r="BS3" i="8"/>
  <c r="BT3" i="8"/>
  <c r="BU3" i="8"/>
  <c r="BV3" i="8"/>
  <c r="BW3" i="8"/>
  <c r="BX3" i="8"/>
  <c r="BY3" i="8"/>
  <c r="BZ3" i="8"/>
  <c r="CA3" i="8"/>
  <c r="CB3" i="8"/>
  <c r="CC3" i="8"/>
  <c r="CD3" i="8"/>
  <c r="CE3" i="8"/>
  <c r="CF3" i="8"/>
  <c r="CG3" i="8"/>
  <c r="CH3" i="8"/>
  <c r="CI3" i="8"/>
  <c r="CJ3" i="8"/>
  <c r="CK3" i="8"/>
  <c r="CL3" i="8"/>
  <c r="CM3" i="8"/>
  <c r="CN3" i="8"/>
  <c r="CO3" i="8"/>
  <c r="CP3" i="8"/>
  <c r="CQ3" i="8"/>
  <c r="CR3" i="8"/>
  <c r="CS3" i="8"/>
  <c r="CT3" i="8"/>
  <c r="CV3" i="8"/>
  <c r="CW3" i="8"/>
  <c r="CX3" i="8"/>
  <c r="CY3" i="8"/>
  <c r="CZ3" i="8"/>
  <c r="DA3" i="8"/>
  <c r="DB3" i="8"/>
  <c r="DC3" i="8"/>
  <c r="DD3" i="8"/>
  <c r="DE3" i="8"/>
  <c r="DF3" i="8"/>
  <c r="DG3" i="8"/>
  <c r="DH3" i="8"/>
  <c r="DI3" i="8"/>
  <c r="DJ3" i="8"/>
  <c r="DK3" i="8"/>
  <c r="DL3" i="8"/>
  <c r="DM3" i="8"/>
  <c r="DN3" i="8"/>
  <c r="DO3" i="8"/>
  <c r="DP3" i="8"/>
  <c r="DQ3" i="8"/>
  <c r="DR3" i="8"/>
  <c r="D4" i="8"/>
  <c r="BL4" i="8" s="1"/>
  <c r="E4" i="8"/>
  <c r="BM4" i="8" s="1"/>
  <c r="F4" i="8"/>
  <c r="BN4" i="8" s="1"/>
  <c r="G4" i="8"/>
  <c r="BO4" i="8" s="1"/>
  <c r="H4" i="8"/>
  <c r="BP4" i="8" s="1"/>
  <c r="I4" i="8"/>
  <c r="BQ4" i="8" s="1"/>
  <c r="J4" i="8"/>
  <c r="BR4" i="8" s="1"/>
  <c r="K4" i="8"/>
  <c r="BS4" i="8" s="1"/>
  <c r="L4" i="8"/>
  <c r="BT4" i="8" s="1"/>
  <c r="M4" i="8"/>
  <c r="BU4" i="8" s="1"/>
  <c r="N4" i="8"/>
  <c r="BV4" i="8" s="1"/>
  <c r="O4" i="8"/>
  <c r="BW4" i="8" s="1"/>
  <c r="P4" i="8"/>
  <c r="BX4" i="8" s="1"/>
  <c r="Q4" i="8"/>
  <c r="BY4" i="8" s="1"/>
  <c r="R4" i="8"/>
  <c r="BZ4" i="8" s="1"/>
  <c r="S4" i="8"/>
  <c r="CA4" i="8" s="1"/>
  <c r="T4" i="8"/>
  <c r="CB4" i="8" s="1"/>
  <c r="U4" i="8"/>
  <c r="CC4" i="8" s="1"/>
  <c r="V4" i="8"/>
  <c r="CD4" i="8" s="1"/>
  <c r="W4" i="8"/>
  <c r="CE4" i="8" s="1"/>
  <c r="X4" i="8"/>
  <c r="CF4" i="8" s="1"/>
  <c r="Y4" i="8"/>
  <c r="CG4" i="8" s="1"/>
  <c r="Z4" i="8"/>
  <c r="CH4" i="8" s="1"/>
  <c r="AA4" i="8"/>
  <c r="CI4" i="8" s="1"/>
  <c r="AB4" i="8"/>
  <c r="CJ4" i="8" s="1"/>
  <c r="AC4" i="8"/>
  <c r="CK4" i="8" s="1"/>
  <c r="AD4" i="8"/>
  <c r="CL4" i="8" s="1"/>
  <c r="AE4" i="8"/>
  <c r="CM4" i="8" s="1"/>
  <c r="AF4" i="8"/>
  <c r="CN4" i="8" s="1"/>
  <c r="AG4" i="8"/>
  <c r="CO4" i="8" s="1"/>
  <c r="AH4" i="8"/>
  <c r="CP4" i="8" s="1"/>
  <c r="AI4" i="8"/>
  <c r="CQ4" i="8" s="1"/>
  <c r="AJ4" i="8"/>
  <c r="CR4" i="8" s="1"/>
  <c r="AK4" i="8"/>
  <c r="CS4" i="8" s="1"/>
  <c r="AL4" i="8"/>
  <c r="CT4" i="8" s="1"/>
  <c r="AM4" i="8"/>
  <c r="AN4" i="8"/>
  <c r="CV4" i="8" s="1"/>
  <c r="AO4" i="8"/>
  <c r="CW4" i="8" s="1"/>
  <c r="AP4" i="8"/>
  <c r="CX4" i="8" s="1"/>
  <c r="AQ4" i="8"/>
  <c r="CY4" i="8" s="1"/>
  <c r="AR4" i="8"/>
  <c r="CZ4" i="8" s="1"/>
  <c r="AS4" i="8"/>
  <c r="DA4" i="8" s="1"/>
  <c r="AT4" i="8"/>
  <c r="DB4" i="8" s="1"/>
  <c r="AU4" i="8"/>
  <c r="DC4" i="8" s="1"/>
  <c r="AV4" i="8"/>
  <c r="DD4" i="8" s="1"/>
  <c r="AW4" i="8"/>
  <c r="DE4" i="8" s="1"/>
  <c r="AX4" i="8"/>
  <c r="DF4" i="8" s="1"/>
  <c r="AY4" i="8"/>
  <c r="DG4" i="8" s="1"/>
  <c r="AZ4" i="8"/>
  <c r="DH4" i="8" s="1"/>
  <c r="BA4" i="8"/>
  <c r="DI4" i="8" s="1"/>
  <c r="BB4" i="8"/>
  <c r="DJ4" i="8" s="1"/>
  <c r="BC4" i="8"/>
  <c r="DK4" i="8" s="1"/>
  <c r="BD4" i="8"/>
  <c r="DL4" i="8" s="1"/>
  <c r="BE4" i="8"/>
  <c r="DM4" i="8" s="1"/>
  <c r="BF4" i="8"/>
  <c r="DN4" i="8" s="1"/>
  <c r="BG4" i="8"/>
  <c r="DO4" i="8" s="1"/>
  <c r="BH4" i="8"/>
  <c r="DP4" i="8" s="1"/>
  <c r="BI4" i="8"/>
  <c r="DQ4" i="8" s="1"/>
  <c r="BJ4" i="8"/>
  <c r="DR4" i="8" s="1"/>
  <c r="C4" i="8"/>
  <c r="BK4" i="8" s="1"/>
  <c r="BK3" i="8"/>
  <c r="E5" i="12" l="1"/>
  <c r="CU4" i="8"/>
  <c r="CU3" i="8"/>
  <c r="DT6" i="8" l="1"/>
  <c r="F6" i="12" s="1"/>
  <c r="DT7" i="8"/>
  <c r="F7" i="12" s="1"/>
  <c r="DT8" i="8"/>
  <c r="F8" i="12" s="1"/>
  <c r="DT9" i="8"/>
  <c r="F9" i="12" s="1"/>
  <c r="DT10" i="8"/>
  <c r="F10" i="12" s="1"/>
  <c r="DT11" i="8"/>
  <c r="F11" i="12" s="1"/>
  <c r="DT12" i="8"/>
  <c r="F12" i="12" s="1"/>
  <c r="DT13" i="8"/>
  <c r="F13" i="12" s="1"/>
  <c r="DT14" i="8"/>
  <c r="F14" i="12" s="1"/>
  <c r="DT15" i="8"/>
  <c r="F15" i="12" s="1"/>
  <c r="DT16" i="8"/>
  <c r="F16" i="12" s="1"/>
  <c r="DT17" i="8"/>
  <c r="F17" i="12" s="1"/>
  <c r="DT18" i="8"/>
  <c r="F18" i="12" s="1"/>
  <c r="DT19" i="8"/>
  <c r="F19" i="12" s="1"/>
  <c r="DT20" i="8"/>
  <c r="F20" i="12" s="1"/>
  <c r="DT21" i="8"/>
  <c r="F21" i="12" s="1"/>
  <c r="DT22" i="8"/>
  <c r="F22" i="12" s="1"/>
  <c r="DT23" i="8"/>
  <c r="F23" i="12" s="1"/>
  <c r="DT24" i="8"/>
  <c r="F24" i="12" s="1"/>
  <c r="DT25" i="8"/>
  <c r="F25" i="12" s="1"/>
  <c r="DT26" i="8"/>
  <c r="F26" i="12" s="1"/>
  <c r="DT27" i="8"/>
  <c r="F27" i="12" s="1"/>
  <c r="DT28" i="8"/>
  <c r="F28" i="12" s="1"/>
  <c r="DT29" i="8"/>
  <c r="F29" i="12" s="1"/>
  <c r="DT30" i="8"/>
  <c r="F30" i="12" s="1"/>
  <c r="DT31" i="8"/>
  <c r="F31" i="12" s="1"/>
  <c r="DT32" i="8"/>
  <c r="F32" i="12" s="1"/>
  <c r="DT33" i="8"/>
  <c r="F33" i="12" s="1"/>
  <c r="DT34" i="8"/>
  <c r="F34" i="12" s="1"/>
  <c r="DT35" i="8"/>
  <c r="F35" i="12" s="1"/>
  <c r="DT36" i="8"/>
  <c r="F36" i="12" s="1"/>
  <c r="DT37" i="8"/>
  <c r="F37" i="12" s="1"/>
  <c r="DT38" i="8"/>
  <c r="F38" i="12" s="1"/>
  <c r="DT39" i="8"/>
  <c r="F39" i="12" s="1"/>
  <c r="DT40" i="8"/>
  <c r="F40" i="12" s="1"/>
  <c r="DT41" i="8"/>
  <c r="F41" i="12" s="1"/>
  <c r="DT42" i="8"/>
  <c r="F42" i="12" s="1"/>
  <c r="DT43" i="8"/>
  <c r="F43" i="12" s="1"/>
  <c r="DT44" i="8"/>
  <c r="F44" i="12" s="1"/>
  <c r="DT5" i="8"/>
  <c r="F5" i="12" s="1"/>
</calcChain>
</file>

<file path=xl/sharedStrings.xml><?xml version="1.0" encoding="utf-8"?>
<sst xmlns="http://schemas.openxmlformats.org/spreadsheetml/2006/main" count="285" uniqueCount="269">
  <si>
    <t>번호</t>
    <phoneticPr fontId="2" type="noConversion"/>
  </si>
  <si>
    <t>영역</t>
    <phoneticPr fontId="2" type="noConversion"/>
  </si>
  <si>
    <t>활동내용</t>
    <phoneticPr fontId="2" type="noConversion"/>
  </si>
  <si>
    <t>친구사랑주간(2013.03.18-2013.03.22)에 친구사랑 작품 만들기 활동에서 참신한 아이디어를 내고 적극적으로 참여함으로써 친구의 소중함과 더불어 우정의 중요성에 대해 깨달음.</t>
    <phoneticPr fontId="2" type="noConversion"/>
  </si>
  <si>
    <t>학교폭력 추방결의대회(2013.03.18)을 통해 타인의 인권을 존중하고 배려하는 자세의 중요성을 인식하고 서로의 소중함을 깨달아 따뜻한 학교 만들기 실천을 다짐함.</t>
    <phoneticPr fontId="2" type="noConversion"/>
  </si>
  <si>
    <t>무감독시험 양심 결의대회(2013.03.18)를 통해 스스로 법질서와 규율을 지키는 양심적인 행동의 소중함에 대해 깨닫는 계기가 됨.</t>
    <phoneticPr fontId="2" type="noConversion"/>
  </si>
  <si>
    <t>가족사랑주간(2013.05.06-2013.05.10)을 통해 가족의 소중함을 깨닫고 가족에 대한 애뜻한 사랑을 표현하고 실천하는 계기를 마련함.</t>
    <phoneticPr fontId="2" type="noConversion"/>
  </si>
  <si>
    <t>학교사랑주간(2013.05.27-2013.05.31)에 실시한 작품활동에서 참신한 아이디어를 내고 적극적으로 참여함으로써 학교 사랑을 실천하고 학교 폭력 문제를 근본적으로 해결하고자 노력함.</t>
    <phoneticPr fontId="2" type="noConversion"/>
  </si>
  <si>
    <t>계수한마음축제(2013.10.24)에서 도우미 역할을 하여 행사의 원활한 운영에 기여함.</t>
    <phoneticPr fontId="2" type="noConversion"/>
  </si>
  <si>
    <t>효체험학습활동(2013.10.04)을 통하여 부모님의 마음을 이해하게 되었으며 작은 것에서 부터 효를 실천할 수 있는 일이 다양하고 어렵지 않다는 것을 깨닫고 실천할 수 있는 좋은 계기가 됨.</t>
    <phoneticPr fontId="2" type="noConversion"/>
  </si>
  <si>
    <t>선택한 개수</t>
    <phoneticPr fontId="2" type="noConversion"/>
  </si>
  <si>
    <t>문화체험활동(2013.10.11)을 통해 다양한 한국민속문화의 역사와 내용에 대한 폭넓은 이해와 한국민속문화의 소중함을 새롭게 깨닫고 더욱 계승발전시켜야 함을 느끼는 계기가 됨.</t>
    <phoneticPr fontId="2" type="noConversion"/>
  </si>
  <si>
    <t>축제 장기자랑 참여(10.24)</t>
    <phoneticPr fontId="2" type="noConversion"/>
  </si>
  <si>
    <t>친구사랑주간 작품만들기</t>
    <phoneticPr fontId="2" type="noConversion"/>
  </si>
  <si>
    <t>친구사랑주간 쪽지쓰기</t>
    <phoneticPr fontId="2" type="noConversion"/>
  </si>
  <si>
    <t>학교폭력추방결의대회</t>
    <phoneticPr fontId="2" type="noConversion"/>
  </si>
  <si>
    <t>무감독양심결의대회</t>
    <phoneticPr fontId="2" type="noConversion"/>
  </si>
  <si>
    <t>가족사랑주간 실천</t>
    <phoneticPr fontId="2" type="noConversion"/>
  </si>
  <si>
    <t>학교사랑주간 작품활동</t>
    <phoneticPr fontId="2" type="noConversion"/>
  </si>
  <si>
    <t>효체험활동</t>
    <phoneticPr fontId="2" type="noConversion"/>
  </si>
  <si>
    <t>민속촌 문화체험활동</t>
    <phoneticPr fontId="2" type="noConversion"/>
  </si>
  <si>
    <t>축제 도우미</t>
    <phoneticPr fontId="2" type="noConversion"/>
  </si>
  <si>
    <t>친구사랑주간(2013.03.18-2013.03.22) 중 친구에게 쪽지쓰기(2013.03.18)을 통해 우정에 대해 생각해볼 수 있는 계기를 마련함으로써 학교 폭력 문제를 근본적으로 해결하고자 노력함.</t>
    <phoneticPr fontId="2" type="noConversion"/>
  </si>
  <si>
    <t>계수한마음축제(2013.10.24) 장기자랑에서 댄스부문으로 참여하여 즐겁고 보람찬 축제가 될 수 있도록 기여함.</t>
    <phoneticPr fontId="2" type="noConversion"/>
  </si>
  <si>
    <t>서부수학원리탐구대회</t>
    <phoneticPr fontId="2" type="noConversion"/>
  </si>
  <si>
    <t>인천광역시 서부교육지원청 주최 제3회 서부수학원리탐구대회(2013.10.26) 나눔마당 체험활동에 참여하여 직접 체험하고 만들며 수학의 원리를 탐구함.</t>
    <phoneticPr fontId="2" type="noConversion"/>
  </si>
  <si>
    <t>순번</t>
    <phoneticPr fontId="2" type="noConversion"/>
  </si>
  <si>
    <t>학급반장</t>
    <phoneticPr fontId="2" type="noConversion"/>
  </si>
  <si>
    <t>생명존중교육</t>
    <phoneticPr fontId="2" type="noConversion"/>
  </si>
  <si>
    <t>인천아시안게임 성화봉송맞이</t>
    <phoneticPr fontId="2" type="noConversion"/>
  </si>
  <si>
    <t>교내 합창대회 주도</t>
    <phoneticPr fontId="2" type="noConversion"/>
  </si>
  <si>
    <t>교내 합창대회 지휘</t>
    <phoneticPr fontId="2" type="noConversion"/>
  </si>
  <si>
    <t>교내 합창대회 반주</t>
    <phoneticPr fontId="2" type="noConversion"/>
  </si>
  <si>
    <t>교내 합창대회 개사</t>
    <phoneticPr fontId="2" type="noConversion"/>
  </si>
  <si>
    <t>교내 합창대회 적극성</t>
    <phoneticPr fontId="2" type="noConversion"/>
  </si>
  <si>
    <t>개인별 활동항목 선택하기</t>
    <phoneticPr fontId="2" type="noConversion"/>
  </si>
  <si>
    <t>교내합창대회 MR편집</t>
    <phoneticPr fontId="2" type="noConversion"/>
  </si>
  <si>
    <t>교내합창대회 표어제작</t>
    <phoneticPr fontId="2" type="noConversion"/>
  </si>
  <si>
    <t xml:space="preserve">      활동
      항목
  성명</t>
    <phoneticPr fontId="2" type="noConversion"/>
  </si>
  <si>
    <t>성명</t>
    <phoneticPr fontId="2" type="noConversion"/>
  </si>
  <si>
    <t>일자</t>
    <phoneticPr fontId="2" type="noConversion"/>
  </si>
  <si>
    <t>교내합창대회 안무</t>
    <phoneticPr fontId="2" type="noConversion"/>
  </si>
  <si>
    <t>학생문화회관 문화체험</t>
    <phoneticPr fontId="2" type="noConversion"/>
  </si>
  <si>
    <t>자율활동 특기사항</t>
    <phoneticPr fontId="2" type="noConversion"/>
  </si>
  <si>
    <t>학습일기쓰기</t>
    <phoneticPr fontId="2" type="noConversion"/>
  </si>
  <si>
    <t>붙이기</t>
    <phoneticPr fontId="2" type="noConversion"/>
  </si>
  <si>
    <t>붙이기1</t>
    <phoneticPr fontId="2" type="noConversion"/>
  </si>
  <si>
    <t>제작 : 인천계수중학교 이쌍철</t>
    <phoneticPr fontId="2" type="noConversion"/>
  </si>
  <si>
    <t>선택항목개수</t>
    <phoneticPr fontId="2" type="noConversion"/>
  </si>
  <si>
    <t>자율활동 특기사항(나이스 복사용)</t>
    <phoneticPr fontId="2" type="noConversion"/>
  </si>
  <si>
    <t>청렴교육(2014.03.06.)을 통해 청렴의 의미를 이해하게 되었으며 청렴한 생활을 실천할 수 있는 계기가 됨.</t>
    <phoneticPr fontId="2" type="noConversion"/>
  </si>
  <si>
    <t>청렴교육(2014.03.13.) 동영상을 시청하고 청렴도 자가진단지를 활용해 자신의 청렴도를  파악할 수 있는 인지능력이 생김.</t>
    <phoneticPr fontId="2" type="noConversion"/>
  </si>
  <si>
    <t>2014학년도 학습일기 쓰기대회(2014.04.04.-2014.12.22.)에 참가하여 스스로의 학습과정을 꾸준히 기록하고 반성함으로써 올바른 학습습관을 정립하고자 노력하였으며, 자기주도 학습능력을 신장함.</t>
    <phoneticPr fontId="2" type="noConversion"/>
  </si>
  <si>
    <t>다문화와 관련된 영화를 감상(2014.04.10.) 하고 영화 속에 나타난 다문화의 여러 가지 요소를 탐색하거나 발견함으로써 다문화에 대한 자신의 긍정적인 사고의 확장에 영향을 끼침.</t>
    <phoneticPr fontId="2" type="noConversion"/>
  </si>
  <si>
    <t>통일교육(2014.05.08.)에 참여하여 6.25전쟁 당시 끊어진 철길을 통해 민족분단의 아픔을 이해하고 느끼게 되었으며 남북화해와 통일의 초석이 될 수 있는 남북 교류의 사례를 알게 됨으로써 통일의 필요성을 깨달은 소중한 시간을 가지게 됨.</t>
    <phoneticPr fontId="2" type="noConversion"/>
  </si>
  <si>
    <t xml:space="preserve">통일교육(2014.05.22.)을 통해 통일을 향한 남북농업협력과 지원사업인 통일 딸기에 대해 호기심이 많이 생기게 되었으며 이러한 남북한의 활발한 교류가 평화통일의 밑거름이 된다는 것을 알게 됨.   </t>
    <phoneticPr fontId="2" type="noConversion"/>
  </si>
  <si>
    <t>안전교육(2014.06.30.)을 통해 교통안전사고, 학교 및 가정에서의 안전사고, 약물오남용 사고, 식중독사고 등을 일상생활 속에서 예방할 수 있는 수칙에 대한 인식을 일깨우고 실천하고자 하는 마음을 다지게 됨.</t>
    <phoneticPr fontId="2" type="noConversion"/>
  </si>
  <si>
    <t>학교폭력 예방교육(2014.07.21.)을 통해 학교폭력의 유형과 예방방법을 알게 되었으며 타인의 인권을 존중하고 배려하는 자세의 중요성을 인식하고 서로의 소중함을 깨닫고 실천함.</t>
    <phoneticPr fontId="2" type="noConversion"/>
  </si>
  <si>
    <t>안전교육(2014.07.21.)을 통해 일상생활 속의 안전사고 및 여름철 물놀이 관련 안전사고에 대한 예방법과 사고 시 대처방법을 재인식하고 실천할 수 있는 자신감을 얻게 됨.</t>
    <phoneticPr fontId="2" type="noConversion"/>
  </si>
  <si>
    <t>학교폭력 예방교육(2014.08.28.)을 통해 학교폭력으로부터 자신을 스스로 지키고 나아가 피해 당하는 친구를 도와주는 '학교폭력 멈춰' 프로그램에 대해 이해하고 실천함으로써 학교폭력에 적극적으로 대처하고 협력하는 태도를 기름.</t>
    <phoneticPr fontId="2" type="noConversion"/>
  </si>
  <si>
    <t>학교폭력 예방교육(2014.09.04.)에 참여하여 상대방을 존중하고 약자를 보호하는 친구관계를 형성함으로써 학교폭력을 예방하는데 기여할 수 있도록 노력함.</t>
    <phoneticPr fontId="2" type="noConversion"/>
  </si>
  <si>
    <t>환경교육(2014.09.18.)에서 우표를 통해 일상생활에서 쉽게 실천할 수 있는 에너지 절약 방법을  이해함으로써 가정경제는 물론 우리의 환경과 지구를 살릴 수 있는 아름다운 행진에 동참할 것을 다짐함.</t>
    <phoneticPr fontId="2" type="noConversion"/>
  </si>
  <si>
    <t xml:space="preserve">2014 인천아시안게임 성화봉송맞이 문화행사(2014.09.19.)에 참여하여 아시안게임의 성공적인 개최와 모든 참가국의 아름다운 선전을 기원하며 성화봉송단을 맞이함과 동시에 신명 난 축하공연 행사에 즐겁게 참여함.  </t>
    <phoneticPr fontId="2" type="noConversion"/>
  </si>
  <si>
    <t>환경교육(2014.09.25.)을 통해 일상생활 속에서 일회용품 사용을 줄일 수 있는 여러 가지 쉬운 사례들을 새삼스럽게 깨닫고 평소에 무심코 지나쳤던 자신을 되돌아 보고 반성하는 계기가 됨.</t>
    <phoneticPr fontId="2" type="noConversion"/>
  </si>
  <si>
    <t>독도 관련 기본 교육(2014.10.02.)을 통해 독도의 지리적 위치와 독도의 여러 가지 가치에 대해 알고 역사적인 지도 자료를 살펴 봄으로써 독도가 우리땅인 이유와 일본의 저의를 명확히 이해하게 됨.</t>
    <phoneticPr fontId="2" type="noConversion"/>
  </si>
  <si>
    <t>독도 관련 기본 교육(2014.10.16.)에서 대한민국 정부의 독도에 대한 기본 입장에서 밝힌 내용을 통해 역사적 근거를 구체적으로 알게 됨으로써 독도는 우리나라의 고유영토임을 확고하게 인식함.</t>
    <phoneticPr fontId="2" type="noConversion"/>
  </si>
  <si>
    <t xml:space="preserve">학생문화회관 문화체험(2014.10.29.)에 참여하여 성악 및 오케스트라에 대한 기초지식 및 공연관람 요령을 듣고 공연 시 올바른 관람 태도를 유지하며 아름다운 정서함양을 도모함. </t>
    <phoneticPr fontId="2" type="noConversion"/>
  </si>
  <si>
    <t xml:space="preserve">인성교육(2014.11.06.)을 통해 일상생활에서 행할 수 있는 여러 가지 효의 실천 방법 중에서 평소 작은 것에도 부모님께 감사하는 마음을 가지거나 표시함으로써 효의 실천이 시작될 수 있음을 깨닫게 됨. </t>
    <phoneticPr fontId="2" type="noConversion"/>
  </si>
  <si>
    <t>건전노래 부르기 경연대회(2014.12.30.)에 참가하기 위해 율동을 준비하는 등 조화롭고 즐거운 합창이 될 수 있도록 주도하여 학년 우수상을 받는데 기여함.</t>
    <phoneticPr fontId="2" type="noConversion"/>
  </si>
  <si>
    <t>건전노래 부르기 경연대회(2014.12.30.)에서 지휘자로서 역량을 발휘해 조화롭고 즐거운 합창이 될 수 있도록 하여 학년 우수상을 받는데 기여함.</t>
    <phoneticPr fontId="2" type="noConversion"/>
  </si>
  <si>
    <t>건전노래 부르기 경연대회(2014.12.30.)에서 반주자로서 역량을 발휘해 조화롭고 즐거운 합창이 될 수 있도록 하여 학년 우수상을 받는데 기여함.</t>
    <phoneticPr fontId="2" type="noConversion"/>
  </si>
  <si>
    <t>건전노래 부르기 경연대회(2014.12.30.)를 준비하기 위해 MR을 탐색하고 편집하는 등 급우들이 역량을 최대한 발휘해 조화롭고 즐거운 합창이 될 수 있도록 하여 학년 우수상을 받는데 기여함.</t>
    <phoneticPr fontId="2" type="noConversion"/>
  </si>
  <si>
    <t>건전노래 부르기 경연대회(2014.12.30.)를 준비하기 위해 안무를 구성하여 알려주는 등 급우들이 역량을 최대한 발휘해 조화롭고 즐거운 합창이 될 수 있도록 하여 학년 우수상을 받는데 기여함.</t>
    <phoneticPr fontId="2" type="noConversion"/>
  </si>
  <si>
    <t>생명존중교육(2014.12.31.)에서 청소년들의 자살 징후와 자살로 인한 사회적 문제에 대한 인식을 새롭게 함으로써 주변 친구들의 건강한 삶을 함께 만들어가는 사람으로 거듭남.</t>
    <phoneticPr fontId="2" type="noConversion"/>
  </si>
  <si>
    <t>학교폭력 예방교육(2014.09.11.) 활동에 참여하여 느낌말 목록표와 욕구목록표를 작성함으로써 욕구가 만족될 때 사용하는 말이 많을수록 보다 긍정적이고 행복한 학교생활로 이어져 학교폭력예방에 큰 도움이 될 수 있음을 깨닫고 이를 실천하고자 하는 의욕이 생김.</t>
    <phoneticPr fontId="2" type="noConversion"/>
  </si>
  <si>
    <t xml:space="preserve">인성교육(2014.10.30.)을 통해 현대의 도덕적 위기를 극복하고 새로운 도덕을 세우기 위해 우리 전통문화 속에 담겨 있는 도덕적 가치를 되살리되 시대의 변화를 수용하는 가운데 전통 사상의 핵심인 효가 오늘날 부모와 자식 사랑에 대한 은혜와 감사 그리고 경애와 배려하는 현대적 의미임을 깨닫게 됨. </t>
    <phoneticPr fontId="2" type="noConversion"/>
  </si>
  <si>
    <t>건전노래 부르기 경연대회(2014.12.30.)에 적극적으로 참여하여 자신을 비롯한 주변 친구들의 행복한 학교생활을 위해 학교폭력 없는 학교를 만들기 위해 다같이 노력하고 실천해야 한다는 의식을 일깨우게 됨.</t>
    <phoneticPr fontId="2" type="noConversion"/>
  </si>
  <si>
    <t>학교폭력예방교육(2014.12.31.)에 참여하여 학교폭력 전반에 걸친 다양한 학교폭력의 유형과 대처방법을 재인식하고 학교폭력 근절을 위해 힘써 노력함.</t>
    <phoneticPr fontId="2" type="noConversion"/>
  </si>
  <si>
    <t>건전노래 부르기 경연대회(2014.12.30.)에서 학교폭력 예방의 중요성과 실천의지를 다질 수 있는 훌륭한 내용으로 개사하여 학년 우수상을 받는데 기여함.</t>
    <phoneticPr fontId="2" type="noConversion"/>
  </si>
  <si>
    <t>건전노래 부르기 경연대회(2014.12.30.)를 준비하는 과정에서 학교폭력예방 메세지를 강조하는 표어를 제작 준비하는 등 급우들이 역량을 최대한 발휘해 조화롭고 즐거운 합창이 될 수 있도록 하여 학년 우수상을 받는데 기여함.</t>
    <phoneticPr fontId="2" type="noConversion"/>
  </si>
  <si>
    <t>가족사랑주간(2015.05.05.-2015.05.09.)을 통해 가족의 소중함을 깨닫고 가족에 대한 애뜻한 사랑을 표현하고 실천하는 계기를 마련함.</t>
    <phoneticPr fontId="2" type="noConversion"/>
  </si>
  <si>
    <t>교내수학경시대회(2015.05.16.)에 참가하여 수학과목에 대한 학습 동기를 높이고 단계에 맞는 심화학습을 통해 수학적 힘을 신장시킴.</t>
    <phoneticPr fontId="2" type="noConversion"/>
  </si>
  <si>
    <t>청렴교육1</t>
    <phoneticPr fontId="2" type="noConversion"/>
  </si>
  <si>
    <t>청렴교육2</t>
    <phoneticPr fontId="2" type="noConversion"/>
  </si>
  <si>
    <t>다문화교육2</t>
    <phoneticPr fontId="2" type="noConversion"/>
  </si>
  <si>
    <t>통일교육1</t>
    <phoneticPr fontId="2" type="noConversion"/>
  </si>
  <si>
    <t>통일교육2</t>
    <phoneticPr fontId="2" type="noConversion"/>
  </si>
  <si>
    <t>학교폭력예방교육1</t>
    <phoneticPr fontId="2" type="noConversion"/>
  </si>
  <si>
    <t>학교폭력예방교육2</t>
    <phoneticPr fontId="2" type="noConversion"/>
  </si>
  <si>
    <t>학교폭력예방교육3</t>
    <phoneticPr fontId="2" type="noConversion"/>
  </si>
  <si>
    <t>학교폭력예방교육4</t>
    <phoneticPr fontId="2" type="noConversion"/>
  </si>
  <si>
    <t>환경교육1</t>
    <phoneticPr fontId="2" type="noConversion"/>
  </si>
  <si>
    <t>환경교육2</t>
    <phoneticPr fontId="2" type="noConversion"/>
  </si>
  <si>
    <t>독도교육1</t>
    <phoneticPr fontId="2" type="noConversion"/>
  </si>
  <si>
    <t>독도교육2</t>
    <phoneticPr fontId="2" type="noConversion"/>
  </si>
  <si>
    <t>인성교육1</t>
    <phoneticPr fontId="2" type="noConversion"/>
  </si>
  <si>
    <t>인성교육2</t>
    <phoneticPr fontId="2" type="noConversion"/>
  </si>
  <si>
    <t>장애인이해교육1</t>
    <phoneticPr fontId="2" type="noConversion"/>
  </si>
  <si>
    <t>장애인이해교육2</t>
    <phoneticPr fontId="2" type="noConversion"/>
  </si>
  <si>
    <t>안전교육1</t>
    <phoneticPr fontId="2" type="noConversion"/>
  </si>
  <si>
    <t>안전교육2</t>
    <phoneticPr fontId="2" type="noConversion"/>
  </si>
  <si>
    <t>안전교육3</t>
    <phoneticPr fontId="2" type="noConversion"/>
  </si>
  <si>
    <t>학교폭력예방교육5</t>
    <phoneticPr fontId="2" type="noConversion"/>
  </si>
  <si>
    <t>교내수학경시대회1</t>
    <phoneticPr fontId="2" type="noConversion"/>
  </si>
  <si>
    <t>학교폭력예방교육6</t>
    <phoneticPr fontId="2" type="noConversion"/>
  </si>
  <si>
    <t>다문화교육3</t>
    <phoneticPr fontId="2" type="noConversion"/>
  </si>
  <si>
    <r>
      <t>자율활동 내용 작성하기</t>
    </r>
    <r>
      <rPr>
        <b/>
        <sz val="11"/>
        <color theme="1"/>
        <rFont val="맑은 고딕"/>
        <family val="3"/>
        <charset val="129"/>
        <scheme val="minor"/>
      </rPr>
      <t xml:space="preserve">(활동내용은 60번 까지 </t>
    </r>
    <r>
      <rPr>
        <b/>
        <u/>
        <sz val="11"/>
        <color theme="1"/>
        <rFont val="맑은 고딕"/>
        <family val="3"/>
        <charset val="129"/>
        <scheme val="minor"/>
      </rPr>
      <t xml:space="preserve">[활동항목선택] </t>
    </r>
    <r>
      <rPr>
        <b/>
        <sz val="11"/>
        <color theme="1"/>
        <rFont val="맑은 고딕"/>
        <family val="3"/>
        <charset val="129"/>
        <scheme val="minor"/>
      </rPr>
      <t>시트에 반영됨.)</t>
    </r>
    <phoneticPr fontId="2" type="noConversion"/>
  </si>
  <si>
    <t>참고해야할 활동별 학생 명단</t>
    <phoneticPr fontId="2" type="noConversion"/>
  </si>
  <si>
    <t xml:space="preserve">다문화교육(2014.04.30.)을 통해 우리 나라와 다른 나라의 문화를 함께 나눔으로써 지구촌의 평화와 번영을 함께 누릴 수 있다는 사실을 새삼 깨달은 계기가 됨. </t>
    <phoneticPr fontId="2" type="noConversion"/>
  </si>
  <si>
    <t>※ 해당학생의 문구 셀을 선택 ▶ 상단 입력 창에서 내용이 충분히 보이도록 입력창 높이를 넓힌 다음 특기
   사항 문구를 블록설정 후 복사[ Ctrl+C ] ▶ 나이스 [특기사항] 입력란에 붙여넣기[ Ctrl+V ]  ▶ 저장( 필
   요 시 추가 수정 편집 후 저장)하면 됩니다.</t>
    <phoneticPr fontId="2" type="noConversion"/>
  </si>
  <si>
    <t xml:space="preserve">  ※ [활동내용입력]시트와 [활동항목선택]시트를 작성하면 본 시트에 자동으로 반영됩니다.</t>
    <phoneticPr fontId="2" type="noConversion"/>
  </si>
  <si>
    <t>※ 활동일자의 순서에 관계없이 무작위로 입력한 후 [일자순으로 정렬하기]를 클릭하면 일자순으로 자동정렬
    되고, [자율활동항목선택] 시트에도 반영됩니다.
    60번까지의 항목 중 [일자]란에 일자가 입력되지 않은 항목은 [일자순으로 정렬하기]에서 제외됩니다.</t>
    <phoneticPr fontId="2" type="noConversion"/>
  </si>
  <si>
    <t>예시문
모아두기
공간임.</t>
    <phoneticPr fontId="2" type="noConversion"/>
  </si>
  <si>
    <t>해당시간에 불참한 학생 명단</t>
    <phoneticPr fontId="2" type="noConversion"/>
  </si>
  <si>
    <t>교시</t>
    <phoneticPr fontId="2" type="noConversion"/>
  </si>
  <si>
    <t>※ 해당 학생의 활동 항목을 선택하여 숫자 " 1 "을 입력하면 [자율활동특기사항] 시트에 반영됨.</t>
    <phoneticPr fontId="2" type="noConversion"/>
  </si>
  <si>
    <t xml:space="preserve"> ※ 해당 시간에 불참한 학생은 입력하지 마세요.</t>
    <phoneticPr fontId="2" type="noConversion"/>
  </si>
  <si>
    <t>대의원</t>
    <phoneticPr fontId="2" type="noConversion"/>
  </si>
  <si>
    <t>서기</t>
    <phoneticPr fontId="2" type="noConversion"/>
  </si>
  <si>
    <t>학급부반장</t>
    <phoneticPr fontId="2" type="noConversion"/>
  </si>
  <si>
    <t>정보부장</t>
    <phoneticPr fontId="2" type="noConversion"/>
  </si>
  <si>
    <t>선도부장</t>
    <phoneticPr fontId="2" type="noConversion"/>
  </si>
  <si>
    <t>문화체육부장</t>
    <phoneticPr fontId="2" type="noConversion"/>
  </si>
  <si>
    <t>장애인이해교육(2014.06.19.)에 참여하여 인권감수성이란 어떤 상황을 인권의 관점에서 바라볼 수 있는, 인권 문제에 민감하게 반응하는, 인권을 침해 받은 사람들에 대해 마음 아파하고 함께 해결 해나가려 하는 마음이라는 개념을 알고 이를 실천하고자 하는 마음이 생김.</t>
    <phoneticPr fontId="2" type="noConversion"/>
  </si>
  <si>
    <t>장애인이해교육(2014.06.26.)을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t>
    <phoneticPr fontId="2" type="noConversion"/>
  </si>
  <si>
    <t>과학의달 행사</t>
    <phoneticPr fontId="2" type="noConversion"/>
  </si>
  <si>
    <t>과학의 달 행사(2015.04.08.)에서 실시하는 각종 대회에 참여하여 자신의 상상력과 탐구력을 바탕으로 과학적 탐구 의욕을 발휘함.</t>
    <phoneticPr fontId="2" type="noConversion"/>
  </si>
  <si>
    <t>다문화교육1</t>
    <phoneticPr fontId="2" type="noConversion"/>
  </si>
  <si>
    <t>다문화교육(2015.05.15.)을 통해 인종차별에 대한 심각성을 깨닫고 자신을 되돌아 볼 수 있는 기회가 되었고 다양한 인종들의 장단점을 상호보완함으로써 세계인류가 화합하고 번영할 수 있음을 알게 됨.</t>
    <phoneticPr fontId="2" type="noConversion"/>
  </si>
  <si>
    <t>교내 합창대회 주도</t>
    <phoneticPr fontId="2" type="noConversion"/>
  </si>
  <si>
    <t>계수합창제(2015.12.30.) 참가를 위한 율동을 준비하는 등 조화롭고 즐거운 합창이 될 수 있도록 주도하여 학년 우수상을 받는데 기여함.</t>
    <phoneticPr fontId="2" type="noConversion"/>
  </si>
  <si>
    <t>교내 합창대회 지휘</t>
    <phoneticPr fontId="2" type="noConversion"/>
  </si>
  <si>
    <t>건전노래 부르기 경연대회(2015.12.30.)에서 지휘자로서 역량을 발휘해 조화롭고 즐거운 합창이 될 수 있도록 하여 학년 우수상을 받는데 기여함.</t>
    <phoneticPr fontId="2" type="noConversion"/>
  </si>
  <si>
    <t>교내 합창대회 반주</t>
    <phoneticPr fontId="2" type="noConversion"/>
  </si>
  <si>
    <t>건전노래 부르기 경연대회(2015.12.30.)에서 반주자로서 역량을 발휘해 조화롭고 즐거운 합창이 될 수 있도록 하여 학년 우수상을 받는데 기여함.</t>
    <phoneticPr fontId="2" type="noConversion"/>
  </si>
  <si>
    <t>교내 합창대회 개사</t>
    <phoneticPr fontId="2" type="noConversion"/>
  </si>
  <si>
    <t>건전노래 부르기 경연대회(2015.12.30.)에서 학교폭력 예방의 중요성과 실천의지를 다질 수 있는 훌륭한 내용으로 개사하여 학년 우수상을 받는데 기여함.</t>
    <phoneticPr fontId="2" type="noConversion"/>
  </si>
  <si>
    <t>교내 합창대회 적극성</t>
    <phoneticPr fontId="2" type="noConversion"/>
  </si>
  <si>
    <t>건전노래 부르기 경연대회(2015.12.30.)에 적극적으로 참여하여 자신을 비롯한 주변 친구들의 행복한 학교생활을 위해 학교폭력 없는 학교를 만들기 위해 다같이 노력하고 실천해야 한다는 의식을 일깨우게 됨.</t>
    <phoneticPr fontId="2" type="noConversion"/>
  </si>
  <si>
    <t>교내합창대회 MR편집</t>
    <phoneticPr fontId="2" type="noConversion"/>
  </si>
  <si>
    <t>건전노래 부르기 경연대회(2015.12.30.)를 준비하기 위해 MR을 탐색하고 편집하는 등 급우들이 역량을 최대한 발휘해 조화롭고 즐거운 합창이 될 수 있도록 하여 학년 우수상을 받는데 기여함.</t>
    <phoneticPr fontId="2" type="noConversion"/>
  </si>
  <si>
    <t>교내합창대회 표어제작</t>
    <phoneticPr fontId="2" type="noConversion"/>
  </si>
  <si>
    <t>건전노래 부르기 경연대회(2015.12.30.)를 준비하는 과정에서 학교폭력예방 메세지를 강조하는 표어를 제작 준비하는 등 급우들이 역량을 최대한 발휘해 조화롭고 즐거운 합창이 될 수 있도록 하여 학년 우수상을 받는데 기여함.</t>
    <phoneticPr fontId="2" type="noConversion"/>
  </si>
  <si>
    <t>교내합창대회 안무</t>
    <phoneticPr fontId="2" type="noConversion"/>
  </si>
  <si>
    <t>건전노래 부르기 경연대회(2015.12.30.)를 준비하기 위해 안무를 구성하여 알려주는 등 급우들이 역량을 최대한 발휘해 조화롭고 즐거운 합창이 될 수 있도록 하여 학년 우수상을 받는데 기여함.</t>
    <phoneticPr fontId="2" type="noConversion"/>
  </si>
  <si>
    <t>안전교육</t>
    <phoneticPr fontId="2" type="noConversion"/>
  </si>
  <si>
    <t>안전교육(2015.12.31.)을 통해 일상생활 중에 발생할 수 있는 안전사고의 사례와 그 예방법과 사고 시 대처방법을 알고 실천할 수 있는 계기가 됨.</t>
    <phoneticPr fontId="2" type="noConversion"/>
  </si>
  <si>
    <t>정보통신교육2</t>
    <phoneticPr fontId="2" type="noConversion"/>
  </si>
  <si>
    <t>정보통신교육(2016.02.04.)에서 저작권과 개인정보 보호의 개념을 이해하고 저작권 및 개인정보 범죄 예방을 위해 타인의 정보와 인권을 존중해야 함을 알게 됨.</t>
    <phoneticPr fontId="2" type="noConversion"/>
  </si>
  <si>
    <t>다문화2</t>
    <phoneticPr fontId="2" type="noConversion"/>
  </si>
  <si>
    <t>다문화교육(2016.02.04.)을 통해 자국의 생활방식이나 문화만이 최고이고 모두 옳다는 사고방식은 위험한 것임을 이해하고 다른 나라의 문화도 그들의 입장에서 자랑스럽고 소중한 것임을 인식하게 됨.</t>
    <phoneticPr fontId="2" type="noConversion"/>
  </si>
  <si>
    <t>생명존중교육(2016.02.04.)을 통해 청소년들의 자살에 대한 심리적 상태를 이해하고 힘들어 하는 주변 친구들에 대한 따뜻한 배려와 도움이 절실히 필요함을 느꼈으며 생명의 소중함을 다시 한번 깨닫는 기회를 가지게 됨.</t>
    <phoneticPr fontId="2" type="noConversion"/>
  </si>
  <si>
    <t>생명존중교육2</t>
    <phoneticPr fontId="2" type="noConversion"/>
  </si>
  <si>
    <t>성교육2</t>
    <phoneticPr fontId="2" type="noConversion"/>
  </si>
  <si>
    <t xml:space="preserve">성교육(2016.02.04.)을 통해 여러가지 성병의 감염 경로와 문제점을 알고 에이즈 환자에 대한 막연한 공포와 두려움은 잘못된 지식과 편견에서 비롯됨을 깨닫고 그들과 함께 삶을 공유할 수 있는 방법을 알게 됨.   </t>
    <phoneticPr fontId="2" type="noConversion"/>
  </si>
  <si>
    <t>성교육1</t>
    <phoneticPr fontId="2" type="noConversion"/>
  </si>
  <si>
    <t>성폭력예방교육(2015.03.12.)을 통해 이성교제 시 지켜야 할 기본수칙을 배우고 성희롱 및 성폭력의 예방방법과 성적자기결정권의 중요성을 인식하게 됨.</t>
    <phoneticPr fontId="2" type="noConversion"/>
  </si>
  <si>
    <t>정보통신교육</t>
    <phoneticPr fontId="2" type="noConversion"/>
  </si>
  <si>
    <t>정보통신교육(2015.03.12.)에서 저작권과 개인정보 보호의 개념을 이해하고 저작권 및 개인정보 범죄 예방을 위해 타인의 정보와 인권을 존중해야 함을 알게 됨.</t>
    <phoneticPr fontId="2" type="noConversion"/>
  </si>
  <si>
    <t>인천과학대제전</t>
    <phoneticPr fontId="2" type="noConversion"/>
  </si>
  <si>
    <t>인천광역시교육청이 주최하고 인천대학교 과학영재교육연구소가 주관하는 ‘제17회 인천과학대제전’에 참여하여 ‘그림이 사라져요’ 프로그램으로 빛의 굴절과 전반사를 적용한 캡슐 만들기 프로그램을 운영 및 체험지도를 함.(2015.11.20.)</t>
    <phoneticPr fontId="2" type="noConversion"/>
  </si>
  <si>
    <t>수리탐구대회</t>
    <phoneticPr fontId="2" type="noConversion"/>
  </si>
  <si>
    <t>2015 제5회 서부수학원리탐구대회(2015.10.17.) 겨룸마당, 어울림마당, 나눔마당에 참가하여 착시와 불가능한 도형에 대하여 탐구한 내용을 발표하고 여러 학생들에게 소개하는 활동에 주도적인 역할을 함.</t>
    <phoneticPr fontId="2" type="noConversion"/>
  </si>
  <si>
    <t>교내체육대회(2015.05.21.) 응원전을 준비하는 과정에서 안무를 구성하여 급우들에게 친절하게 알려주는 등 학급의 단합을 이끌어내는데 기여함.</t>
    <phoneticPr fontId="2" type="noConversion"/>
  </si>
  <si>
    <t>체육대회 단합주도</t>
    <phoneticPr fontId="2" type="noConversion"/>
  </si>
  <si>
    <t>교내체육대회(2015.05.21.)에서 사용할 의상을 준비하고 급우들의 친목과 단합을 이끌어내는데 주도적인 역할을 함.</t>
    <phoneticPr fontId="2" type="noConversion"/>
  </si>
  <si>
    <t>교내체육대회(2015.05.21.)에서 학급 계주 대표로 출전하여 자신의 기량을 발휘하기 위해 최선을 다해 노력함.</t>
    <phoneticPr fontId="2" type="noConversion"/>
  </si>
  <si>
    <t>체육대회 단체경기 리더</t>
    <phoneticPr fontId="2" type="noConversion"/>
  </si>
  <si>
    <t>교내체육대회(2015.05.21.)에 출전한 단체경기 선수들이 서로 화합하여 분발할 수 있도록 리더십을 잘 발휘함.</t>
    <phoneticPr fontId="2" type="noConversion"/>
  </si>
  <si>
    <t>양성평등교육1</t>
    <phoneticPr fontId="2" type="noConversion"/>
  </si>
  <si>
    <t>양성평등교육(2015.05.15.)을 통하여 양성평등의 개념을 올바르게 이해하게 되었으며 일상생활에서 양성평등을 실천할 수 있는 일에 대해 좀 더 구체적으로 생각하고 실천하는 계기가 됨.</t>
    <phoneticPr fontId="2" type="noConversion"/>
  </si>
  <si>
    <t>장애인권교육1</t>
    <phoneticPr fontId="2" type="noConversion"/>
  </si>
  <si>
    <t>체육대회 안무 구성/지도</t>
    <phoneticPr fontId="2" type="noConversion"/>
  </si>
  <si>
    <t>체육대회 단합주도</t>
    <phoneticPr fontId="2" type="noConversion"/>
  </si>
  <si>
    <t>체육대회 계주대표</t>
    <phoneticPr fontId="2" type="noConversion"/>
  </si>
  <si>
    <t>체육대회 단체경기 리더</t>
    <phoneticPr fontId="2" type="noConversion"/>
  </si>
  <si>
    <t>체육대회 선수1</t>
    <phoneticPr fontId="2" type="noConversion"/>
  </si>
  <si>
    <t>체육대회 응원</t>
    <phoneticPr fontId="2" type="noConversion"/>
  </si>
  <si>
    <t>체육대회 선행</t>
    <phoneticPr fontId="2" type="noConversion"/>
  </si>
  <si>
    <t>체육대회 선수2</t>
    <phoneticPr fontId="2" type="noConversion"/>
  </si>
  <si>
    <t>장덕축제</t>
    <phoneticPr fontId="2" type="noConversion"/>
  </si>
  <si>
    <t>장덕축제(2016.12.30.)에서 학급체험활동 부스 운영에 자기 주도적으로 참여하였으며, 공연하는 친구들을 응원하며 건전한 공연 관람 문화를 선도함.</t>
    <phoneticPr fontId="2" type="noConversion"/>
  </si>
  <si>
    <t>학급 대의원(2016.03.02.-2017.02.28.)으로 책임감을 가지고 학교 대의원 회의에 참가하여 급우들의 의견을 전달하기 위해 노력함.</t>
    <phoneticPr fontId="2" type="noConversion"/>
  </si>
  <si>
    <t>학급 선도부장(2016.03.02.-2017.02.28)으로 급우들이 학급 규칙이 준수될 수 있도록 노력함.</t>
    <phoneticPr fontId="2" type="noConversion"/>
  </si>
  <si>
    <t>학급 문화체육부장(2016.03.02.-2017.02.28)으로 학급의 체육활동과 교실의 게시물관리를 충실히 수행함.</t>
    <phoneticPr fontId="2" type="noConversion"/>
  </si>
  <si>
    <t>환경에너지 지킴이</t>
    <phoneticPr fontId="2" type="noConversion"/>
  </si>
  <si>
    <t>이준원</t>
    <phoneticPr fontId="2" type="noConversion"/>
  </si>
  <si>
    <t>학급 정보부장(2017.03.02.-2018.02.28.)으로 학급 커뮤니티를 통해 교과와 학교생활관련 정보를 충실히 안내하기 위해 노력함.</t>
    <phoneticPr fontId="2" type="noConversion"/>
  </si>
  <si>
    <t>교내체육대회(2017.11.10.) 응원전을 준비하는 과정에서 안무를 구성하여 급우들에게 친절하게 알려주는 등 학급의 단합을 이끌어내는데 기여함.</t>
    <phoneticPr fontId="2" type="noConversion"/>
  </si>
  <si>
    <t>교내체육대회(2017.11.10.)에서 응원에 사용할 의상을 준비하고 급우들의 친목과 단합을 이끌어내는데 주도적인 역할을 함.</t>
    <phoneticPr fontId="2" type="noConversion"/>
  </si>
  <si>
    <t>교내체육대회(2017.11.10.)에 출전한 단체경기 선수들이 서로 화합하여 분발할 수 있도록 리더십을 발휘함.</t>
    <phoneticPr fontId="2" type="noConversion"/>
  </si>
  <si>
    <t>KAI 항공캠프(2017.06.02)에 참여하여 항공기에 적용되는 수학과 과학 이론을 학습하고 이것이 실제 항공기에 적용되는 과정을 체험함.</t>
    <phoneticPr fontId="2" type="noConversion"/>
  </si>
  <si>
    <t>KAI 항공캠프</t>
    <phoneticPr fontId="2" type="noConversion"/>
  </si>
  <si>
    <t>학급회의</t>
    <phoneticPr fontId="2" type="noConversion"/>
  </si>
  <si>
    <t>마이스터고 예술제</t>
    <phoneticPr fontId="2" type="noConversion"/>
  </si>
  <si>
    <t>마이스터고 예술제(2017.11.10.) 공연분야에 참가하여 우쿨렐레를 연주함.</t>
    <phoneticPr fontId="2" type="noConversion"/>
  </si>
  <si>
    <t>다문화 교육</t>
    <phoneticPr fontId="2" type="noConversion"/>
  </si>
  <si>
    <t>안전교육</t>
    <phoneticPr fontId="2" type="noConversion"/>
  </si>
  <si>
    <t>장애 인식 개선 교육</t>
    <phoneticPr fontId="2" type="noConversion"/>
  </si>
  <si>
    <t>인성교육</t>
    <phoneticPr fontId="2" type="noConversion"/>
  </si>
  <si>
    <t>518민주화운동</t>
    <phoneticPr fontId="2" type="noConversion"/>
  </si>
  <si>
    <t>교내체육대회(2018.05.11.)에서 이어달리기 선수로 출전하여 힘든 상황에서도 동료들을 격려하며 최선을 다함.</t>
    <phoneticPr fontId="2" type="noConversion"/>
  </si>
  <si>
    <t>교내체육대회(2018.05.11.)에서 내가최고 선발대회 선수로 출전하여 자신의 기량을 발휘하기 위해 최선을 다해 노력함.</t>
    <phoneticPr fontId="2" type="noConversion"/>
  </si>
  <si>
    <t>교내체육대회(2018.05.11.)에서 학급의 모든 경기를 찾아 다니며 최선을 다해 열심히 응원함.</t>
    <phoneticPr fontId="2" type="noConversion"/>
  </si>
  <si>
    <t>교내체육대회(2018.05.11.)에서 누가 시키지 않았는데도 주변의 쓰레기를 줍는 등 기본질서 유지를 위해 노력함.</t>
    <phoneticPr fontId="2" type="noConversion"/>
  </si>
  <si>
    <t>약물 오남용 예방교육</t>
    <phoneticPr fontId="2" type="noConversion"/>
  </si>
  <si>
    <t xml:space="preserve">인성교육(2018.04.20., 2018.06.22., 2018.09.14.)을 통해 현대의 도덕적 위기를 극복하고 새로운 도덕을 세우기 위해 우리 전통문화 속에 담겨 있는 도덕적 가치를 되살리되 시대의 변화를 수용하는 가운데 전통 사상의 핵심인 효가 오늘날 부모와 자식 사랑에 대한 은혜와 감사 그리고 경애와 배려하는 현대적 의미임을 깨닫게 됨. </t>
    <phoneticPr fontId="2" type="noConversion"/>
  </si>
  <si>
    <t>학교축제 체험부스 운영</t>
    <phoneticPr fontId="2" type="noConversion"/>
  </si>
  <si>
    <t>학교축제(2018.10.19) 장기자랑에서 댄스부문으로 참여하여 즐겁고 보람찬 축제가 될 수 있도록 기여함.</t>
    <phoneticPr fontId="2" type="noConversion"/>
  </si>
  <si>
    <t>학교축제 장기자랑 참여</t>
    <phoneticPr fontId="2" type="noConversion"/>
  </si>
  <si>
    <t>학교축제(2018.10.19)에서 행사 도우미 역할을 수행하여 행사의 원활한 운영에 기여함.</t>
    <phoneticPr fontId="2" type="noConversion"/>
  </si>
  <si>
    <t>학교축제 도우미 활동</t>
    <phoneticPr fontId="2" type="noConversion"/>
  </si>
  <si>
    <t>안전교육(2018.03.30., 2018.06.08., 2018.07.20., 2018.11.26., 2018.11.30.)을 통해 교통안전사고, 학교 및 가정에서의 안전사고, 약물오남용 사고, 식중독사고 등을 일상생활 속에서 예방할 수 있는 수칙에 대한 인식을 일깨우고 실천하고자 하는 마음을 다지게 됨.</t>
    <phoneticPr fontId="2" type="noConversion"/>
  </si>
  <si>
    <t>홍준석</t>
    <phoneticPr fontId="2" type="noConversion"/>
  </si>
  <si>
    <t>최가영</t>
    <phoneticPr fontId="2" type="noConversion"/>
  </si>
  <si>
    <t>차명준</t>
    <phoneticPr fontId="2" type="noConversion"/>
  </si>
  <si>
    <t>김상현</t>
    <phoneticPr fontId="2" type="noConversion"/>
  </si>
  <si>
    <t>학급 반장(2019.03.02.-2020.02.28.)으로 리더십을 발휘하여 학급의 문제를 해결하고 학급 전체의 인화를 위해 노력함.</t>
    <phoneticPr fontId="2" type="noConversion"/>
  </si>
  <si>
    <t>학급 부반장(2019.03.02.-2020.02.28.)으로 책임감과 봉사정신을 가지고 학급의 문제를 해결하고 학급 전체의 인화를 위해 노력함.</t>
    <phoneticPr fontId="2" type="noConversion"/>
  </si>
  <si>
    <t>학급 서기(2019.03.02.-2020.02.28.)로서 책임감을 가지고 맡은 임무를 성실하게 수행함.</t>
    <phoneticPr fontId="2" type="noConversion"/>
  </si>
  <si>
    <t>생명존중교육</t>
    <phoneticPr fontId="2" type="noConversion"/>
  </si>
  <si>
    <t>생명존중교육(2019.03.08., 2019.03.29., 2019.09.06., 2019.11.15.)을 통해 청소년들의 자살에 대한 심리적 상태를 이해하고 힘들어 하는 주변 친구들에게 따뜻한 배려와 도움이 절실히 필요함을 느꼈으며 생명의 소중함을 다시 한번 깨닫는 기회를 가지게 됨.</t>
    <phoneticPr fontId="2" type="noConversion"/>
  </si>
  <si>
    <t>518 광주민주화운동 교육(2019.05.17.)을 통해 민주화 운동이 일어나게 된 배경을 이해하고, 독재에 맞서 싸우다 억울하게 죽어간 수많은 시민들을 추모하는 시간을 가짐.</t>
    <phoneticPr fontId="2" type="noConversion"/>
  </si>
  <si>
    <t xml:space="preserve">다문화교육(2019.03.22., 2019.09.20.)을 통해 우리 나라와 다른 나라의 문화를 함께 나눔으로써 지구촌의 평화와 번영을 함께 누릴 수 있다는 사실을 새삼 깨달은 계기가 됨. </t>
    <phoneticPr fontId="2" type="noConversion"/>
  </si>
  <si>
    <t>환경에너지 지킴이(2019.03.02.-2020.02.28.)로 맡은바 임무를 성실하게 수행하여 에너지 절약에 선도적인 역할을 함.</t>
    <phoneticPr fontId="2" type="noConversion"/>
  </si>
  <si>
    <t>성폭력예방교육</t>
    <phoneticPr fontId="2" type="noConversion"/>
  </si>
  <si>
    <t>성폭력예방교육(2019.06.28., 2019.10.25., 2019.12.20.)을 통해 이성교제 시 지켜야 할 기본수칙을 배우고 성희롱 및 성폭력의 예방방법과 성적자기결정권의 중요성을 인식하게 됨.</t>
    <phoneticPr fontId="2" type="noConversion"/>
  </si>
  <si>
    <t>대중교통 안전교육</t>
    <phoneticPr fontId="2" type="noConversion"/>
  </si>
  <si>
    <t>안전교육(2019.05.10., 2019.05.24., 2019.07.22.)을 통해 교통안전사고를 예방할 수 있는 수칙에 대한 인식을 일깨우고 실천하고자 하는 마음을 다지게 됨.</t>
    <phoneticPr fontId="2" type="noConversion"/>
  </si>
  <si>
    <t>안전교육(2014.12.31.)을 통해 일상생활 속의 안전사고 및 겨울철 화재 관련 안전사고와 빙상 안전사고에 대한 예방법과 사고 시 대처방법을 확인하고 실천할 수 있게 됨.</t>
    <phoneticPr fontId="2" type="noConversion"/>
  </si>
  <si>
    <t>안전교육</t>
    <phoneticPr fontId="2" type="noConversion"/>
  </si>
  <si>
    <t>자기주도진로체험활동</t>
    <phoneticPr fontId="2" type="noConversion"/>
  </si>
  <si>
    <t>학교축제(2018.10.19.)에서 학급체험활동 부스 운영에 자기 주도적으로 참여하였으며, 공연하는 친구들을 응원하며 건전한 공연 관람 문화를 선도함.</t>
    <phoneticPr fontId="2" type="noConversion"/>
  </si>
  <si>
    <t>흡연, 음주 등 약물 오남용 예방교육(2019.04.05., 2019.05.10, 2019.07.05., 2019.07.12., 2019.07.19., 2019.11.08., 2019.12.06., 2020.01.03.)을 통해 흡연과 음주 등 약물 오남용의 폐해를 인식하고 자신의 건강을 위해 흡연과 음주와 같은 행위를 하지 않겠다고 다짐함.</t>
    <phoneticPr fontId="2" type="noConversion"/>
  </si>
  <si>
    <t>장애인인권교육(2017.04.28., 2017.10.20.)에 참여하여 인권을 침해 받은 사람들에 대해 마음 아파하고 함께 해결해 나가려 하는 마음을 갖게 됨.</t>
    <phoneticPr fontId="2" type="noConversion"/>
  </si>
  <si>
    <t>인권교육</t>
    <phoneticPr fontId="2" type="noConversion"/>
  </si>
  <si>
    <t>인권교육(2019.12.24.)에 참여하여 인권을 침해 받은 사람들에 대해 마음 아파하고 함께 해결해 나가려 하는 마음을 갖게 됨.</t>
    <phoneticPr fontId="2" type="noConversion"/>
  </si>
  <si>
    <t>자기주도진로체험활동(2019.06.19.-2019.06.21.)에서 계획 수립부터 진행과정까지 적극적으로 참여함.</t>
    <phoneticPr fontId="2" type="noConversion"/>
  </si>
  <si>
    <t>장애인이해교육(2019.04.19., 2019.11.29.)을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t>
    <phoneticPr fontId="2" type="noConversion"/>
  </si>
  <si>
    <t>안전교육(2019.03.15., 2019.06.14., 2019.07.19., 2019.08.30., 2019.12.27., 2020.01.03., 2020.01.10.)을 통해 화재, 물놀이, 빙상 등 일상생활에서 일어날 수 있는 안전사고에 대한 예방법과 사고 시 대처방법을 확인하고 실천할 수 있게 됨.</t>
    <phoneticPr fontId="2" type="noConversion"/>
  </si>
  <si>
    <t>학교폭력 예방교육(2019.03.15., 2019.05.31., 2019.10.18., 2019.12.13., 2020.01.03.)을 통해 학교폭력의 심각성을 알게 되었으며 자신의 인권이 소중한 것처럼 타인의 인권도 소중함을 깨닫고 실천하는 계기가 됨.</t>
    <phoneticPr fontId="2" type="noConversion"/>
  </si>
  <si>
    <t>학급회의(2019.03.15, 2019.03.29., 2019.07.12.)를 통해 학급의 문제들을 해결하기위한 의사결정과정에 적극적으로 참여함.</t>
    <phoneticPr fontId="2" type="noConversion"/>
  </si>
  <si>
    <t>김권위</t>
    <phoneticPr fontId="2" type="noConversion"/>
  </si>
  <si>
    <t>김상현</t>
    <phoneticPr fontId="2" type="noConversion"/>
  </si>
  <si>
    <t>김승길</t>
    <phoneticPr fontId="2" type="noConversion"/>
  </si>
  <si>
    <t>김하얀</t>
    <phoneticPr fontId="2" type="noConversion"/>
  </si>
  <si>
    <t>김호찬</t>
    <phoneticPr fontId="2" type="noConversion"/>
  </si>
  <si>
    <t>노지형</t>
    <phoneticPr fontId="2" type="noConversion"/>
  </si>
  <si>
    <t>류나경</t>
    <phoneticPr fontId="2" type="noConversion"/>
  </si>
  <si>
    <t>박건하</t>
    <phoneticPr fontId="2" type="noConversion"/>
  </si>
  <si>
    <t>서형찬</t>
    <phoneticPr fontId="2" type="noConversion"/>
  </si>
  <si>
    <t>손우진</t>
    <phoneticPr fontId="2" type="noConversion"/>
  </si>
  <si>
    <t>송정연</t>
    <phoneticPr fontId="2" type="noConversion"/>
  </si>
  <si>
    <t>양민국</t>
    <phoneticPr fontId="2" type="noConversion"/>
  </si>
  <si>
    <t>오서현</t>
    <phoneticPr fontId="2" type="noConversion"/>
  </si>
  <si>
    <t>윤재영</t>
    <phoneticPr fontId="2" type="noConversion"/>
  </si>
  <si>
    <t>이승민</t>
    <phoneticPr fontId="2" type="noConversion"/>
  </si>
  <si>
    <t>조도울</t>
    <phoneticPr fontId="2" type="noConversion"/>
  </si>
  <si>
    <t>차명준</t>
    <phoneticPr fontId="2" type="noConversion"/>
  </si>
  <si>
    <t>최가영</t>
    <phoneticPr fontId="2" type="noConversion"/>
  </si>
  <si>
    <t>최다빈</t>
    <phoneticPr fontId="2" type="noConversion"/>
  </si>
  <si>
    <t>홍준석</t>
    <phoneticPr fontId="2" type="noConversion"/>
  </si>
  <si>
    <t xml:space="preserve">생명존중교육(2019.03.08., 2019.03.29., 2019.09.06., 2019.11.15.)을 통해 청소년들의 자살에 대한 심리적 상태를 이해하고 힘들어 하는 주변 친구들에게 따뜻한 배려와 도움이 절실히 필요함을 느꼈으며 생명의 소중함을 다시 한번 깨닫는 기회를 가지게 됨.
안전교육(2019.03.15., 2019.06.14., 2019.07.19., 2019.08.30., 2019.12.27., 2020.01.03., 2020.01.10.)을 통해 화재, 물놀이, 빙상 등 일상생활에서 일어날 수 있는 안전사고에 대한 예방법과 사고 시 대처방법을 확인하고 실천할 수 있게 됨.
학교폭력 예방교육(2019.03.15., 2019.05.31., 2019.10.18., 2019.12.13., 2020.01.03.)을 통해 학교폭력의 심각성을 알게 되었으며 자신의 인권이 소중한 것처럼 타인의 인권도 소중함을 깨닫고 실천하는 계기가 됨.
학급회의(2019.03.15, 2019.03.29., 2019.07.12.)를 통해 학급의 문제들을 해결하기위한 의사결정과정에 적극적으로 참여함.
다문화교육(2019.03.22., 2019.09.20.)을 통해 우리 나라와 다른 나라의 문화를 함께 나눔으로써 지구촌의 평화와 번영을 함께 누릴 수 있다는 사실을 새삼 깨달은 계기가 됨. 
흡연, 음주 등 약물 오남용 예방교육(2019.04.05., 2019.05.10, 2019.07.05., 2019.07.12., 2019.07.19., 2019.11.08., 2019.12.06., 2020.01.03.)을 통해 흡연과 음주 등 약물 오남용의 폐해를 인식하고 자신의 건강을 위해 흡연과 음주와 같은 행위를 하지 않겠다고 다짐함.
장애인이해교육(2019.04.19., 2019.11.29.)을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
안전교육(2019.05.10., 2019.05.24., 2019.07.22.)을 통해 교통안전사고를 예방할 수 있는 수칙에 대한 인식을 일깨우고 실천하고자 하는 마음을 다지게 됨.
518 광주민주화운동 교육(2019.05.17.)을 통해 민주화 운동이 일어나게 된 배경을 이해하고, 독재에 맞서 싸우다 억울하게 죽어간 수많은 시민들을 추모하는 시간을 가짐.
자기주도진로체험활동(2019.06.19.-2019.06.21.)에서 계획 수립부터 진행과정까지 적극적으로 참여함.
성폭력예방교육(2019.06.28., 2019.10.25., 2019.12.20.)을 통해 이성교제 시 지켜야 할 기본수칙을 배우고 성희롱 및 성폭력의 예방방법과 성적자기결정권의 중요성을 인식하게 됨.
인권교육(2019.12.24.)에 참여하여 인권을 침해 받은 사람들에 대해 마음 아파하고 함께 해결해 나가려 하는 마음을 갖게 됨.
</t>
    <phoneticPr fontId="2" type="noConversion"/>
  </si>
  <si>
    <t xml:space="preserve">생명존중교육(2019.03.08., 2019.03.29., 2019.09.06., 2019.11.15.)을 통해 청소년들의 자살에 대한 심리적 상태를 이해하고 힘들어 하는 주변 친구들에게 따뜻한 배려와 도움이 절실히 필요함을 느꼈으며 생명의 소중함을 다시 한번 깨닫는 기회를 가지게 됨.
안전교육(2019.03.15., 2019.06.14., 2019.07.19., 2019.08.30., 2019.12.27., 2020.01.03., 2020.01.10.)을 통해 화재, 물놀이, 빙상 등 일상생활에서 일어날 수 있는 안전사고에 대한 예방법과 사고 시 대처방법을 확인하고 실천할 수 있게 됨.
학교폭력 예방교육(2019.03.15., 2019.05.31., 2019.10.18., 2019.12.13., 2020.01.03.)을 통해 학교폭력의 심각성을 알게 되었으며 자신의 인권이 소중한 것처럼 타인의 인권도 소중함을 깨닫고 실천하는 계기가 됨.
학급회의(2019.03.15, 2019.03.29., 2019.07.12.)를 통해 학급의 문제들을 해결하기위한 의사결정과정에 적극적으로 참여함.
다문화교육(2019.03.22., 2019.09.20.)을 통해 우리 나라와 다른 나라의 문화를 함께 나눔으로써 지구촌의 평화와 번영을 함께 누릴 수 있다는 사실을 새삼 깨달은 계기가 됨. 
흡연, 음주 등 약물 오남용 예방교육(2019.04.05., 2019.05.10, 2019.07.05., 2019.07.12., 2019.07.19., 2019.11.08., 2019.12.06., 2020.01.03.)을 통해 흡연과 음주 등 약물 오남용의 폐해를 인식하고 자신의 건강을 위해 흡연과 음주와 같은 행위를 하지 않겠다고 다짐함.
장애인이해교육(2019.04.19., 2019.11.29.)을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
안전교육(2019.05.10., 2019.05.24., 2019.07.22.)을 통해 교통안전사고를 예방할 수 있는 수칙에 대한 인식을 일깨우고 실천하고자 하는 마음을 다지게 됨.
518 광주민주화운동 교육(2019.05.17.)을 통해 민주화 운동이 일어나게 된 배경을 이해하고, 독재에 맞서 싸우다 억울하게 죽어간 수많은 시민들을 추모하는 시간을 가짐.
자기주도진로체험활동(2019.06.19.-2019.06.21.)에서 계획 수립부터 진행과정까지 적극적으로 참여함.
성폭력예방교육(2019.06.28., 2019.10.25., 2019.12.20.)을 통해 이성교제 시 지켜야 할 기본수칙을 배우고 성희롱 및 성폭력의 예방방법과 성적자기결정권의 중요성을 인식하게 됨.
인권교육(2019.12.24.)에 참여하여 인권을 침해 받은 사람들에 대해 마음 아파하고 함께 해결해 나가려 하는 마음을 갖게 됨.
</t>
    <phoneticPr fontId="2" type="noConversion"/>
  </si>
  <si>
    <t xml:space="preserve">학급 부반장(2019.03.02.-2020.02.28.)으로 책임감과 봉사정신을 가지고 학급의 문제를 해결하고 학급 전체의 인화를 위해 노력함.
생명존중교육(2019.03.08., 2019.03.29., 2019.09.06., 2019.11.15.)을 통해 청소년들의 자살에 대한 심리적 상태를 이해하고 힘들어 하는 주변 친구들에게 따뜻한 배려와 도움이 절실히 필요함을 느꼈으며 생명의 소중함을 다시 한번 깨닫는 기회를 가지게 됨.
안전교육(2019.03.15., 2019.06.14., 2019.07.19., 2019.08.30., 2019.12.27., 2020.01.03., 2020.01.10.)을 통해 화재, 물놀이, 빙상 등 일상생활에서 일어날 수 있는 안전사고에 대한 예방법과 사고 시 대처방법을 확인하고 실천할 수 있게 됨.
학교폭력 예방교육(2019.03.15., 2019.05.31., 2019.10.18., 2019.12.13., 2020.01.03.)을 통해 학교폭력의 심각성을 알게 되었으며 자신의 인권이 소중한 것처럼 타인의 인권도 소중함을 깨닫고 실천하는 계기가 됨.
학급회의(2019.03.15, 2019.03.29., 2019.07.12.)를 통해 학급의 문제들을 해결하기위한 의사결정과정에 적극적으로 참여함.
다문화교육(2019.03.22., 2019.09.20.)을 통해 우리 나라와 다른 나라의 문화를 함께 나눔으로써 지구촌의 평화와 번영을 함께 누릴 수 있다는 사실을 새삼 깨달은 계기가 됨. 
흡연, 음주 등 약물 오남용 예방교육(2019.04.05., 2019.05.10, 2019.07.05., 2019.07.12., 2019.07.19., 2019.11.08., 2019.12.06., 2020.01.03.)을 통해 흡연과 음주 등 약물 오남용의 폐해를 인식하고 자신의 건강을 위해 흡연과 음주와 같은 행위를 하지 않겠다고 다짐함.
장애인이해교육(2019.04.19., 2019.11.29.)을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
안전교육(2019.05.10., 2019.05.24., 2019.07.22.)을 통해 교통안전사고를 예방할 수 있는 수칙에 대한 인식을 일깨우고 실천하고자 하는 마음을 다지게 됨.
518 광주민주화운동 교육(2019.05.17.)을 통해 민주화 운동이 일어나게 된 배경을 이해하고, 독재에 맞서 싸우다 억울하게 죽어간 수많은 시민들을 추모하는 시간을 가짐.
자기주도진로체험활동(2019.06.19.-2019.06.21.)에서 계획 수립부터 진행과정까지 적극적으로 참여함.
성폭력예방교육(2019.06.28., 2019.10.25., 2019.12.20.)을 통해 이성교제 시 지켜야 할 기본수칙을 배우고 성희롱 및 성폭력의 예방방법과 성적자기결정권의 중요성을 인식하게 됨.
인권교육(2019.12.24.)에 참여하여 인권을 침해 받은 사람들에 대해 마음 아파하고 함께 해결해 나가려 하는 마음을 갖게 됨.
</t>
    <phoneticPr fontId="2" type="noConversion"/>
  </si>
  <si>
    <t xml:space="preserve">환경에너지 지킴이(2019.03.02.-2020.02.28.)로 맡은바 임무를 성실하게 수행하여 에너지 절약에 선도적인 역할을 함.
생명존중교육(2019.03.08., 2019.03.29., 2019.09.06., 2019.11.15.)을 통해 청소년들의 자살에 대한 심리적 상태를 이해하고 힘들어 하는 주변 친구들에게 따뜻한 배려와 도움이 절실히 필요함을 느꼈으며 생명의 소중함을 다시 한번 깨닫는 기회를 가지게 됨.
안전교육(2019.03.15., 2019.06.14., 2019.07.19., 2019.08.30., 2019.12.27., 2020.01.03., 2020.01.10.)을 통해 화재, 물놀이, 빙상 등 일상생활에서 일어날 수 있는 안전사고에 대한 예방법과 사고 시 대처방법을 확인하고 실천할 수 있게 됨.
학교폭력 예방교육(2019.03.15., 2019.05.31., 2019.10.18., 2019.12.13., 2020.01.03.)을 통해 학교폭력의 심각성을 알게 되었으며 자신의 인권이 소중한 것처럼 타인의 인권도 소중함을 깨닫고 실천하는 계기가 됨.
학급회의(2019.03.15, 2019.03.29., 2019.07.12.)를 통해 학급의 문제들을 해결하기위한 의사결정과정에 적극적으로 참여함.
다문화교육(2019.03.22., 2019.09.20.)을 통해 우리 나라와 다른 나라의 문화를 함께 나눔으로써 지구촌의 평화와 번영을 함께 누릴 수 있다는 사실을 새삼 깨달은 계기가 됨. 
흡연, 음주 등 약물 오남용 예방교육(2019.04.05., 2019.05.10, 2019.07.05., 2019.07.12., 2019.07.19., 2019.11.08., 2019.12.06., 2020.01.03.)을 통해 흡연과 음주 등 약물 오남용의 폐해를 인식하고 자신의 건강을 위해 흡연과 음주와 같은 행위를 하지 않겠다고 다짐함.
장애인이해교육(2019.04.19., 2019.11.29.)을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
안전교육(2019.05.10., 2019.05.24., 2019.07.22.)을 통해 교통안전사고를 예방할 수 있는 수칙에 대한 인식을 일깨우고 실천하고자 하는 마음을 다지게 됨.
518 광주민주화운동 교육(2019.05.17.)을 통해 민주화 운동이 일어나게 된 배경을 이해하고, 독재에 맞서 싸우다 억울하게 죽어간 수많은 시민들을 추모하는 시간을 가짐.
자기주도진로체험활동(2019.06.19.-2019.06.21.)에서 계획 수립부터 진행과정까지 적극적으로 참여함.
성폭력예방교육(2019.06.28., 2019.10.25., 2019.12.20.)을 통해 이성교제 시 지켜야 할 기본수칙을 배우고 성희롱 및 성폭력의 예방방법과 성적자기결정권의 중요성을 인식하게 됨.
인권교육(2019.12.24.)에 참여하여 인권을 침해 받은 사람들에 대해 마음 아파하고 함께 해결해 나가려 하는 마음을 갖게 됨.
</t>
    <phoneticPr fontId="2" type="noConversion"/>
  </si>
  <si>
    <t xml:space="preserve">생명존중교육(2019.03.08., 2019.03.29., 2019.09.06., 2019.11.15.)을 통해 청소년들의 자살에 대한 심리적 상태를 이해하고 힘들어 하는 주변 친구들에게 따뜻한 배려와 도움이 절실히 필요함을 느꼈으며 생명의 소중함을 다시 한번 깨닫는 기회를 가지게 됨.
안전교육(2019.03.15., 2019.06.14., 2019.07.19., 2019.08.30., 2019.12.27., 2020.01.03., 2020.01.10.)을 통해 화재, 물놀이, 빙상 등 일상생활에서 일어날 수 있는 안전사고에 대한 예방법과 사고 시 대처방법을 확인하고 실천할 수 있게 됨.
학교폭력 예방교육(2019.03.15., 2019.05.31., 2019.10.18., 2019.12.13., 2020.01.03.)을 통해 학교폭력의 심각성을 알게 되었으며 자신의 인권이 소중한 것처럼 타인의 인권도 소중함을 깨닫고 실천하는 계기가 됨.
학급회의(2019.03.15, 2019.03.29., 2019.07.12.)를 통해 학급의 문제들을 해결하기위한 의사결정과정에 적극적으로 참여함.
다문화교육(2019.03.22., 2019.09.20.)을 통해 우리 나라와 다른 나라의 문화를 함께 나눔으로써 지구촌의 평화와 번영을 함께 누릴 수 있다는 사실을 새삼 깨달은 계기가 됨. 
흡연, 음주 등 약물 오남용 예방교육(2019.04.05., 2019.05.10, 2019.07.05., 2019.07.12., 2019.07.19., 2019.11.08., 2019.12.06., 2020.01.03.)을 통해 흡연과 음주 등 약물 오남용의 폐해를 인식하고 자신의 건강을 위해 흡연과 음주와 같은 행위를 하지 않겠다고 다짐함.
장애인이해교육(2019.04.19., 2019.11.29.)을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
안전교육(2019.05.10., 2019.05.24., 2019.07.22.)을 통해 교통안전사고를 예방할 수 있는 수칙에 대한 인식을 일깨우고 실천하고자 하는 마음을 다지게 됨.
518 광주민주화운동 교육(2019.05.17.)을 통해 민주화 운동이 일어나게 된 배경을 이해하고, 독재에 맞서 싸우다 억울하게 죽어간 수많은 시민들을 추모하는 시간을 가짐.
자기주도진로체험활동(2019.06.19.-2019.06.21.)에서 계획 수립부터 진행과정까지 적극적으로 참여함.
성폭력예방교육(2019.06.28., 2019.10.25., 2019.12.20.)을 통해 이성교제 시 지켜야 할 기본수칙을 배우고 성희롱 및 성폭력의 예방방법과 성적자기결정권의 중요성을 인식하게 됨.
인권교육(2019.12.24.)에 참여하여 인권을 침해 받은 사람들에 대해 마음 아파하고 함께 해결해 나가려 하는 마음을 갖게 됨.
</t>
    <phoneticPr fontId="2" type="noConversion"/>
  </si>
  <si>
    <t xml:space="preserve">학급 서기(2019.03.02.-2020.02.28.)로서 책임감을 가지고 맡은 임무를 성실하게 수행함.
생명존중교육(2019.03.08., 2019.03.29., 2019.09.06., 2019.11.15.)을 통해 청소년들의 자살에 대한 심리적 상태를 이해하고 힘들어 하는 주변 친구들에게 따뜻한 배려와 도움이 절실히 필요함을 느꼈으며 생명의 소중함을 다시 한번 깨닫는 기회를 가지게 됨.
안전교육(2019.03.15., 2019.06.14., 2019.07.19., 2019.08.30., 2019.12.27., 2020.01.03., 2020.01.10.)을 통해 화재, 물놀이, 빙상 등 일상생활에서 일어날 수 있는 안전사고에 대한 예방법과 사고 시 대처방법을 확인하고 실천할 수 있게 됨.
학교폭력 예방교육(2019.03.15., 2019.05.31., 2019.10.18., 2019.12.13., 2020.01.03.)을 통해 학교폭력의 심각성을 알게 되었으며 자신의 인권이 소중한 것처럼 타인의 인권도 소중함을 깨닫고 실천하는 계기가 됨.
학급회의(2019.03.15, 2019.03.29., 2019.07.12.)를 통해 학급의 문제들을 해결하기위한 의사결정과정에 적극적으로 참여함.
다문화교육(2019.03.22., 2019.09.20.)을 통해 우리 나라와 다른 나라의 문화를 함께 나눔으로써 지구촌의 평화와 번영을 함께 누릴 수 있다는 사실을 새삼 깨달은 계기가 됨. 
흡연, 음주 등 약물 오남용 예방교육(2019.04.05., 2019.05.10, 2019.07.05., 2019.07.12., 2019.07.19., 2019.11.08., 2019.12.06., 2020.01.03.)을 통해 흡연과 음주 등 약물 오남용의 폐해를 인식하고 자신의 건강을 위해 흡연과 음주와 같은 행위를 하지 않겠다고 다짐함.
장애인이해교육(2019.04.19., 2019.11.29.)을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
안전교육(2019.05.10., 2019.05.24., 2019.07.22.)을 통해 교통안전사고를 예방할 수 있는 수칙에 대한 인식을 일깨우고 실천하고자 하는 마음을 다지게 됨.
518 광주민주화운동 교육(2019.05.17.)을 통해 민주화 운동이 일어나게 된 배경을 이해하고, 독재에 맞서 싸우다 억울하게 죽어간 수많은 시민들을 추모하는 시간을 가짐.
자기주도진로체험활동(2019.06.19.-2019.06.21.)에서 계획 수립부터 진행과정까지 적극적으로 참여함.
성폭력예방교육(2019.06.28., 2019.10.25., 2019.12.20.)을 통해 이성교제 시 지켜야 할 기본수칙을 배우고 성희롱 및 성폭력의 예방방법과 성적자기결정권의 중요성을 인식하게 됨.
인권교육(2019.12.24.)에 참여하여 인권을 침해 받은 사람들에 대해 마음 아파하고 함께 해결해 나가려 하는 마음을 갖게 됨.
</t>
    <phoneticPr fontId="2" type="noConversion"/>
  </si>
  <si>
    <t xml:space="preserve">학급 반장(2019.03.02.-2020.02.28.)으로 리더십을 발휘하여 학급의 문제를 해결하고 학급 전체의 인화를 위해 노력함.
생명존중교육(2019.03.08., 2019.03.29., 2019.09.06., 2019.11.15.)을 통해 청소년들의 자살에 대한 심리적 상태를 이해하고 힘들어 하는 주변 친구들에게 따뜻한 배려와 도움이 절실히 필요함을 느꼈으며 생명의 소중함을 다시 한번 깨닫는 기회를 가지게 됨.
안전교육(2019.03.15., 2019.06.14., 2019.07.19., 2019.08.30., 2019.12.27., 2020.01.03., 2020.01.10.)을 통해 화재, 물놀이, 빙상 등 일상생활에서 일어날 수 있는 안전사고에 대한 예방법과 사고 시 대처방법을 확인하고 실천할 수 있게 됨.
학교폭력 예방교육(2019.03.15., 2019.05.31., 2019.10.18., 2019.12.13., 2020.01.03.)을 통해 학교폭력의 심각성을 알게 되었으며 자신의 인권이 소중한 것처럼 타인의 인권도 소중함을 깨닫고 실천하는 계기가 됨.
학급회의(2019.03.15, 2019.03.29., 2019.07.12.)를 통해 학급의 문제들을 해결하기위한 의사결정과정에 적극적으로 참여함.
다문화교육(2019.03.22., 2019.09.20.)을 통해 우리 나라와 다른 나라의 문화를 함께 나눔으로써 지구촌의 평화와 번영을 함께 누릴 수 있다는 사실을 새삼 깨달은 계기가 됨. 
흡연, 음주 등 약물 오남용 예방교육(2019.04.05., 2019.05.10, 2019.07.05., 2019.07.12., 2019.07.19., 2019.11.08., 2019.12.06., 2020.01.03.)을 통해 흡연과 음주 등 약물 오남용의 폐해를 인식하고 자신의 건강을 위해 흡연과 음주와 같은 행위를 하지 않겠다고 다짐함.
장애인이해교육(2019.04.19., 2019.11.29.)을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
안전교육(2019.05.10., 2019.05.24., 2019.07.22.)을 통해 교통안전사고를 예방할 수 있는 수칙에 대한 인식을 일깨우고 실천하고자 하는 마음을 다지게 됨.
518 광주민주화운동 교육(2019.05.17.)을 통해 민주화 운동이 일어나게 된 배경을 이해하고, 독재에 맞서 싸우다 억울하게 죽어간 수많은 시민들을 추모하는 시간을 가짐.
자기주도진로체험활동(2019.06.19.-2019.06.21.)에서 계획 수립부터 진행과정까지 적극적으로 참여함.
성폭력예방교육(2019.06.28., 2019.10.25., 2019.12.20.)을 통해 이성교제 시 지켜야 할 기본수칙을 배우고 성희롱 및 성폭력의 예방방법과 성적자기결정권의 중요성을 인식하게 됨.
인권교육(2019.12.24.)에 참여하여 인권을 침해 받은 사람들에 대해 마음 아파하고 함께 해결해 나가려 하는 마음을 갖게 됨.
</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</si>
</sst>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6" x14ac:knownFonts="1">
    <font>
      <sz val="11"/>
      <color theme="1"/>
      <name val="맑은 고딕"/>
      <family val="2"/>
      <charset val="129"/>
      <scheme val="minor"/>
    </font>
    <font>
      <sz val="10"/>
      <color rgb="FF000000"/>
      <name val="맑은 고딕"/>
      <family val="3"/>
      <charset val="129"/>
      <scheme val="minor"/>
    </font>
    <font>
      <sz val="8"/>
      <name val="맑은 고딕"/>
      <family val="2"/>
      <charset val="129"/>
      <scheme val="minor"/>
    </font>
    <font>
      <sz val="10"/>
      <color theme="1"/>
      <name val="맑은 고딕"/>
      <family val="3"/>
      <charset val="129"/>
      <scheme val="minor"/>
    </font>
    <font>
      <sz val="11"/>
      <color theme="1"/>
      <name val="맑은 고딕"/>
      <family val="3"/>
      <charset val="129"/>
      <scheme val="minor"/>
    </font>
    <font>
      <sz val="11"/>
      <name val="돋움"/>
      <family val="3"/>
      <charset val="129"/>
    </font>
    <font>
      <sz val="8"/>
      <color theme="1"/>
      <name val="맑은 고딕"/>
      <family val="2"/>
      <charset val="129"/>
      <scheme val="minor"/>
    </font>
    <font>
      <b/>
      <sz val="11"/>
      <color theme="1"/>
      <name val="맑은 고딕"/>
      <family val="3"/>
      <charset val="129"/>
      <scheme val="minor"/>
    </font>
    <font>
      <b/>
      <sz val="11"/>
      <color rgb="FFFF0000"/>
      <name val="맑은 고딕"/>
      <family val="3"/>
      <charset val="129"/>
      <scheme val="minor"/>
    </font>
    <font>
      <b/>
      <sz val="16"/>
      <color theme="1"/>
      <name val="맑은 고딕"/>
      <family val="3"/>
      <charset val="129"/>
      <scheme val="minor"/>
    </font>
    <font>
      <sz val="10"/>
      <color rgb="FF000000"/>
      <name val="맑은 고딕"/>
      <family val="3"/>
      <charset val="129"/>
    </font>
    <font>
      <sz val="9"/>
      <color theme="1"/>
      <name val="맑은 고딕"/>
      <family val="3"/>
      <charset val="129"/>
      <scheme val="minor"/>
    </font>
    <font>
      <sz val="11"/>
      <color rgb="FF000000"/>
      <name val="맑은 고딕"/>
      <family val="3"/>
      <charset val="129"/>
    </font>
    <font>
      <b/>
      <sz val="10"/>
      <name val="맑은 고딕"/>
      <family val="3"/>
      <charset val="129"/>
      <scheme val="minor"/>
    </font>
    <font>
      <b/>
      <sz val="11"/>
      <color rgb="FFFFFF00"/>
      <name val="맑은 고딕"/>
      <family val="3"/>
      <charset val="129"/>
      <scheme val="minor"/>
    </font>
    <font>
      <b/>
      <u/>
      <sz val="11"/>
      <color theme="1"/>
      <name val="맑은 고딕"/>
      <family val="3"/>
      <charset val="129"/>
      <scheme val="minor"/>
    </font>
    <font>
      <sz val="9"/>
      <color theme="1"/>
      <name val="맑은 고딕"/>
      <family val="2"/>
      <charset val="129"/>
      <scheme val="minor"/>
    </font>
    <font>
      <sz val="10"/>
      <color theme="1"/>
      <name val="맑은 고딕"/>
      <family val="2"/>
      <charset val="129"/>
      <scheme val="minor"/>
    </font>
    <font>
      <sz val="10"/>
      <color theme="1"/>
      <name val="바탕"/>
      <family val="1"/>
      <charset val="129"/>
    </font>
    <font>
      <b/>
      <sz val="12"/>
      <color theme="1"/>
      <name val="맑은 고딕"/>
      <family val="3"/>
      <charset val="129"/>
      <scheme val="minor"/>
    </font>
    <font>
      <b/>
      <sz val="12"/>
      <color theme="0"/>
      <name val="맑은 고딕"/>
      <family val="3"/>
      <charset val="129"/>
      <scheme val="minor"/>
    </font>
    <font>
      <b/>
      <sz val="11"/>
      <color theme="0"/>
      <name val="맑은 고딕"/>
      <family val="3"/>
      <charset val="129"/>
      <scheme val="minor"/>
    </font>
    <font>
      <b/>
      <sz val="9"/>
      <color theme="1"/>
      <name val="맑은 고딕"/>
      <family val="3"/>
      <charset val="129"/>
      <scheme val="minor"/>
    </font>
    <font>
      <sz val="10"/>
      <name val="맑은 고딕"/>
      <family val="2"/>
      <charset val="129"/>
      <scheme val="minor"/>
    </font>
    <font>
      <b/>
      <sz val="16"/>
      <color rgb="FFFF0000"/>
      <name val="맑은 고딕"/>
      <family val="3"/>
      <charset val="129"/>
      <scheme val="minor"/>
    </font>
    <font>
      <b/>
      <sz val="10"/>
      <color theme="1"/>
      <name val="맑은 고딕"/>
      <family val="3"/>
      <charset val="129"/>
      <scheme val="minor"/>
    </font>
  </fonts>
  <fills count="14">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0" tint="-0.34998626667073579"/>
        <bgColor indexed="64"/>
      </patternFill>
    </fill>
    <fill>
      <patternFill patternType="solid">
        <fgColor theme="0"/>
        <bgColor indexed="64"/>
      </patternFill>
    </fill>
    <fill>
      <patternFill patternType="solid">
        <fgColor rgb="FFFFFFCC"/>
        <bgColor indexed="64"/>
      </patternFill>
    </fill>
    <fill>
      <patternFill patternType="solid">
        <fgColor theme="9" tint="0.59999389629810485"/>
        <bgColor indexed="64"/>
      </patternFill>
    </fill>
    <fill>
      <patternFill patternType="solid">
        <fgColor rgb="FF002060"/>
        <bgColor indexed="64"/>
      </patternFill>
    </fill>
    <fill>
      <patternFill patternType="solid">
        <fgColor rgb="FF92D05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9" tint="0.79998168889431442"/>
        <bgColor indexed="64"/>
      </patternFill>
    </fill>
    <fill>
      <patternFill patternType="solid">
        <fgColor rgb="FFFFFF99"/>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diagonalDown="1">
      <left style="thin">
        <color indexed="64"/>
      </left>
      <right style="thin">
        <color indexed="64"/>
      </right>
      <top style="thin">
        <color indexed="64"/>
      </top>
      <bottom/>
      <diagonal style="thin">
        <color indexed="64"/>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diagonalDown="1">
      <left style="thin">
        <color indexed="64"/>
      </left>
      <right style="thin">
        <color indexed="64"/>
      </right>
      <top/>
      <bottom/>
      <diagonal style="thin">
        <color indexed="64"/>
      </diagonal>
    </border>
    <border>
      <left/>
      <right style="thin">
        <color indexed="64"/>
      </right>
      <top/>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s>
  <cellStyleXfs count="4">
    <xf numFmtId="0" fontId="0" fillId="0" borderId="0">
      <alignment vertical="center"/>
    </xf>
    <xf numFmtId="0" fontId="4" fillId="0" borderId="0">
      <alignment vertical="center"/>
    </xf>
    <xf numFmtId="0" fontId="5" fillId="0" borderId="0"/>
    <xf numFmtId="0" fontId="5" fillId="0" borderId="0"/>
  </cellStyleXfs>
  <cellXfs count="82">
    <xf numFmtId="0" fontId="0" fillId="0" borderId="0" xfId="0">
      <alignment vertical="center"/>
    </xf>
    <xf numFmtId="0" fontId="0" fillId="10" borderId="0" xfId="0" applyFill="1">
      <alignment vertical="center"/>
    </xf>
    <xf numFmtId="0" fontId="17" fillId="5" borderId="1" xfId="0" applyFont="1" applyFill="1" applyBorder="1" applyAlignment="1">
      <alignment horizontal="center" vertical="center"/>
    </xf>
    <xf numFmtId="0" fontId="0" fillId="10" borderId="0" xfId="0" applyFill="1" applyAlignment="1">
      <alignment horizontal="left" vertical="center"/>
    </xf>
    <xf numFmtId="0" fontId="17" fillId="10" borderId="0" xfId="0" applyFont="1" applyFill="1" applyAlignment="1">
      <alignment horizontal="center" vertical="center"/>
    </xf>
    <xf numFmtId="0" fontId="17" fillId="5" borderId="1" xfId="0" applyFont="1" applyFill="1" applyBorder="1" applyAlignment="1" applyProtection="1">
      <alignment horizontal="center" vertical="center"/>
    </xf>
    <xf numFmtId="0" fontId="19" fillId="5" borderId="1" xfId="0" applyFont="1" applyFill="1" applyBorder="1" applyAlignment="1" applyProtection="1">
      <alignment horizontal="center" vertical="center"/>
    </xf>
    <xf numFmtId="0" fontId="0" fillId="4" borderId="0" xfId="0" applyFill="1" applyProtection="1">
      <alignment vertical="center"/>
      <protection hidden="1"/>
    </xf>
    <xf numFmtId="0" fontId="0" fillId="4" borderId="0" xfId="0" applyFill="1" applyAlignment="1" applyProtection="1">
      <alignment horizontal="center" vertical="center"/>
      <protection hidden="1"/>
    </xf>
    <xf numFmtId="0" fontId="0" fillId="4" borderId="0" xfId="0" applyFill="1" applyAlignment="1" applyProtection="1">
      <alignment horizontal="left" vertical="center"/>
      <protection hidden="1"/>
    </xf>
    <xf numFmtId="0" fontId="0" fillId="10" borderId="0" xfId="0" applyFill="1" applyProtection="1">
      <alignment vertical="center"/>
      <protection hidden="1"/>
    </xf>
    <xf numFmtId="0" fontId="0" fillId="10" borderId="0" xfId="0" applyFill="1" applyAlignment="1" applyProtection="1">
      <alignment horizontal="center" vertical="center"/>
      <protection hidden="1"/>
    </xf>
    <xf numFmtId="0" fontId="3" fillId="10" borderId="0" xfId="0" applyFont="1" applyFill="1" applyAlignment="1" applyProtection="1">
      <alignment horizontal="center" vertical="center" shrinkToFit="1"/>
      <protection hidden="1"/>
    </xf>
    <xf numFmtId="0" fontId="3" fillId="11" borderId="1" xfId="0" applyFont="1" applyFill="1" applyBorder="1" applyProtection="1">
      <alignment vertical="center"/>
      <protection hidden="1"/>
    </xf>
    <xf numFmtId="0" fontId="3" fillId="11" borderId="1" xfId="0" applyFont="1" applyFill="1" applyBorder="1" applyAlignment="1" applyProtection="1">
      <alignment horizontal="center" vertical="center"/>
      <protection hidden="1"/>
    </xf>
    <xf numFmtId="0" fontId="3" fillId="11" borderId="1" xfId="0" applyFont="1" applyFill="1" applyBorder="1" applyAlignment="1" applyProtection="1">
      <alignment horizontal="center" vertical="center" shrinkToFit="1"/>
      <protection hidden="1"/>
    </xf>
    <xf numFmtId="0" fontId="7" fillId="10" borderId="0" xfId="0" applyFont="1" applyFill="1" applyAlignment="1" applyProtection="1">
      <alignment horizontal="center" vertical="center"/>
      <protection hidden="1"/>
    </xf>
    <xf numFmtId="0" fontId="17" fillId="5" borderId="1" xfId="0" applyFont="1" applyFill="1" applyBorder="1" applyAlignment="1" applyProtection="1">
      <alignment vertical="center" wrapText="1"/>
      <protection locked="0"/>
    </xf>
    <xf numFmtId="0" fontId="11" fillId="5" borderId="1" xfId="0" applyFont="1" applyFill="1" applyBorder="1" applyAlignment="1" applyProtection="1">
      <alignment horizontal="center" vertical="center" shrinkToFit="1"/>
    </xf>
    <xf numFmtId="0" fontId="0" fillId="10" borderId="0" xfId="0" applyFill="1" applyAlignment="1">
      <alignment horizontal="center" vertical="center"/>
    </xf>
    <xf numFmtId="0" fontId="3" fillId="12" borderId="1" xfId="0" applyFont="1" applyFill="1" applyBorder="1" applyAlignment="1" applyProtection="1">
      <alignment horizontal="center" vertical="center"/>
      <protection locked="0"/>
    </xf>
    <xf numFmtId="0" fontId="3" fillId="5" borderId="2" xfId="0" applyFont="1" applyFill="1" applyBorder="1" applyAlignment="1" applyProtection="1">
      <alignment horizontal="center" vertical="center" shrinkToFit="1"/>
      <protection locked="0"/>
    </xf>
    <xf numFmtId="0" fontId="1" fillId="5" borderId="1" xfId="0" applyFont="1" applyFill="1" applyBorder="1" applyAlignment="1" applyProtection="1">
      <alignment horizontal="justify" vertical="center"/>
      <protection locked="0"/>
    </xf>
    <xf numFmtId="0" fontId="3" fillId="5" borderId="1" xfId="0" applyFont="1" applyFill="1" applyBorder="1" applyAlignment="1" applyProtection="1">
      <alignment horizontal="center" vertical="center" shrinkToFit="1"/>
      <protection locked="0"/>
    </xf>
    <xf numFmtId="0" fontId="3" fillId="5" borderId="3" xfId="0" applyFont="1" applyFill="1" applyBorder="1" applyAlignment="1" applyProtection="1">
      <alignment horizontal="center" vertical="center" shrinkToFit="1"/>
      <protection locked="0"/>
    </xf>
    <xf numFmtId="0" fontId="3" fillId="5" borderId="1" xfId="0" applyFont="1" applyFill="1" applyBorder="1" applyAlignment="1" applyProtection="1">
      <alignment vertical="center" wrapText="1"/>
      <protection locked="0"/>
    </xf>
    <xf numFmtId="0" fontId="1" fillId="5" borderId="1" xfId="0" applyFont="1" applyFill="1" applyBorder="1" applyAlignment="1" applyProtection="1">
      <alignment horizontal="left" vertical="center" wrapText="1"/>
      <protection locked="0"/>
    </xf>
    <xf numFmtId="0" fontId="21" fillId="8" borderId="0" xfId="0" applyFont="1" applyFill="1" applyAlignment="1">
      <alignment horizontal="center" vertical="center"/>
    </xf>
    <xf numFmtId="0" fontId="7" fillId="10" borderId="0" xfId="0" applyFont="1" applyFill="1">
      <alignment vertical="center"/>
    </xf>
    <xf numFmtId="0" fontId="22" fillId="9" borderId="1" xfId="0" applyFont="1" applyFill="1" applyBorder="1" applyAlignment="1">
      <alignment horizontal="center" vertical="center" wrapText="1"/>
    </xf>
    <xf numFmtId="0" fontId="7" fillId="9" borderId="1" xfId="0" applyFont="1" applyFill="1" applyBorder="1" applyAlignment="1">
      <alignment horizontal="center" vertical="center" shrinkToFit="1"/>
    </xf>
    <xf numFmtId="0" fontId="0" fillId="5" borderId="0" xfId="0" applyFill="1" applyAlignment="1" applyProtection="1">
      <alignment horizontal="center" vertical="center"/>
    </xf>
    <xf numFmtId="0" fontId="8" fillId="2" borderId="7" xfId="0" applyFont="1" applyFill="1" applyBorder="1" applyAlignment="1" applyProtection="1">
      <alignment vertical="center" wrapText="1"/>
    </xf>
    <xf numFmtId="0" fontId="8" fillId="2" borderId="8" xfId="0" applyFont="1" applyFill="1" applyBorder="1" applyAlignment="1" applyProtection="1">
      <alignment vertical="center" wrapText="1"/>
    </xf>
    <xf numFmtId="0" fontId="0" fillId="4" borderId="0" xfId="0" applyFill="1" applyProtection="1">
      <alignment vertical="center"/>
    </xf>
    <xf numFmtId="0" fontId="0" fillId="7" borderId="1" xfId="0" applyFill="1" applyBorder="1" applyAlignment="1" applyProtection="1">
      <alignment horizontal="center" vertical="center"/>
    </xf>
    <xf numFmtId="0" fontId="0" fillId="7" borderId="1" xfId="0" applyFill="1" applyBorder="1" applyAlignment="1" applyProtection="1">
      <alignment horizontal="left" vertical="center"/>
    </xf>
    <xf numFmtId="0" fontId="6" fillId="5" borderId="1" xfId="0" applyFont="1" applyFill="1" applyBorder="1" applyAlignment="1" applyProtection="1">
      <alignment horizontal="center" vertical="center" wrapText="1"/>
    </xf>
    <xf numFmtId="0" fontId="6" fillId="7" borderId="1" xfId="0" applyFont="1" applyFill="1" applyBorder="1" applyAlignment="1" applyProtection="1">
      <alignment horizontal="center" vertical="center" wrapText="1"/>
    </xf>
    <xf numFmtId="0" fontId="6" fillId="5" borderId="1" xfId="0" applyFont="1" applyFill="1" applyBorder="1" applyAlignment="1" applyProtection="1">
      <alignment horizontal="center" vertical="center" shrinkToFit="1"/>
    </xf>
    <xf numFmtId="0" fontId="3" fillId="6" borderId="1" xfId="0" applyFont="1" applyFill="1" applyBorder="1" applyAlignment="1" applyProtection="1">
      <alignment horizontal="center" vertical="center"/>
      <protection locked="0"/>
    </xf>
    <xf numFmtId="0" fontId="18" fillId="7" borderId="1" xfId="0" applyFont="1" applyFill="1" applyBorder="1" applyAlignment="1" applyProtection="1">
      <alignment horizontal="left" vertical="center" shrinkToFit="1"/>
    </xf>
    <xf numFmtId="0" fontId="13" fillId="9" borderId="1" xfId="0" applyFont="1" applyFill="1" applyBorder="1" applyAlignment="1" applyProtection="1">
      <alignment horizontal="center" vertical="center"/>
    </xf>
    <xf numFmtId="0" fontId="1" fillId="0" borderId="1" xfId="0" applyFont="1" applyBorder="1" applyAlignment="1" applyProtection="1">
      <alignment horizontal="justify" vertical="center"/>
      <protection locked="0"/>
    </xf>
    <xf numFmtId="0" fontId="1" fillId="5" borderId="6" xfId="0" applyFont="1" applyFill="1" applyBorder="1" applyAlignment="1" applyProtection="1">
      <alignment horizontal="justify" vertical="center"/>
      <protection locked="0"/>
    </xf>
    <xf numFmtId="0" fontId="3" fillId="5" borderId="6" xfId="0" applyFont="1" applyFill="1" applyBorder="1" applyAlignment="1" applyProtection="1">
      <alignment vertical="center" wrapText="1"/>
      <protection locked="0"/>
    </xf>
    <xf numFmtId="0" fontId="1" fillId="5" borderId="0" xfId="0" applyFont="1" applyFill="1" applyBorder="1" applyAlignment="1" applyProtection="1">
      <alignment horizontal="justify" vertical="center"/>
      <protection locked="0"/>
    </xf>
    <xf numFmtId="0" fontId="23" fillId="11" borderId="1" xfId="0" applyFont="1" applyFill="1" applyBorder="1" applyAlignment="1" applyProtection="1">
      <alignment horizontal="center" vertical="center"/>
      <protection hidden="1"/>
    </xf>
    <xf numFmtId="0" fontId="3" fillId="13" borderId="1" xfId="0" applyFont="1" applyFill="1" applyBorder="1" applyAlignment="1" applyProtection="1">
      <alignment horizontal="left" vertical="center" wrapText="1" shrinkToFit="1"/>
      <protection locked="0"/>
    </xf>
    <xf numFmtId="0" fontId="16" fillId="5" borderId="1" xfId="0" applyFont="1" applyFill="1" applyBorder="1" applyAlignment="1" applyProtection="1">
      <alignment horizontal="left" vertical="center" wrapText="1"/>
      <protection locked="0"/>
    </xf>
    <xf numFmtId="0" fontId="3" fillId="3" borderId="15" xfId="0" applyFont="1" applyFill="1" applyBorder="1" applyAlignment="1" applyProtection="1">
      <alignment horizontal="center" vertical="center"/>
      <protection hidden="1"/>
    </xf>
    <xf numFmtId="0" fontId="3" fillId="3" borderId="11" xfId="0" applyFont="1" applyFill="1" applyBorder="1" applyAlignment="1" applyProtection="1">
      <alignment horizontal="center" vertical="center"/>
      <protection hidden="1"/>
    </xf>
    <xf numFmtId="0" fontId="3" fillId="3" borderId="16" xfId="0" applyFont="1" applyFill="1" applyBorder="1" applyAlignment="1" applyProtection="1">
      <alignment horizontal="center" vertical="center"/>
      <protection hidden="1"/>
    </xf>
    <xf numFmtId="0" fontId="3" fillId="3" borderId="17" xfId="0" applyFont="1" applyFill="1" applyBorder="1" applyAlignment="1" applyProtection="1">
      <alignment horizontal="center" vertical="center"/>
      <protection hidden="1"/>
    </xf>
    <xf numFmtId="0" fontId="3" fillId="12" borderId="2" xfId="0" applyFont="1" applyFill="1" applyBorder="1" applyAlignment="1" applyProtection="1">
      <alignment horizontal="center" vertical="center"/>
      <protection locked="0"/>
    </xf>
    <xf numFmtId="0" fontId="25" fillId="3" borderId="14" xfId="0" applyFont="1" applyFill="1" applyBorder="1" applyAlignment="1" applyProtection="1">
      <alignment horizontal="center" vertical="center"/>
      <protection hidden="1"/>
    </xf>
    <xf numFmtId="0" fontId="25" fillId="3" borderId="11" xfId="0" applyFont="1" applyFill="1" applyBorder="1" applyAlignment="1" applyProtection="1">
      <alignment horizontal="center" vertical="center"/>
      <protection hidden="1"/>
    </xf>
    <xf numFmtId="0" fontId="17" fillId="12" borderId="1" xfId="0" applyFont="1" applyFill="1" applyBorder="1" applyAlignment="1" applyProtection="1">
      <alignment horizontal="center" vertical="center"/>
      <protection locked="0"/>
    </xf>
    <xf numFmtId="0" fontId="17" fillId="0" borderId="1" xfId="0" applyFont="1" applyFill="1" applyBorder="1" applyAlignment="1" applyProtection="1">
      <alignment horizontal="center" vertical="center"/>
    </xf>
    <xf numFmtId="0" fontId="3" fillId="12" borderId="3" xfId="0" applyFont="1" applyFill="1" applyBorder="1" applyAlignment="1" applyProtection="1">
      <alignment horizontal="center" vertical="center"/>
      <protection locked="0"/>
    </xf>
    <xf numFmtId="0" fontId="3" fillId="12" borderId="2" xfId="0" applyFont="1" applyFill="1" applyBorder="1" applyAlignment="1" applyProtection="1">
      <alignment horizontal="center" vertical="center" shrinkToFit="1"/>
      <protection locked="0"/>
    </xf>
    <xf numFmtId="0" fontId="9" fillId="3" borderId="5" xfId="0" applyFont="1" applyFill="1" applyBorder="1" applyAlignment="1" applyProtection="1">
      <alignment horizontal="center" vertical="top"/>
      <protection hidden="1"/>
    </xf>
    <xf numFmtId="0" fontId="20" fillId="10" borderId="0" xfId="0" applyFont="1" applyFill="1" applyAlignment="1" applyProtection="1">
      <alignment horizontal="center" vertical="center"/>
      <protection hidden="1"/>
    </xf>
    <xf numFmtId="0" fontId="14" fillId="8" borderId="5" xfId="0" applyFont="1" applyFill="1" applyBorder="1" applyAlignment="1" applyProtection="1">
      <alignment horizontal="left" vertical="center" wrapText="1"/>
      <protection hidden="1"/>
    </xf>
    <xf numFmtId="0" fontId="0" fillId="10" borderId="12" xfId="0" applyFill="1" applyBorder="1" applyAlignment="1" applyProtection="1">
      <alignment horizontal="left" vertical="center" wrapText="1"/>
      <protection hidden="1"/>
    </xf>
    <xf numFmtId="0" fontId="25" fillId="3" borderId="13" xfId="0" applyFont="1" applyFill="1" applyBorder="1" applyAlignment="1" applyProtection="1">
      <alignment horizontal="center" vertical="center" wrapText="1"/>
      <protection hidden="1"/>
    </xf>
    <xf numFmtId="0" fontId="25" fillId="3" borderId="14" xfId="0" applyFont="1" applyFill="1" applyBorder="1" applyAlignment="1" applyProtection="1">
      <alignment horizontal="center" vertical="center"/>
      <protection hidden="1"/>
    </xf>
    <xf numFmtId="0" fontId="25" fillId="3" borderId="15" xfId="0" applyFont="1" applyFill="1" applyBorder="1" applyAlignment="1" applyProtection="1">
      <alignment horizontal="center" vertical="center"/>
      <protection hidden="1"/>
    </xf>
    <xf numFmtId="0" fontId="25" fillId="3" borderId="11" xfId="0" applyFont="1" applyFill="1" applyBorder="1" applyAlignment="1" applyProtection="1">
      <alignment horizontal="center" vertical="center"/>
      <protection hidden="1"/>
    </xf>
    <xf numFmtId="0" fontId="7" fillId="9" borderId="1" xfId="0" applyFont="1" applyFill="1" applyBorder="1" applyAlignment="1" applyProtection="1">
      <alignment horizontal="center" vertical="center" wrapText="1"/>
    </xf>
    <xf numFmtId="0" fontId="3" fillId="5" borderId="2" xfId="0" applyFont="1" applyFill="1" applyBorder="1" applyAlignment="1" applyProtection="1">
      <alignment horizontal="center" vertical="center"/>
    </xf>
    <xf numFmtId="0" fontId="3" fillId="5" borderId="9" xfId="0" applyFont="1" applyFill="1" applyBorder="1" applyAlignment="1" applyProtection="1">
      <alignment horizontal="center" vertical="center"/>
    </xf>
    <xf numFmtId="0" fontId="9" fillId="3" borderId="6" xfId="0" applyFont="1" applyFill="1" applyBorder="1" applyAlignment="1" applyProtection="1">
      <alignment horizontal="center" vertical="center"/>
    </xf>
    <xf numFmtId="0" fontId="9" fillId="3" borderId="7" xfId="0" applyFont="1" applyFill="1" applyBorder="1" applyAlignment="1" applyProtection="1">
      <alignment horizontal="center" vertical="center"/>
    </xf>
    <xf numFmtId="0" fontId="3" fillId="5" borderId="4" xfId="0" applyFont="1" applyFill="1" applyBorder="1" applyAlignment="1" applyProtection="1">
      <alignment horizontal="left" vertical="center" wrapText="1"/>
    </xf>
    <xf numFmtId="0" fontId="3" fillId="5" borderId="10" xfId="0" applyFont="1" applyFill="1" applyBorder="1" applyAlignment="1" applyProtection="1">
      <alignment horizontal="left" vertical="center" wrapText="1"/>
    </xf>
    <xf numFmtId="0" fontId="24" fillId="2" borderId="7" xfId="0" applyFont="1" applyFill="1" applyBorder="1" applyAlignment="1" applyProtection="1">
      <alignment horizontal="center" vertical="center" wrapText="1"/>
    </xf>
    <xf numFmtId="0" fontId="14" fillId="8" borderId="7" xfId="0" applyFont="1" applyFill="1" applyBorder="1" applyAlignment="1" applyProtection="1">
      <alignment horizontal="center" vertical="center" wrapText="1"/>
    </xf>
    <xf numFmtId="0" fontId="7" fillId="2" borderId="0" xfId="0" applyFont="1" applyFill="1" applyAlignment="1">
      <alignment horizontal="left" vertical="center" wrapText="1"/>
    </xf>
    <xf numFmtId="0" fontId="14" fillId="8" borderId="0" xfId="0" applyFont="1" applyFill="1" applyAlignment="1" applyProtection="1">
      <alignment horizontal="left" vertical="center" wrapText="1"/>
    </xf>
    <xf numFmtId="0" fontId="9" fillId="3" borderId="5" xfId="0" applyFont="1" applyFill="1" applyBorder="1" applyAlignment="1" applyProtection="1">
      <alignment horizontal="center" vertical="center" wrapText="1"/>
    </xf>
    <xf numFmtId="0" fontId="1" fillId="0" borderId="0" xfId="0" applyFont="1" applyBorder="1" applyAlignment="1" applyProtection="1">
      <alignment horizontal="justify" vertical="center"/>
      <protection locked="0"/>
    </xf>
  </cellXfs>
  <cellStyles count="4">
    <cellStyle name="표준" xfId="0" builtinId="0"/>
    <cellStyle name="표준 2" xfId="1"/>
    <cellStyle name="표준 2 2" xfId="3"/>
    <cellStyle name="표준 3" xfId="2"/>
  </cellStyles>
  <dxfs count="0"/>
  <tableStyles count="0" defaultTableStyle="TableStyleMedium9" defaultPivotStyle="PivotStyleLight16"/>
  <colors>
    <mruColors>
      <color rgb="FFFFFF99"/>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438150</xdr:colOff>
          <xdr:row>1</xdr:row>
          <xdr:rowOff>342900</xdr:rowOff>
        </xdr:from>
        <xdr:to>
          <xdr:col>4</xdr:col>
          <xdr:colOff>895350</xdr:colOff>
          <xdr:row>1</xdr:row>
          <xdr:rowOff>600075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000" b="0" i="0" u="none" strike="noStrike" baseline="0">
                  <a:solidFill>
                    <a:srgbClr val="000000"/>
                  </a:solidFill>
                  <a:latin typeface="맑은 고딕"/>
                  <a:ea typeface="맑은 고딕"/>
                </a:rPr>
                <a:t>일자순서대로 정렬하기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1905000</xdr:colOff>
          <xdr:row>2</xdr:row>
          <xdr:rowOff>0</xdr:rowOff>
        </xdr:from>
        <xdr:to>
          <xdr:col>5</xdr:col>
          <xdr:colOff>3181350</xdr:colOff>
          <xdr:row>2</xdr:row>
          <xdr:rowOff>0</xdr:rowOff>
        </xdr:to>
        <xdr:sp macro="" textlink="">
          <xdr:nvSpPr>
            <xdr:cNvPr id="7175" name="Button 7" hidden="1">
              <a:extLst>
                <a:ext uri="{63B3BB69-23CF-44E3-9099-C40C66FF867C}">
                  <a14:compatExt spid="_x0000_s7175"/>
                </a:ext>
                <a:ext uri="{FF2B5EF4-FFF2-40B4-BE49-F238E27FC236}">
                  <a16:creationId xmlns:a16="http://schemas.microsoft.com/office/drawing/2014/main" id="{00000000-0008-0000-0000-0000071C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맞춤법 검사하기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1905000</xdr:colOff>
          <xdr:row>1</xdr:row>
          <xdr:rowOff>352425</xdr:rowOff>
        </xdr:from>
        <xdr:to>
          <xdr:col>5</xdr:col>
          <xdr:colOff>3314700</xdr:colOff>
          <xdr:row>1</xdr:row>
          <xdr:rowOff>600075</xdr:rowOff>
        </xdr:to>
        <xdr:sp macro="" textlink="">
          <xdr:nvSpPr>
            <xdr:cNvPr id="7176" name="Button 8" hidden="1">
              <a:extLst>
                <a:ext uri="{63B3BB69-23CF-44E3-9099-C40C66FF867C}">
                  <a14:compatExt spid="_x0000_s7176"/>
                </a:ext>
                <a:ext uri="{FF2B5EF4-FFF2-40B4-BE49-F238E27FC236}">
                  <a16:creationId xmlns:a16="http://schemas.microsoft.com/office/drawing/2014/main" id="{00000000-0008-0000-0000-0000081C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맞춤법 검사하기</a:t>
              </a:r>
            </a:p>
          </xdr:txBody>
        </xdr:sp>
        <xdr:clientData fPrintsWithSheet="0"/>
      </xdr:twoCellAnchor>
    </mc:Choice>
    <mc:Fallback/>
  </mc:AlternateContent>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H200"/>
  <sheetViews>
    <sheetView zoomScale="115" zoomScaleNormal="115" workbookViewId="0">
      <pane xSplit="2" ySplit="3" topLeftCell="C4" activePane="bottomRight" state="frozen"/>
      <selection pane="topRight" activeCell="C1" sqref="C1"/>
      <selection pane="bottomLeft" activeCell="A4" sqref="A4"/>
      <selection pane="bottomRight" activeCell="F8" sqref="F8"/>
    </sheetView>
  </sheetViews>
  <sheetFormatPr defaultColWidth="9" defaultRowHeight="16.5" x14ac:dyDescent="0.3"/>
  <cols>
    <col min="1" max="1" width="1.5" style="10" customWidth="1"/>
    <col min="2" max="2" width="5" style="10" customWidth="1"/>
    <col min="3" max="4" width="6.5" style="11" customWidth="1"/>
    <col min="5" max="5" width="18.375" style="12" customWidth="1"/>
    <col min="6" max="6" width="54.5" style="10" customWidth="1"/>
    <col min="7" max="8" width="46.375" style="10" customWidth="1"/>
    <col min="9" max="16384" width="9" style="10"/>
  </cols>
  <sheetData>
    <row r="1" spans="1:8" ht="12.75" customHeight="1" x14ac:dyDescent="0.3">
      <c r="A1" s="16"/>
      <c r="C1" s="62"/>
      <c r="D1" s="62"/>
      <c r="E1" s="62"/>
    </row>
    <row r="2" spans="1:8" ht="54" customHeight="1" x14ac:dyDescent="0.3">
      <c r="B2" s="61" t="s">
        <v>106</v>
      </c>
      <c r="C2" s="61"/>
      <c r="D2" s="61"/>
      <c r="E2" s="61"/>
      <c r="F2" s="61"/>
      <c r="G2" s="63" t="s">
        <v>111</v>
      </c>
      <c r="H2" s="63"/>
    </row>
    <row r="3" spans="1:8" ht="25.5" customHeight="1" x14ac:dyDescent="0.3">
      <c r="B3" s="13" t="s">
        <v>26</v>
      </c>
      <c r="C3" s="14" t="s">
        <v>40</v>
      </c>
      <c r="D3" s="14" t="s">
        <v>114</v>
      </c>
      <c r="E3" s="15" t="s">
        <v>1</v>
      </c>
      <c r="F3" s="14" t="s">
        <v>2</v>
      </c>
      <c r="G3" s="47" t="s">
        <v>107</v>
      </c>
      <c r="H3" s="47" t="s">
        <v>113</v>
      </c>
    </row>
    <row r="4" spans="1:8" ht="27" x14ac:dyDescent="0.3">
      <c r="B4" s="14">
        <v>1</v>
      </c>
      <c r="C4" s="20">
        <v>302</v>
      </c>
      <c r="D4" s="54"/>
      <c r="E4" s="21" t="s">
        <v>27</v>
      </c>
      <c r="F4" s="44" t="s">
        <v>217</v>
      </c>
      <c r="G4" s="48" t="s">
        <v>213</v>
      </c>
      <c r="H4" s="48"/>
    </row>
    <row r="5" spans="1:8" ht="27" x14ac:dyDescent="0.3">
      <c r="B5" s="14">
        <v>2</v>
      </c>
      <c r="C5" s="20">
        <v>302</v>
      </c>
      <c r="D5" s="54"/>
      <c r="E5" s="21" t="s">
        <v>119</v>
      </c>
      <c r="F5" s="44" t="s">
        <v>218</v>
      </c>
      <c r="G5" s="48" t="s">
        <v>214</v>
      </c>
      <c r="H5" s="48"/>
    </row>
    <row r="6" spans="1:8" ht="27" x14ac:dyDescent="0.3">
      <c r="B6" s="14">
        <v>3</v>
      </c>
      <c r="C6" s="20">
        <v>302</v>
      </c>
      <c r="D6" s="54"/>
      <c r="E6" s="21" t="s">
        <v>118</v>
      </c>
      <c r="F6" s="44" t="s">
        <v>219</v>
      </c>
      <c r="G6" s="48" t="s">
        <v>215</v>
      </c>
      <c r="H6" s="48"/>
    </row>
    <row r="7" spans="1:8" ht="27" x14ac:dyDescent="0.3">
      <c r="B7" s="14">
        <v>4</v>
      </c>
      <c r="C7" s="20">
        <v>302</v>
      </c>
      <c r="D7" s="54"/>
      <c r="E7" s="21" t="s">
        <v>185</v>
      </c>
      <c r="F7" s="44" t="s">
        <v>224</v>
      </c>
      <c r="G7" s="48" t="s">
        <v>216</v>
      </c>
      <c r="H7" s="48"/>
    </row>
    <row r="8" spans="1:8" ht="54" x14ac:dyDescent="0.3">
      <c r="B8" s="14">
        <v>5</v>
      </c>
      <c r="C8" s="20">
        <v>308</v>
      </c>
      <c r="D8" s="20">
        <v>6</v>
      </c>
      <c r="E8" s="23" t="s">
        <v>220</v>
      </c>
      <c r="F8" s="44" t="s">
        <v>221</v>
      </c>
      <c r="G8" s="48"/>
      <c r="H8" s="48"/>
    </row>
    <row r="9" spans="1:8" ht="54" x14ac:dyDescent="0.3">
      <c r="B9" s="14">
        <v>6</v>
      </c>
      <c r="C9" s="20">
        <v>315</v>
      </c>
      <c r="D9" s="59"/>
      <c r="E9" s="24" t="s">
        <v>230</v>
      </c>
      <c r="F9" s="44" t="s">
        <v>239</v>
      </c>
      <c r="G9" s="48"/>
      <c r="H9" s="48"/>
    </row>
    <row r="10" spans="1:8" ht="40.5" x14ac:dyDescent="0.3">
      <c r="B10" s="14">
        <v>7</v>
      </c>
      <c r="C10" s="20">
        <v>315</v>
      </c>
      <c r="D10" s="20">
        <v>6</v>
      </c>
      <c r="E10" s="23" t="s">
        <v>87</v>
      </c>
      <c r="F10" s="44" t="s">
        <v>240</v>
      </c>
      <c r="G10" s="48"/>
      <c r="H10" s="48"/>
    </row>
    <row r="11" spans="1:8" ht="27" x14ac:dyDescent="0.3">
      <c r="B11" s="14">
        <v>8</v>
      </c>
      <c r="C11" s="20">
        <v>315</v>
      </c>
      <c r="D11" s="20">
        <v>6</v>
      </c>
      <c r="E11" s="23" t="s">
        <v>193</v>
      </c>
      <c r="F11" s="44" t="s">
        <v>241</v>
      </c>
      <c r="G11" s="48"/>
      <c r="H11" s="48"/>
    </row>
    <row r="12" spans="1:8" ht="40.5" x14ac:dyDescent="0.3">
      <c r="B12" s="14">
        <v>9</v>
      </c>
      <c r="C12" s="20">
        <v>322</v>
      </c>
      <c r="D12" s="20">
        <v>1</v>
      </c>
      <c r="E12" s="23" t="s">
        <v>196</v>
      </c>
      <c r="F12" s="81" t="s">
        <v>223</v>
      </c>
      <c r="G12" s="48"/>
      <c r="H12" s="48"/>
    </row>
    <row r="13" spans="1:8" ht="54" x14ac:dyDescent="0.3">
      <c r="B13" s="14">
        <v>10</v>
      </c>
      <c r="C13" s="20">
        <v>405</v>
      </c>
      <c r="D13" s="54">
        <v>5</v>
      </c>
      <c r="E13" s="21" t="s">
        <v>205</v>
      </c>
      <c r="F13" s="44" t="s">
        <v>233</v>
      </c>
      <c r="G13" s="48"/>
      <c r="H13" s="48"/>
    </row>
    <row r="14" spans="1:8" ht="54" x14ac:dyDescent="0.3">
      <c r="B14" s="14">
        <v>11</v>
      </c>
      <c r="C14" s="20">
        <v>419</v>
      </c>
      <c r="D14" s="54">
        <v>6</v>
      </c>
      <c r="E14" s="21" t="s">
        <v>198</v>
      </c>
      <c r="F14" s="44" t="s">
        <v>238</v>
      </c>
      <c r="G14" s="48"/>
      <c r="H14" s="48"/>
    </row>
    <row r="15" spans="1:8" ht="40.5" x14ac:dyDescent="0.3">
      <c r="B15" s="14">
        <v>12</v>
      </c>
      <c r="C15" s="20">
        <v>510</v>
      </c>
      <c r="D15" s="54">
        <v>1</v>
      </c>
      <c r="E15" s="21" t="s">
        <v>227</v>
      </c>
      <c r="F15" s="44" t="s">
        <v>228</v>
      </c>
      <c r="G15" s="48"/>
      <c r="H15" s="48"/>
    </row>
    <row r="16" spans="1:8" ht="40.5" x14ac:dyDescent="0.3">
      <c r="B16" s="14">
        <v>13</v>
      </c>
      <c r="C16" s="20">
        <v>517</v>
      </c>
      <c r="D16" s="54">
        <v>5</v>
      </c>
      <c r="E16" s="21" t="s">
        <v>200</v>
      </c>
      <c r="F16" s="44" t="s">
        <v>222</v>
      </c>
      <c r="G16" s="48"/>
      <c r="H16" s="48"/>
    </row>
    <row r="17" spans="2:8" ht="27" x14ac:dyDescent="0.3">
      <c r="B17" s="14">
        <v>14</v>
      </c>
      <c r="C17" s="20">
        <v>619</v>
      </c>
      <c r="D17" s="54">
        <v>6</v>
      </c>
      <c r="E17" s="23" t="s">
        <v>231</v>
      </c>
      <c r="F17" s="44" t="s">
        <v>237</v>
      </c>
      <c r="G17" s="48"/>
      <c r="H17" s="48"/>
    </row>
    <row r="18" spans="2:8" ht="40.5" x14ac:dyDescent="0.3">
      <c r="B18" s="14">
        <v>15</v>
      </c>
      <c r="C18" s="20">
        <v>1025</v>
      </c>
      <c r="D18" s="60">
        <v>7</v>
      </c>
      <c r="E18" s="23" t="s">
        <v>225</v>
      </c>
      <c r="F18" s="45" t="s">
        <v>226</v>
      </c>
      <c r="G18" s="48"/>
      <c r="H18" s="48"/>
    </row>
    <row r="19" spans="2:8" ht="27" x14ac:dyDescent="0.3">
      <c r="B19" s="14">
        <v>16</v>
      </c>
      <c r="C19" s="20">
        <v>1224</v>
      </c>
      <c r="D19" s="54"/>
      <c r="E19" s="23" t="s">
        <v>235</v>
      </c>
      <c r="F19" s="44" t="s">
        <v>236</v>
      </c>
      <c r="G19" s="48"/>
      <c r="H19" s="48"/>
    </row>
    <row r="20" spans="2:8" ht="67.5" x14ac:dyDescent="0.3">
      <c r="B20" s="14">
        <v>17</v>
      </c>
      <c r="C20" s="20"/>
      <c r="D20" s="54">
        <v>7</v>
      </c>
      <c r="E20" s="23" t="s">
        <v>199</v>
      </c>
      <c r="F20" s="44" t="s">
        <v>206</v>
      </c>
      <c r="G20" s="48"/>
      <c r="H20" s="48"/>
    </row>
    <row r="21" spans="2:8" ht="54" x14ac:dyDescent="0.3">
      <c r="B21" s="14">
        <v>18</v>
      </c>
      <c r="C21" s="20"/>
      <c r="D21" s="20">
        <v>5</v>
      </c>
      <c r="E21" s="23" t="s">
        <v>197</v>
      </c>
      <c r="F21" s="44" t="s">
        <v>212</v>
      </c>
      <c r="G21" s="48"/>
      <c r="H21" s="48"/>
    </row>
    <row r="22" spans="2:8" ht="27" x14ac:dyDescent="0.3">
      <c r="B22" s="14">
        <v>19</v>
      </c>
      <c r="C22" s="20"/>
      <c r="D22" s="20">
        <v>7</v>
      </c>
      <c r="E22" s="23" t="s">
        <v>176</v>
      </c>
      <c r="F22" s="44" t="s">
        <v>201</v>
      </c>
      <c r="G22" s="48"/>
      <c r="H22" s="48"/>
    </row>
    <row r="23" spans="2:8" ht="27" x14ac:dyDescent="0.3">
      <c r="B23" s="14">
        <v>20</v>
      </c>
      <c r="C23" s="20"/>
      <c r="D23" s="54">
        <v>7</v>
      </c>
      <c r="E23" s="21" t="s">
        <v>179</v>
      </c>
      <c r="F23" s="44" t="s">
        <v>202</v>
      </c>
      <c r="G23" s="48"/>
      <c r="H23" s="48"/>
    </row>
    <row r="24" spans="2:8" ht="27" x14ac:dyDescent="0.3">
      <c r="B24" s="14">
        <v>21</v>
      </c>
      <c r="C24" s="20"/>
      <c r="D24" s="20">
        <v>7</v>
      </c>
      <c r="E24" s="23" t="s">
        <v>177</v>
      </c>
      <c r="F24" s="22" t="s">
        <v>203</v>
      </c>
      <c r="G24" s="48"/>
      <c r="H24" s="48"/>
    </row>
    <row r="25" spans="2:8" ht="27" x14ac:dyDescent="0.3">
      <c r="B25" s="14">
        <v>22</v>
      </c>
      <c r="C25" s="20"/>
      <c r="D25" s="54">
        <v>7</v>
      </c>
      <c r="E25" s="21" t="s">
        <v>178</v>
      </c>
      <c r="F25" s="44" t="s">
        <v>204</v>
      </c>
      <c r="G25" s="48"/>
      <c r="H25" s="48"/>
    </row>
    <row r="26" spans="2:8" ht="40.5" x14ac:dyDescent="0.3">
      <c r="B26" s="14">
        <v>23</v>
      </c>
      <c r="C26" s="20"/>
      <c r="D26" s="20">
        <v>3</v>
      </c>
      <c r="E26" s="23" t="s">
        <v>207</v>
      </c>
      <c r="F26" s="22" t="s">
        <v>232</v>
      </c>
      <c r="G26" s="48"/>
      <c r="H26" s="48"/>
    </row>
    <row r="27" spans="2:8" ht="27" x14ac:dyDescent="0.3">
      <c r="B27" s="14">
        <v>24</v>
      </c>
      <c r="C27" s="20"/>
      <c r="D27" s="20">
        <v>4</v>
      </c>
      <c r="E27" s="23" t="s">
        <v>209</v>
      </c>
      <c r="F27" s="22" t="s">
        <v>208</v>
      </c>
      <c r="G27" s="48"/>
      <c r="H27" s="48"/>
    </row>
    <row r="28" spans="2:8" ht="27" x14ac:dyDescent="0.3">
      <c r="B28" s="14">
        <v>25</v>
      </c>
      <c r="C28" s="20"/>
      <c r="D28" s="20">
        <v>5</v>
      </c>
      <c r="E28" s="23" t="s">
        <v>211</v>
      </c>
      <c r="F28" s="22" t="s">
        <v>210</v>
      </c>
      <c r="G28" s="48"/>
      <c r="H28" s="48"/>
    </row>
    <row r="29" spans="2:8" ht="27" x14ac:dyDescent="0.3">
      <c r="B29" s="14">
        <v>26</v>
      </c>
      <c r="C29" s="20"/>
      <c r="D29" s="20">
        <v>1</v>
      </c>
      <c r="E29" s="21" t="s">
        <v>171</v>
      </c>
      <c r="F29" s="22" t="s">
        <v>234</v>
      </c>
      <c r="G29" s="48"/>
      <c r="H29" s="48"/>
    </row>
    <row r="30" spans="2:8" ht="27" x14ac:dyDescent="0.3">
      <c r="B30" s="14">
        <v>27</v>
      </c>
      <c r="C30" s="20"/>
      <c r="D30" s="20">
        <v>4</v>
      </c>
      <c r="E30" s="21" t="s">
        <v>192</v>
      </c>
      <c r="F30" s="22" t="s">
        <v>191</v>
      </c>
      <c r="G30" s="48"/>
      <c r="H30" s="48"/>
    </row>
    <row r="31" spans="2:8" ht="27" x14ac:dyDescent="0.3">
      <c r="B31" s="14">
        <v>28</v>
      </c>
      <c r="C31" s="20"/>
      <c r="D31" s="20"/>
      <c r="E31" s="21" t="s">
        <v>117</v>
      </c>
      <c r="F31" s="22" t="s">
        <v>182</v>
      </c>
      <c r="G31" s="48"/>
      <c r="H31" s="48"/>
    </row>
    <row r="32" spans="2:8" ht="27" x14ac:dyDescent="0.3">
      <c r="B32" s="14">
        <v>29</v>
      </c>
      <c r="C32" s="20"/>
      <c r="D32" s="20"/>
      <c r="E32" s="23" t="s">
        <v>120</v>
      </c>
      <c r="F32" s="25" t="s">
        <v>187</v>
      </c>
      <c r="G32" s="48" t="s">
        <v>186</v>
      </c>
      <c r="H32" s="48"/>
    </row>
    <row r="33" spans="2:8" ht="27" x14ac:dyDescent="0.3">
      <c r="B33" s="14">
        <v>30</v>
      </c>
      <c r="C33" s="20"/>
      <c r="D33" s="20"/>
      <c r="E33" s="23" t="s">
        <v>121</v>
      </c>
      <c r="F33" s="25" t="s">
        <v>183</v>
      </c>
      <c r="G33" s="48"/>
      <c r="H33" s="48"/>
    </row>
    <row r="34" spans="2:8" ht="27" x14ac:dyDescent="0.3">
      <c r="B34" s="14">
        <v>31</v>
      </c>
      <c r="C34" s="20"/>
      <c r="D34" s="20"/>
      <c r="E34" s="21" t="s">
        <v>122</v>
      </c>
      <c r="F34" s="22" t="s">
        <v>184</v>
      </c>
      <c r="G34" s="48"/>
      <c r="H34" s="48"/>
    </row>
    <row r="35" spans="2:8" ht="27" x14ac:dyDescent="0.3">
      <c r="B35" s="14">
        <v>32</v>
      </c>
      <c r="C35" s="20"/>
      <c r="D35" s="54">
        <v>7</v>
      </c>
      <c r="E35" s="21" t="s">
        <v>172</v>
      </c>
      <c r="F35" s="22" t="s">
        <v>188</v>
      </c>
      <c r="G35" s="48"/>
      <c r="H35" s="48"/>
    </row>
    <row r="36" spans="2:8" ht="27" x14ac:dyDescent="0.3">
      <c r="B36" s="14">
        <v>33</v>
      </c>
      <c r="C36" s="20"/>
      <c r="D36" s="54">
        <v>7</v>
      </c>
      <c r="E36" s="21" t="s">
        <v>164</v>
      </c>
      <c r="F36" s="22" t="s">
        <v>189</v>
      </c>
      <c r="G36" s="48"/>
      <c r="H36" s="48"/>
    </row>
    <row r="37" spans="2:8" ht="27" x14ac:dyDescent="0.3">
      <c r="B37" s="14">
        <v>34</v>
      </c>
      <c r="C37" s="20"/>
      <c r="D37" s="20">
        <v>7</v>
      </c>
      <c r="E37" s="23" t="s">
        <v>167</v>
      </c>
      <c r="F37" s="22" t="s">
        <v>190</v>
      </c>
      <c r="G37" s="48"/>
      <c r="H37" s="48"/>
    </row>
    <row r="38" spans="2:8" x14ac:dyDescent="0.3">
      <c r="B38" s="14">
        <v>35</v>
      </c>
      <c r="C38" s="20"/>
      <c r="D38" s="20">
        <v>1</v>
      </c>
      <c r="E38" s="23" t="s">
        <v>194</v>
      </c>
      <c r="F38" s="44" t="s">
        <v>195</v>
      </c>
      <c r="G38" s="48"/>
      <c r="H38" s="48"/>
    </row>
    <row r="39" spans="2:8" x14ac:dyDescent="0.3">
      <c r="B39" s="14">
        <v>36</v>
      </c>
      <c r="C39" s="20"/>
      <c r="D39" s="20"/>
      <c r="E39" s="23"/>
      <c r="F39" s="46"/>
      <c r="G39" s="48"/>
      <c r="H39" s="48"/>
    </row>
    <row r="40" spans="2:8" x14ac:dyDescent="0.3">
      <c r="B40" s="14">
        <v>37</v>
      </c>
      <c r="C40" s="20"/>
      <c r="D40" s="20"/>
      <c r="E40" s="23"/>
      <c r="F40" s="22"/>
      <c r="G40" s="48"/>
      <c r="H40" s="48"/>
    </row>
    <row r="41" spans="2:8" x14ac:dyDescent="0.3">
      <c r="B41" s="14">
        <v>38</v>
      </c>
      <c r="C41" s="20"/>
      <c r="D41" s="54"/>
      <c r="E41" s="21"/>
      <c r="F41" s="44"/>
      <c r="G41" s="48"/>
      <c r="H41" s="48"/>
    </row>
    <row r="42" spans="2:8" x14ac:dyDescent="0.3">
      <c r="B42" s="14">
        <v>39</v>
      </c>
      <c r="C42" s="20"/>
      <c r="D42" s="20"/>
      <c r="E42" s="23"/>
      <c r="F42" s="44"/>
      <c r="G42" s="48"/>
      <c r="H42" s="48"/>
    </row>
    <row r="43" spans="2:8" x14ac:dyDescent="0.3">
      <c r="B43" s="14">
        <v>40</v>
      </c>
      <c r="C43" s="20"/>
      <c r="D43" s="20"/>
      <c r="E43" s="23"/>
      <c r="F43" s="44"/>
      <c r="G43" s="48"/>
      <c r="H43" s="48"/>
    </row>
    <row r="44" spans="2:8" x14ac:dyDescent="0.3">
      <c r="B44" s="14">
        <v>41</v>
      </c>
      <c r="C44" s="20"/>
      <c r="D44" s="20"/>
      <c r="E44" s="23"/>
      <c r="F44" s="45"/>
      <c r="G44" s="48"/>
      <c r="H44" s="48"/>
    </row>
    <row r="45" spans="2:8" x14ac:dyDescent="0.3">
      <c r="B45" s="14">
        <v>42</v>
      </c>
      <c r="C45" s="20"/>
      <c r="D45" s="20"/>
      <c r="E45" s="23"/>
      <c r="F45" s="45"/>
      <c r="G45" s="48"/>
      <c r="H45" s="48"/>
    </row>
    <row r="46" spans="2:8" x14ac:dyDescent="0.3">
      <c r="B46" s="14">
        <v>43</v>
      </c>
      <c r="C46" s="20"/>
      <c r="D46" s="54"/>
      <c r="E46" s="21"/>
      <c r="F46" s="44"/>
      <c r="G46" s="48"/>
      <c r="H46" s="48"/>
    </row>
    <row r="47" spans="2:8" x14ac:dyDescent="0.3">
      <c r="B47" s="14">
        <v>44</v>
      </c>
      <c r="C47" s="20"/>
      <c r="D47" s="54"/>
      <c r="E47" s="21"/>
      <c r="F47" s="44"/>
      <c r="G47" s="48"/>
      <c r="H47" s="48"/>
    </row>
    <row r="48" spans="2:8" x14ac:dyDescent="0.3">
      <c r="B48" s="14">
        <v>45</v>
      </c>
      <c r="C48" s="20"/>
      <c r="D48" s="54"/>
      <c r="E48" s="21"/>
      <c r="F48" s="44"/>
      <c r="G48" s="48"/>
      <c r="H48" s="48"/>
    </row>
    <row r="49" spans="2:8" x14ac:dyDescent="0.3">
      <c r="B49" s="14">
        <v>46</v>
      </c>
      <c r="C49" s="20"/>
      <c r="D49" s="54"/>
      <c r="E49" s="21"/>
      <c r="F49" s="45"/>
      <c r="G49" s="48"/>
      <c r="H49" s="48"/>
    </row>
    <row r="50" spans="2:8" x14ac:dyDescent="0.3">
      <c r="B50" s="14">
        <v>47</v>
      </c>
      <c r="C50" s="20"/>
      <c r="D50" s="54"/>
      <c r="E50" s="21"/>
      <c r="F50" s="44"/>
      <c r="G50" s="48"/>
      <c r="H50" s="48"/>
    </row>
    <row r="51" spans="2:8" x14ac:dyDescent="0.3">
      <c r="B51" s="14">
        <v>48</v>
      </c>
      <c r="C51" s="20"/>
      <c r="D51" s="54"/>
      <c r="E51" s="21"/>
      <c r="F51" s="44"/>
      <c r="G51" s="48"/>
      <c r="H51" s="48"/>
    </row>
    <row r="52" spans="2:8" x14ac:dyDescent="0.3">
      <c r="B52" s="14">
        <v>49</v>
      </c>
      <c r="C52" s="20"/>
      <c r="D52" s="54"/>
      <c r="E52" s="21"/>
      <c r="F52" s="44"/>
      <c r="G52" s="48"/>
      <c r="H52" s="48"/>
    </row>
    <row r="53" spans="2:8" x14ac:dyDescent="0.3">
      <c r="B53" s="14">
        <v>50</v>
      </c>
      <c r="C53" s="20"/>
      <c r="D53" s="20"/>
      <c r="E53" s="23"/>
      <c r="F53" s="45"/>
      <c r="G53" s="48"/>
      <c r="H53" s="48"/>
    </row>
    <row r="54" spans="2:8" x14ac:dyDescent="0.3">
      <c r="B54" s="14">
        <v>51</v>
      </c>
      <c r="C54" s="20"/>
      <c r="D54" s="20"/>
      <c r="E54" s="23"/>
      <c r="F54" s="45"/>
      <c r="G54" s="48"/>
      <c r="H54" s="48"/>
    </row>
    <row r="55" spans="2:8" x14ac:dyDescent="0.3">
      <c r="B55" s="14">
        <v>52</v>
      </c>
      <c r="C55" s="20"/>
      <c r="D55" s="20"/>
      <c r="E55" s="23"/>
      <c r="F55" s="45"/>
      <c r="G55" s="48"/>
      <c r="H55" s="48"/>
    </row>
    <row r="56" spans="2:8" x14ac:dyDescent="0.3">
      <c r="B56" s="14">
        <v>53</v>
      </c>
      <c r="C56" s="20"/>
      <c r="D56" s="20"/>
      <c r="E56" s="23"/>
      <c r="F56" s="44"/>
      <c r="G56" s="48"/>
      <c r="H56" s="48"/>
    </row>
    <row r="57" spans="2:8" x14ac:dyDescent="0.3">
      <c r="B57" s="14">
        <v>54</v>
      </c>
      <c r="C57" s="20"/>
      <c r="D57" s="20"/>
      <c r="E57" s="23"/>
      <c r="F57" s="44"/>
      <c r="G57" s="48"/>
      <c r="H57" s="48"/>
    </row>
    <row r="58" spans="2:8" x14ac:dyDescent="0.3">
      <c r="B58" s="14">
        <v>55</v>
      </c>
      <c r="C58" s="20"/>
      <c r="D58" s="20"/>
      <c r="E58" s="23"/>
      <c r="F58" s="44"/>
      <c r="G58" s="48"/>
      <c r="H58" s="48"/>
    </row>
    <row r="59" spans="2:8" x14ac:dyDescent="0.3">
      <c r="B59" s="14">
        <v>56</v>
      </c>
      <c r="C59" s="20"/>
      <c r="D59" s="20"/>
      <c r="E59" s="23"/>
      <c r="F59" s="44"/>
      <c r="G59" s="48"/>
      <c r="H59" s="48"/>
    </row>
    <row r="60" spans="2:8" x14ac:dyDescent="0.3">
      <c r="B60" s="14">
        <v>57</v>
      </c>
      <c r="C60" s="20"/>
      <c r="D60" s="20"/>
      <c r="E60" s="23"/>
      <c r="F60" s="44"/>
      <c r="G60" s="48"/>
      <c r="H60" s="48"/>
    </row>
    <row r="61" spans="2:8" x14ac:dyDescent="0.3">
      <c r="B61" s="14">
        <v>58</v>
      </c>
      <c r="C61" s="20"/>
      <c r="D61" s="54"/>
      <c r="E61" s="21"/>
      <c r="F61" s="44"/>
      <c r="G61" s="48"/>
      <c r="H61" s="48"/>
    </row>
    <row r="62" spans="2:8" x14ac:dyDescent="0.3">
      <c r="B62" s="14">
        <v>59</v>
      </c>
      <c r="C62" s="20"/>
      <c r="D62" s="54"/>
      <c r="E62" s="21"/>
      <c r="F62" s="44"/>
      <c r="G62" s="48"/>
      <c r="H62" s="48"/>
    </row>
    <row r="63" spans="2:8" x14ac:dyDescent="0.3">
      <c r="B63" s="14">
        <v>60</v>
      </c>
      <c r="C63" s="20"/>
      <c r="D63" s="54"/>
      <c r="E63" s="21"/>
      <c r="F63" s="44"/>
      <c r="G63" s="48"/>
      <c r="H63" s="48"/>
    </row>
    <row r="64" spans="2:8" ht="27" x14ac:dyDescent="0.3">
      <c r="B64" s="65" t="s">
        <v>112</v>
      </c>
      <c r="C64" s="66"/>
      <c r="D64" s="55"/>
      <c r="E64" s="21" t="s">
        <v>17</v>
      </c>
      <c r="F64" s="44" t="s">
        <v>80</v>
      </c>
      <c r="G64" s="64"/>
      <c r="H64" s="64"/>
    </row>
    <row r="65" spans="2:6" ht="27" x14ac:dyDescent="0.3">
      <c r="B65" s="67"/>
      <c r="C65" s="68"/>
      <c r="D65" s="56"/>
      <c r="E65" s="21" t="s">
        <v>103</v>
      </c>
      <c r="F65" s="44" t="s">
        <v>81</v>
      </c>
    </row>
    <row r="66" spans="2:6" x14ac:dyDescent="0.3">
      <c r="B66" s="50"/>
      <c r="C66" s="51"/>
      <c r="D66" s="51"/>
      <c r="E66" s="21"/>
      <c r="F66" s="44"/>
    </row>
    <row r="67" spans="2:6" ht="54" x14ac:dyDescent="0.3">
      <c r="B67" s="50"/>
      <c r="C67" s="51"/>
      <c r="D67" s="51"/>
      <c r="E67" s="23" t="s">
        <v>85</v>
      </c>
      <c r="F67" s="22" t="s">
        <v>54</v>
      </c>
    </row>
    <row r="68" spans="2:6" ht="54" x14ac:dyDescent="0.3">
      <c r="B68" s="50"/>
      <c r="C68" s="51"/>
      <c r="D68" s="51"/>
      <c r="E68" s="23" t="s">
        <v>97</v>
      </c>
      <c r="F68" s="25" t="s">
        <v>123</v>
      </c>
    </row>
    <row r="69" spans="2:6" ht="54" x14ac:dyDescent="0.3">
      <c r="B69" s="50"/>
      <c r="C69" s="51"/>
      <c r="D69" s="51"/>
      <c r="E69" s="23" t="s">
        <v>98</v>
      </c>
      <c r="F69" s="25" t="s">
        <v>124</v>
      </c>
    </row>
    <row r="70" spans="2:6" ht="40.5" x14ac:dyDescent="0.3">
      <c r="B70" s="50"/>
      <c r="C70" s="51"/>
      <c r="D70" s="51"/>
      <c r="E70" s="23" t="s">
        <v>99</v>
      </c>
      <c r="F70" s="22" t="s">
        <v>56</v>
      </c>
    </row>
    <row r="71" spans="2:6" ht="27" x14ac:dyDescent="0.3">
      <c r="B71" s="50"/>
      <c r="C71" s="51"/>
      <c r="D71" s="51"/>
      <c r="E71" s="21" t="s">
        <v>82</v>
      </c>
      <c r="F71" s="22" t="s">
        <v>50</v>
      </c>
    </row>
    <row r="72" spans="2:6" ht="27" x14ac:dyDescent="0.3">
      <c r="B72" s="50"/>
      <c r="C72" s="51"/>
      <c r="D72" s="51"/>
      <c r="E72" s="21" t="s">
        <v>83</v>
      </c>
      <c r="F72" s="22" t="s">
        <v>51</v>
      </c>
    </row>
    <row r="73" spans="2:6" ht="40.5" x14ac:dyDescent="0.3">
      <c r="B73" s="50"/>
      <c r="C73" s="51"/>
      <c r="D73" s="51"/>
      <c r="E73" s="21" t="s">
        <v>44</v>
      </c>
      <c r="F73" s="43" t="s">
        <v>52</v>
      </c>
    </row>
    <row r="74" spans="2:6" ht="40.5" x14ac:dyDescent="0.3">
      <c r="B74" s="50"/>
      <c r="C74" s="51"/>
      <c r="D74" s="51"/>
      <c r="E74" s="21" t="s">
        <v>84</v>
      </c>
      <c r="F74" s="25" t="s">
        <v>53</v>
      </c>
    </row>
    <row r="75" spans="2:6" ht="40.5" x14ac:dyDescent="0.3">
      <c r="B75" s="50"/>
      <c r="C75" s="51"/>
      <c r="D75" s="51"/>
      <c r="E75" s="21" t="s">
        <v>105</v>
      </c>
      <c r="F75" s="22" t="s">
        <v>108</v>
      </c>
    </row>
    <row r="76" spans="2:6" ht="40.5" x14ac:dyDescent="0.3">
      <c r="B76" s="50"/>
      <c r="C76" s="51"/>
      <c r="D76" s="51"/>
      <c r="E76" s="21" t="s">
        <v>86</v>
      </c>
      <c r="F76" s="22" t="s">
        <v>55</v>
      </c>
    </row>
    <row r="77" spans="2:6" ht="40.5" x14ac:dyDescent="0.3">
      <c r="B77" s="50"/>
      <c r="C77" s="51"/>
      <c r="D77" s="51"/>
      <c r="E77" s="21" t="s">
        <v>88</v>
      </c>
      <c r="F77" s="22" t="s">
        <v>57</v>
      </c>
    </row>
    <row r="78" spans="2:6" ht="40.5" x14ac:dyDescent="0.3">
      <c r="B78" s="50"/>
      <c r="C78" s="51"/>
      <c r="D78" s="51"/>
      <c r="E78" s="23" t="s">
        <v>100</v>
      </c>
      <c r="F78" s="25" t="s">
        <v>58</v>
      </c>
    </row>
    <row r="79" spans="2:6" ht="54" x14ac:dyDescent="0.3">
      <c r="B79" s="50"/>
      <c r="C79" s="51"/>
      <c r="D79" s="51"/>
      <c r="E79" s="23" t="s">
        <v>89</v>
      </c>
      <c r="F79" s="25" t="s">
        <v>59</v>
      </c>
    </row>
    <row r="80" spans="2:6" ht="40.5" x14ac:dyDescent="0.3">
      <c r="B80" s="50"/>
      <c r="C80" s="51"/>
      <c r="D80" s="51"/>
      <c r="E80" s="23" t="s">
        <v>90</v>
      </c>
      <c r="F80" s="25" t="s">
        <v>60</v>
      </c>
    </row>
    <row r="81" spans="2:6" ht="54" x14ac:dyDescent="0.3">
      <c r="B81" s="50"/>
      <c r="C81" s="51"/>
      <c r="D81" s="51"/>
      <c r="E81" s="23" t="s">
        <v>102</v>
      </c>
      <c r="F81" s="22" t="s">
        <v>74</v>
      </c>
    </row>
    <row r="82" spans="2:6" ht="40.5" x14ac:dyDescent="0.3">
      <c r="B82" s="50"/>
      <c r="C82" s="51"/>
      <c r="D82" s="51"/>
      <c r="E82" s="23" t="s">
        <v>91</v>
      </c>
      <c r="F82" s="22" t="s">
        <v>61</v>
      </c>
    </row>
    <row r="83" spans="2:6" ht="40.5" x14ac:dyDescent="0.3">
      <c r="B83" s="50"/>
      <c r="C83" s="51"/>
      <c r="D83" s="51"/>
      <c r="E83" s="23" t="s">
        <v>29</v>
      </c>
      <c r="F83" s="22" t="s">
        <v>62</v>
      </c>
    </row>
    <row r="84" spans="2:6" x14ac:dyDescent="0.3">
      <c r="B84" s="50"/>
      <c r="C84" s="51"/>
      <c r="D84" s="51"/>
      <c r="E84" s="23"/>
      <c r="F84" s="22"/>
    </row>
    <row r="85" spans="2:6" ht="40.5" x14ac:dyDescent="0.3">
      <c r="B85" s="50"/>
      <c r="C85" s="51"/>
      <c r="D85" s="51"/>
      <c r="E85" s="23" t="s">
        <v>92</v>
      </c>
      <c r="F85" s="22" t="s">
        <v>63</v>
      </c>
    </row>
    <row r="86" spans="2:6" ht="40.5" x14ac:dyDescent="0.3">
      <c r="B86" s="50"/>
      <c r="C86" s="51"/>
      <c r="D86" s="51"/>
      <c r="E86" s="21" t="s">
        <v>93</v>
      </c>
      <c r="F86" s="22" t="s">
        <v>64</v>
      </c>
    </row>
    <row r="87" spans="2:6" ht="40.5" x14ac:dyDescent="0.3">
      <c r="B87" s="50"/>
      <c r="C87" s="51"/>
      <c r="D87" s="51"/>
      <c r="E87" s="21" t="s">
        <v>94</v>
      </c>
      <c r="F87" s="22" t="s">
        <v>65</v>
      </c>
    </row>
    <row r="88" spans="2:6" x14ac:dyDescent="0.3">
      <c r="B88" s="50"/>
      <c r="C88" s="51"/>
      <c r="D88" s="51"/>
      <c r="E88" s="21"/>
      <c r="F88" s="22"/>
    </row>
    <row r="89" spans="2:6" ht="40.5" x14ac:dyDescent="0.3">
      <c r="B89" s="50"/>
      <c r="C89" s="51"/>
      <c r="D89" s="51"/>
      <c r="E89" s="21" t="s">
        <v>42</v>
      </c>
      <c r="F89" s="22" t="s">
        <v>66</v>
      </c>
    </row>
    <row r="90" spans="2:6" ht="67.5" x14ac:dyDescent="0.3">
      <c r="B90" s="50"/>
      <c r="C90" s="51"/>
      <c r="D90" s="51"/>
      <c r="E90" s="23" t="s">
        <v>95</v>
      </c>
      <c r="F90" s="22" t="s">
        <v>75</v>
      </c>
    </row>
    <row r="91" spans="2:6" ht="40.5" x14ac:dyDescent="0.3">
      <c r="B91" s="50"/>
      <c r="C91" s="51"/>
      <c r="D91" s="51"/>
      <c r="E91" s="23" t="s">
        <v>96</v>
      </c>
      <c r="F91" s="22" t="s">
        <v>67</v>
      </c>
    </row>
    <row r="92" spans="2:6" ht="40.5" x14ac:dyDescent="0.3">
      <c r="B92" s="50"/>
      <c r="C92" s="51"/>
      <c r="D92" s="51"/>
      <c r="E92" s="23" t="s">
        <v>30</v>
      </c>
      <c r="F92" s="22" t="s">
        <v>68</v>
      </c>
    </row>
    <row r="93" spans="2:6" ht="27" x14ac:dyDescent="0.3">
      <c r="B93" s="50"/>
      <c r="C93" s="51"/>
      <c r="D93" s="51"/>
      <c r="E93" s="23" t="s">
        <v>31</v>
      </c>
      <c r="F93" s="22" t="s">
        <v>69</v>
      </c>
    </row>
    <row r="94" spans="2:6" ht="27" x14ac:dyDescent="0.3">
      <c r="B94" s="50"/>
      <c r="C94" s="51"/>
      <c r="D94" s="51"/>
      <c r="E94" s="21" t="s">
        <v>32</v>
      </c>
      <c r="F94" s="22" t="s">
        <v>70</v>
      </c>
    </row>
    <row r="95" spans="2:6" ht="40.5" x14ac:dyDescent="0.3">
      <c r="B95" s="50"/>
      <c r="C95" s="51"/>
      <c r="D95" s="51"/>
      <c r="E95" s="21" t="s">
        <v>33</v>
      </c>
      <c r="F95" s="22" t="s">
        <v>78</v>
      </c>
    </row>
    <row r="96" spans="2:6" ht="40.5" x14ac:dyDescent="0.3">
      <c r="B96" s="50"/>
      <c r="C96" s="51"/>
      <c r="D96" s="51"/>
      <c r="E96" s="21" t="s">
        <v>34</v>
      </c>
      <c r="F96" s="22" t="s">
        <v>76</v>
      </c>
    </row>
    <row r="97" spans="2:6" ht="40.5" x14ac:dyDescent="0.3">
      <c r="B97" s="50"/>
      <c r="C97" s="51"/>
      <c r="D97" s="51"/>
      <c r="E97" s="23" t="s">
        <v>36</v>
      </c>
      <c r="F97" s="22" t="s">
        <v>71</v>
      </c>
    </row>
    <row r="98" spans="2:6" ht="54" x14ac:dyDescent="0.3">
      <c r="B98" s="50"/>
      <c r="C98" s="51"/>
      <c r="D98" s="51"/>
      <c r="E98" s="23" t="s">
        <v>37</v>
      </c>
      <c r="F98" s="22" t="s">
        <v>79</v>
      </c>
    </row>
    <row r="99" spans="2:6" ht="40.5" x14ac:dyDescent="0.3">
      <c r="B99" s="50"/>
      <c r="C99" s="51"/>
      <c r="D99" s="51"/>
      <c r="E99" s="21" t="s">
        <v>41</v>
      </c>
      <c r="F99" s="22" t="s">
        <v>72</v>
      </c>
    </row>
    <row r="100" spans="2:6" ht="40.5" x14ac:dyDescent="0.3">
      <c r="B100" s="50"/>
      <c r="C100" s="51"/>
      <c r="D100" s="51"/>
      <c r="E100" s="21" t="s">
        <v>28</v>
      </c>
      <c r="F100" s="22" t="s">
        <v>73</v>
      </c>
    </row>
    <row r="101" spans="2:6" ht="40.5" x14ac:dyDescent="0.3">
      <c r="B101" s="50"/>
      <c r="C101" s="51"/>
      <c r="D101" s="51"/>
      <c r="E101" s="21" t="s">
        <v>104</v>
      </c>
      <c r="F101" s="22" t="s">
        <v>77</v>
      </c>
    </row>
    <row r="102" spans="2:6" ht="40.5" x14ac:dyDescent="0.3">
      <c r="B102" s="50"/>
      <c r="C102" s="51"/>
      <c r="D102" s="51"/>
      <c r="E102" s="23" t="s">
        <v>101</v>
      </c>
      <c r="F102" s="25" t="s">
        <v>229</v>
      </c>
    </row>
    <row r="103" spans="2:6" ht="27" x14ac:dyDescent="0.3">
      <c r="B103" s="50"/>
      <c r="C103" s="51"/>
      <c r="D103" s="51"/>
      <c r="E103" s="23" t="s">
        <v>12</v>
      </c>
      <c r="F103" s="22" t="s">
        <v>23</v>
      </c>
    </row>
    <row r="104" spans="2:6" ht="27" x14ac:dyDescent="0.3">
      <c r="B104" s="50"/>
      <c r="C104" s="51"/>
      <c r="D104" s="51"/>
      <c r="E104" s="23" t="s">
        <v>17</v>
      </c>
      <c r="F104" s="22" t="s">
        <v>6</v>
      </c>
    </row>
    <row r="105" spans="2:6" ht="40.5" x14ac:dyDescent="0.3">
      <c r="B105" s="50"/>
      <c r="C105" s="51"/>
      <c r="D105" s="51"/>
      <c r="E105" s="23" t="s">
        <v>13</v>
      </c>
      <c r="F105" s="22" t="s">
        <v>3</v>
      </c>
    </row>
    <row r="106" spans="2:6" ht="40.5" x14ac:dyDescent="0.3">
      <c r="B106" s="50"/>
      <c r="C106" s="51"/>
      <c r="D106" s="51"/>
      <c r="E106" s="23" t="s">
        <v>14</v>
      </c>
      <c r="F106" s="22" t="s">
        <v>22</v>
      </c>
    </row>
    <row r="107" spans="2:6" ht="40.5" x14ac:dyDescent="0.3">
      <c r="B107" s="50"/>
      <c r="C107" s="51"/>
      <c r="D107" s="51"/>
      <c r="E107" s="23" t="s">
        <v>15</v>
      </c>
      <c r="F107" s="22" t="s">
        <v>4</v>
      </c>
    </row>
    <row r="108" spans="2:6" ht="27" x14ac:dyDescent="0.3">
      <c r="B108" s="50"/>
      <c r="C108" s="51"/>
      <c r="D108" s="51"/>
      <c r="E108" s="23" t="s">
        <v>16</v>
      </c>
      <c r="F108" s="22" t="s">
        <v>5</v>
      </c>
    </row>
    <row r="109" spans="2:6" ht="40.5" x14ac:dyDescent="0.3">
      <c r="B109" s="50"/>
      <c r="C109" s="51"/>
      <c r="D109" s="51"/>
      <c r="E109" s="23" t="s">
        <v>18</v>
      </c>
      <c r="F109" s="22" t="s">
        <v>7</v>
      </c>
    </row>
    <row r="110" spans="2:6" ht="40.5" x14ac:dyDescent="0.3">
      <c r="B110" s="50"/>
      <c r="C110" s="51"/>
      <c r="D110" s="51"/>
      <c r="E110" s="23" t="s">
        <v>24</v>
      </c>
      <c r="F110" s="26" t="s">
        <v>25</v>
      </c>
    </row>
    <row r="111" spans="2:6" ht="40.5" x14ac:dyDescent="0.3">
      <c r="B111" s="50"/>
      <c r="C111" s="51"/>
      <c r="D111" s="51"/>
      <c r="E111" s="23" t="s">
        <v>19</v>
      </c>
      <c r="F111" s="22" t="s">
        <v>9</v>
      </c>
    </row>
    <row r="112" spans="2:6" ht="40.5" x14ac:dyDescent="0.3">
      <c r="B112" s="50"/>
      <c r="C112" s="51"/>
      <c r="D112" s="51"/>
      <c r="E112" s="23" t="s">
        <v>20</v>
      </c>
      <c r="F112" s="22" t="s">
        <v>11</v>
      </c>
    </row>
    <row r="113" spans="2:6" ht="27" x14ac:dyDescent="0.3">
      <c r="B113" s="50"/>
      <c r="C113" s="51"/>
      <c r="D113" s="51"/>
      <c r="E113" s="23" t="s">
        <v>21</v>
      </c>
      <c r="F113" s="22" t="s">
        <v>8</v>
      </c>
    </row>
    <row r="114" spans="2:6" ht="27" x14ac:dyDescent="0.3">
      <c r="B114" s="50"/>
      <c r="C114" s="51"/>
      <c r="D114" s="51"/>
      <c r="E114" s="23" t="s">
        <v>125</v>
      </c>
      <c r="F114" s="26" t="s">
        <v>126</v>
      </c>
    </row>
    <row r="115" spans="2:6" ht="40.5" x14ac:dyDescent="0.3">
      <c r="B115" s="50"/>
      <c r="C115" s="51"/>
      <c r="D115" s="51"/>
      <c r="E115" s="23" t="s">
        <v>127</v>
      </c>
      <c r="F115" s="22" t="s">
        <v>128</v>
      </c>
    </row>
    <row r="116" spans="2:6" ht="27" x14ac:dyDescent="0.3">
      <c r="B116" s="50"/>
      <c r="C116" s="51"/>
      <c r="D116" s="51"/>
      <c r="E116" s="23" t="s">
        <v>129</v>
      </c>
      <c r="F116" s="22" t="s">
        <v>130</v>
      </c>
    </row>
    <row r="117" spans="2:6" ht="27" x14ac:dyDescent="0.3">
      <c r="B117" s="50"/>
      <c r="C117" s="51"/>
      <c r="D117" s="51"/>
      <c r="E117" s="23" t="s">
        <v>131</v>
      </c>
      <c r="F117" s="22" t="s">
        <v>132</v>
      </c>
    </row>
    <row r="118" spans="2:6" ht="27" x14ac:dyDescent="0.3">
      <c r="B118" s="50"/>
      <c r="C118" s="51"/>
      <c r="D118" s="51"/>
      <c r="E118" s="23" t="s">
        <v>133</v>
      </c>
      <c r="F118" s="22" t="s">
        <v>134</v>
      </c>
    </row>
    <row r="119" spans="2:6" ht="40.5" x14ac:dyDescent="0.3">
      <c r="B119" s="50"/>
      <c r="C119" s="51"/>
      <c r="D119" s="51"/>
      <c r="E119" s="23" t="s">
        <v>135</v>
      </c>
      <c r="F119" s="26" t="s">
        <v>136</v>
      </c>
    </row>
    <row r="120" spans="2:6" ht="40.5" x14ac:dyDescent="0.3">
      <c r="B120" s="50"/>
      <c r="C120" s="51"/>
      <c r="D120" s="51"/>
      <c r="E120" s="23" t="s">
        <v>137</v>
      </c>
      <c r="F120" s="22" t="s">
        <v>138</v>
      </c>
    </row>
    <row r="121" spans="2:6" ht="40.5" x14ac:dyDescent="0.3">
      <c r="B121" s="50"/>
      <c r="C121" s="51"/>
      <c r="D121" s="51"/>
      <c r="E121" s="23" t="s">
        <v>139</v>
      </c>
      <c r="F121" s="22" t="s">
        <v>140</v>
      </c>
    </row>
    <row r="122" spans="2:6" ht="54" x14ac:dyDescent="0.3">
      <c r="B122" s="50"/>
      <c r="C122" s="51"/>
      <c r="D122" s="51"/>
      <c r="E122" s="23" t="s">
        <v>141</v>
      </c>
      <c r="F122" s="22" t="s">
        <v>142</v>
      </c>
    </row>
    <row r="123" spans="2:6" ht="40.5" x14ac:dyDescent="0.3">
      <c r="B123" s="50"/>
      <c r="C123" s="51"/>
      <c r="D123" s="51"/>
      <c r="E123" s="23" t="s">
        <v>143</v>
      </c>
      <c r="F123" s="22" t="s">
        <v>144</v>
      </c>
    </row>
    <row r="124" spans="2:6" ht="27" x14ac:dyDescent="0.3">
      <c r="B124" s="50"/>
      <c r="C124" s="51"/>
      <c r="D124" s="51"/>
      <c r="E124" s="23" t="s">
        <v>145</v>
      </c>
      <c r="F124" s="22" t="s">
        <v>146</v>
      </c>
    </row>
    <row r="125" spans="2:6" ht="40.5" x14ac:dyDescent="0.3">
      <c r="B125" s="50"/>
      <c r="C125" s="51"/>
      <c r="D125" s="51"/>
      <c r="E125" s="23" t="s">
        <v>147</v>
      </c>
      <c r="F125" s="22" t="s">
        <v>148</v>
      </c>
    </row>
    <row r="126" spans="2:6" ht="40.5" x14ac:dyDescent="0.3">
      <c r="B126" s="50"/>
      <c r="C126" s="51"/>
      <c r="D126" s="51"/>
      <c r="E126" s="23" t="s">
        <v>149</v>
      </c>
      <c r="F126" s="22" t="s">
        <v>150</v>
      </c>
    </row>
    <row r="127" spans="2:6" ht="40.5" x14ac:dyDescent="0.3">
      <c r="B127" s="50"/>
      <c r="C127" s="51"/>
      <c r="D127" s="51"/>
      <c r="E127" s="23" t="s">
        <v>152</v>
      </c>
      <c r="F127" s="22" t="s">
        <v>151</v>
      </c>
    </row>
    <row r="128" spans="2:6" ht="40.5" x14ac:dyDescent="0.3">
      <c r="B128" s="50"/>
      <c r="C128" s="51"/>
      <c r="D128" s="51"/>
      <c r="E128" s="23" t="s">
        <v>153</v>
      </c>
      <c r="F128" s="22" t="s">
        <v>154</v>
      </c>
    </row>
    <row r="129" spans="2:6" ht="40.5" x14ac:dyDescent="0.3">
      <c r="B129" s="50"/>
      <c r="C129" s="51"/>
      <c r="D129" s="51"/>
      <c r="E129" s="23" t="s">
        <v>155</v>
      </c>
      <c r="F129" s="22" t="s">
        <v>156</v>
      </c>
    </row>
    <row r="130" spans="2:6" ht="40.5" x14ac:dyDescent="0.3">
      <c r="B130" s="50"/>
      <c r="C130" s="51"/>
      <c r="D130" s="51"/>
      <c r="E130" s="23" t="s">
        <v>157</v>
      </c>
      <c r="F130" s="22" t="s">
        <v>158</v>
      </c>
    </row>
    <row r="131" spans="2:6" ht="54" x14ac:dyDescent="0.3">
      <c r="B131" s="50"/>
      <c r="C131" s="51"/>
      <c r="D131" s="51"/>
      <c r="E131" s="23" t="s">
        <v>159</v>
      </c>
      <c r="F131" s="22" t="s">
        <v>160</v>
      </c>
    </row>
    <row r="132" spans="2:6" ht="40.5" x14ac:dyDescent="0.3">
      <c r="B132" s="50"/>
      <c r="C132" s="51"/>
      <c r="D132" s="51"/>
      <c r="E132" s="23" t="s">
        <v>161</v>
      </c>
      <c r="F132" s="22" t="s">
        <v>162</v>
      </c>
    </row>
    <row r="133" spans="2:6" ht="27" x14ac:dyDescent="0.3">
      <c r="B133" s="50"/>
      <c r="C133" s="51"/>
      <c r="D133" s="51"/>
      <c r="E133" s="23" t="s">
        <v>172</v>
      </c>
      <c r="F133" s="22" t="s">
        <v>163</v>
      </c>
    </row>
    <row r="134" spans="2:6" ht="27" x14ac:dyDescent="0.3">
      <c r="B134" s="50"/>
      <c r="C134" s="51"/>
      <c r="D134" s="51"/>
      <c r="E134" s="23" t="s">
        <v>173</v>
      </c>
      <c r="F134" s="22" t="s">
        <v>165</v>
      </c>
    </row>
    <row r="135" spans="2:6" ht="27" x14ac:dyDescent="0.3">
      <c r="B135" s="50"/>
      <c r="C135" s="51"/>
      <c r="D135" s="51"/>
      <c r="E135" s="23" t="s">
        <v>174</v>
      </c>
      <c r="F135" s="22" t="s">
        <v>166</v>
      </c>
    </row>
    <row r="136" spans="2:6" ht="27" x14ac:dyDescent="0.3">
      <c r="B136" s="50"/>
      <c r="C136" s="51"/>
      <c r="D136" s="51"/>
      <c r="E136" s="23" t="s">
        <v>175</v>
      </c>
      <c r="F136" s="22" t="s">
        <v>168</v>
      </c>
    </row>
    <row r="137" spans="2:6" ht="40.5" x14ac:dyDescent="0.3">
      <c r="B137" s="50"/>
      <c r="C137" s="51"/>
      <c r="D137" s="51"/>
      <c r="E137" s="23" t="s">
        <v>169</v>
      </c>
      <c r="F137" s="22" t="s">
        <v>170</v>
      </c>
    </row>
    <row r="138" spans="2:6" ht="40.5" x14ac:dyDescent="0.3">
      <c r="B138" s="50"/>
      <c r="C138" s="51"/>
      <c r="D138" s="51"/>
      <c r="E138" s="23" t="s">
        <v>180</v>
      </c>
      <c r="F138" s="22" t="s">
        <v>181</v>
      </c>
    </row>
    <row r="139" spans="2:6" x14ac:dyDescent="0.3">
      <c r="B139" s="50"/>
      <c r="C139" s="51"/>
      <c r="D139" s="51"/>
      <c r="E139" s="23"/>
      <c r="F139" s="22"/>
    </row>
    <row r="140" spans="2:6" x14ac:dyDescent="0.3">
      <c r="B140" s="50"/>
      <c r="C140" s="51"/>
      <c r="D140" s="51"/>
      <c r="E140" s="23"/>
      <c r="F140" s="22"/>
    </row>
    <row r="141" spans="2:6" x14ac:dyDescent="0.3">
      <c r="B141" s="50"/>
      <c r="C141" s="51"/>
      <c r="D141" s="51"/>
      <c r="E141" s="23"/>
      <c r="F141" s="22"/>
    </row>
    <row r="142" spans="2:6" x14ac:dyDescent="0.3">
      <c r="B142" s="50"/>
      <c r="C142" s="51"/>
      <c r="D142" s="51"/>
      <c r="E142" s="23"/>
      <c r="F142" s="22"/>
    </row>
    <row r="143" spans="2:6" x14ac:dyDescent="0.3">
      <c r="B143" s="50"/>
      <c r="C143" s="51"/>
      <c r="D143" s="51"/>
      <c r="E143" s="23"/>
      <c r="F143" s="22"/>
    </row>
    <row r="144" spans="2:6" x14ac:dyDescent="0.3">
      <c r="B144" s="50"/>
      <c r="C144" s="51"/>
      <c r="D144" s="51"/>
      <c r="E144" s="23"/>
      <c r="F144" s="22"/>
    </row>
    <row r="145" spans="2:6" x14ac:dyDescent="0.3">
      <c r="B145" s="50"/>
      <c r="C145" s="51"/>
      <c r="D145" s="51"/>
      <c r="E145" s="23"/>
      <c r="F145" s="22"/>
    </row>
    <row r="146" spans="2:6" x14ac:dyDescent="0.3">
      <c r="B146" s="50"/>
      <c r="C146" s="51"/>
      <c r="D146" s="51"/>
      <c r="E146" s="23"/>
      <c r="F146" s="22"/>
    </row>
    <row r="147" spans="2:6" x14ac:dyDescent="0.3">
      <c r="B147" s="50"/>
      <c r="C147" s="51"/>
      <c r="D147" s="51"/>
      <c r="E147" s="23"/>
      <c r="F147" s="22"/>
    </row>
    <row r="148" spans="2:6" x14ac:dyDescent="0.3">
      <c r="B148" s="50"/>
      <c r="C148" s="51"/>
      <c r="D148" s="51"/>
      <c r="E148" s="23"/>
      <c r="F148" s="22"/>
    </row>
    <row r="149" spans="2:6" x14ac:dyDescent="0.3">
      <c r="B149" s="50"/>
      <c r="C149" s="51"/>
      <c r="D149" s="51"/>
      <c r="E149" s="23"/>
      <c r="F149" s="22"/>
    </row>
    <row r="150" spans="2:6" x14ac:dyDescent="0.3">
      <c r="B150" s="50"/>
      <c r="C150" s="51"/>
      <c r="D150" s="51"/>
      <c r="E150" s="23"/>
      <c r="F150" s="22"/>
    </row>
    <row r="151" spans="2:6" x14ac:dyDescent="0.3">
      <c r="B151" s="50"/>
      <c r="C151" s="51"/>
      <c r="D151" s="51"/>
      <c r="E151" s="23"/>
      <c r="F151" s="22"/>
    </row>
    <row r="152" spans="2:6" x14ac:dyDescent="0.3">
      <c r="B152" s="50"/>
      <c r="C152" s="51"/>
      <c r="D152" s="51"/>
      <c r="E152" s="23"/>
      <c r="F152" s="22"/>
    </row>
    <row r="153" spans="2:6" x14ac:dyDescent="0.3">
      <c r="B153" s="50"/>
      <c r="C153" s="51"/>
      <c r="D153" s="51"/>
      <c r="E153" s="23"/>
      <c r="F153" s="22"/>
    </row>
    <row r="154" spans="2:6" x14ac:dyDescent="0.3">
      <c r="B154" s="50"/>
      <c r="C154" s="51"/>
      <c r="D154" s="51"/>
      <c r="E154" s="23"/>
      <c r="F154" s="22"/>
    </row>
    <row r="155" spans="2:6" x14ac:dyDescent="0.3">
      <c r="B155" s="50"/>
      <c r="C155" s="51"/>
      <c r="D155" s="51"/>
      <c r="E155" s="23"/>
      <c r="F155" s="22"/>
    </row>
    <row r="156" spans="2:6" x14ac:dyDescent="0.3">
      <c r="B156" s="50"/>
      <c r="C156" s="51"/>
      <c r="D156" s="51"/>
      <c r="E156" s="23"/>
      <c r="F156" s="22"/>
    </row>
    <row r="157" spans="2:6" x14ac:dyDescent="0.3">
      <c r="B157" s="50"/>
      <c r="C157" s="51"/>
      <c r="D157" s="51"/>
      <c r="E157" s="23"/>
      <c r="F157" s="22"/>
    </row>
    <row r="158" spans="2:6" x14ac:dyDescent="0.3">
      <c r="B158" s="50"/>
      <c r="C158" s="51"/>
      <c r="D158" s="51"/>
      <c r="E158" s="23"/>
      <c r="F158" s="22"/>
    </row>
    <row r="159" spans="2:6" x14ac:dyDescent="0.3">
      <c r="B159" s="50"/>
      <c r="C159" s="51"/>
      <c r="D159" s="51"/>
      <c r="E159" s="23"/>
      <c r="F159" s="22"/>
    </row>
    <row r="160" spans="2:6" x14ac:dyDescent="0.3">
      <c r="B160" s="50"/>
      <c r="C160" s="51"/>
      <c r="D160" s="51"/>
      <c r="E160" s="23"/>
      <c r="F160" s="22"/>
    </row>
    <row r="161" spans="2:6" x14ac:dyDescent="0.3">
      <c r="B161" s="50"/>
      <c r="C161" s="51"/>
      <c r="D161" s="51"/>
      <c r="E161" s="23"/>
      <c r="F161" s="22"/>
    </row>
    <row r="162" spans="2:6" x14ac:dyDescent="0.3">
      <c r="B162" s="50"/>
      <c r="C162" s="51"/>
      <c r="D162" s="51"/>
      <c r="E162" s="23"/>
      <c r="F162" s="22"/>
    </row>
    <row r="163" spans="2:6" x14ac:dyDescent="0.3">
      <c r="B163" s="50"/>
      <c r="C163" s="51"/>
      <c r="D163" s="51"/>
      <c r="E163" s="23"/>
      <c r="F163" s="22"/>
    </row>
    <row r="164" spans="2:6" x14ac:dyDescent="0.3">
      <c r="B164" s="50"/>
      <c r="C164" s="51"/>
      <c r="D164" s="51"/>
      <c r="E164" s="23"/>
      <c r="F164" s="22"/>
    </row>
    <row r="165" spans="2:6" x14ac:dyDescent="0.3">
      <c r="B165" s="50"/>
      <c r="C165" s="51"/>
      <c r="D165" s="51"/>
      <c r="E165" s="23"/>
      <c r="F165" s="22"/>
    </row>
    <row r="166" spans="2:6" x14ac:dyDescent="0.3">
      <c r="B166" s="50"/>
      <c r="C166" s="51"/>
      <c r="D166" s="51"/>
      <c r="E166" s="23"/>
      <c r="F166" s="22"/>
    </row>
    <row r="167" spans="2:6" x14ac:dyDescent="0.3">
      <c r="B167" s="50"/>
      <c r="C167" s="51"/>
      <c r="D167" s="51"/>
      <c r="E167" s="23"/>
      <c r="F167" s="22"/>
    </row>
    <row r="168" spans="2:6" x14ac:dyDescent="0.3">
      <c r="B168" s="50"/>
      <c r="C168" s="51"/>
      <c r="D168" s="51"/>
      <c r="E168" s="23"/>
      <c r="F168" s="22"/>
    </row>
    <row r="169" spans="2:6" x14ac:dyDescent="0.3">
      <c r="B169" s="50"/>
      <c r="C169" s="51"/>
      <c r="D169" s="51"/>
      <c r="E169" s="23"/>
      <c r="F169" s="22"/>
    </row>
    <row r="170" spans="2:6" x14ac:dyDescent="0.3">
      <c r="B170" s="50"/>
      <c r="C170" s="51"/>
      <c r="D170" s="51"/>
      <c r="E170" s="23"/>
      <c r="F170" s="22"/>
    </row>
    <row r="171" spans="2:6" x14ac:dyDescent="0.3">
      <c r="B171" s="50"/>
      <c r="C171" s="51"/>
      <c r="D171" s="51"/>
      <c r="E171" s="23"/>
      <c r="F171" s="22"/>
    </row>
    <row r="172" spans="2:6" x14ac:dyDescent="0.3">
      <c r="B172" s="50"/>
      <c r="C172" s="51"/>
      <c r="D172" s="51"/>
      <c r="E172" s="23"/>
      <c r="F172" s="22"/>
    </row>
    <row r="173" spans="2:6" x14ac:dyDescent="0.3">
      <c r="B173" s="50"/>
      <c r="C173" s="51"/>
      <c r="D173" s="51"/>
      <c r="E173" s="23"/>
      <c r="F173" s="22"/>
    </row>
    <row r="174" spans="2:6" x14ac:dyDescent="0.3">
      <c r="B174" s="50"/>
      <c r="C174" s="51"/>
      <c r="D174" s="51"/>
      <c r="E174" s="23"/>
      <c r="F174" s="22"/>
    </row>
    <row r="175" spans="2:6" x14ac:dyDescent="0.3">
      <c r="B175" s="50"/>
      <c r="C175" s="51"/>
      <c r="D175" s="51"/>
      <c r="E175" s="23"/>
      <c r="F175" s="22"/>
    </row>
    <row r="176" spans="2:6" x14ac:dyDescent="0.3">
      <c r="B176" s="50"/>
      <c r="C176" s="51"/>
      <c r="D176" s="51"/>
      <c r="E176" s="23"/>
      <c r="F176" s="22"/>
    </row>
    <row r="177" spans="2:6" x14ac:dyDescent="0.3">
      <c r="B177" s="50"/>
      <c r="C177" s="51"/>
      <c r="D177" s="51"/>
      <c r="E177" s="23"/>
      <c r="F177" s="22"/>
    </row>
    <row r="178" spans="2:6" x14ac:dyDescent="0.3">
      <c r="B178" s="50"/>
      <c r="C178" s="51"/>
      <c r="D178" s="51"/>
      <c r="E178" s="23"/>
      <c r="F178" s="22"/>
    </row>
    <row r="179" spans="2:6" x14ac:dyDescent="0.3">
      <c r="B179" s="50"/>
      <c r="C179" s="51"/>
      <c r="D179" s="51"/>
      <c r="E179" s="23"/>
      <c r="F179" s="22"/>
    </row>
    <row r="180" spans="2:6" x14ac:dyDescent="0.3">
      <c r="B180" s="50"/>
      <c r="C180" s="51"/>
      <c r="D180" s="51"/>
      <c r="E180" s="23"/>
      <c r="F180" s="22"/>
    </row>
    <row r="181" spans="2:6" x14ac:dyDescent="0.3">
      <c r="B181" s="50"/>
      <c r="C181" s="51"/>
      <c r="D181" s="51"/>
      <c r="E181" s="23"/>
      <c r="F181" s="22"/>
    </row>
    <row r="182" spans="2:6" x14ac:dyDescent="0.3">
      <c r="B182" s="50"/>
      <c r="C182" s="51"/>
      <c r="D182" s="51"/>
      <c r="E182" s="23"/>
      <c r="F182" s="22"/>
    </row>
    <row r="183" spans="2:6" x14ac:dyDescent="0.3">
      <c r="B183" s="50"/>
      <c r="C183" s="51"/>
      <c r="D183" s="51"/>
      <c r="E183" s="23"/>
      <c r="F183" s="22"/>
    </row>
    <row r="184" spans="2:6" x14ac:dyDescent="0.3">
      <c r="B184" s="50"/>
      <c r="C184" s="51"/>
      <c r="D184" s="51"/>
      <c r="E184" s="23"/>
      <c r="F184" s="22"/>
    </row>
    <row r="185" spans="2:6" x14ac:dyDescent="0.3">
      <c r="B185" s="50"/>
      <c r="C185" s="51"/>
      <c r="D185" s="51"/>
      <c r="E185" s="23"/>
      <c r="F185" s="22"/>
    </row>
    <row r="186" spans="2:6" x14ac:dyDescent="0.3">
      <c r="B186" s="50"/>
      <c r="C186" s="51"/>
      <c r="D186" s="51"/>
      <c r="E186" s="23"/>
      <c r="F186" s="22"/>
    </row>
    <row r="187" spans="2:6" x14ac:dyDescent="0.3">
      <c r="B187" s="50"/>
      <c r="C187" s="51"/>
      <c r="D187" s="51"/>
      <c r="E187" s="23"/>
      <c r="F187" s="22"/>
    </row>
    <row r="188" spans="2:6" x14ac:dyDescent="0.3">
      <c r="B188" s="50"/>
      <c r="C188" s="51"/>
      <c r="D188" s="51"/>
      <c r="E188" s="23"/>
      <c r="F188" s="22"/>
    </row>
    <row r="189" spans="2:6" x14ac:dyDescent="0.3">
      <c r="B189" s="50"/>
      <c r="C189" s="51"/>
      <c r="D189" s="51"/>
      <c r="E189" s="23"/>
      <c r="F189" s="22"/>
    </row>
    <row r="190" spans="2:6" x14ac:dyDescent="0.3">
      <c r="B190" s="50"/>
      <c r="C190" s="51"/>
      <c r="D190" s="51"/>
      <c r="E190" s="23"/>
      <c r="F190" s="22"/>
    </row>
    <row r="191" spans="2:6" x14ac:dyDescent="0.3">
      <c r="B191" s="50"/>
      <c r="C191" s="51"/>
      <c r="D191" s="51"/>
      <c r="E191" s="23"/>
      <c r="F191" s="22"/>
    </row>
    <row r="192" spans="2:6" x14ac:dyDescent="0.3">
      <c r="B192" s="50"/>
      <c r="C192" s="51"/>
      <c r="D192" s="51"/>
      <c r="E192" s="23"/>
      <c r="F192" s="22"/>
    </row>
    <row r="193" spans="2:6" x14ac:dyDescent="0.3">
      <c r="B193" s="50"/>
      <c r="C193" s="51"/>
      <c r="D193" s="51"/>
      <c r="E193" s="23"/>
      <c r="F193" s="22"/>
    </row>
    <row r="194" spans="2:6" x14ac:dyDescent="0.3">
      <c r="B194" s="50"/>
      <c r="C194" s="51"/>
      <c r="D194" s="51"/>
      <c r="E194" s="23"/>
      <c r="F194" s="22"/>
    </row>
    <row r="195" spans="2:6" x14ac:dyDescent="0.3">
      <c r="B195" s="50"/>
      <c r="C195" s="51"/>
      <c r="D195" s="51"/>
      <c r="E195" s="23"/>
      <c r="F195" s="22"/>
    </row>
    <row r="196" spans="2:6" x14ac:dyDescent="0.3">
      <c r="B196" s="50"/>
      <c r="C196" s="51"/>
      <c r="D196" s="51"/>
      <c r="E196" s="23"/>
      <c r="F196" s="22"/>
    </row>
    <row r="197" spans="2:6" x14ac:dyDescent="0.3">
      <c r="B197" s="50"/>
      <c r="C197" s="51"/>
      <c r="D197" s="51"/>
      <c r="E197" s="23"/>
      <c r="F197" s="17"/>
    </row>
    <row r="198" spans="2:6" x14ac:dyDescent="0.3">
      <c r="B198" s="50"/>
      <c r="C198" s="51"/>
      <c r="D198" s="51"/>
      <c r="E198" s="23"/>
      <c r="F198" s="17"/>
    </row>
    <row r="199" spans="2:6" x14ac:dyDescent="0.3">
      <c r="B199" s="50"/>
      <c r="C199" s="51"/>
      <c r="D199" s="51"/>
      <c r="E199" s="23"/>
      <c r="F199" s="17"/>
    </row>
    <row r="200" spans="2:6" x14ac:dyDescent="0.3">
      <c r="B200" s="52"/>
      <c r="C200" s="53"/>
      <c r="D200" s="53"/>
      <c r="E200" s="23"/>
      <c r="F200" s="17"/>
    </row>
  </sheetData>
  <sheetProtection algorithmName="SHA-512" hashValue="CU5xZ4NDC9m6QRYXSsgA04alTimIq2VpB+4riO2krFHzDIZzH9gBGPY8cR0u1/vwMMMFKHHbo94mB1ZY9LdSlQ==" saltValue="hFWfqsRenIexQyR+j3YQRA==" spinCount="100000" sheet="1" objects="1" scenarios="1" selectLockedCells="1"/>
  <sortState ref="C4:H63">
    <sortCondition ref="C4:C63"/>
  </sortState>
  <mergeCells count="5">
    <mergeCell ref="B2:F2"/>
    <mergeCell ref="C1:E1"/>
    <mergeCell ref="G2:H2"/>
    <mergeCell ref="G64:H64"/>
    <mergeCell ref="B64:C65"/>
  </mergeCells>
  <phoneticPr fontId="2" type="noConversion"/>
  <printOptions horizontalCentered="1" verticalCentered="1"/>
  <pageMargins left="0.31496062992125984" right="0.31496062992125984" top="0.74803149606299213" bottom="0.59055118110236227" header="0.31496062992125984" footer="0.31496062992125984"/>
  <pageSetup paperSize="9" scale="4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일자순">
                <anchor moveWithCells="1" sizeWithCells="1">
                  <from>
                    <xdr:col>2</xdr:col>
                    <xdr:colOff>438150</xdr:colOff>
                    <xdr:row>1</xdr:row>
                    <xdr:rowOff>342900</xdr:rowOff>
                  </from>
                  <to>
                    <xdr:col>4</xdr:col>
                    <xdr:colOff>895350</xdr:colOff>
                    <xdr:row>1</xdr:row>
                    <xdr:rowOff>600075</xdr:rowOff>
                  </to>
                </anchor>
              </controlPr>
            </control>
          </mc:Choice>
        </mc:AlternateContent>
        <mc:AlternateContent xmlns:mc="http://schemas.openxmlformats.org/markup-compatibility/2006">
          <mc:Choice Requires="x14">
            <control shapeId="7175" r:id="rId5" name="Button 7">
              <controlPr defaultSize="0" print="0" autoFill="0" autoPict="0" macro="[0]!맞춤법검사">
                <anchor moveWithCells="1" sizeWithCells="1">
                  <from>
                    <xdr:col>5</xdr:col>
                    <xdr:colOff>1905000</xdr:colOff>
                    <xdr:row>2</xdr:row>
                    <xdr:rowOff>0</xdr:rowOff>
                  </from>
                  <to>
                    <xdr:col>5</xdr:col>
                    <xdr:colOff>3181350</xdr:colOff>
                    <xdr:row>2</xdr:row>
                    <xdr:rowOff>0</xdr:rowOff>
                  </to>
                </anchor>
              </controlPr>
            </control>
          </mc:Choice>
        </mc:AlternateContent>
        <mc:AlternateContent xmlns:mc="http://schemas.openxmlformats.org/markup-compatibility/2006">
          <mc:Choice Requires="x14">
            <control shapeId="7176" r:id="rId6" name="Button 8">
              <controlPr defaultSize="0" print="0" autoFill="0" autoPict="0" macro="[0]!맞춤법1">
                <anchor moveWithCells="1" sizeWithCells="1">
                  <from>
                    <xdr:col>5</xdr:col>
                    <xdr:colOff>1905000</xdr:colOff>
                    <xdr:row>1</xdr:row>
                    <xdr:rowOff>352425</xdr:rowOff>
                  </from>
                  <to>
                    <xdr:col>5</xdr:col>
                    <xdr:colOff>3314700</xdr:colOff>
                    <xdr:row>1</xdr:row>
                    <xdr:rowOff>600075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DU44"/>
  <sheetViews>
    <sheetView showZeros="0" tabSelected="1" workbookViewId="0">
      <pane xSplit="2" ySplit="4" topLeftCell="C5" activePane="bottomRight" state="frozen"/>
      <selection pane="topRight" activeCell="C1" sqref="C1"/>
      <selection pane="bottomLeft" activeCell="A5" sqref="A5"/>
      <selection pane="bottomRight" activeCell="AB22" sqref="AB22"/>
    </sheetView>
  </sheetViews>
  <sheetFormatPr defaultColWidth="9" defaultRowHeight="16.5" x14ac:dyDescent="0.3"/>
  <cols>
    <col min="1" max="1" width="5.125" style="8" customWidth="1"/>
    <col min="2" max="2" width="9" style="8"/>
    <col min="3" max="62" width="3.125" style="7" customWidth="1"/>
    <col min="63" max="122" width="3.625" style="7" hidden="1" customWidth="1"/>
    <col min="123" max="123" width="9" style="9" hidden="1" customWidth="1"/>
    <col min="124" max="124" width="4" style="8" customWidth="1"/>
    <col min="125" max="125" width="1.875" style="7" customWidth="1"/>
    <col min="126" max="129" width="5.625" style="7" customWidth="1"/>
    <col min="130" max="16384" width="9" style="7"/>
  </cols>
  <sheetData>
    <row r="1" spans="1:125" ht="40.5" customHeight="1" x14ac:dyDescent="0.3">
      <c r="A1" s="31"/>
      <c r="B1" s="31"/>
      <c r="C1" s="72" t="s">
        <v>35</v>
      </c>
      <c r="D1" s="73"/>
      <c r="E1" s="73"/>
      <c r="F1" s="73"/>
      <c r="G1" s="73"/>
      <c r="H1" s="73"/>
      <c r="I1" s="73"/>
      <c r="J1" s="73"/>
      <c r="K1" s="73"/>
      <c r="L1" s="73"/>
      <c r="M1" s="73"/>
      <c r="N1" s="73"/>
      <c r="O1" s="77" t="s">
        <v>115</v>
      </c>
      <c r="P1" s="77"/>
      <c r="Q1" s="77"/>
      <c r="R1" s="77"/>
      <c r="S1" s="77"/>
      <c r="T1" s="77"/>
      <c r="U1" s="77"/>
      <c r="V1" s="77"/>
      <c r="W1" s="77"/>
      <c r="X1" s="77"/>
      <c r="Y1" s="77"/>
      <c r="Z1" s="77"/>
      <c r="AA1" s="77"/>
      <c r="AB1" s="77"/>
      <c r="AC1" s="77"/>
      <c r="AD1" s="77"/>
      <c r="AE1" s="77"/>
      <c r="AF1" s="77"/>
      <c r="AG1" s="77"/>
      <c r="AH1" s="77"/>
      <c r="AI1" s="77"/>
      <c r="AJ1" s="77"/>
      <c r="AK1" s="77"/>
      <c r="AL1" s="77"/>
      <c r="AM1" s="77"/>
      <c r="AN1" s="77"/>
      <c r="AO1" s="77"/>
      <c r="AP1" s="76" t="s">
        <v>116</v>
      </c>
      <c r="AQ1" s="76"/>
      <c r="AR1" s="76"/>
      <c r="AS1" s="76"/>
      <c r="AT1" s="76"/>
      <c r="AU1" s="76"/>
      <c r="AV1" s="76"/>
      <c r="AW1" s="76"/>
      <c r="AX1" s="76"/>
      <c r="AY1" s="76"/>
      <c r="AZ1" s="76"/>
      <c r="BA1" s="76"/>
      <c r="BB1" s="76"/>
      <c r="BC1" s="76"/>
      <c r="BD1" s="76"/>
      <c r="BE1" s="76"/>
      <c r="BF1" s="76"/>
      <c r="BG1" s="76"/>
      <c r="BH1" s="76"/>
      <c r="BI1" s="76"/>
      <c r="BJ1" s="76"/>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3"/>
      <c r="DU1" s="34"/>
    </row>
    <row r="2" spans="1:125" ht="24" customHeight="1" x14ac:dyDescent="0.3">
      <c r="A2" s="31"/>
      <c r="B2" s="31"/>
      <c r="C2" s="5">
        <v>1</v>
      </c>
      <c r="D2" s="5">
        <v>2</v>
      </c>
      <c r="E2" s="5">
        <v>3</v>
      </c>
      <c r="F2" s="5">
        <v>4</v>
      </c>
      <c r="G2" s="5">
        <v>5</v>
      </c>
      <c r="H2" s="5">
        <v>6</v>
      </c>
      <c r="I2" s="5">
        <v>7</v>
      </c>
      <c r="J2" s="5">
        <v>8</v>
      </c>
      <c r="K2" s="5">
        <v>9</v>
      </c>
      <c r="L2" s="5">
        <v>10</v>
      </c>
      <c r="M2" s="5">
        <v>11</v>
      </c>
      <c r="N2" s="5">
        <v>12</v>
      </c>
      <c r="O2" s="5">
        <v>13</v>
      </c>
      <c r="P2" s="5">
        <v>14</v>
      </c>
      <c r="Q2" s="5">
        <v>15</v>
      </c>
      <c r="R2" s="5">
        <v>16</v>
      </c>
      <c r="S2" s="5">
        <v>17</v>
      </c>
      <c r="T2" s="5">
        <v>18</v>
      </c>
      <c r="U2" s="5">
        <v>19</v>
      </c>
      <c r="V2" s="5">
        <v>20</v>
      </c>
      <c r="W2" s="5">
        <v>21</v>
      </c>
      <c r="X2" s="5">
        <v>22</v>
      </c>
      <c r="Y2" s="5">
        <v>23</v>
      </c>
      <c r="Z2" s="5">
        <v>24</v>
      </c>
      <c r="AA2" s="5">
        <v>25</v>
      </c>
      <c r="AB2" s="5">
        <v>26</v>
      </c>
      <c r="AC2" s="5">
        <v>27</v>
      </c>
      <c r="AD2" s="5">
        <v>28</v>
      </c>
      <c r="AE2" s="5">
        <v>29</v>
      </c>
      <c r="AF2" s="5">
        <v>30</v>
      </c>
      <c r="AG2" s="5">
        <v>31</v>
      </c>
      <c r="AH2" s="5">
        <v>32</v>
      </c>
      <c r="AI2" s="5">
        <v>33</v>
      </c>
      <c r="AJ2" s="5">
        <v>34</v>
      </c>
      <c r="AK2" s="5">
        <v>35</v>
      </c>
      <c r="AL2" s="5">
        <v>36</v>
      </c>
      <c r="AM2" s="5">
        <v>37</v>
      </c>
      <c r="AN2" s="5">
        <v>38</v>
      </c>
      <c r="AO2" s="5">
        <v>39</v>
      </c>
      <c r="AP2" s="5">
        <v>40</v>
      </c>
      <c r="AQ2" s="5">
        <v>41</v>
      </c>
      <c r="AR2" s="5">
        <v>42</v>
      </c>
      <c r="AS2" s="5">
        <v>43</v>
      </c>
      <c r="AT2" s="5">
        <v>44</v>
      </c>
      <c r="AU2" s="5">
        <v>45</v>
      </c>
      <c r="AV2" s="5">
        <v>46</v>
      </c>
      <c r="AW2" s="5">
        <v>47</v>
      </c>
      <c r="AX2" s="5">
        <v>48</v>
      </c>
      <c r="AY2" s="5">
        <v>49</v>
      </c>
      <c r="AZ2" s="5">
        <v>50</v>
      </c>
      <c r="BA2" s="5">
        <v>51</v>
      </c>
      <c r="BB2" s="5">
        <v>52</v>
      </c>
      <c r="BC2" s="5">
        <v>53</v>
      </c>
      <c r="BD2" s="5">
        <v>54</v>
      </c>
      <c r="BE2" s="5">
        <v>55</v>
      </c>
      <c r="BF2" s="5">
        <v>56</v>
      </c>
      <c r="BG2" s="5">
        <v>57</v>
      </c>
      <c r="BH2" s="5">
        <v>58</v>
      </c>
      <c r="BI2" s="5">
        <v>59</v>
      </c>
      <c r="BJ2" s="5">
        <v>60</v>
      </c>
      <c r="BK2" s="35">
        <f t="shared" ref="BK2:BT4" si="0">C2</f>
        <v>1</v>
      </c>
      <c r="BL2" s="35">
        <f t="shared" si="0"/>
        <v>2</v>
      </c>
      <c r="BM2" s="35">
        <f t="shared" si="0"/>
        <v>3</v>
      </c>
      <c r="BN2" s="35">
        <f t="shared" si="0"/>
        <v>4</v>
      </c>
      <c r="BO2" s="35">
        <f t="shared" si="0"/>
        <v>5</v>
      </c>
      <c r="BP2" s="35">
        <f t="shared" si="0"/>
        <v>6</v>
      </c>
      <c r="BQ2" s="35">
        <f t="shared" si="0"/>
        <v>7</v>
      </c>
      <c r="BR2" s="35">
        <f t="shared" si="0"/>
        <v>8</v>
      </c>
      <c r="BS2" s="35">
        <f t="shared" si="0"/>
        <v>9</v>
      </c>
      <c r="BT2" s="35">
        <f t="shared" si="0"/>
        <v>10</v>
      </c>
      <c r="BU2" s="35">
        <f t="shared" ref="BU2:CD4" si="1">M2</f>
        <v>11</v>
      </c>
      <c r="BV2" s="35">
        <f t="shared" si="1"/>
        <v>12</v>
      </c>
      <c r="BW2" s="35">
        <f t="shared" si="1"/>
        <v>13</v>
      </c>
      <c r="BX2" s="35">
        <f t="shared" si="1"/>
        <v>14</v>
      </c>
      <c r="BY2" s="35">
        <f t="shared" si="1"/>
        <v>15</v>
      </c>
      <c r="BZ2" s="35">
        <f t="shared" si="1"/>
        <v>16</v>
      </c>
      <c r="CA2" s="35">
        <f t="shared" si="1"/>
        <v>17</v>
      </c>
      <c r="CB2" s="35">
        <f t="shared" si="1"/>
        <v>18</v>
      </c>
      <c r="CC2" s="35">
        <f t="shared" si="1"/>
        <v>19</v>
      </c>
      <c r="CD2" s="35">
        <f t="shared" si="1"/>
        <v>20</v>
      </c>
      <c r="CE2" s="35">
        <f t="shared" ref="CE2:CN4" si="2">W2</f>
        <v>21</v>
      </c>
      <c r="CF2" s="35">
        <f t="shared" si="2"/>
        <v>22</v>
      </c>
      <c r="CG2" s="35">
        <f t="shared" si="2"/>
        <v>23</v>
      </c>
      <c r="CH2" s="35">
        <f t="shared" si="2"/>
        <v>24</v>
      </c>
      <c r="CI2" s="35">
        <f t="shared" si="2"/>
        <v>25</v>
      </c>
      <c r="CJ2" s="35">
        <f t="shared" si="2"/>
        <v>26</v>
      </c>
      <c r="CK2" s="35">
        <f t="shared" si="2"/>
        <v>27</v>
      </c>
      <c r="CL2" s="35">
        <f t="shared" si="2"/>
        <v>28</v>
      </c>
      <c r="CM2" s="35">
        <f t="shared" si="2"/>
        <v>29</v>
      </c>
      <c r="CN2" s="35">
        <f t="shared" si="2"/>
        <v>30</v>
      </c>
      <c r="CO2" s="35">
        <f t="shared" ref="CO2:CX4" si="3">AG2</f>
        <v>31</v>
      </c>
      <c r="CP2" s="35">
        <f t="shared" si="3"/>
        <v>32</v>
      </c>
      <c r="CQ2" s="35">
        <f t="shared" si="3"/>
        <v>33</v>
      </c>
      <c r="CR2" s="35">
        <f t="shared" si="3"/>
        <v>34</v>
      </c>
      <c r="CS2" s="35">
        <f t="shared" si="3"/>
        <v>35</v>
      </c>
      <c r="CT2" s="35">
        <f t="shared" si="3"/>
        <v>36</v>
      </c>
      <c r="CU2" s="35">
        <f t="shared" si="3"/>
        <v>37</v>
      </c>
      <c r="CV2" s="35">
        <f t="shared" si="3"/>
        <v>38</v>
      </c>
      <c r="CW2" s="35">
        <f t="shared" si="3"/>
        <v>39</v>
      </c>
      <c r="CX2" s="35">
        <f t="shared" si="3"/>
        <v>40</v>
      </c>
      <c r="CY2" s="35">
        <f t="shared" ref="CY2:DH4" si="4">AQ2</f>
        <v>41</v>
      </c>
      <c r="CZ2" s="35">
        <f t="shared" si="4"/>
        <v>42</v>
      </c>
      <c r="DA2" s="35">
        <f t="shared" si="4"/>
        <v>43</v>
      </c>
      <c r="DB2" s="35">
        <f t="shared" si="4"/>
        <v>44</v>
      </c>
      <c r="DC2" s="35">
        <f t="shared" si="4"/>
        <v>45</v>
      </c>
      <c r="DD2" s="35">
        <f t="shared" si="4"/>
        <v>46</v>
      </c>
      <c r="DE2" s="35">
        <f t="shared" si="4"/>
        <v>47</v>
      </c>
      <c r="DF2" s="35">
        <f t="shared" si="4"/>
        <v>48</v>
      </c>
      <c r="DG2" s="35">
        <f t="shared" si="4"/>
        <v>49</v>
      </c>
      <c r="DH2" s="35">
        <f t="shared" si="4"/>
        <v>50</v>
      </c>
      <c r="DI2" s="35">
        <f t="shared" ref="DI2:DR4" si="5">BA2</f>
        <v>51</v>
      </c>
      <c r="DJ2" s="35">
        <f t="shared" si="5"/>
        <v>52</v>
      </c>
      <c r="DK2" s="35">
        <f t="shared" si="5"/>
        <v>53</v>
      </c>
      <c r="DL2" s="35">
        <f t="shared" si="5"/>
        <v>54</v>
      </c>
      <c r="DM2" s="35">
        <f t="shared" si="5"/>
        <v>55</v>
      </c>
      <c r="DN2" s="35">
        <f t="shared" si="5"/>
        <v>56</v>
      </c>
      <c r="DO2" s="35">
        <f t="shared" si="5"/>
        <v>57</v>
      </c>
      <c r="DP2" s="35">
        <f t="shared" si="5"/>
        <v>58</v>
      </c>
      <c r="DQ2" s="35">
        <f t="shared" si="5"/>
        <v>59</v>
      </c>
      <c r="DR2" s="35">
        <f t="shared" si="5"/>
        <v>60</v>
      </c>
      <c r="DS2" s="36"/>
      <c r="DT2" s="69" t="s">
        <v>10</v>
      </c>
      <c r="DU2" s="34"/>
    </row>
    <row r="3" spans="1:125" ht="164.25" customHeight="1" x14ac:dyDescent="0.3">
      <c r="A3" s="70" t="s">
        <v>0</v>
      </c>
      <c r="B3" s="74" t="s">
        <v>38</v>
      </c>
      <c r="C3" s="37" t="str">
        <f>IFERROR(VLOOKUP(C2,활동내용입력!$B$1:$E$63,4,FALSE),"")</f>
        <v>학급반장</v>
      </c>
      <c r="D3" s="37" t="str">
        <f>IFERROR(VLOOKUP(D2,활동내용입력!$B$1:$E$63,4,FALSE),"")</f>
        <v>학급부반장</v>
      </c>
      <c r="E3" s="37" t="str">
        <f>IFERROR(VLOOKUP(E2,활동내용입력!$B$1:$E$63,4,FALSE),"")</f>
        <v>서기</v>
      </c>
      <c r="F3" s="37" t="str">
        <f>IFERROR(VLOOKUP(F2,활동내용입력!$B$1:$E$63,4,FALSE),"")</f>
        <v>환경에너지 지킴이</v>
      </c>
      <c r="G3" s="37" t="str">
        <f>IFERROR(VLOOKUP(G2,활동내용입력!$B$1:$E$63,4,FALSE),"")</f>
        <v>생명존중교육</v>
      </c>
      <c r="H3" s="37" t="str">
        <f>IFERROR(VLOOKUP(H2,활동내용입력!$B$1:$E$63,4,FALSE),"")</f>
        <v>안전교육</v>
      </c>
      <c r="I3" s="37" t="str">
        <f>IFERROR(VLOOKUP(I2,활동내용입력!$B$1:$E$63,4,FALSE),"")</f>
        <v>학교폭력예방교육1</v>
      </c>
      <c r="J3" s="37" t="str">
        <f>IFERROR(VLOOKUP(J2,활동내용입력!$B$1:$E$63,4,FALSE),"")</f>
        <v>학급회의</v>
      </c>
      <c r="K3" s="37" t="str">
        <f>IFERROR(VLOOKUP(K2,활동내용입력!$B$1:$E$63,4,FALSE),"")</f>
        <v>다문화 교육</v>
      </c>
      <c r="L3" s="37" t="str">
        <f>IFERROR(VLOOKUP(L2,활동내용입력!$B$1:$E$63,4,FALSE),"")</f>
        <v>약물 오남용 예방교육</v>
      </c>
      <c r="M3" s="37" t="str">
        <f>IFERROR(VLOOKUP(M2,활동내용입력!$B$1:$E$63,4,FALSE),"")</f>
        <v>장애 인식 개선 교육</v>
      </c>
      <c r="N3" s="37" t="str">
        <f>IFERROR(VLOOKUP(N2,활동내용입력!$B$1:$E$63,4,FALSE),"")</f>
        <v>대중교통 안전교육</v>
      </c>
      <c r="O3" s="37" t="str">
        <f>IFERROR(VLOOKUP(O2,활동내용입력!$B$1:$E$63,4,FALSE),"")</f>
        <v>518민주화운동</v>
      </c>
      <c r="P3" s="37" t="str">
        <f>IFERROR(VLOOKUP(P2,활동내용입력!$B$1:$E$63,4,FALSE),"")</f>
        <v>자기주도진로체험활동</v>
      </c>
      <c r="Q3" s="37" t="str">
        <f>IFERROR(VLOOKUP(Q2,활동내용입력!$B$1:$E$63,4,FALSE),"")</f>
        <v>성폭력예방교육</v>
      </c>
      <c r="R3" s="37" t="str">
        <f>IFERROR(VLOOKUP(R2,활동내용입력!$B$1:$E$63,4,FALSE),"")</f>
        <v>인권교육</v>
      </c>
      <c r="S3" s="37" t="str">
        <f>IFERROR(VLOOKUP(S2,활동내용입력!$B$1:$E$63,4,FALSE),"")</f>
        <v>인성교육</v>
      </c>
      <c r="T3" s="37" t="str">
        <f>IFERROR(VLOOKUP(T2,활동내용입력!$B$1:$E$63,4,FALSE),"")</f>
        <v>안전교육</v>
      </c>
      <c r="U3" s="37" t="str">
        <f>IFERROR(VLOOKUP(U2,활동내용입력!$B$1:$E$63,4,FALSE),"")</f>
        <v>체육대회 선수1</v>
      </c>
      <c r="V3" s="37" t="str">
        <f>IFERROR(VLOOKUP(V2,활동내용입력!$B$1:$E$63,4,FALSE),"")</f>
        <v>체육대회 선수2</v>
      </c>
      <c r="W3" s="37" t="str">
        <f>IFERROR(VLOOKUP(W2,활동내용입력!$B$1:$E$63,4,FALSE),"")</f>
        <v>체육대회 응원</v>
      </c>
      <c r="X3" s="37" t="str">
        <f>IFERROR(VLOOKUP(X2,활동내용입력!$B$1:$E$63,4,FALSE),"")</f>
        <v>체육대회 선행</v>
      </c>
      <c r="Y3" s="37" t="str">
        <f>IFERROR(VLOOKUP(Y2,활동내용입력!$B$1:$E$63,4,FALSE),"")</f>
        <v>학교축제 체험부스 운영</v>
      </c>
      <c r="Z3" s="37" t="str">
        <f>IFERROR(VLOOKUP(Z2,활동내용입력!$B$1:$E$63,4,FALSE),"")</f>
        <v>학교축제 장기자랑 참여</v>
      </c>
      <c r="AA3" s="37" t="str">
        <f>IFERROR(VLOOKUP(AA2,활동내용입력!$B$1:$E$63,4,FALSE),"")</f>
        <v>학교축제 도우미 활동</v>
      </c>
      <c r="AB3" s="37" t="str">
        <f>IFERROR(VLOOKUP(AB2,활동내용입력!$B$1:$E$63,4,FALSE),"")</f>
        <v>장애인권교육1</v>
      </c>
      <c r="AC3" s="37" t="str">
        <f>IFERROR(VLOOKUP(AC2,활동내용입력!$B$1:$E$63,4,FALSE),"")</f>
        <v>KAI 항공캠프</v>
      </c>
      <c r="AD3" s="37" t="str">
        <f>IFERROR(VLOOKUP(AD2,활동내용입력!$B$1:$E$63,4,FALSE),"")</f>
        <v>대의원</v>
      </c>
      <c r="AE3" s="37" t="str">
        <f>IFERROR(VLOOKUP(AE2,활동내용입력!$B$1:$E$63,4,FALSE),"")</f>
        <v>정보부장</v>
      </c>
      <c r="AF3" s="37" t="str">
        <f>IFERROR(VLOOKUP(AF2,활동내용입력!$B$1:$E$63,4,FALSE),"")</f>
        <v>선도부장</v>
      </c>
      <c r="AG3" s="37" t="str">
        <f>IFERROR(VLOOKUP(AG2,활동내용입력!$B$1:$E$63,4,FALSE),"")</f>
        <v>문화체육부장</v>
      </c>
      <c r="AH3" s="37" t="str">
        <f>IFERROR(VLOOKUP(AH2,활동내용입력!$B$1:$E$63,4,FALSE),"")</f>
        <v>체육대회 안무 구성/지도</v>
      </c>
      <c r="AI3" s="37" t="str">
        <f>IFERROR(VLOOKUP(AI2,활동내용입력!$B$1:$E$63,4,FALSE),"")</f>
        <v>체육대회 단합주도</v>
      </c>
      <c r="AJ3" s="37" t="str">
        <f>IFERROR(VLOOKUP(AJ2,활동내용입력!$B$1:$E$63,4,FALSE),"")</f>
        <v>체육대회 단체경기 리더</v>
      </c>
      <c r="AK3" s="37" t="str">
        <f>IFERROR(VLOOKUP(AK2,활동내용입력!$B$1:$E$63,4,FALSE),"")</f>
        <v>마이스터고 예술제</v>
      </c>
      <c r="AL3" s="37">
        <f>IFERROR(VLOOKUP(AL2,활동내용입력!$B$1:$E$63,4,FALSE),"")</f>
        <v>0</v>
      </c>
      <c r="AM3" s="37">
        <f>IFERROR(VLOOKUP(AM2,활동내용입력!$B$1:$E$63,4,FALSE),"")</f>
        <v>0</v>
      </c>
      <c r="AN3" s="37">
        <f>IFERROR(VLOOKUP(AN2,활동내용입력!$B$1:$E$63,4,FALSE),"")</f>
        <v>0</v>
      </c>
      <c r="AO3" s="37">
        <f>IFERROR(VLOOKUP(AO2,활동내용입력!$B$1:$E$63,4,FALSE),"")</f>
        <v>0</v>
      </c>
      <c r="AP3" s="37">
        <f>IFERROR(VLOOKUP(AP2,활동내용입력!$B$1:$E$63,4,FALSE),"")</f>
        <v>0</v>
      </c>
      <c r="AQ3" s="37" t="str">
        <f>IFERROR(VLOOKUP(AQ2,활동내용입력!$B$1:$E$6343,FALSE),"")</f>
        <v/>
      </c>
      <c r="AR3" s="37">
        <f>IFERROR(VLOOKUP(AR2,활동내용입력!$B$1:$E$63,4,FALSE),"")</f>
        <v>0</v>
      </c>
      <c r="AS3" s="37">
        <f>IFERROR(VLOOKUP(AS2,활동내용입력!$B$1:$E$63,4,FALSE),"")</f>
        <v>0</v>
      </c>
      <c r="AT3" s="37">
        <f>IFERROR(VLOOKUP(AT2,활동내용입력!$B$1:$E$63,4,FALSE),"")</f>
        <v>0</v>
      </c>
      <c r="AU3" s="37">
        <f>IFERROR(VLOOKUP(AU2,활동내용입력!$B$1:$E$63,4,FALSE),"")</f>
        <v>0</v>
      </c>
      <c r="AV3" s="37">
        <f>IFERROR(VLOOKUP(AV2,활동내용입력!$B$1:$E$63,4,FALSE),"")</f>
        <v>0</v>
      </c>
      <c r="AW3" s="37">
        <f>IFERROR(VLOOKUP(AW2,활동내용입력!$B$1:$E$63,4,FALSE),"")</f>
        <v>0</v>
      </c>
      <c r="AX3" s="37">
        <f>IFERROR(VLOOKUP(AX2,활동내용입력!$B$1:$E$63,4,FALSE),"")</f>
        <v>0</v>
      </c>
      <c r="AY3" s="37">
        <f>IFERROR(VLOOKUP(AY2,활동내용입력!$B$1:$E$63,4,FALSE),"")</f>
        <v>0</v>
      </c>
      <c r="AZ3" s="37">
        <f>IFERROR(VLOOKUP(AZ2,활동내용입력!$B$1:$E$63,4,FALSE),"")</f>
        <v>0</v>
      </c>
      <c r="BA3" s="37">
        <f>IFERROR(VLOOKUP(BA2,활동내용입력!$B$1:$E$63,4,FALSE),"")</f>
        <v>0</v>
      </c>
      <c r="BB3" s="37">
        <f>IFERROR(VLOOKUP(BB2,활동내용입력!$B$1:$E$63,4,FALSE),"")</f>
        <v>0</v>
      </c>
      <c r="BC3" s="37">
        <f>IFERROR(VLOOKUP(BC2,활동내용입력!$B$1:$E$63,4,FALSE),"")</f>
        <v>0</v>
      </c>
      <c r="BD3" s="37">
        <f>IFERROR(VLOOKUP(BD2,활동내용입력!$B$1:$E$63,4,FALSE),"")</f>
        <v>0</v>
      </c>
      <c r="BE3" s="37">
        <f>IFERROR(VLOOKUP(BE2,활동내용입력!$B$1:$E$63,4,FALSE),"")</f>
        <v>0</v>
      </c>
      <c r="BF3" s="37">
        <f>IFERROR(VLOOKUP(BF2,활동내용입력!$B$1:$E$63,4,FALSE),"")</f>
        <v>0</v>
      </c>
      <c r="BG3" s="37">
        <f>IFERROR(VLOOKUP(BG2,활동내용입력!$B$1:$E$63,4,FALSE),"")</f>
        <v>0</v>
      </c>
      <c r="BH3" s="37">
        <f>IFERROR(VLOOKUP(BH2,활동내용입력!$B$1:$E$63,4,FALSE),"")</f>
        <v>0</v>
      </c>
      <c r="BI3" s="37">
        <f>IFERROR(VLOOKUP(BI2,활동내용입력!$B$1:$E$63,4,FALSE),"")</f>
        <v>0</v>
      </c>
      <c r="BJ3" s="37">
        <f>IFERROR(VLOOKUP(BJ2,활동내용입력!$B$1:$E$63,4,FALSE),"")</f>
        <v>0</v>
      </c>
      <c r="BK3" s="38" t="str">
        <f t="shared" si="0"/>
        <v>학급반장</v>
      </c>
      <c r="BL3" s="38" t="str">
        <f t="shared" si="0"/>
        <v>학급부반장</v>
      </c>
      <c r="BM3" s="38" t="str">
        <f t="shared" si="0"/>
        <v>서기</v>
      </c>
      <c r="BN3" s="38" t="str">
        <f t="shared" si="0"/>
        <v>환경에너지 지킴이</v>
      </c>
      <c r="BO3" s="38" t="str">
        <f t="shared" si="0"/>
        <v>생명존중교육</v>
      </c>
      <c r="BP3" s="38" t="str">
        <f t="shared" si="0"/>
        <v>안전교육</v>
      </c>
      <c r="BQ3" s="38" t="str">
        <f t="shared" si="0"/>
        <v>학교폭력예방교육1</v>
      </c>
      <c r="BR3" s="38" t="str">
        <f t="shared" si="0"/>
        <v>학급회의</v>
      </c>
      <c r="BS3" s="38" t="str">
        <f t="shared" si="0"/>
        <v>다문화 교육</v>
      </c>
      <c r="BT3" s="38" t="str">
        <f t="shared" si="0"/>
        <v>약물 오남용 예방교육</v>
      </c>
      <c r="BU3" s="38" t="str">
        <f t="shared" si="1"/>
        <v>장애 인식 개선 교육</v>
      </c>
      <c r="BV3" s="38" t="str">
        <f t="shared" si="1"/>
        <v>대중교통 안전교육</v>
      </c>
      <c r="BW3" s="38" t="str">
        <f t="shared" si="1"/>
        <v>518민주화운동</v>
      </c>
      <c r="BX3" s="38" t="str">
        <f t="shared" si="1"/>
        <v>자기주도진로체험활동</v>
      </c>
      <c r="BY3" s="38" t="str">
        <f t="shared" si="1"/>
        <v>성폭력예방교육</v>
      </c>
      <c r="BZ3" s="38" t="str">
        <f t="shared" si="1"/>
        <v>인권교육</v>
      </c>
      <c r="CA3" s="38" t="str">
        <f t="shared" si="1"/>
        <v>인성교육</v>
      </c>
      <c r="CB3" s="38" t="str">
        <f t="shared" si="1"/>
        <v>안전교육</v>
      </c>
      <c r="CC3" s="38" t="str">
        <f t="shared" si="1"/>
        <v>체육대회 선수1</v>
      </c>
      <c r="CD3" s="38" t="str">
        <f t="shared" si="1"/>
        <v>체육대회 선수2</v>
      </c>
      <c r="CE3" s="38" t="str">
        <f t="shared" si="2"/>
        <v>체육대회 응원</v>
      </c>
      <c r="CF3" s="38" t="str">
        <f t="shared" si="2"/>
        <v>체육대회 선행</v>
      </c>
      <c r="CG3" s="38" t="str">
        <f t="shared" si="2"/>
        <v>학교축제 체험부스 운영</v>
      </c>
      <c r="CH3" s="38" t="str">
        <f t="shared" si="2"/>
        <v>학교축제 장기자랑 참여</v>
      </c>
      <c r="CI3" s="38" t="str">
        <f t="shared" si="2"/>
        <v>학교축제 도우미 활동</v>
      </c>
      <c r="CJ3" s="38" t="str">
        <f t="shared" si="2"/>
        <v>장애인권교육1</v>
      </c>
      <c r="CK3" s="38" t="str">
        <f t="shared" si="2"/>
        <v>KAI 항공캠프</v>
      </c>
      <c r="CL3" s="38" t="str">
        <f t="shared" si="2"/>
        <v>대의원</v>
      </c>
      <c r="CM3" s="38" t="str">
        <f t="shared" si="2"/>
        <v>정보부장</v>
      </c>
      <c r="CN3" s="38" t="str">
        <f t="shared" si="2"/>
        <v>선도부장</v>
      </c>
      <c r="CO3" s="38" t="str">
        <f t="shared" si="3"/>
        <v>문화체육부장</v>
      </c>
      <c r="CP3" s="38" t="str">
        <f t="shared" si="3"/>
        <v>체육대회 안무 구성/지도</v>
      </c>
      <c r="CQ3" s="38" t="str">
        <f t="shared" si="3"/>
        <v>체육대회 단합주도</v>
      </c>
      <c r="CR3" s="38" t="str">
        <f t="shared" si="3"/>
        <v>체육대회 단체경기 리더</v>
      </c>
      <c r="CS3" s="38" t="str">
        <f t="shared" si="3"/>
        <v>마이스터고 예술제</v>
      </c>
      <c r="CT3" s="38">
        <f t="shared" si="3"/>
        <v>0</v>
      </c>
      <c r="CU3" s="38">
        <f t="shared" si="3"/>
        <v>0</v>
      </c>
      <c r="CV3" s="38">
        <f t="shared" si="3"/>
        <v>0</v>
      </c>
      <c r="CW3" s="38">
        <f t="shared" si="3"/>
        <v>0</v>
      </c>
      <c r="CX3" s="38">
        <f t="shared" si="3"/>
        <v>0</v>
      </c>
      <c r="CY3" s="38" t="str">
        <f t="shared" si="4"/>
        <v/>
      </c>
      <c r="CZ3" s="38">
        <f t="shared" si="4"/>
        <v>0</v>
      </c>
      <c r="DA3" s="38">
        <f t="shared" si="4"/>
        <v>0</v>
      </c>
      <c r="DB3" s="38">
        <f t="shared" si="4"/>
        <v>0</v>
      </c>
      <c r="DC3" s="38">
        <f t="shared" si="4"/>
        <v>0</v>
      </c>
      <c r="DD3" s="38">
        <f t="shared" si="4"/>
        <v>0</v>
      </c>
      <c r="DE3" s="38">
        <f t="shared" si="4"/>
        <v>0</v>
      </c>
      <c r="DF3" s="38">
        <f t="shared" si="4"/>
        <v>0</v>
      </c>
      <c r="DG3" s="38">
        <f t="shared" si="4"/>
        <v>0</v>
      </c>
      <c r="DH3" s="38">
        <f t="shared" si="4"/>
        <v>0</v>
      </c>
      <c r="DI3" s="38">
        <f t="shared" si="5"/>
        <v>0</v>
      </c>
      <c r="DJ3" s="38">
        <f t="shared" si="5"/>
        <v>0</v>
      </c>
      <c r="DK3" s="38">
        <f t="shared" si="5"/>
        <v>0</v>
      </c>
      <c r="DL3" s="38">
        <f t="shared" si="5"/>
        <v>0</v>
      </c>
      <c r="DM3" s="38">
        <f t="shared" si="5"/>
        <v>0</v>
      </c>
      <c r="DN3" s="38">
        <f t="shared" si="5"/>
        <v>0</v>
      </c>
      <c r="DO3" s="38">
        <f t="shared" si="5"/>
        <v>0</v>
      </c>
      <c r="DP3" s="38">
        <f t="shared" si="5"/>
        <v>0</v>
      </c>
      <c r="DQ3" s="38">
        <f t="shared" si="5"/>
        <v>0</v>
      </c>
      <c r="DR3" s="38">
        <f t="shared" si="5"/>
        <v>0</v>
      </c>
      <c r="DS3" s="35" t="s">
        <v>45</v>
      </c>
      <c r="DT3" s="69"/>
      <c r="DU3" s="34"/>
    </row>
    <row r="4" spans="1:125" x14ac:dyDescent="0.3">
      <c r="A4" s="71"/>
      <c r="B4" s="75"/>
      <c r="C4" s="39">
        <f>IFERROR(VLOOKUP(C2,활동내용입력!$B$1:$E$63,2,FALSE),"")</f>
        <v>302</v>
      </c>
      <c r="D4" s="39">
        <f>IFERROR(VLOOKUP(D2,활동내용입력!$B$1:$E$63,2,FALSE),"")</f>
        <v>302</v>
      </c>
      <c r="E4" s="39">
        <f>IFERROR(VLOOKUP(E2,활동내용입력!$B$1:$E$63,2,FALSE),"")</f>
        <v>302</v>
      </c>
      <c r="F4" s="39">
        <f>IFERROR(VLOOKUP(F2,활동내용입력!$B$1:$E$63,2,FALSE),"")</f>
        <v>302</v>
      </c>
      <c r="G4" s="39">
        <f>IFERROR(VLOOKUP(G2,활동내용입력!$B$1:$E$63,2,FALSE),"")</f>
        <v>308</v>
      </c>
      <c r="H4" s="39">
        <f>IFERROR(VLOOKUP(H2,활동내용입력!$B$1:$E$63,2,FALSE),"")</f>
        <v>315</v>
      </c>
      <c r="I4" s="39">
        <f>IFERROR(VLOOKUP(I2,활동내용입력!$B$1:$E$63,2,FALSE),"")</f>
        <v>315</v>
      </c>
      <c r="J4" s="39">
        <f>IFERROR(VLOOKUP(J2,활동내용입력!$B$1:$E$63,2,FALSE),"")</f>
        <v>315</v>
      </c>
      <c r="K4" s="39">
        <f>IFERROR(VLOOKUP(K2,활동내용입력!$B$1:$E$63,2,FALSE),"")</f>
        <v>322</v>
      </c>
      <c r="L4" s="39">
        <f>IFERROR(VLOOKUP(L2,활동내용입력!$B$1:$E$63,2,FALSE),"")</f>
        <v>405</v>
      </c>
      <c r="M4" s="39">
        <f>IFERROR(VLOOKUP(M2,활동내용입력!$B$1:$E$63,2,FALSE),"")</f>
        <v>419</v>
      </c>
      <c r="N4" s="39">
        <f>IFERROR(VLOOKUP(N2,활동내용입력!$B$1:$E$63,2,FALSE),"")</f>
        <v>510</v>
      </c>
      <c r="O4" s="39">
        <f>IFERROR(VLOOKUP(O2,활동내용입력!$B$1:$E$63,2,FALSE),"")</f>
        <v>517</v>
      </c>
      <c r="P4" s="39">
        <f>IFERROR(VLOOKUP(P2,활동내용입력!$B$1:$E$63,2,FALSE),"")</f>
        <v>619</v>
      </c>
      <c r="Q4" s="39">
        <f>IFERROR(VLOOKUP(Q2,활동내용입력!$B$1:$E$63,2,FALSE),"")</f>
        <v>1025</v>
      </c>
      <c r="R4" s="39">
        <f>IFERROR(VLOOKUP(R2,활동내용입력!$B$1:$E$63,2,FALSE),"")</f>
        <v>1224</v>
      </c>
      <c r="S4" s="39">
        <f>IFERROR(VLOOKUP(S2,활동내용입력!$B$1:$E$63,2,FALSE),"")</f>
        <v>0</v>
      </c>
      <c r="T4" s="39">
        <f>IFERROR(VLOOKUP(T2,활동내용입력!$B$1:$E$63,2,FALSE),"")</f>
        <v>0</v>
      </c>
      <c r="U4" s="39">
        <f>IFERROR(VLOOKUP(U2,활동내용입력!$B$1:$E$63,2,FALSE),"")</f>
        <v>0</v>
      </c>
      <c r="V4" s="39">
        <f>IFERROR(VLOOKUP(V2,활동내용입력!$B$1:$E$63,2,FALSE),"")</f>
        <v>0</v>
      </c>
      <c r="W4" s="39">
        <f>IFERROR(VLOOKUP(W2,활동내용입력!$B$1:$E$63,2,FALSE),"")</f>
        <v>0</v>
      </c>
      <c r="X4" s="39">
        <f>IFERROR(VLOOKUP(X2,활동내용입력!$B$1:$E$63,2,FALSE),"")</f>
        <v>0</v>
      </c>
      <c r="Y4" s="39">
        <f>IFERROR(VLOOKUP(Y2,활동내용입력!$B$1:$E$63,2,FALSE),"")</f>
        <v>0</v>
      </c>
      <c r="Z4" s="39">
        <f>IFERROR(VLOOKUP(Z2,활동내용입력!$B$1:$E$63,2,FALSE),"")</f>
        <v>0</v>
      </c>
      <c r="AA4" s="39">
        <f>IFERROR(VLOOKUP(AA2,활동내용입력!$B$1:$E$63,2,FALSE),"")</f>
        <v>0</v>
      </c>
      <c r="AB4" s="39">
        <f>IFERROR(VLOOKUP(AB2,활동내용입력!$B$1:$E$63,2,FALSE),"")</f>
        <v>0</v>
      </c>
      <c r="AC4" s="39">
        <f>IFERROR(VLOOKUP(AC2,활동내용입력!$B$1:$E$63,2,FALSE),"")</f>
        <v>0</v>
      </c>
      <c r="AD4" s="39">
        <f>IFERROR(VLOOKUP(AD2,활동내용입력!$B$1:$E$63,2,FALSE),"")</f>
        <v>0</v>
      </c>
      <c r="AE4" s="39">
        <f>IFERROR(VLOOKUP(AE2,활동내용입력!$B$1:$E$63,2,FALSE),"")</f>
        <v>0</v>
      </c>
      <c r="AF4" s="39">
        <f>IFERROR(VLOOKUP(AF2,활동내용입력!$B$1:$E$63,2,FALSE),"")</f>
        <v>0</v>
      </c>
      <c r="AG4" s="39">
        <f>IFERROR(VLOOKUP(AG2,활동내용입력!$B$1:$E$63,2,FALSE),"")</f>
        <v>0</v>
      </c>
      <c r="AH4" s="39">
        <f>IFERROR(VLOOKUP(AH2,활동내용입력!$B$1:$E$63,2,FALSE),"")</f>
        <v>0</v>
      </c>
      <c r="AI4" s="39">
        <f>IFERROR(VLOOKUP(AI2,활동내용입력!$B$1:$E$63,2,FALSE),"")</f>
        <v>0</v>
      </c>
      <c r="AJ4" s="39">
        <f>IFERROR(VLOOKUP(AJ2,활동내용입력!$B$1:$E$63,2,FALSE),"")</f>
        <v>0</v>
      </c>
      <c r="AK4" s="39">
        <f>IFERROR(VLOOKUP(AK2,활동내용입력!$B$1:$E$63,2,FALSE),"")</f>
        <v>0</v>
      </c>
      <c r="AL4" s="39">
        <f>IFERROR(VLOOKUP(AL2,활동내용입력!$B$1:$E$63,2,FALSE),"")</f>
        <v>0</v>
      </c>
      <c r="AM4" s="39">
        <f>IFERROR(VLOOKUP(AM2,활동내용입력!$B$1:$E$63,2,FALSE),"")</f>
        <v>0</v>
      </c>
      <c r="AN4" s="39">
        <f>IFERROR(VLOOKUP(AN2,활동내용입력!$B$1:$E$63,2,FALSE),"")</f>
        <v>0</v>
      </c>
      <c r="AO4" s="39">
        <f>IFERROR(VLOOKUP(AO2,활동내용입력!$B$1:$E$63,2,FALSE),"")</f>
        <v>0</v>
      </c>
      <c r="AP4" s="39">
        <f>IFERROR(VLOOKUP(AP2,활동내용입력!$B$1:$E$63,2,FALSE),"")</f>
        <v>0</v>
      </c>
      <c r="AQ4" s="39">
        <f>IFERROR(VLOOKUP(AQ2,활동내용입력!$B$1:$E$63,2,FALSE),"")</f>
        <v>0</v>
      </c>
      <c r="AR4" s="39">
        <f>IFERROR(VLOOKUP(AR2,활동내용입력!$B$1:$E$63,2,FALSE),"")</f>
        <v>0</v>
      </c>
      <c r="AS4" s="39">
        <f>IFERROR(VLOOKUP(AS2,활동내용입력!$B$1:$E$63,2,FALSE),"")</f>
        <v>0</v>
      </c>
      <c r="AT4" s="39">
        <f>IFERROR(VLOOKUP(AT2,활동내용입력!$B$1:$E$63,2,FALSE),"")</f>
        <v>0</v>
      </c>
      <c r="AU4" s="39">
        <f>IFERROR(VLOOKUP(AU2,활동내용입력!$B$1:$E$63,2,FALSE),"")</f>
        <v>0</v>
      </c>
      <c r="AV4" s="39">
        <f>IFERROR(VLOOKUP(AV2,활동내용입력!$B$1:$E$63,2,FALSE),"")</f>
        <v>0</v>
      </c>
      <c r="AW4" s="39">
        <f>IFERROR(VLOOKUP(AW2,활동내용입력!$B$1:$E$63,2,FALSE),"")</f>
        <v>0</v>
      </c>
      <c r="AX4" s="39">
        <f>IFERROR(VLOOKUP(AX2,활동내용입력!$B$1:$E$63,2,FALSE),"")</f>
        <v>0</v>
      </c>
      <c r="AY4" s="39">
        <f>IFERROR(VLOOKUP(AY2,활동내용입력!$B$1:$E$63,2,FALSE),"")</f>
        <v>0</v>
      </c>
      <c r="AZ4" s="39">
        <f>IFERROR(VLOOKUP(AZ2,활동내용입력!$B$1:$E$63,2,FALSE),"")</f>
        <v>0</v>
      </c>
      <c r="BA4" s="39">
        <f>IFERROR(VLOOKUP(BA2,활동내용입력!$B$1:$E$63,2,FALSE),"")</f>
        <v>0</v>
      </c>
      <c r="BB4" s="39">
        <f>IFERROR(VLOOKUP(BB2,활동내용입력!$B$1:$E$63,2,FALSE),"")</f>
        <v>0</v>
      </c>
      <c r="BC4" s="39">
        <f>IFERROR(VLOOKUP(BC2,활동내용입력!$B$1:$E$63,2,FALSE),"")</f>
        <v>0</v>
      </c>
      <c r="BD4" s="39">
        <f>IFERROR(VLOOKUP(BD2,활동내용입력!$B$1:$E$63,2,FALSE),"")</f>
        <v>0</v>
      </c>
      <c r="BE4" s="39">
        <f>IFERROR(VLOOKUP(BE2,활동내용입력!$B$1:$E$63,2,FALSE),"")</f>
        <v>0</v>
      </c>
      <c r="BF4" s="39">
        <f>IFERROR(VLOOKUP(BF2,활동내용입력!$B$1:$E$63,2,FALSE),"")</f>
        <v>0</v>
      </c>
      <c r="BG4" s="39">
        <f>IFERROR(VLOOKUP(BG2,활동내용입력!$B$1:$E$63,2,FALSE),"")</f>
        <v>0</v>
      </c>
      <c r="BH4" s="39">
        <f>IFERROR(VLOOKUP(BH2,활동내용입력!$B$1:$E$63,2,FALSE),"")</f>
        <v>0</v>
      </c>
      <c r="BI4" s="39">
        <f>IFERROR(VLOOKUP(BI2,활동내용입력!$B$1:$E$63,2,FALSE),"")</f>
        <v>0</v>
      </c>
      <c r="BJ4" s="39">
        <f>IFERROR(VLOOKUP(BJ2,활동내용입력!$B$1:$E$63,2,FALSE),"")</f>
        <v>0</v>
      </c>
      <c r="BK4" s="38">
        <f t="shared" si="0"/>
        <v>302</v>
      </c>
      <c r="BL4" s="38">
        <f t="shared" si="0"/>
        <v>302</v>
      </c>
      <c r="BM4" s="38">
        <f t="shared" si="0"/>
        <v>302</v>
      </c>
      <c r="BN4" s="38">
        <f t="shared" si="0"/>
        <v>302</v>
      </c>
      <c r="BO4" s="38">
        <f t="shared" si="0"/>
        <v>308</v>
      </c>
      <c r="BP4" s="38">
        <f t="shared" si="0"/>
        <v>315</v>
      </c>
      <c r="BQ4" s="38">
        <f t="shared" si="0"/>
        <v>315</v>
      </c>
      <c r="BR4" s="38">
        <f t="shared" si="0"/>
        <v>315</v>
      </c>
      <c r="BS4" s="38">
        <f t="shared" si="0"/>
        <v>322</v>
      </c>
      <c r="BT4" s="38">
        <f t="shared" si="0"/>
        <v>405</v>
      </c>
      <c r="BU4" s="38">
        <f t="shared" si="1"/>
        <v>419</v>
      </c>
      <c r="BV4" s="38">
        <f t="shared" si="1"/>
        <v>510</v>
      </c>
      <c r="BW4" s="38">
        <f t="shared" si="1"/>
        <v>517</v>
      </c>
      <c r="BX4" s="38">
        <f t="shared" si="1"/>
        <v>619</v>
      </c>
      <c r="BY4" s="38">
        <f t="shared" si="1"/>
        <v>1025</v>
      </c>
      <c r="BZ4" s="38">
        <f t="shared" si="1"/>
        <v>1224</v>
      </c>
      <c r="CA4" s="38">
        <f t="shared" si="1"/>
        <v>0</v>
      </c>
      <c r="CB4" s="38">
        <f t="shared" si="1"/>
        <v>0</v>
      </c>
      <c r="CC4" s="38">
        <f t="shared" si="1"/>
        <v>0</v>
      </c>
      <c r="CD4" s="38">
        <f t="shared" si="1"/>
        <v>0</v>
      </c>
      <c r="CE4" s="38">
        <f t="shared" si="2"/>
        <v>0</v>
      </c>
      <c r="CF4" s="38">
        <f t="shared" si="2"/>
        <v>0</v>
      </c>
      <c r="CG4" s="38">
        <f t="shared" si="2"/>
        <v>0</v>
      </c>
      <c r="CH4" s="38">
        <f t="shared" si="2"/>
        <v>0</v>
      </c>
      <c r="CI4" s="38">
        <f t="shared" si="2"/>
        <v>0</v>
      </c>
      <c r="CJ4" s="38">
        <f t="shared" si="2"/>
        <v>0</v>
      </c>
      <c r="CK4" s="38">
        <f t="shared" si="2"/>
        <v>0</v>
      </c>
      <c r="CL4" s="38">
        <f t="shared" si="2"/>
        <v>0</v>
      </c>
      <c r="CM4" s="38">
        <f t="shared" si="2"/>
        <v>0</v>
      </c>
      <c r="CN4" s="38">
        <f t="shared" si="2"/>
        <v>0</v>
      </c>
      <c r="CO4" s="38">
        <f t="shared" si="3"/>
        <v>0</v>
      </c>
      <c r="CP4" s="38">
        <f t="shared" si="3"/>
        <v>0</v>
      </c>
      <c r="CQ4" s="38">
        <f t="shared" si="3"/>
        <v>0</v>
      </c>
      <c r="CR4" s="38">
        <f t="shared" si="3"/>
        <v>0</v>
      </c>
      <c r="CS4" s="38">
        <f t="shared" si="3"/>
        <v>0</v>
      </c>
      <c r="CT4" s="38">
        <f t="shared" si="3"/>
        <v>0</v>
      </c>
      <c r="CU4" s="38">
        <f t="shared" si="3"/>
        <v>0</v>
      </c>
      <c r="CV4" s="38">
        <f t="shared" si="3"/>
        <v>0</v>
      </c>
      <c r="CW4" s="38">
        <f t="shared" si="3"/>
        <v>0</v>
      </c>
      <c r="CX4" s="38">
        <f t="shared" si="3"/>
        <v>0</v>
      </c>
      <c r="CY4" s="38">
        <f t="shared" si="4"/>
        <v>0</v>
      </c>
      <c r="CZ4" s="38">
        <f t="shared" si="4"/>
        <v>0</v>
      </c>
      <c r="DA4" s="38">
        <f t="shared" si="4"/>
        <v>0</v>
      </c>
      <c r="DB4" s="38">
        <f t="shared" si="4"/>
        <v>0</v>
      </c>
      <c r="DC4" s="38">
        <f t="shared" si="4"/>
        <v>0</v>
      </c>
      <c r="DD4" s="38">
        <f t="shared" si="4"/>
        <v>0</v>
      </c>
      <c r="DE4" s="38">
        <f t="shared" si="4"/>
        <v>0</v>
      </c>
      <c r="DF4" s="38">
        <f t="shared" si="4"/>
        <v>0</v>
      </c>
      <c r="DG4" s="38">
        <f t="shared" si="4"/>
        <v>0</v>
      </c>
      <c r="DH4" s="38">
        <f t="shared" si="4"/>
        <v>0</v>
      </c>
      <c r="DI4" s="38">
        <f t="shared" si="5"/>
        <v>0</v>
      </c>
      <c r="DJ4" s="38">
        <f t="shared" si="5"/>
        <v>0</v>
      </c>
      <c r="DK4" s="38">
        <f t="shared" si="5"/>
        <v>0</v>
      </c>
      <c r="DL4" s="38">
        <f t="shared" si="5"/>
        <v>0</v>
      </c>
      <c r="DM4" s="38">
        <f t="shared" si="5"/>
        <v>0</v>
      </c>
      <c r="DN4" s="38">
        <f t="shared" si="5"/>
        <v>0</v>
      </c>
      <c r="DO4" s="38">
        <f t="shared" si="5"/>
        <v>0</v>
      </c>
      <c r="DP4" s="38">
        <f t="shared" si="5"/>
        <v>0</v>
      </c>
      <c r="DQ4" s="38">
        <f t="shared" si="5"/>
        <v>0</v>
      </c>
      <c r="DR4" s="38">
        <f t="shared" si="5"/>
        <v>0</v>
      </c>
      <c r="DS4" s="36"/>
      <c r="DT4" s="69"/>
      <c r="DU4" s="34"/>
    </row>
    <row r="5" spans="1:125" x14ac:dyDescent="0.3">
      <c r="A5" s="58">
        <v>1</v>
      </c>
      <c r="B5" s="57" t="s">
        <v>242</v>
      </c>
      <c r="C5" s="40"/>
      <c r="D5" s="40"/>
      <c r="E5" s="40"/>
      <c r="F5" s="40"/>
      <c r="G5" s="40">
        <v>1</v>
      </c>
      <c r="H5" s="40">
        <v>1</v>
      </c>
      <c r="I5" s="40">
        <v>1</v>
      </c>
      <c r="J5" s="40">
        <v>1</v>
      </c>
      <c r="K5" s="40">
        <v>1</v>
      </c>
      <c r="L5" s="40">
        <v>1</v>
      </c>
      <c r="M5" s="40">
        <v>1</v>
      </c>
      <c r="N5" s="40">
        <v>1</v>
      </c>
      <c r="O5" s="40">
        <v>1</v>
      </c>
      <c r="P5" s="40">
        <v>1</v>
      </c>
      <c r="Q5" s="40">
        <v>1</v>
      </c>
      <c r="R5" s="40">
        <v>1</v>
      </c>
      <c r="S5" s="40"/>
      <c r="T5" s="40"/>
      <c r="U5" s="40"/>
      <c r="V5" s="40"/>
      <c r="W5" s="40"/>
      <c r="X5" s="40"/>
      <c r="Y5" s="40"/>
      <c r="Z5" s="40"/>
      <c r="AA5" s="40"/>
      <c r="AB5" s="40"/>
      <c r="AC5" s="40"/>
      <c r="AD5" s="40"/>
      <c r="AE5" s="40"/>
      <c r="AF5" s="40"/>
      <c r="AG5" s="40"/>
      <c r="AH5" s="40"/>
      <c r="AI5" s="40"/>
      <c r="AJ5" s="40"/>
      <c r="AK5" s="40"/>
      <c r="AL5" s="40"/>
      <c r="AM5" s="40"/>
      <c r="AN5" s="40"/>
      <c r="AO5" s="40"/>
      <c r="AP5" s="40"/>
      <c r="AQ5" s="40"/>
      <c r="AR5" s="40"/>
      <c r="AS5" s="40"/>
      <c r="AT5" s="40"/>
      <c r="AU5" s="40"/>
      <c r="AV5" s="40"/>
      <c r="AW5" s="40"/>
      <c r="AX5" s="40"/>
      <c r="AY5" s="40"/>
      <c r="AZ5" s="40"/>
      <c r="BA5" s="40"/>
      <c r="BB5" s="40"/>
      <c r="BC5" s="40"/>
      <c r="BD5" s="40"/>
      <c r="BE5" s="40"/>
      <c r="BF5" s="40"/>
      <c r="BG5" s="40"/>
      <c r="BH5" s="40"/>
      <c r="BI5" s="40"/>
      <c r="BJ5" s="40"/>
      <c r="BK5" s="41" t="str">
        <f>IFERROR(IF(C5=1,VLOOKUP(C$2,활동내용입력!$B$4:$F$63,5,FALSE),""),"")</f>
        <v/>
      </c>
      <c r="BL5" s="41" t="str">
        <f>IFERROR(IF(D5=1,VLOOKUP(D$2,활동내용입력!$B$4:$F$63,5,FALSE),""),"")</f>
        <v/>
      </c>
      <c r="BM5" s="41" t="str">
        <f>IFERROR(IF(E5=1,VLOOKUP(E$2,활동내용입력!$B$4:$F$63,5,FALSE),""),"")</f>
        <v/>
      </c>
      <c r="BN5" s="41" t="str">
        <f>IFERROR(IF(F5=1,VLOOKUP(F$2,활동내용입력!$B$4:$F$63,5,FALSE),""),"")</f>
        <v/>
      </c>
      <c r="BO5" s="41" t="str">
        <f>IFERROR(IF(G5=1,VLOOKUP(G$2,활동내용입력!$B$4:$F$63,5,FALSE),""),"")</f>
        <v>생명존중교육(2019.03.08., 2019.03.29., 2019.09.06., 2019.11.15.)을 통해 청소년들의 자살에 대한 심리적 상태를 이해하고 힘들어 하는 주변 친구들에게 따뜻한 배려와 도움이 절실히 필요함을 느꼈으며 생명의 소중함을 다시 한번 깨닫는 기회를 가지게 됨.</v>
      </c>
      <c r="BP5" s="41" t="str">
        <f>IFERROR(IF(H5=1,VLOOKUP(H$2,활동내용입력!$B$4:$F$63,5,FALSE),""),"")</f>
        <v>안전교육(2019.03.15., 2019.06.14., 2019.07.19., 2019.08.30., 2019.12.27., 2020.01.03., 2020.01.10.)을 통해 화재, 물놀이, 빙상 등 일상생활에서 일어날 수 있는 안전사고에 대한 예방법과 사고 시 대처방법을 확인하고 실천할 수 있게 됨.</v>
      </c>
      <c r="BQ5" s="41" t="str">
        <f>IFERROR(IF(I5=1,VLOOKUP(I$2,활동내용입력!$B$4:$F$63,5,FALSE),""),"")</f>
        <v>학교폭력 예방교육(2019.03.15., 2019.05.31., 2019.10.18., 2019.12.13., 2020.01.03.)을 통해 학교폭력의 심각성을 알게 되었으며 자신의 인권이 소중한 것처럼 타인의 인권도 소중함을 깨닫고 실천하는 계기가 됨.</v>
      </c>
      <c r="BR5" s="41" t="str">
        <f>IFERROR(IF(J5=1,VLOOKUP(J$2,활동내용입력!$B$4:$F$63,5,FALSE),""),"")</f>
        <v>학급회의(2019.03.15, 2019.03.29., 2019.07.12.)를 통해 학급의 문제들을 해결하기위한 의사결정과정에 적극적으로 참여함.</v>
      </c>
      <c r="BS5" s="41" t="str">
        <f>IFERROR(IF(K5=1,VLOOKUP(K$2,활동내용입력!$B$4:$F$63,5,FALSE),""),"")</f>
        <v xml:space="preserve">다문화교육(2019.03.22., 2019.09.20.)을 통해 우리 나라와 다른 나라의 문화를 함께 나눔으로써 지구촌의 평화와 번영을 함께 누릴 수 있다는 사실을 새삼 깨달은 계기가 됨. </v>
      </c>
      <c r="BT5" s="41" t="str">
        <f>IFERROR(IF(L5=1,VLOOKUP(L$2,활동내용입력!$B$4:$F$63,5,FALSE),""),"")</f>
        <v>흡연, 음주 등 약물 오남용 예방교육(2019.04.05., 2019.05.10, 2019.07.05., 2019.07.12., 2019.07.19., 2019.11.08., 2019.12.06., 2020.01.03.)을 통해 흡연과 음주 등 약물 오남용의 폐해를 인식하고 자신의 건강을 위해 흡연과 음주와 같은 행위를 하지 않겠다고 다짐함.</v>
      </c>
      <c r="BU5" s="41" t="str">
        <f>IFERROR(IF(M5=1,VLOOKUP(M$2,활동내용입력!$B$4:$F$63,5,FALSE),""),"")</f>
        <v>장애인이해교육(2019.04.19., 2019.11.29.)을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v>
      </c>
      <c r="BV5" s="41" t="str">
        <f>IFERROR(IF(N5=1,VLOOKUP(N$2,활동내용입력!$B$4:$F$63,5,FALSE),""),"")</f>
        <v>안전교육(2019.05.10., 2019.05.24., 2019.07.22.)을 통해 교통안전사고를 예방할 수 있는 수칙에 대한 인식을 일깨우고 실천하고자 하는 마음을 다지게 됨.</v>
      </c>
      <c r="BW5" s="41" t="str">
        <f>IFERROR(IF(O5=1,VLOOKUP(O$2,활동내용입력!$B$4:$F$63,5,FALSE),""),"")</f>
        <v>518 광주민주화운동 교육(2019.05.17.)을 통해 민주화 운동이 일어나게 된 배경을 이해하고, 독재에 맞서 싸우다 억울하게 죽어간 수많은 시민들을 추모하는 시간을 가짐.</v>
      </c>
      <c r="BX5" s="41" t="str">
        <f>IFERROR(IF(P5=1,VLOOKUP(P$2,활동내용입력!$B$4:$F$63,5,FALSE),""),"")</f>
        <v>자기주도진로체험활동(2019.06.19.-2019.06.21.)에서 계획 수립부터 진행과정까지 적극적으로 참여함.</v>
      </c>
      <c r="BY5" s="41" t="str">
        <f>IFERROR(IF(Q5=1,VLOOKUP(Q$2,활동내용입력!$B$4:$F$63,5,FALSE),""),"")</f>
        <v>성폭력예방교육(2019.06.28., 2019.10.25., 2019.12.20.)을 통해 이성교제 시 지켜야 할 기본수칙을 배우고 성희롱 및 성폭력의 예방방법과 성적자기결정권의 중요성을 인식하게 됨.</v>
      </c>
      <c r="BZ5" s="41" t="str">
        <f>IFERROR(IF(R5=1,VLOOKUP(R$2,활동내용입력!$B$4:$F$63,5,FALSE),""),"")</f>
        <v>인권교육(2019.12.24.)에 참여하여 인권을 침해 받은 사람들에 대해 마음 아파하고 함께 해결해 나가려 하는 마음을 갖게 됨.</v>
      </c>
      <c r="CA5" s="41" t="str">
        <f>IFERROR(IF(S5=1,VLOOKUP(S$2,활동내용입력!$B$4:$F$63,5,FALSE),""),"")</f>
        <v/>
      </c>
      <c r="CB5" s="41" t="str">
        <f>IFERROR(IF(T5=1,VLOOKUP(T$2,활동내용입력!$B$4:$F$63,5,FALSE),""),"")</f>
        <v/>
      </c>
      <c r="CC5" s="41" t="str">
        <f>IFERROR(IF(U5=1,VLOOKUP(U$2,활동내용입력!$B$4:$F$63,5,FALSE),""),"")</f>
        <v/>
      </c>
      <c r="CD5" s="41" t="str">
        <f>IFERROR(IF(V5=1,VLOOKUP(V$2,활동내용입력!$B$4:$F$63,5,FALSE),""),"")</f>
        <v/>
      </c>
      <c r="CE5" s="41" t="str">
        <f>IFERROR(IF(W5=1,VLOOKUP(W$2,활동내용입력!$B$4:$F$63,5,FALSE),""),"")</f>
        <v/>
      </c>
      <c r="CF5" s="41" t="str">
        <f>IFERROR(IF(X5=1,VLOOKUP(X$2,활동내용입력!$B$4:$F$63,5,FALSE),""),"")</f>
        <v/>
      </c>
      <c r="CG5" s="41" t="str">
        <f>IFERROR(IF(Y5=1,VLOOKUP(Y$2,활동내용입력!$B$4:$F$63,5,FALSE),""),"")</f>
        <v/>
      </c>
      <c r="CH5" s="41" t="str">
        <f>IFERROR(IF(Z5=1,VLOOKUP(Z$2,활동내용입력!$B$4:$F$63,5,FALSE),""),"")</f>
        <v/>
      </c>
      <c r="CI5" s="41" t="str">
        <f>IFERROR(IF(AA5=1,VLOOKUP(AA$2,활동내용입력!$B$4:$F$63,5,FALSE),""),"")</f>
        <v/>
      </c>
      <c r="CJ5" s="41" t="str">
        <f>IFERROR(IF(AB5=1,VLOOKUP(AB$2,활동내용입력!$B$4:$F$63,5,FALSE),""),"")</f>
        <v/>
      </c>
      <c r="CK5" s="41" t="str">
        <f>IFERROR(IF(AC5=1,VLOOKUP(AC$2,활동내용입력!$B$4:$F$63,5,FALSE),""),"")</f>
        <v/>
      </c>
      <c r="CL5" s="41" t="str">
        <f>IFERROR(IF(AD5=1,VLOOKUP(AD$2,활동내용입력!$B$4:$F$63,5,FALSE),""),"")</f>
        <v/>
      </c>
      <c r="CM5" s="41" t="str">
        <f>IFERROR(IF(AE5=1,VLOOKUP(AE$2,활동내용입력!$B$4:$F$63,5,FALSE),""),"")</f>
        <v/>
      </c>
      <c r="CN5" s="41" t="str">
        <f>IFERROR(IF(AF5=1,VLOOKUP(AF$2,활동내용입력!$B$4:$F$63,5,FALSE),""),"")</f>
        <v/>
      </c>
      <c r="CO5" s="41" t="str">
        <f>IFERROR(IF(AG5=1,VLOOKUP(AG$2,활동내용입력!$B$4:$F$63,5,FALSE),""),"")</f>
        <v/>
      </c>
      <c r="CP5" s="41" t="str">
        <f>IFERROR(IF(AH5=1,VLOOKUP(AH$2,활동내용입력!$B$4:$F$63,5,FALSE),""),"")</f>
        <v/>
      </c>
      <c r="CQ5" s="41" t="str">
        <f>IFERROR(IF(AI5=1,VLOOKUP(AI$2,활동내용입력!$B$4:$F$63,5,FALSE),""),"")</f>
        <v/>
      </c>
      <c r="CR5" s="41" t="str">
        <f>IFERROR(IF(AJ5=1,VLOOKUP(AJ$2,활동내용입력!$B$4:$F$63,5,FALSE),""),"")</f>
        <v/>
      </c>
      <c r="CS5" s="41" t="str">
        <f>IFERROR(IF(AK5=1,VLOOKUP(AK$2,활동내용입력!$B$4:$F$63,5,FALSE),""),"")</f>
        <v/>
      </c>
      <c r="CT5" s="41" t="str">
        <f>IFERROR(IF(AL5=1,VLOOKUP(AL$2,활동내용입력!$B$4:$F$63,5,FALSE),""),"")</f>
        <v/>
      </c>
      <c r="CU5" s="41" t="str">
        <f>IFERROR(IF(AM5=1,VLOOKUP(AM$2,활동내용입력!$B$4:$F$63,5,FALSE),""),"")</f>
        <v/>
      </c>
      <c r="CV5" s="41" t="str">
        <f>IFERROR(IF(AN5=1,VLOOKUP(AN$2,활동내용입력!$B$4:$F$63,5,FALSE),""),"")</f>
        <v/>
      </c>
      <c r="CW5" s="41" t="str">
        <f>IFERROR(IF(AO5=1,VLOOKUP(AO$2,활동내용입력!$B$4:$F$63,5,FALSE),""),"")</f>
        <v/>
      </c>
      <c r="CX5" s="41" t="str">
        <f>IFERROR(IF(AP5=1,VLOOKUP(AP$2,활동내용입력!$B$4:$F$63,5,FALSE),""),"")</f>
        <v/>
      </c>
      <c r="CY5" s="41" t="str">
        <f>IFERROR(IF(AQ5=1,VLOOKUP(AQ$2,활동내용입력!$B$4:$F$63,5,FALSE),""),"")</f>
        <v/>
      </c>
      <c r="CZ5" s="41" t="str">
        <f>IFERROR(IF(AR5=1,VLOOKUP(AR$2,활동내용입력!$B$4:$F$63,5,FALSE),""),"")</f>
        <v/>
      </c>
      <c r="DA5" s="41" t="str">
        <f>IFERROR(IF(AS5=1,VLOOKUP(AS$2,활동내용입력!$B$4:$F$63,5,FALSE),""),"")</f>
        <v/>
      </c>
      <c r="DB5" s="41" t="str">
        <f>IFERROR(IF(AT5=1,VLOOKUP(AT$2,활동내용입력!$B$4:$F$63,5,FALSE),""),"")</f>
        <v/>
      </c>
      <c r="DC5" s="41" t="str">
        <f>IFERROR(IF(AU5=1,VLOOKUP(AU$2,활동내용입력!$B$4:$F$63,5,FALSE),""),"")</f>
        <v/>
      </c>
      <c r="DD5" s="41" t="str">
        <f>IFERROR(IF(AV5=1,VLOOKUP(AV$2,활동내용입력!$B$4:$F$63,5,FALSE),""),"")</f>
        <v/>
      </c>
      <c r="DE5" s="41" t="str">
        <f>IFERROR(IF(AW5=1,VLOOKUP(AW$2,활동내용입력!$B$4:$F$63,5,FALSE),""),"")</f>
        <v/>
      </c>
      <c r="DF5" s="41" t="str">
        <f>IFERROR(IF(AX5=1,VLOOKUP(AX$2,활동내용입력!$B$4:$F$63,5,FALSE),""),"")</f>
        <v/>
      </c>
      <c r="DG5" s="41" t="str">
        <f>IFERROR(IF(AY5=1,VLOOKUP(AY$2,활동내용입력!$B$4:$F$63,5,FALSE),""),"")</f>
        <v/>
      </c>
      <c r="DH5" s="41" t="str">
        <f>IFERROR(IF(AZ5=1,VLOOKUP(AZ$2,활동내용입력!$B$4:$F$63,5,FALSE),""),"")</f>
        <v/>
      </c>
      <c r="DI5" s="41" t="str">
        <f>IFERROR(IF(BA5=1,VLOOKUP(BA$2,활동내용입력!$B$4:$F$63,5,FALSE),""),"")</f>
        <v/>
      </c>
      <c r="DJ5" s="41" t="str">
        <f>IFERROR(IF(BB5=1,VLOOKUP(BB$2,활동내용입력!$B$4:$F$63,5,FALSE),""),"")</f>
        <v/>
      </c>
      <c r="DK5" s="41" t="str">
        <f>IFERROR(IF(BC5=1,VLOOKUP(BC$2,활동내용입력!$B$4:$F$63,5,FALSE),""),"")</f>
        <v/>
      </c>
      <c r="DL5" s="41" t="str">
        <f>IFERROR(IF(BD5=1,VLOOKUP(BD$2,활동내용입력!$B$4:$F$63,5,FALSE),""),"")</f>
        <v/>
      </c>
      <c r="DM5" s="41" t="str">
        <f>IFERROR(IF(BE5=1,VLOOKUP(BE$2,활동내용입력!$B$4:$F$63,5,FALSE),""),"")</f>
        <v/>
      </c>
      <c r="DN5" s="41" t="str">
        <f>IFERROR(IF(BF5=1,VLOOKUP(BF$2,활동내용입력!$B$4:$F$63,5,FALSE),""),"")</f>
        <v/>
      </c>
      <c r="DO5" s="41" t="str">
        <f>IFERROR(IF(BG5=1,VLOOKUP(BG$2,활동내용입력!$B$4:$F$63,5,FALSE),""),"")</f>
        <v/>
      </c>
      <c r="DP5" s="41" t="str">
        <f>IFERROR(IF(BH5=1,VLOOKUP(BH$2,활동내용입력!$B$4:$F$63,5,FALSE),""),"")</f>
        <v/>
      </c>
      <c r="DQ5" s="41" t="str">
        <f>IFERROR(IF(BI5=1,VLOOKUP(BI$2,활동내용입력!$B$4:$F$63,5,FALSE),""),"")</f>
        <v/>
      </c>
      <c r="DR5" s="41" t="str">
        <f>IFERROR(IF(BJ5=1,VLOOKUP(BJ$2,활동내용입력!$B$4:$F$63,5,FALSE),""),"")</f>
        <v/>
      </c>
      <c r="DS5" s="41" t="str">
        <f>IF(BK5="","",BK5&amp;CHAR(10))&amp;IF(BL5="","",BL5&amp;CHAR(10))&amp;IF(BM5="","",BM5&amp;CHAR(10))&amp;IF(BN5="","",BN5&amp;CHAR(10))&amp;IF(BO5="","",BO5&amp;CHAR(10))&amp;IF(BP5="","",BP5&amp;CHAR(10))&amp;IF(BQ5="","",BQ5&amp;CHAR(10))&amp;IF(BR5="","",BR5&amp;CHAR(10))&amp;IF(BS5="","",BS5&amp;CHAR(10))&amp;IF(BT5="","",BT5&amp;CHAR(10))&amp;IF(BU5="","",BU5&amp;CHAR(10))&amp;IF(BV5="","",BV5&amp;CHAR(10))&amp;IF(BW5="","",BW5&amp;CHAR(10))&amp;IF(BX5="","",BX5&amp;CHAR(10))&amp;IF(BY5="","",BY5&amp;CHAR(10))&amp;IF(BZ5="","",BZ5&amp;CHAR(10))&amp;IF(CA5="","",CA5&amp;CHAR(10))&amp;IF(CB5="","",CB5&amp;CHAR(10))&amp;IF(CC5="","",CC5&amp;CHAR(10))&amp;IF(CD5="","",CD5&amp;CHAR(10))&amp;IF(CE5="","",CE5&amp;CHAR(10))&amp;IF(CF5="","",CF5&amp;CHAR(10))&amp;IF(CG5="","",CG5&amp;CHAR(10))&amp;IF(CH5="","",CH5&amp;CHAR(10))&amp;IF(CI5="","",CI5&amp;CHAR(10))&amp;IF(CJ5="","",CJ5&amp;CHAR(10))&amp;IF(CK5="","",CK5&amp;CHAR(10))&amp;IF(CL5="","",CL5&amp;CHAR(10))&amp;IF(CM5="","",CM5&amp;CHAR(10))&amp;IF(CN5="","",CN5&amp;CHAR(10))&amp;IF(CO5="","",CO5&amp;CHAR(10))&amp;IF(CP5="","",CP5&amp;CHAR(10))&amp;IF(CQ5="","",CQ5&amp;CHAR(10))&amp;IF(CR5="","",CR5&amp;CHAR(10))&amp;IF(CS5="","",CS5&amp;CHAR(10))&amp;IF(CT5="","",CT5&amp;CHAR(10))&amp;IF(CU5="","",CU5&amp;CHAR(10))&amp;IF(CV5="","",CV5&amp;CHAR(10))&amp;IF(CW5="","",CW5&amp;CHAR(10))&amp;IF(CX5="","",CX5&amp;CHAR(10))&amp;IF(CY5="","",CY5&amp;CHAR(10))&amp;IF(CZ5="","",CZ5&amp;CHAR(10))&amp;IF(DA5="","",DA5&amp;CHAR(10))&amp;IF(DB5="","",DB5&amp;CHAR(10))&amp;IF(DC5="","",DC5&amp;CHAR(10))&amp;IF(DD5="","",DD5&amp;CHAR(10))&amp;IF(DE5="","",DE5&amp;CHAR(10))&amp;IF(DF5="","",DF5&amp;CHAR(10))&amp;IF(DG5="","",DG5&amp;CHAR(10))&amp;IF(DH5="","",DH5&amp;CHAR(10))&amp;IF(DI5="","",DI5&amp;CHAR(10))&amp;IF(DJ5="","",DJ5&amp;CHAR(10))&amp;IF(DK5="","",DK5&amp;CHAR(10))&amp;IF(DL5="","",DL5&amp;CHAR(10))&amp;IF(DM5="","",DM5&amp;CHAR(10))&amp;IF(DN5="","",DN5&amp;CHAR(10))&amp;IF(DO5="","",DO5&amp;CHAR(10))&amp;IF(DP5="","",DP5&amp;CHAR(10))&amp;IF(DQ5="","",DQ5&amp;CHAR(10))&amp;DR5</f>
        <v xml:space="preserve">생명존중교육(2019.03.08., 2019.03.29., 2019.09.06., 2019.11.15.)을 통해 청소년들의 자살에 대한 심리적 상태를 이해하고 힘들어 하는 주변 친구들에게 따뜻한 배려와 도움이 절실히 필요함을 느꼈으며 생명의 소중함을 다시 한번 깨닫는 기회를 가지게 됨.
안전교육(2019.03.15., 2019.06.14., 2019.07.19., 2019.08.30., 2019.12.27., 2020.01.03., 2020.01.10.)을 통해 화재, 물놀이, 빙상 등 일상생활에서 일어날 수 있는 안전사고에 대한 예방법과 사고 시 대처방법을 확인하고 실천할 수 있게 됨.
학교폭력 예방교육(2019.03.15., 2019.05.31., 2019.10.18., 2019.12.13., 2020.01.03.)을 통해 학교폭력의 심각성을 알게 되었으며 자신의 인권이 소중한 것처럼 타인의 인권도 소중함을 깨닫고 실천하는 계기가 됨.
학급회의(2019.03.15, 2019.03.29., 2019.07.12.)를 통해 학급의 문제들을 해결하기위한 의사결정과정에 적극적으로 참여함.
다문화교육(2019.03.22., 2019.09.20.)을 통해 우리 나라와 다른 나라의 문화를 함께 나눔으로써 지구촌의 평화와 번영을 함께 누릴 수 있다는 사실을 새삼 깨달은 계기가 됨. 
흡연, 음주 등 약물 오남용 예방교육(2019.04.05., 2019.05.10, 2019.07.05., 2019.07.12., 2019.07.19., 2019.11.08., 2019.12.06., 2020.01.03.)을 통해 흡연과 음주 등 약물 오남용의 폐해를 인식하고 자신의 건강을 위해 흡연과 음주와 같은 행위를 하지 않겠다고 다짐함.
장애인이해교육(2019.04.19., 2019.11.29.)을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
안전교육(2019.05.10., 2019.05.24., 2019.07.22.)을 통해 교통안전사고를 예방할 수 있는 수칙에 대한 인식을 일깨우고 실천하고자 하는 마음을 다지게 됨.
518 광주민주화운동 교육(2019.05.17.)을 통해 민주화 운동이 일어나게 된 배경을 이해하고, 독재에 맞서 싸우다 억울하게 죽어간 수많은 시민들을 추모하는 시간을 가짐.
자기주도진로체험활동(2019.06.19.-2019.06.21.)에서 계획 수립부터 진행과정까지 적극적으로 참여함.
성폭력예방교육(2019.06.28., 2019.10.25., 2019.12.20.)을 통해 이성교제 시 지켜야 할 기본수칙을 배우고 성희롱 및 성폭력의 예방방법과 성적자기결정권의 중요성을 인식하게 됨.
인권교육(2019.12.24.)에 참여하여 인권을 침해 받은 사람들에 대해 마음 아파하고 함께 해결해 나가려 하는 마음을 갖게 됨.
</v>
      </c>
      <c r="DT5" s="42">
        <f t="shared" ref="DT5:DT44" si="6">COUNT(C5:BJ5)</f>
        <v>12</v>
      </c>
      <c r="DU5" s="34"/>
    </row>
    <row r="6" spans="1:125" x14ac:dyDescent="0.3">
      <c r="A6" s="58">
        <v>2</v>
      </c>
      <c r="B6" s="57" t="s">
        <v>243</v>
      </c>
      <c r="C6" s="40"/>
      <c r="D6" s="40"/>
      <c r="E6" s="40"/>
      <c r="F6" s="40">
        <v>1</v>
      </c>
      <c r="G6" s="40">
        <v>1</v>
      </c>
      <c r="H6" s="40">
        <v>1</v>
      </c>
      <c r="I6" s="40">
        <v>1</v>
      </c>
      <c r="J6" s="40">
        <v>1</v>
      </c>
      <c r="K6" s="40">
        <v>1</v>
      </c>
      <c r="L6" s="40">
        <v>1</v>
      </c>
      <c r="M6" s="40">
        <v>1</v>
      </c>
      <c r="N6" s="40">
        <v>1</v>
      </c>
      <c r="O6" s="40">
        <v>1</v>
      </c>
      <c r="P6" s="40">
        <v>1</v>
      </c>
      <c r="Q6" s="40">
        <v>1</v>
      </c>
      <c r="R6" s="40">
        <v>1</v>
      </c>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40"/>
      <c r="BB6" s="40"/>
      <c r="BC6" s="40"/>
      <c r="BD6" s="40"/>
      <c r="BE6" s="40"/>
      <c r="BF6" s="40"/>
      <c r="BG6" s="40"/>
      <c r="BH6" s="40"/>
      <c r="BI6" s="40"/>
      <c r="BJ6" s="40"/>
      <c r="BK6" s="41" t="str">
        <f>IFERROR(IF(C6=1,VLOOKUP(C$2,활동내용입력!$B$4:$F$63,5,FALSE),""),"")</f>
        <v/>
      </c>
      <c r="BL6" s="41" t="str">
        <f>IFERROR(IF(D6=1,VLOOKUP(D$2,활동내용입력!$B$4:$F$63,5,FALSE),""),"")</f>
        <v/>
      </c>
      <c r="BM6" s="41" t="str">
        <f>IFERROR(IF(E6=1,VLOOKUP(E$2,활동내용입력!$B$4:$F$63,5,FALSE),""),"")</f>
        <v/>
      </c>
      <c r="BN6" s="41" t="str">
        <f>IFERROR(IF(F6=1,VLOOKUP(F$2,활동내용입력!$B$4:$F$63,5,FALSE),""),"")</f>
        <v>환경에너지 지킴이(2019.03.02.-2020.02.28.)로 맡은바 임무를 성실하게 수행하여 에너지 절약에 선도적인 역할을 함.</v>
      </c>
      <c r="BO6" s="41" t="str">
        <f>IFERROR(IF(G6=1,VLOOKUP(G$2,활동내용입력!$B$4:$F$63,5,FALSE),""),"")</f>
        <v>생명존중교육(2019.03.08., 2019.03.29., 2019.09.06., 2019.11.15.)을 통해 청소년들의 자살에 대한 심리적 상태를 이해하고 힘들어 하는 주변 친구들에게 따뜻한 배려와 도움이 절실히 필요함을 느꼈으며 생명의 소중함을 다시 한번 깨닫는 기회를 가지게 됨.</v>
      </c>
      <c r="BP6" s="41" t="str">
        <f>IFERROR(IF(H6=1,VLOOKUP(H$2,활동내용입력!$B$4:$F$63,5,FALSE),""),"")</f>
        <v>안전교육(2019.03.15., 2019.06.14., 2019.07.19., 2019.08.30., 2019.12.27., 2020.01.03., 2020.01.10.)을 통해 화재, 물놀이, 빙상 등 일상생활에서 일어날 수 있는 안전사고에 대한 예방법과 사고 시 대처방법을 확인하고 실천할 수 있게 됨.</v>
      </c>
      <c r="BQ6" s="41" t="str">
        <f>IFERROR(IF(I6=1,VLOOKUP(I$2,활동내용입력!$B$4:$F$63,5,FALSE),""),"")</f>
        <v>학교폭력 예방교육(2019.03.15., 2019.05.31., 2019.10.18., 2019.12.13., 2020.01.03.)을 통해 학교폭력의 심각성을 알게 되었으며 자신의 인권이 소중한 것처럼 타인의 인권도 소중함을 깨닫고 실천하는 계기가 됨.</v>
      </c>
      <c r="BR6" s="41" t="str">
        <f>IFERROR(IF(J6=1,VLOOKUP(J$2,활동내용입력!$B$4:$F$63,5,FALSE),""),"")</f>
        <v>학급회의(2019.03.15, 2019.03.29., 2019.07.12.)를 통해 학급의 문제들을 해결하기위한 의사결정과정에 적극적으로 참여함.</v>
      </c>
      <c r="BS6" s="41" t="str">
        <f>IFERROR(IF(K6=1,VLOOKUP(K$2,활동내용입력!$B$4:$F$63,5,FALSE),""),"")</f>
        <v xml:space="preserve">다문화교육(2019.03.22., 2019.09.20.)을 통해 우리 나라와 다른 나라의 문화를 함께 나눔으로써 지구촌의 평화와 번영을 함께 누릴 수 있다는 사실을 새삼 깨달은 계기가 됨. </v>
      </c>
      <c r="BT6" s="41" t="str">
        <f>IFERROR(IF(L6=1,VLOOKUP(L$2,활동내용입력!$B$4:$F$63,5,FALSE),""),"")</f>
        <v>흡연, 음주 등 약물 오남용 예방교육(2019.04.05., 2019.05.10, 2019.07.05., 2019.07.12., 2019.07.19., 2019.11.08., 2019.12.06., 2020.01.03.)을 통해 흡연과 음주 등 약물 오남용의 폐해를 인식하고 자신의 건강을 위해 흡연과 음주와 같은 행위를 하지 않겠다고 다짐함.</v>
      </c>
      <c r="BU6" s="41" t="str">
        <f>IFERROR(IF(M6=1,VLOOKUP(M$2,활동내용입력!$B$4:$F$63,5,FALSE),""),"")</f>
        <v>장애인이해교육(2019.04.19., 2019.11.29.)을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v>
      </c>
      <c r="BV6" s="41" t="str">
        <f>IFERROR(IF(N6=1,VLOOKUP(N$2,활동내용입력!$B$4:$F$63,5,FALSE),""),"")</f>
        <v>안전교육(2019.05.10., 2019.05.24., 2019.07.22.)을 통해 교통안전사고를 예방할 수 있는 수칙에 대한 인식을 일깨우고 실천하고자 하는 마음을 다지게 됨.</v>
      </c>
      <c r="BW6" s="41" t="str">
        <f>IFERROR(IF(O6=1,VLOOKUP(O$2,활동내용입력!$B$4:$F$63,5,FALSE),""),"")</f>
        <v>518 광주민주화운동 교육(2019.05.17.)을 통해 민주화 운동이 일어나게 된 배경을 이해하고, 독재에 맞서 싸우다 억울하게 죽어간 수많은 시민들을 추모하는 시간을 가짐.</v>
      </c>
      <c r="BX6" s="41" t="str">
        <f>IFERROR(IF(P6=1,VLOOKUP(P$2,활동내용입력!$B$4:$F$63,5,FALSE),""),"")</f>
        <v>자기주도진로체험활동(2019.06.19.-2019.06.21.)에서 계획 수립부터 진행과정까지 적극적으로 참여함.</v>
      </c>
      <c r="BY6" s="41" t="str">
        <f>IFERROR(IF(Q6=1,VLOOKUP(Q$2,활동내용입력!$B$4:$F$63,5,FALSE),""),"")</f>
        <v>성폭력예방교육(2019.06.28., 2019.10.25., 2019.12.20.)을 통해 이성교제 시 지켜야 할 기본수칙을 배우고 성희롱 및 성폭력의 예방방법과 성적자기결정권의 중요성을 인식하게 됨.</v>
      </c>
      <c r="BZ6" s="41" t="str">
        <f>IFERROR(IF(R6=1,VLOOKUP(R$2,활동내용입력!$B$4:$F$63,5,FALSE),""),"")</f>
        <v>인권교육(2019.12.24.)에 참여하여 인권을 침해 받은 사람들에 대해 마음 아파하고 함께 해결해 나가려 하는 마음을 갖게 됨.</v>
      </c>
      <c r="CA6" s="41" t="str">
        <f>IFERROR(IF(S6=1,VLOOKUP(S$2,활동내용입력!$B$4:$F$63,5,FALSE),""),"")</f>
        <v/>
      </c>
      <c r="CB6" s="41" t="str">
        <f>IFERROR(IF(T6=1,VLOOKUP(T$2,활동내용입력!$B$4:$F$63,5,FALSE),""),"")</f>
        <v/>
      </c>
      <c r="CC6" s="41" t="str">
        <f>IFERROR(IF(U6=1,VLOOKUP(U$2,활동내용입력!$B$4:$F$63,5,FALSE),""),"")</f>
        <v/>
      </c>
      <c r="CD6" s="41" t="str">
        <f>IFERROR(IF(V6=1,VLOOKUP(V$2,활동내용입력!$B$4:$F$63,5,FALSE),""),"")</f>
        <v/>
      </c>
      <c r="CE6" s="41" t="str">
        <f>IFERROR(IF(W6=1,VLOOKUP(W$2,활동내용입력!$B$4:$F$63,5,FALSE),""),"")</f>
        <v/>
      </c>
      <c r="CF6" s="41" t="str">
        <f>IFERROR(IF(X6=1,VLOOKUP(X$2,활동내용입력!$B$4:$F$63,5,FALSE),""),"")</f>
        <v/>
      </c>
      <c r="CG6" s="41" t="str">
        <f>IFERROR(IF(Y6=1,VLOOKUP(Y$2,활동내용입력!$B$4:$F$63,5,FALSE),""),"")</f>
        <v/>
      </c>
      <c r="CH6" s="41" t="str">
        <f>IFERROR(IF(Z6=1,VLOOKUP(Z$2,활동내용입력!$B$4:$F$63,5,FALSE),""),"")</f>
        <v/>
      </c>
      <c r="CI6" s="41" t="str">
        <f>IFERROR(IF(AA6=1,VLOOKUP(AA$2,활동내용입력!$B$4:$F$63,5,FALSE),""),"")</f>
        <v/>
      </c>
      <c r="CJ6" s="41" t="str">
        <f>IFERROR(IF(AB6=1,VLOOKUP(AB$2,활동내용입력!$B$4:$F$63,5,FALSE),""),"")</f>
        <v/>
      </c>
      <c r="CK6" s="41" t="str">
        <f>IFERROR(IF(AC6=1,VLOOKUP(AC$2,활동내용입력!$B$4:$F$63,5,FALSE),""),"")</f>
        <v/>
      </c>
      <c r="CL6" s="41" t="str">
        <f>IFERROR(IF(AD6=1,VLOOKUP(AD$2,활동내용입력!$B$4:$F$63,5,FALSE),""),"")</f>
        <v/>
      </c>
      <c r="CM6" s="41" t="str">
        <f>IFERROR(IF(AE6=1,VLOOKUP(AE$2,활동내용입력!$B$4:$F$63,5,FALSE),""),"")</f>
        <v/>
      </c>
      <c r="CN6" s="41" t="str">
        <f>IFERROR(IF(AF6=1,VLOOKUP(AF$2,활동내용입력!$B$4:$F$63,5,FALSE),""),"")</f>
        <v/>
      </c>
      <c r="CO6" s="41" t="str">
        <f>IFERROR(IF(AG6=1,VLOOKUP(AG$2,활동내용입력!$B$4:$F$63,5,FALSE),""),"")</f>
        <v/>
      </c>
      <c r="CP6" s="41" t="str">
        <f>IFERROR(IF(AH6=1,VLOOKUP(AH$2,활동내용입력!$B$4:$F$63,5,FALSE),""),"")</f>
        <v/>
      </c>
      <c r="CQ6" s="41" t="str">
        <f>IFERROR(IF(AI6=1,VLOOKUP(AI$2,활동내용입력!$B$4:$F$63,5,FALSE),""),"")</f>
        <v/>
      </c>
      <c r="CR6" s="41" t="str">
        <f>IFERROR(IF(AJ6=1,VLOOKUP(AJ$2,활동내용입력!$B$4:$F$63,5,FALSE),""),"")</f>
        <v/>
      </c>
      <c r="CS6" s="41" t="str">
        <f>IFERROR(IF(AK6=1,VLOOKUP(AK$2,활동내용입력!$B$4:$F$63,5,FALSE),""),"")</f>
        <v/>
      </c>
      <c r="CT6" s="41" t="str">
        <f>IFERROR(IF(AL6=1,VLOOKUP(AL$2,활동내용입력!$B$4:$F$63,5,FALSE),""),"")</f>
        <v/>
      </c>
      <c r="CU6" s="41" t="str">
        <f>IFERROR(IF(AM6=1,VLOOKUP(AM$2,활동내용입력!$B$4:$F$63,5,FALSE),""),"")</f>
        <v/>
      </c>
      <c r="CV6" s="41" t="str">
        <f>IFERROR(IF(AN6=1,VLOOKUP(AN$2,활동내용입력!$B$4:$F$63,5,FALSE),""),"")</f>
        <v/>
      </c>
      <c r="CW6" s="41" t="str">
        <f>IFERROR(IF(AO6=1,VLOOKUP(AO$2,활동내용입력!$B$4:$F$63,5,FALSE),""),"")</f>
        <v/>
      </c>
      <c r="CX6" s="41" t="str">
        <f>IFERROR(IF(AP6=1,VLOOKUP(AP$2,활동내용입력!$B$4:$F$63,5,FALSE),""),"")</f>
        <v/>
      </c>
      <c r="CY6" s="41" t="str">
        <f>IFERROR(IF(AQ6=1,VLOOKUP(AQ$2,활동내용입력!$B$4:$F$63,5,FALSE),""),"")</f>
        <v/>
      </c>
      <c r="CZ6" s="41" t="str">
        <f>IFERROR(IF(AR6=1,VLOOKUP(AR$2,활동내용입력!$B$4:$F$63,5,FALSE),""),"")</f>
        <v/>
      </c>
      <c r="DA6" s="41" t="str">
        <f>IFERROR(IF(AS6=1,VLOOKUP(AS$2,활동내용입력!$B$4:$F$63,5,FALSE),""),"")</f>
        <v/>
      </c>
      <c r="DB6" s="41" t="str">
        <f>IFERROR(IF(AT6=1,VLOOKUP(AT$2,활동내용입력!$B$4:$F$63,5,FALSE),""),"")</f>
        <v/>
      </c>
      <c r="DC6" s="41" t="str">
        <f>IFERROR(IF(AU6=1,VLOOKUP(AU$2,활동내용입력!$B$4:$F$63,5,FALSE),""),"")</f>
        <v/>
      </c>
      <c r="DD6" s="41" t="str">
        <f>IFERROR(IF(AV6=1,VLOOKUP(AV$2,활동내용입력!$B$4:$F$63,5,FALSE),""),"")</f>
        <v/>
      </c>
      <c r="DE6" s="41" t="str">
        <f>IFERROR(IF(AW6=1,VLOOKUP(AW$2,활동내용입력!$B$4:$F$63,5,FALSE),""),"")</f>
        <v/>
      </c>
      <c r="DF6" s="41" t="str">
        <f>IFERROR(IF(AX6=1,VLOOKUP(AX$2,활동내용입력!$B$4:$F$63,5,FALSE),""),"")</f>
        <v/>
      </c>
      <c r="DG6" s="41" t="str">
        <f>IFERROR(IF(AY6=1,VLOOKUP(AY$2,활동내용입력!$B$4:$F$63,5,FALSE),""),"")</f>
        <v/>
      </c>
      <c r="DH6" s="41" t="str">
        <f>IFERROR(IF(AZ6=1,VLOOKUP(AZ$2,활동내용입력!$B$4:$F$63,5,FALSE),""),"")</f>
        <v/>
      </c>
      <c r="DI6" s="41" t="str">
        <f>IFERROR(IF(BA6=1,VLOOKUP(BA$2,활동내용입력!$B$4:$F$63,5,FALSE),""),"")</f>
        <v/>
      </c>
      <c r="DJ6" s="41" t="str">
        <f>IFERROR(IF(BB6=1,VLOOKUP(BB$2,활동내용입력!$B$4:$F$63,5,FALSE),""),"")</f>
        <v/>
      </c>
      <c r="DK6" s="41" t="str">
        <f>IFERROR(IF(BC6=1,VLOOKUP(BC$2,활동내용입력!$B$4:$F$63,5,FALSE),""),"")</f>
        <v/>
      </c>
      <c r="DL6" s="41" t="str">
        <f>IFERROR(IF(BD6=1,VLOOKUP(BD$2,활동내용입력!$B$4:$F$63,5,FALSE),""),"")</f>
        <v/>
      </c>
      <c r="DM6" s="41" t="str">
        <f>IFERROR(IF(BE6=1,VLOOKUP(BE$2,활동내용입력!$B$4:$F$63,5,FALSE),""),"")</f>
        <v/>
      </c>
      <c r="DN6" s="41" t="str">
        <f>IFERROR(IF(BF6=1,VLOOKUP(BF$2,활동내용입력!$B$4:$F$63,5,FALSE),""),"")</f>
        <v/>
      </c>
      <c r="DO6" s="41" t="str">
        <f>IFERROR(IF(BG6=1,VLOOKUP(BG$2,활동내용입력!$B$4:$F$63,5,FALSE),""),"")</f>
        <v/>
      </c>
      <c r="DP6" s="41" t="str">
        <f>IFERROR(IF(BH6=1,VLOOKUP(BH$2,활동내용입력!$B$4:$F$63,5,FALSE),""),"")</f>
        <v/>
      </c>
      <c r="DQ6" s="41" t="str">
        <f>IFERROR(IF(BI6=1,VLOOKUP(BI$2,활동내용입력!$B$4:$F$63,5,FALSE),""),"")</f>
        <v/>
      </c>
      <c r="DR6" s="41" t="str">
        <f>IFERROR(IF(BJ6=1,VLOOKUP(BJ$2,활동내용입력!$B$4:$F$63,5,FALSE),""),"")</f>
        <v/>
      </c>
      <c r="DS6" s="41" t="str">
        <f t="shared" ref="DS6:DS44" si="7">IF(BK6="","",BK6&amp;CHAR(10))&amp;IF(BL6="","",BL6&amp;CHAR(10))&amp;IF(BM6="","",BM6&amp;CHAR(10))&amp;IF(BN6="","",BN6&amp;CHAR(10))&amp;IF(BO6="","",BO6&amp;CHAR(10))&amp;IF(BP6="","",BP6&amp;CHAR(10))&amp;IF(BQ6="","",BQ6&amp;CHAR(10))&amp;IF(BR6="","",BR6&amp;CHAR(10))&amp;IF(BS6="","",BS6&amp;CHAR(10))&amp;IF(BT6="","",BT6&amp;CHAR(10))&amp;IF(BU6="","",BU6&amp;CHAR(10))&amp;IF(BV6="","",BV6&amp;CHAR(10))&amp;IF(BW6="","",BW6&amp;CHAR(10))&amp;IF(BX6="","",BX6&amp;CHAR(10))&amp;IF(BY6="","",BY6&amp;CHAR(10))&amp;IF(BZ6="","",BZ6&amp;CHAR(10))&amp;IF(CA6="","",CA6&amp;CHAR(10))&amp;IF(CB6="","",CB6&amp;CHAR(10))&amp;IF(CC6="","",CC6&amp;CHAR(10))&amp;IF(CD6="","",CD6&amp;CHAR(10))&amp;IF(CE6="","",CE6&amp;CHAR(10))&amp;IF(CF6="","",CF6&amp;CHAR(10))&amp;IF(CG6="","",CG6&amp;CHAR(10))&amp;IF(CH6="","",CH6&amp;CHAR(10))&amp;IF(CI6="","",CI6&amp;CHAR(10))&amp;IF(CJ6="","",CJ6&amp;CHAR(10))&amp;IF(CK6="","",CK6&amp;CHAR(10))&amp;IF(CL6="","",CL6&amp;CHAR(10))&amp;IF(CM6="","",CM6&amp;CHAR(10))&amp;IF(CN6="","",CN6&amp;CHAR(10))&amp;IF(CO6="","",CO6&amp;CHAR(10))&amp;IF(CP6="","",CP6&amp;CHAR(10))&amp;IF(CQ6="","",CQ6&amp;CHAR(10))&amp;IF(CR6="","",CR6&amp;CHAR(10))&amp;IF(CS6="","",CS6&amp;CHAR(10))&amp;IF(CT6="","",CT6&amp;CHAR(10))&amp;IF(CU6="","",CU6&amp;CHAR(10))&amp;IF(CV6="","",CV6&amp;CHAR(10))&amp;IF(CW6="","",CW6&amp;CHAR(10))&amp;IF(CX6="","",CX6&amp;CHAR(10))&amp;IF(CY6="","",CY6&amp;CHAR(10))&amp;IF(CZ6="","",CZ6&amp;CHAR(10))&amp;IF(DA6="","",DA6&amp;CHAR(10))&amp;IF(DB6="","",DB6&amp;CHAR(10))&amp;IF(DC6="","",DC6&amp;CHAR(10))&amp;IF(DD6="","",DD6&amp;CHAR(10))&amp;IF(DE6="","",DE6&amp;CHAR(10))&amp;IF(DF6="","",DF6&amp;CHAR(10))&amp;IF(DG6="","",DG6&amp;CHAR(10))&amp;IF(DH6="","",DH6&amp;CHAR(10))&amp;IF(DI6="","",DI6&amp;CHAR(10))&amp;IF(DJ6="","",DJ6&amp;CHAR(10))&amp;IF(DK6="","",DK6&amp;CHAR(10))&amp;IF(DL6="","",DL6&amp;CHAR(10))&amp;IF(DM6="","",DM6&amp;CHAR(10))&amp;IF(DN6="","",DN6&amp;CHAR(10))&amp;IF(DO6="","",DO6&amp;CHAR(10))&amp;IF(DP6="","",DP6&amp;CHAR(10))&amp;IF(DQ6="","",DQ6&amp;CHAR(10))&amp;DR6</f>
        <v xml:space="preserve">환경에너지 지킴이(2019.03.02.-2020.02.28.)로 맡은바 임무를 성실하게 수행하여 에너지 절약에 선도적인 역할을 함.
생명존중교육(2019.03.08., 2019.03.29., 2019.09.06., 2019.11.15.)을 통해 청소년들의 자살에 대한 심리적 상태를 이해하고 힘들어 하는 주변 친구들에게 따뜻한 배려와 도움이 절실히 필요함을 느꼈으며 생명의 소중함을 다시 한번 깨닫는 기회를 가지게 됨.
안전교육(2019.03.15., 2019.06.14., 2019.07.19., 2019.08.30., 2019.12.27., 2020.01.03., 2020.01.10.)을 통해 화재, 물놀이, 빙상 등 일상생활에서 일어날 수 있는 안전사고에 대한 예방법과 사고 시 대처방법을 확인하고 실천할 수 있게 됨.
학교폭력 예방교육(2019.03.15., 2019.05.31., 2019.10.18., 2019.12.13., 2020.01.03.)을 통해 학교폭력의 심각성을 알게 되었으며 자신의 인권이 소중한 것처럼 타인의 인권도 소중함을 깨닫고 실천하는 계기가 됨.
학급회의(2019.03.15, 2019.03.29., 2019.07.12.)를 통해 학급의 문제들을 해결하기위한 의사결정과정에 적극적으로 참여함.
다문화교육(2019.03.22., 2019.09.20.)을 통해 우리 나라와 다른 나라의 문화를 함께 나눔으로써 지구촌의 평화와 번영을 함께 누릴 수 있다는 사실을 새삼 깨달은 계기가 됨. 
흡연, 음주 등 약물 오남용 예방교육(2019.04.05., 2019.05.10, 2019.07.05., 2019.07.12., 2019.07.19., 2019.11.08., 2019.12.06., 2020.01.03.)을 통해 흡연과 음주 등 약물 오남용의 폐해를 인식하고 자신의 건강을 위해 흡연과 음주와 같은 행위를 하지 않겠다고 다짐함.
장애인이해교육(2019.04.19., 2019.11.29.)을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
안전교육(2019.05.10., 2019.05.24., 2019.07.22.)을 통해 교통안전사고를 예방할 수 있는 수칙에 대한 인식을 일깨우고 실천하고자 하는 마음을 다지게 됨.
518 광주민주화운동 교육(2019.05.17.)을 통해 민주화 운동이 일어나게 된 배경을 이해하고, 독재에 맞서 싸우다 억울하게 죽어간 수많은 시민들을 추모하는 시간을 가짐.
자기주도진로체험활동(2019.06.19.-2019.06.21.)에서 계획 수립부터 진행과정까지 적극적으로 참여함.
성폭력예방교육(2019.06.28., 2019.10.25., 2019.12.20.)을 통해 이성교제 시 지켜야 할 기본수칙을 배우고 성희롱 및 성폭력의 예방방법과 성적자기결정권의 중요성을 인식하게 됨.
인권교육(2019.12.24.)에 참여하여 인권을 침해 받은 사람들에 대해 마음 아파하고 함께 해결해 나가려 하는 마음을 갖게 됨.
</v>
      </c>
      <c r="DT6" s="42">
        <f t="shared" si="6"/>
        <v>13</v>
      </c>
      <c r="DU6" s="34"/>
    </row>
    <row r="7" spans="1:125" x14ac:dyDescent="0.3">
      <c r="A7" s="58">
        <v>3</v>
      </c>
      <c r="B7" s="57" t="s">
        <v>244</v>
      </c>
      <c r="C7" s="40"/>
      <c r="D7" s="40"/>
      <c r="E7" s="40"/>
      <c r="F7" s="40"/>
      <c r="G7" s="40">
        <v>1</v>
      </c>
      <c r="H7" s="40">
        <v>1</v>
      </c>
      <c r="I7" s="40">
        <v>1</v>
      </c>
      <c r="J7" s="40">
        <v>1</v>
      </c>
      <c r="K7" s="40">
        <v>1</v>
      </c>
      <c r="L7" s="40">
        <v>1</v>
      </c>
      <c r="M7" s="40">
        <v>1</v>
      </c>
      <c r="N7" s="40">
        <v>1</v>
      </c>
      <c r="O7" s="40">
        <v>1</v>
      </c>
      <c r="P7" s="40">
        <v>1</v>
      </c>
      <c r="Q7" s="40">
        <v>1</v>
      </c>
      <c r="R7" s="40">
        <v>1</v>
      </c>
      <c r="S7" s="40"/>
      <c r="T7" s="40"/>
      <c r="U7" s="40"/>
      <c r="V7" s="40"/>
      <c r="W7" s="40"/>
      <c r="X7" s="40"/>
      <c r="Y7" s="40"/>
      <c r="Z7" s="40"/>
      <c r="AA7" s="40"/>
      <c r="AB7" s="40"/>
      <c r="AC7" s="40"/>
      <c r="AD7" s="40"/>
      <c r="AE7" s="40"/>
      <c r="AF7" s="40"/>
      <c r="AG7" s="40"/>
      <c r="AH7" s="40"/>
      <c r="AI7" s="40"/>
      <c r="AJ7" s="40"/>
      <c r="AK7" s="40"/>
      <c r="AL7" s="40"/>
      <c r="AM7" s="40"/>
      <c r="AN7" s="40"/>
      <c r="AO7" s="40"/>
      <c r="AP7" s="40"/>
      <c r="AQ7" s="40"/>
      <c r="AR7" s="40"/>
      <c r="AS7" s="40"/>
      <c r="AT7" s="40"/>
      <c r="AU7" s="40"/>
      <c r="AV7" s="40"/>
      <c r="AW7" s="40"/>
      <c r="AX7" s="40"/>
      <c r="AY7" s="40"/>
      <c r="AZ7" s="40"/>
      <c r="BA7" s="40"/>
      <c r="BB7" s="40"/>
      <c r="BC7" s="40"/>
      <c r="BD7" s="40"/>
      <c r="BE7" s="40"/>
      <c r="BF7" s="40"/>
      <c r="BG7" s="40"/>
      <c r="BH7" s="40"/>
      <c r="BI7" s="40"/>
      <c r="BJ7" s="40"/>
      <c r="BK7" s="41" t="str">
        <f>IFERROR(IF(C7=1,VLOOKUP(C$2,활동내용입력!$B$4:$F$63,5,FALSE),""),"")</f>
        <v/>
      </c>
      <c r="BL7" s="41" t="str">
        <f>IFERROR(IF(D7=1,VLOOKUP(D$2,활동내용입력!$B$4:$F$63,5,FALSE),""),"")</f>
        <v/>
      </c>
      <c r="BM7" s="41" t="str">
        <f>IFERROR(IF(E7=1,VLOOKUP(E$2,활동내용입력!$B$4:$F$63,5,FALSE),""),"")</f>
        <v/>
      </c>
      <c r="BN7" s="41" t="str">
        <f>IFERROR(IF(F7=1,VLOOKUP(F$2,활동내용입력!$B$4:$F$63,5,FALSE),""),"")</f>
        <v/>
      </c>
      <c r="BO7" s="41" t="str">
        <f>IFERROR(IF(G7=1,VLOOKUP(G$2,활동내용입력!$B$4:$F$63,5,FALSE),""),"")</f>
        <v>생명존중교육(2019.03.08., 2019.03.29., 2019.09.06., 2019.11.15.)을 통해 청소년들의 자살에 대한 심리적 상태를 이해하고 힘들어 하는 주변 친구들에게 따뜻한 배려와 도움이 절실히 필요함을 느꼈으며 생명의 소중함을 다시 한번 깨닫는 기회를 가지게 됨.</v>
      </c>
      <c r="BP7" s="41" t="str">
        <f>IFERROR(IF(H7=1,VLOOKUP(H$2,활동내용입력!$B$4:$F$63,5,FALSE),""),"")</f>
        <v>안전교육(2019.03.15., 2019.06.14., 2019.07.19., 2019.08.30., 2019.12.27., 2020.01.03., 2020.01.10.)을 통해 화재, 물놀이, 빙상 등 일상생활에서 일어날 수 있는 안전사고에 대한 예방법과 사고 시 대처방법을 확인하고 실천할 수 있게 됨.</v>
      </c>
      <c r="BQ7" s="41" t="str">
        <f>IFERROR(IF(I7=1,VLOOKUP(I$2,활동내용입력!$B$4:$F$63,5,FALSE),""),"")</f>
        <v>학교폭력 예방교육(2019.03.15., 2019.05.31., 2019.10.18., 2019.12.13., 2020.01.03.)을 통해 학교폭력의 심각성을 알게 되었으며 자신의 인권이 소중한 것처럼 타인의 인권도 소중함을 깨닫고 실천하는 계기가 됨.</v>
      </c>
      <c r="BR7" s="41" t="str">
        <f>IFERROR(IF(J7=1,VLOOKUP(J$2,활동내용입력!$B$4:$F$63,5,FALSE),""),"")</f>
        <v>학급회의(2019.03.15, 2019.03.29., 2019.07.12.)를 통해 학급의 문제들을 해결하기위한 의사결정과정에 적극적으로 참여함.</v>
      </c>
      <c r="BS7" s="41" t="str">
        <f>IFERROR(IF(K7=1,VLOOKUP(K$2,활동내용입력!$B$4:$F$63,5,FALSE),""),"")</f>
        <v xml:space="preserve">다문화교육(2019.03.22., 2019.09.20.)을 통해 우리 나라와 다른 나라의 문화를 함께 나눔으로써 지구촌의 평화와 번영을 함께 누릴 수 있다는 사실을 새삼 깨달은 계기가 됨. </v>
      </c>
      <c r="BT7" s="41" t="str">
        <f>IFERROR(IF(L7=1,VLOOKUP(L$2,활동내용입력!$B$4:$F$63,5,FALSE),""),"")</f>
        <v>흡연, 음주 등 약물 오남용 예방교육(2019.04.05., 2019.05.10, 2019.07.05., 2019.07.12., 2019.07.19., 2019.11.08., 2019.12.06., 2020.01.03.)을 통해 흡연과 음주 등 약물 오남용의 폐해를 인식하고 자신의 건강을 위해 흡연과 음주와 같은 행위를 하지 않겠다고 다짐함.</v>
      </c>
      <c r="BU7" s="41" t="str">
        <f>IFERROR(IF(M7=1,VLOOKUP(M$2,활동내용입력!$B$4:$F$63,5,FALSE),""),"")</f>
        <v>장애인이해교육(2019.04.19., 2019.11.29.)을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v>
      </c>
      <c r="BV7" s="41" t="str">
        <f>IFERROR(IF(N7=1,VLOOKUP(N$2,활동내용입력!$B$4:$F$63,5,FALSE),""),"")</f>
        <v>안전교육(2019.05.10., 2019.05.24., 2019.07.22.)을 통해 교통안전사고를 예방할 수 있는 수칙에 대한 인식을 일깨우고 실천하고자 하는 마음을 다지게 됨.</v>
      </c>
      <c r="BW7" s="41" t="str">
        <f>IFERROR(IF(O7=1,VLOOKUP(O$2,활동내용입력!$B$4:$F$63,5,FALSE),""),"")</f>
        <v>518 광주민주화운동 교육(2019.05.17.)을 통해 민주화 운동이 일어나게 된 배경을 이해하고, 독재에 맞서 싸우다 억울하게 죽어간 수많은 시민들을 추모하는 시간을 가짐.</v>
      </c>
      <c r="BX7" s="41" t="str">
        <f>IFERROR(IF(P7=1,VLOOKUP(P$2,활동내용입력!$B$4:$F$63,5,FALSE),""),"")</f>
        <v>자기주도진로체험활동(2019.06.19.-2019.06.21.)에서 계획 수립부터 진행과정까지 적극적으로 참여함.</v>
      </c>
      <c r="BY7" s="41" t="str">
        <f>IFERROR(IF(Q7=1,VLOOKUP(Q$2,활동내용입력!$B$4:$F$63,5,FALSE),""),"")</f>
        <v>성폭력예방교육(2019.06.28., 2019.10.25., 2019.12.20.)을 통해 이성교제 시 지켜야 할 기본수칙을 배우고 성희롱 및 성폭력의 예방방법과 성적자기결정권의 중요성을 인식하게 됨.</v>
      </c>
      <c r="BZ7" s="41" t="str">
        <f>IFERROR(IF(R7=1,VLOOKUP(R$2,활동내용입력!$B$4:$F$63,5,FALSE),""),"")</f>
        <v>인권교육(2019.12.24.)에 참여하여 인권을 침해 받은 사람들에 대해 마음 아파하고 함께 해결해 나가려 하는 마음을 갖게 됨.</v>
      </c>
      <c r="CA7" s="41" t="str">
        <f>IFERROR(IF(S7=1,VLOOKUP(S$2,활동내용입력!$B$4:$F$63,5,FALSE),""),"")</f>
        <v/>
      </c>
      <c r="CB7" s="41" t="str">
        <f>IFERROR(IF(T7=1,VLOOKUP(T$2,활동내용입력!$B$4:$F$63,5,FALSE),""),"")</f>
        <v/>
      </c>
      <c r="CC7" s="41" t="str">
        <f>IFERROR(IF(U7=1,VLOOKUP(U$2,활동내용입력!$B$4:$F$63,5,FALSE),""),"")</f>
        <v/>
      </c>
      <c r="CD7" s="41" t="str">
        <f>IFERROR(IF(V7=1,VLOOKUP(V$2,활동내용입력!$B$4:$F$63,5,FALSE),""),"")</f>
        <v/>
      </c>
      <c r="CE7" s="41" t="str">
        <f>IFERROR(IF(W7=1,VLOOKUP(W$2,활동내용입력!$B$4:$F$63,5,FALSE),""),"")</f>
        <v/>
      </c>
      <c r="CF7" s="41" t="str">
        <f>IFERROR(IF(X7=1,VLOOKUP(X$2,활동내용입력!$B$4:$F$63,5,FALSE),""),"")</f>
        <v/>
      </c>
      <c r="CG7" s="41" t="str">
        <f>IFERROR(IF(Y7=1,VLOOKUP(Y$2,활동내용입력!$B$4:$F$63,5,FALSE),""),"")</f>
        <v/>
      </c>
      <c r="CH7" s="41" t="str">
        <f>IFERROR(IF(Z7=1,VLOOKUP(Z$2,활동내용입력!$B$4:$F$63,5,FALSE),""),"")</f>
        <v/>
      </c>
      <c r="CI7" s="41" t="str">
        <f>IFERROR(IF(AA7=1,VLOOKUP(AA$2,활동내용입력!$B$4:$F$63,5,FALSE),""),"")</f>
        <v/>
      </c>
      <c r="CJ7" s="41" t="str">
        <f>IFERROR(IF(AB7=1,VLOOKUP(AB$2,활동내용입력!$B$4:$F$63,5,FALSE),""),"")</f>
        <v/>
      </c>
      <c r="CK7" s="41" t="str">
        <f>IFERROR(IF(AC7=1,VLOOKUP(AC$2,활동내용입력!$B$4:$F$63,5,FALSE),""),"")</f>
        <v/>
      </c>
      <c r="CL7" s="41" t="str">
        <f>IFERROR(IF(AD7=1,VLOOKUP(AD$2,활동내용입력!$B$4:$F$63,5,FALSE),""),"")</f>
        <v/>
      </c>
      <c r="CM7" s="41" t="str">
        <f>IFERROR(IF(AE7=1,VLOOKUP(AE$2,활동내용입력!$B$4:$F$63,5,FALSE),""),"")</f>
        <v/>
      </c>
      <c r="CN7" s="41" t="str">
        <f>IFERROR(IF(AF7=1,VLOOKUP(AF$2,활동내용입력!$B$4:$F$63,5,FALSE),""),"")</f>
        <v/>
      </c>
      <c r="CO7" s="41" t="str">
        <f>IFERROR(IF(AG7=1,VLOOKUP(AG$2,활동내용입력!$B$4:$F$63,5,FALSE),""),"")</f>
        <v/>
      </c>
      <c r="CP7" s="41" t="str">
        <f>IFERROR(IF(AH7=1,VLOOKUP(AH$2,활동내용입력!$B$4:$F$63,5,FALSE),""),"")</f>
        <v/>
      </c>
      <c r="CQ7" s="41" t="str">
        <f>IFERROR(IF(AI7=1,VLOOKUP(AI$2,활동내용입력!$B$4:$F$63,5,FALSE),""),"")</f>
        <v/>
      </c>
      <c r="CR7" s="41" t="str">
        <f>IFERROR(IF(AJ7=1,VLOOKUP(AJ$2,활동내용입력!$B$4:$F$63,5,FALSE),""),"")</f>
        <v/>
      </c>
      <c r="CS7" s="41" t="str">
        <f>IFERROR(IF(AK7=1,VLOOKUP(AK$2,활동내용입력!$B$4:$F$63,5,FALSE),""),"")</f>
        <v/>
      </c>
      <c r="CT7" s="41" t="str">
        <f>IFERROR(IF(AL7=1,VLOOKUP(AL$2,활동내용입력!$B$4:$F$63,5,FALSE),""),"")</f>
        <v/>
      </c>
      <c r="CU7" s="41" t="str">
        <f>IFERROR(IF(AM7=1,VLOOKUP(AM$2,활동내용입력!$B$4:$F$63,5,FALSE),""),"")</f>
        <v/>
      </c>
      <c r="CV7" s="41" t="str">
        <f>IFERROR(IF(AN7=1,VLOOKUP(AN$2,활동내용입력!$B$4:$F$63,5,FALSE),""),"")</f>
        <v/>
      </c>
      <c r="CW7" s="41" t="str">
        <f>IFERROR(IF(AO7=1,VLOOKUP(AO$2,활동내용입력!$B$4:$F$63,5,FALSE),""),"")</f>
        <v/>
      </c>
      <c r="CX7" s="41" t="str">
        <f>IFERROR(IF(AP7=1,VLOOKUP(AP$2,활동내용입력!$B$4:$F$63,5,FALSE),""),"")</f>
        <v/>
      </c>
      <c r="CY7" s="41" t="str">
        <f>IFERROR(IF(AQ7=1,VLOOKUP(AQ$2,활동내용입력!$B$4:$F$63,5,FALSE),""),"")</f>
        <v/>
      </c>
      <c r="CZ7" s="41" t="str">
        <f>IFERROR(IF(AR7=1,VLOOKUP(AR$2,활동내용입력!$B$4:$F$63,5,FALSE),""),"")</f>
        <v/>
      </c>
      <c r="DA7" s="41" t="str">
        <f>IFERROR(IF(AS7=1,VLOOKUP(AS$2,활동내용입력!$B$4:$F$63,5,FALSE),""),"")</f>
        <v/>
      </c>
      <c r="DB7" s="41" t="str">
        <f>IFERROR(IF(AT7=1,VLOOKUP(AT$2,활동내용입력!$B$4:$F$63,5,FALSE),""),"")</f>
        <v/>
      </c>
      <c r="DC7" s="41" t="str">
        <f>IFERROR(IF(AU7=1,VLOOKUP(AU$2,활동내용입력!$B$4:$F$63,5,FALSE),""),"")</f>
        <v/>
      </c>
      <c r="DD7" s="41" t="str">
        <f>IFERROR(IF(AV7=1,VLOOKUP(AV$2,활동내용입력!$B$4:$F$63,5,FALSE),""),"")</f>
        <v/>
      </c>
      <c r="DE7" s="41" t="str">
        <f>IFERROR(IF(AW7=1,VLOOKUP(AW$2,활동내용입력!$B$4:$F$63,5,FALSE),""),"")</f>
        <v/>
      </c>
      <c r="DF7" s="41" t="str">
        <f>IFERROR(IF(AX7=1,VLOOKUP(AX$2,활동내용입력!$B$4:$F$63,5,FALSE),""),"")</f>
        <v/>
      </c>
      <c r="DG7" s="41" t="str">
        <f>IFERROR(IF(AY7=1,VLOOKUP(AY$2,활동내용입력!$B$4:$F$63,5,FALSE),""),"")</f>
        <v/>
      </c>
      <c r="DH7" s="41" t="str">
        <f>IFERROR(IF(AZ7=1,VLOOKUP(AZ$2,활동내용입력!$B$4:$F$63,5,FALSE),""),"")</f>
        <v/>
      </c>
      <c r="DI7" s="41" t="str">
        <f>IFERROR(IF(BA7=1,VLOOKUP(BA$2,활동내용입력!$B$4:$F$63,5,FALSE),""),"")</f>
        <v/>
      </c>
      <c r="DJ7" s="41" t="str">
        <f>IFERROR(IF(BB7=1,VLOOKUP(BB$2,활동내용입력!$B$4:$F$63,5,FALSE),""),"")</f>
        <v/>
      </c>
      <c r="DK7" s="41" t="str">
        <f>IFERROR(IF(BC7=1,VLOOKUP(BC$2,활동내용입력!$B$4:$F$63,5,FALSE),""),"")</f>
        <v/>
      </c>
      <c r="DL7" s="41" t="str">
        <f>IFERROR(IF(BD7=1,VLOOKUP(BD$2,활동내용입력!$B$4:$F$63,5,FALSE),""),"")</f>
        <v/>
      </c>
      <c r="DM7" s="41" t="str">
        <f>IFERROR(IF(BE7=1,VLOOKUP(BE$2,활동내용입력!$B$4:$F$63,5,FALSE),""),"")</f>
        <v/>
      </c>
      <c r="DN7" s="41" t="str">
        <f>IFERROR(IF(BF7=1,VLOOKUP(BF$2,활동내용입력!$B$4:$F$63,5,FALSE),""),"")</f>
        <v/>
      </c>
      <c r="DO7" s="41" t="str">
        <f>IFERROR(IF(BG7=1,VLOOKUP(BG$2,활동내용입력!$B$4:$F$63,5,FALSE),""),"")</f>
        <v/>
      </c>
      <c r="DP7" s="41" t="str">
        <f>IFERROR(IF(BH7=1,VLOOKUP(BH$2,활동내용입력!$B$4:$F$63,5,FALSE),""),"")</f>
        <v/>
      </c>
      <c r="DQ7" s="41" t="str">
        <f>IFERROR(IF(BI7=1,VLOOKUP(BI$2,활동내용입력!$B$4:$F$63,5,FALSE),""),"")</f>
        <v/>
      </c>
      <c r="DR7" s="41" t="str">
        <f>IFERROR(IF(BJ7=1,VLOOKUP(BJ$2,활동내용입력!$B$4:$F$63,5,FALSE),""),"")</f>
        <v/>
      </c>
      <c r="DS7" s="41" t="str">
        <f t="shared" si="7"/>
        <v xml:space="preserve">생명존중교육(2019.03.08., 2019.03.29., 2019.09.06., 2019.11.15.)을 통해 청소년들의 자살에 대한 심리적 상태를 이해하고 힘들어 하는 주변 친구들에게 따뜻한 배려와 도움이 절실히 필요함을 느꼈으며 생명의 소중함을 다시 한번 깨닫는 기회를 가지게 됨.
안전교육(2019.03.15., 2019.06.14., 2019.07.19., 2019.08.30., 2019.12.27., 2020.01.03., 2020.01.10.)을 통해 화재, 물놀이, 빙상 등 일상생활에서 일어날 수 있는 안전사고에 대한 예방법과 사고 시 대처방법을 확인하고 실천할 수 있게 됨.
학교폭력 예방교육(2019.03.15., 2019.05.31., 2019.10.18., 2019.12.13., 2020.01.03.)을 통해 학교폭력의 심각성을 알게 되었으며 자신의 인권이 소중한 것처럼 타인의 인권도 소중함을 깨닫고 실천하는 계기가 됨.
학급회의(2019.03.15, 2019.03.29., 2019.07.12.)를 통해 학급의 문제들을 해결하기위한 의사결정과정에 적극적으로 참여함.
다문화교육(2019.03.22., 2019.09.20.)을 통해 우리 나라와 다른 나라의 문화를 함께 나눔으로써 지구촌의 평화와 번영을 함께 누릴 수 있다는 사실을 새삼 깨달은 계기가 됨. 
흡연, 음주 등 약물 오남용 예방교육(2019.04.05., 2019.05.10, 2019.07.05., 2019.07.12., 2019.07.19., 2019.11.08., 2019.12.06., 2020.01.03.)을 통해 흡연과 음주 등 약물 오남용의 폐해를 인식하고 자신의 건강을 위해 흡연과 음주와 같은 행위를 하지 않겠다고 다짐함.
장애인이해교육(2019.04.19., 2019.11.29.)을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
안전교육(2019.05.10., 2019.05.24., 2019.07.22.)을 통해 교통안전사고를 예방할 수 있는 수칙에 대한 인식을 일깨우고 실천하고자 하는 마음을 다지게 됨.
518 광주민주화운동 교육(2019.05.17.)을 통해 민주화 운동이 일어나게 된 배경을 이해하고, 독재에 맞서 싸우다 억울하게 죽어간 수많은 시민들을 추모하는 시간을 가짐.
자기주도진로체험활동(2019.06.19.-2019.06.21.)에서 계획 수립부터 진행과정까지 적극적으로 참여함.
성폭력예방교육(2019.06.28., 2019.10.25., 2019.12.20.)을 통해 이성교제 시 지켜야 할 기본수칙을 배우고 성희롱 및 성폭력의 예방방법과 성적자기결정권의 중요성을 인식하게 됨.
인권교육(2019.12.24.)에 참여하여 인권을 침해 받은 사람들에 대해 마음 아파하고 함께 해결해 나가려 하는 마음을 갖게 됨.
</v>
      </c>
      <c r="DT7" s="42">
        <f t="shared" si="6"/>
        <v>12</v>
      </c>
      <c r="DU7" s="34"/>
    </row>
    <row r="8" spans="1:125" x14ac:dyDescent="0.3">
      <c r="A8" s="58">
        <v>4</v>
      </c>
      <c r="B8" s="57" t="s">
        <v>245</v>
      </c>
      <c r="C8" s="40"/>
      <c r="D8" s="40"/>
      <c r="E8" s="40"/>
      <c r="F8" s="40"/>
      <c r="G8" s="40">
        <v>1</v>
      </c>
      <c r="H8" s="40">
        <v>1</v>
      </c>
      <c r="I8" s="40">
        <v>1</v>
      </c>
      <c r="J8" s="40">
        <v>1</v>
      </c>
      <c r="K8" s="40">
        <v>1</v>
      </c>
      <c r="L8" s="40">
        <v>1</v>
      </c>
      <c r="M8" s="40">
        <v>1</v>
      </c>
      <c r="N8" s="40">
        <v>1</v>
      </c>
      <c r="O8" s="40">
        <v>1</v>
      </c>
      <c r="P8" s="40">
        <v>1</v>
      </c>
      <c r="Q8" s="40">
        <v>1</v>
      </c>
      <c r="R8" s="40">
        <v>1</v>
      </c>
      <c r="S8" s="40"/>
      <c r="T8" s="40"/>
      <c r="U8" s="40"/>
      <c r="V8" s="40"/>
      <c r="W8" s="40"/>
      <c r="X8" s="40"/>
      <c r="Y8" s="40"/>
      <c r="Z8" s="40"/>
      <c r="AA8" s="40"/>
      <c r="AB8" s="40"/>
      <c r="AC8" s="40"/>
      <c r="AD8" s="40"/>
      <c r="AE8" s="40"/>
      <c r="AF8" s="40"/>
      <c r="AG8" s="40"/>
      <c r="AH8" s="40"/>
      <c r="AI8" s="40"/>
      <c r="AJ8" s="40"/>
      <c r="AK8" s="40"/>
      <c r="AL8" s="40"/>
      <c r="AM8" s="40"/>
      <c r="AN8" s="40"/>
      <c r="AO8" s="40"/>
      <c r="AP8" s="40"/>
      <c r="AQ8" s="40"/>
      <c r="AR8" s="40"/>
      <c r="AS8" s="40"/>
      <c r="AT8" s="40"/>
      <c r="AU8" s="40"/>
      <c r="AV8" s="40"/>
      <c r="AW8" s="40"/>
      <c r="AX8" s="40"/>
      <c r="AY8" s="40"/>
      <c r="AZ8" s="40"/>
      <c r="BA8" s="40"/>
      <c r="BB8" s="40"/>
      <c r="BC8" s="40"/>
      <c r="BD8" s="40"/>
      <c r="BE8" s="40"/>
      <c r="BF8" s="40"/>
      <c r="BG8" s="40"/>
      <c r="BH8" s="40"/>
      <c r="BI8" s="40"/>
      <c r="BJ8" s="40"/>
      <c r="BK8" s="41" t="str">
        <f>IFERROR(IF(C8=1,VLOOKUP(C$2,활동내용입력!$B$4:$F$63,5,FALSE),""),"")</f>
        <v/>
      </c>
      <c r="BL8" s="41" t="str">
        <f>IFERROR(IF(D8=1,VLOOKUP(D$2,활동내용입력!$B$4:$F$63,5,FALSE),""),"")</f>
        <v/>
      </c>
      <c r="BM8" s="41" t="str">
        <f>IFERROR(IF(E8=1,VLOOKUP(E$2,활동내용입력!$B$4:$F$63,5,FALSE),""),"")</f>
        <v/>
      </c>
      <c r="BN8" s="41" t="str">
        <f>IFERROR(IF(F8=1,VLOOKUP(F$2,활동내용입력!$B$4:$F$63,5,FALSE),""),"")</f>
        <v/>
      </c>
      <c r="BO8" s="41" t="str">
        <f>IFERROR(IF(G8=1,VLOOKUP(G$2,활동내용입력!$B$4:$F$63,5,FALSE),""),"")</f>
        <v>생명존중교육(2019.03.08., 2019.03.29., 2019.09.06., 2019.11.15.)을 통해 청소년들의 자살에 대한 심리적 상태를 이해하고 힘들어 하는 주변 친구들에게 따뜻한 배려와 도움이 절실히 필요함을 느꼈으며 생명의 소중함을 다시 한번 깨닫는 기회를 가지게 됨.</v>
      </c>
      <c r="BP8" s="41" t="str">
        <f>IFERROR(IF(H8=1,VLOOKUP(H$2,활동내용입력!$B$4:$F$63,5,FALSE),""),"")</f>
        <v>안전교육(2019.03.15., 2019.06.14., 2019.07.19., 2019.08.30., 2019.12.27., 2020.01.03., 2020.01.10.)을 통해 화재, 물놀이, 빙상 등 일상생활에서 일어날 수 있는 안전사고에 대한 예방법과 사고 시 대처방법을 확인하고 실천할 수 있게 됨.</v>
      </c>
      <c r="BQ8" s="41" t="str">
        <f>IFERROR(IF(I8=1,VLOOKUP(I$2,활동내용입력!$B$4:$F$63,5,FALSE),""),"")</f>
        <v>학교폭력 예방교육(2019.03.15., 2019.05.31., 2019.10.18., 2019.12.13., 2020.01.03.)을 통해 학교폭력의 심각성을 알게 되었으며 자신의 인권이 소중한 것처럼 타인의 인권도 소중함을 깨닫고 실천하는 계기가 됨.</v>
      </c>
      <c r="BR8" s="41" t="str">
        <f>IFERROR(IF(J8=1,VLOOKUP(J$2,활동내용입력!$B$4:$F$63,5,FALSE),""),"")</f>
        <v>학급회의(2019.03.15, 2019.03.29., 2019.07.12.)를 통해 학급의 문제들을 해결하기위한 의사결정과정에 적극적으로 참여함.</v>
      </c>
      <c r="BS8" s="41" t="str">
        <f>IFERROR(IF(K8=1,VLOOKUP(K$2,활동내용입력!$B$4:$F$63,5,FALSE),""),"")</f>
        <v xml:space="preserve">다문화교육(2019.03.22., 2019.09.20.)을 통해 우리 나라와 다른 나라의 문화를 함께 나눔으로써 지구촌의 평화와 번영을 함께 누릴 수 있다는 사실을 새삼 깨달은 계기가 됨. </v>
      </c>
      <c r="BT8" s="41" t="str">
        <f>IFERROR(IF(L8=1,VLOOKUP(L$2,활동내용입력!$B$4:$F$63,5,FALSE),""),"")</f>
        <v>흡연, 음주 등 약물 오남용 예방교육(2019.04.05., 2019.05.10, 2019.07.05., 2019.07.12., 2019.07.19., 2019.11.08., 2019.12.06., 2020.01.03.)을 통해 흡연과 음주 등 약물 오남용의 폐해를 인식하고 자신의 건강을 위해 흡연과 음주와 같은 행위를 하지 않겠다고 다짐함.</v>
      </c>
      <c r="BU8" s="41" t="str">
        <f>IFERROR(IF(M8=1,VLOOKUP(M$2,활동내용입력!$B$4:$F$63,5,FALSE),""),"")</f>
        <v>장애인이해교육(2019.04.19., 2019.11.29.)을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v>
      </c>
      <c r="BV8" s="41" t="str">
        <f>IFERROR(IF(N8=1,VLOOKUP(N$2,활동내용입력!$B$4:$F$63,5,FALSE),""),"")</f>
        <v>안전교육(2019.05.10., 2019.05.24., 2019.07.22.)을 통해 교통안전사고를 예방할 수 있는 수칙에 대한 인식을 일깨우고 실천하고자 하는 마음을 다지게 됨.</v>
      </c>
      <c r="BW8" s="41" t="str">
        <f>IFERROR(IF(O8=1,VLOOKUP(O$2,활동내용입력!$B$4:$F$63,5,FALSE),""),"")</f>
        <v>518 광주민주화운동 교육(2019.05.17.)을 통해 민주화 운동이 일어나게 된 배경을 이해하고, 독재에 맞서 싸우다 억울하게 죽어간 수많은 시민들을 추모하는 시간을 가짐.</v>
      </c>
      <c r="BX8" s="41" t="str">
        <f>IFERROR(IF(P8=1,VLOOKUP(P$2,활동내용입력!$B$4:$F$63,5,FALSE),""),"")</f>
        <v>자기주도진로체험활동(2019.06.19.-2019.06.21.)에서 계획 수립부터 진행과정까지 적극적으로 참여함.</v>
      </c>
      <c r="BY8" s="41" t="str">
        <f>IFERROR(IF(Q8=1,VLOOKUP(Q$2,활동내용입력!$B$4:$F$63,5,FALSE),""),"")</f>
        <v>성폭력예방교육(2019.06.28., 2019.10.25., 2019.12.20.)을 통해 이성교제 시 지켜야 할 기본수칙을 배우고 성희롱 및 성폭력의 예방방법과 성적자기결정권의 중요성을 인식하게 됨.</v>
      </c>
      <c r="BZ8" s="41" t="str">
        <f>IFERROR(IF(R8=1,VLOOKUP(R$2,활동내용입력!$B$4:$F$63,5,FALSE),""),"")</f>
        <v>인권교육(2019.12.24.)에 참여하여 인권을 침해 받은 사람들에 대해 마음 아파하고 함께 해결해 나가려 하는 마음을 갖게 됨.</v>
      </c>
      <c r="CA8" s="41" t="str">
        <f>IFERROR(IF(S8=1,VLOOKUP(S$2,활동내용입력!$B$4:$F$63,5,FALSE),""),"")</f>
        <v/>
      </c>
      <c r="CB8" s="41" t="str">
        <f>IFERROR(IF(T8=1,VLOOKUP(T$2,활동내용입력!$B$4:$F$63,5,FALSE),""),"")</f>
        <v/>
      </c>
      <c r="CC8" s="41" t="str">
        <f>IFERROR(IF(U8=1,VLOOKUP(U$2,활동내용입력!$B$4:$F$63,5,FALSE),""),"")</f>
        <v/>
      </c>
      <c r="CD8" s="41" t="str">
        <f>IFERROR(IF(V8=1,VLOOKUP(V$2,활동내용입력!$B$4:$F$63,5,FALSE),""),"")</f>
        <v/>
      </c>
      <c r="CE8" s="41" t="str">
        <f>IFERROR(IF(W8=1,VLOOKUP(W$2,활동내용입력!$B$4:$F$63,5,FALSE),""),"")</f>
        <v/>
      </c>
      <c r="CF8" s="41" t="str">
        <f>IFERROR(IF(X8=1,VLOOKUP(X$2,활동내용입력!$B$4:$F$63,5,FALSE),""),"")</f>
        <v/>
      </c>
      <c r="CG8" s="41" t="str">
        <f>IFERROR(IF(Y8=1,VLOOKUP(Y$2,활동내용입력!$B$4:$F$63,5,FALSE),""),"")</f>
        <v/>
      </c>
      <c r="CH8" s="41" t="str">
        <f>IFERROR(IF(Z8=1,VLOOKUP(Z$2,활동내용입력!$B$4:$F$63,5,FALSE),""),"")</f>
        <v/>
      </c>
      <c r="CI8" s="41" t="str">
        <f>IFERROR(IF(AA8=1,VLOOKUP(AA$2,활동내용입력!$B$4:$F$63,5,FALSE),""),"")</f>
        <v/>
      </c>
      <c r="CJ8" s="41" t="str">
        <f>IFERROR(IF(AB8=1,VLOOKUP(AB$2,활동내용입력!$B$4:$F$63,5,FALSE),""),"")</f>
        <v/>
      </c>
      <c r="CK8" s="41" t="str">
        <f>IFERROR(IF(AC8=1,VLOOKUP(AC$2,활동내용입력!$B$4:$F$63,5,FALSE),""),"")</f>
        <v/>
      </c>
      <c r="CL8" s="41" t="str">
        <f>IFERROR(IF(AD8=1,VLOOKUP(AD$2,활동내용입력!$B$4:$F$63,5,FALSE),""),"")</f>
        <v/>
      </c>
      <c r="CM8" s="41" t="str">
        <f>IFERROR(IF(AE8=1,VLOOKUP(AE$2,활동내용입력!$B$4:$F$63,5,FALSE),""),"")</f>
        <v/>
      </c>
      <c r="CN8" s="41" t="str">
        <f>IFERROR(IF(AF8=1,VLOOKUP(AF$2,활동내용입력!$B$4:$F$63,5,FALSE),""),"")</f>
        <v/>
      </c>
      <c r="CO8" s="41" t="str">
        <f>IFERROR(IF(AG8=1,VLOOKUP(AG$2,활동내용입력!$B$4:$F$63,5,FALSE),""),"")</f>
        <v/>
      </c>
      <c r="CP8" s="41" t="str">
        <f>IFERROR(IF(AH8=1,VLOOKUP(AH$2,활동내용입력!$B$4:$F$63,5,FALSE),""),"")</f>
        <v/>
      </c>
      <c r="CQ8" s="41" t="str">
        <f>IFERROR(IF(AI8=1,VLOOKUP(AI$2,활동내용입력!$B$4:$F$63,5,FALSE),""),"")</f>
        <v/>
      </c>
      <c r="CR8" s="41" t="str">
        <f>IFERROR(IF(AJ8=1,VLOOKUP(AJ$2,활동내용입력!$B$4:$F$63,5,FALSE),""),"")</f>
        <v/>
      </c>
      <c r="CS8" s="41" t="str">
        <f>IFERROR(IF(AK8=1,VLOOKUP(AK$2,활동내용입력!$B$4:$F$63,5,FALSE),""),"")</f>
        <v/>
      </c>
      <c r="CT8" s="41" t="str">
        <f>IFERROR(IF(AL8=1,VLOOKUP(AL$2,활동내용입력!$B$4:$F$63,5,FALSE),""),"")</f>
        <v/>
      </c>
      <c r="CU8" s="41" t="str">
        <f>IFERROR(IF(AM8=1,VLOOKUP(AM$2,활동내용입력!$B$4:$F$63,5,FALSE),""),"")</f>
        <v/>
      </c>
      <c r="CV8" s="41" t="str">
        <f>IFERROR(IF(AN8=1,VLOOKUP(AN$2,활동내용입력!$B$4:$F$63,5,FALSE),""),"")</f>
        <v/>
      </c>
      <c r="CW8" s="41" t="str">
        <f>IFERROR(IF(AO8=1,VLOOKUP(AO$2,활동내용입력!$B$4:$F$63,5,FALSE),""),"")</f>
        <v/>
      </c>
      <c r="CX8" s="41" t="str">
        <f>IFERROR(IF(AP8=1,VLOOKUP(AP$2,활동내용입력!$B$4:$F$63,5,FALSE),""),"")</f>
        <v/>
      </c>
      <c r="CY8" s="41" t="str">
        <f>IFERROR(IF(AQ8=1,VLOOKUP(AQ$2,활동내용입력!$B$4:$F$63,5,FALSE),""),"")</f>
        <v/>
      </c>
      <c r="CZ8" s="41" t="str">
        <f>IFERROR(IF(AR8=1,VLOOKUP(AR$2,활동내용입력!$B$4:$F$63,5,FALSE),""),"")</f>
        <v/>
      </c>
      <c r="DA8" s="41" t="str">
        <f>IFERROR(IF(AS8=1,VLOOKUP(AS$2,활동내용입력!$B$4:$F$63,5,FALSE),""),"")</f>
        <v/>
      </c>
      <c r="DB8" s="41" t="str">
        <f>IFERROR(IF(AT8=1,VLOOKUP(AT$2,활동내용입력!$B$4:$F$63,5,FALSE),""),"")</f>
        <v/>
      </c>
      <c r="DC8" s="41" t="str">
        <f>IFERROR(IF(AU8=1,VLOOKUP(AU$2,활동내용입력!$B$4:$F$63,5,FALSE),""),"")</f>
        <v/>
      </c>
      <c r="DD8" s="41" t="str">
        <f>IFERROR(IF(AV8=1,VLOOKUP(AV$2,활동내용입력!$B$4:$F$63,5,FALSE),""),"")</f>
        <v/>
      </c>
      <c r="DE8" s="41" t="str">
        <f>IFERROR(IF(AW8=1,VLOOKUP(AW$2,활동내용입력!$B$4:$F$63,5,FALSE),""),"")</f>
        <v/>
      </c>
      <c r="DF8" s="41" t="str">
        <f>IFERROR(IF(AX8=1,VLOOKUP(AX$2,활동내용입력!$B$4:$F$63,5,FALSE),""),"")</f>
        <v/>
      </c>
      <c r="DG8" s="41" t="str">
        <f>IFERROR(IF(AY8=1,VLOOKUP(AY$2,활동내용입력!$B$4:$F$63,5,FALSE),""),"")</f>
        <v/>
      </c>
      <c r="DH8" s="41" t="str">
        <f>IFERROR(IF(AZ8=1,VLOOKUP(AZ$2,활동내용입력!$B$4:$F$63,5,FALSE),""),"")</f>
        <v/>
      </c>
      <c r="DI8" s="41" t="str">
        <f>IFERROR(IF(BA8=1,VLOOKUP(BA$2,활동내용입력!$B$4:$F$63,5,FALSE),""),"")</f>
        <v/>
      </c>
      <c r="DJ8" s="41" t="str">
        <f>IFERROR(IF(BB8=1,VLOOKUP(BB$2,활동내용입력!$B$4:$F$63,5,FALSE),""),"")</f>
        <v/>
      </c>
      <c r="DK8" s="41" t="str">
        <f>IFERROR(IF(BC8=1,VLOOKUP(BC$2,활동내용입력!$B$4:$F$63,5,FALSE),""),"")</f>
        <v/>
      </c>
      <c r="DL8" s="41" t="str">
        <f>IFERROR(IF(BD8=1,VLOOKUP(BD$2,활동내용입력!$B$4:$F$63,5,FALSE),""),"")</f>
        <v/>
      </c>
      <c r="DM8" s="41" t="str">
        <f>IFERROR(IF(BE8=1,VLOOKUP(BE$2,활동내용입력!$B$4:$F$63,5,FALSE),""),"")</f>
        <v/>
      </c>
      <c r="DN8" s="41" t="str">
        <f>IFERROR(IF(BF8=1,VLOOKUP(BF$2,활동내용입력!$B$4:$F$63,5,FALSE),""),"")</f>
        <v/>
      </c>
      <c r="DO8" s="41" t="str">
        <f>IFERROR(IF(BG8=1,VLOOKUP(BG$2,활동내용입력!$B$4:$F$63,5,FALSE),""),"")</f>
        <v/>
      </c>
      <c r="DP8" s="41" t="str">
        <f>IFERROR(IF(BH8=1,VLOOKUP(BH$2,활동내용입력!$B$4:$F$63,5,FALSE),""),"")</f>
        <v/>
      </c>
      <c r="DQ8" s="41" t="str">
        <f>IFERROR(IF(BI8=1,VLOOKUP(BI$2,활동내용입력!$B$4:$F$63,5,FALSE),""),"")</f>
        <v/>
      </c>
      <c r="DR8" s="41" t="str">
        <f>IFERROR(IF(BJ8=1,VLOOKUP(BJ$2,활동내용입력!$B$4:$F$63,5,FALSE),""),"")</f>
        <v/>
      </c>
      <c r="DS8" s="41" t="str">
        <f t="shared" si="7"/>
        <v xml:space="preserve">생명존중교육(2019.03.08., 2019.03.29., 2019.09.06., 2019.11.15.)을 통해 청소년들의 자살에 대한 심리적 상태를 이해하고 힘들어 하는 주변 친구들에게 따뜻한 배려와 도움이 절실히 필요함을 느꼈으며 생명의 소중함을 다시 한번 깨닫는 기회를 가지게 됨.
안전교육(2019.03.15., 2019.06.14., 2019.07.19., 2019.08.30., 2019.12.27., 2020.01.03., 2020.01.10.)을 통해 화재, 물놀이, 빙상 등 일상생활에서 일어날 수 있는 안전사고에 대한 예방법과 사고 시 대처방법을 확인하고 실천할 수 있게 됨.
학교폭력 예방교육(2019.03.15., 2019.05.31., 2019.10.18., 2019.12.13., 2020.01.03.)을 통해 학교폭력의 심각성을 알게 되었으며 자신의 인권이 소중한 것처럼 타인의 인권도 소중함을 깨닫고 실천하는 계기가 됨.
학급회의(2019.03.15, 2019.03.29., 2019.07.12.)를 통해 학급의 문제들을 해결하기위한 의사결정과정에 적극적으로 참여함.
다문화교육(2019.03.22., 2019.09.20.)을 통해 우리 나라와 다른 나라의 문화를 함께 나눔으로써 지구촌의 평화와 번영을 함께 누릴 수 있다는 사실을 새삼 깨달은 계기가 됨. 
흡연, 음주 등 약물 오남용 예방교육(2019.04.05., 2019.05.10, 2019.07.05., 2019.07.12., 2019.07.19., 2019.11.08., 2019.12.06., 2020.01.03.)을 통해 흡연과 음주 등 약물 오남용의 폐해를 인식하고 자신의 건강을 위해 흡연과 음주와 같은 행위를 하지 않겠다고 다짐함.
장애인이해교육(2019.04.19., 2019.11.29.)을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
안전교육(2019.05.10., 2019.05.24., 2019.07.22.)을 통해 교통안전사고를 예방할 수 있는 수칙에 대한 인식을 일깨우고 실천하고자 하는 마음을 다지게 됨.
518 광주민주화운동 교육(2019.05.17.)을 통해 민주화 운동이 일어나게 된 배경을 이해하고, 독재에 맞서 싸우다 억울하게 죽어간 수많은 시민들을 추모하는 시간을 가짐.
자기주도진로체험활동(2019.06.19.-2019.06.21.)에서 계획 수립부터 진행과정까지 적극적으로 참여함.
성폭력예방교육(2019.06.28., 2019.10.25., 2019.12.20.)을 통해 이성교제 시 지켜야 할 기본수칙을 배우고 성희롱 및 성폭력의 예방방법과 성적자기결정권의 중요성을 인식하게 됨.
인권교육(2019.12.24.)에 참여하여 인권을 침해 받은 사람들에 대해 마음 아파하고 함께 해결해 나가려 하는 마음을 갖게 됨.
</v>
      </c>
      <c r="DT8" s="42">
        <f t="shared" si="6"/>
        <v>12</v>
      </c>
      <c r="DU8" s="34"/>
    </row>
    <row r="9" spans="1:125" x14ac:dyDescent="0.3">
      <c r="A9" s="58">
        <v>5</v>
      </c>
      <c r="B9" s="57" t="s">
        <v>246</v>
      </c>
      <c r="C9" s="40"/>
      <c r="D9" s="40"/>
      <c r="E9" s="40"/>
      <c r="F9" s="40"/>
      <c r="G9" s="40">
        <v>1</v>
      </c>
      <c r="H9" s="40">
        <v>1</v>
      </c>
      <c r="I9" s="40">
        <v>1</v>
      </c>
      <c r="J9" s="40">
        <v>1</v>
      </c>
      <c r="K9" s="40">
        <v>1</v>
      </c>
      <c r="L9" s="40">
        <v>1</v>
      </c>
      <c r="M9" s="40">
        <v>1</v>
      </c>
      <c r="N9" s="40">
        <v>1</v>
      </c>
      <c r="O9" s="40">
        <v>1</v>
      </c>
      <c r="P9" s="40">
        <v>1</v>
      </c>
      <c r="Q9" s="40">
        <v>1</v>
      </c>
      <c r="R9" s="40">
        <v>1</v>
      </c>
      <c r="S9" s="40"/>
      <c r="T9" s="40"/>
      <c r="U9" s="40"/>
      <c r="V9" s="40"/>
      <c r="W9" s="40"/>
      <c r="X9" s="40"/>
      <c r="Y9" s="40"/>
      <c r="Z9" s="40"/>
      <c r="AA9" s="40"/>
      <c r="AB9" s="40"/>
      <c r="AC9" s="40"/>
      <c r="AD9" s="40"/>
      <c r="AE9" s="40"/>
      <c r="AF9" s="40"/>
      <c r="AG9" s="40"/>
      <c r="AH9" s="40"/>
      <c r="AI9" s="40"/>
      <c r="AJ9" s="40"/>
      <c r="AK9" s="40"/>
      <c r="AL9" s="40"/>
      <c r="AM9" s="40"/>
      <c r="AN9" s="40"/>
      <c r="AO9" s="40"/>
      <c r="AP9" s="40"/>
      <c r="AQ9" s="40"/>
      <c r="AR9" s="40"/>
      <c r="AS9" s="40"/>
      <c r="AT9" s="40"/>
      <c r="AU9" s="40"/>
      <c r="AV9" s="40"/>
      <c r="AW9" s="40"/>
      <c r="AX9" s="40"/>
      <c r="AY9" s="40"/>
      <c r="AZ9" s="40"/>
      <c r="BA9" s="40"/>
      <c r="BB9" s="40"/>
      <c r="BC9" s="40"/>
      <c r="BD9" s="40"/>
      <c r="BE9" s="40"/>
      <c r="BF9" s="40"/>
      <c r="BG9" s="40"/>
      <c r="BH9" s="40"/>
      <c r="BI9" s="40"/>
      <c r="BJ9" s="40"/>
      <c r="BK9" s="41" t="str">
        <f>IFERROR(IF(C9=1,VLOOKUP(C$2,활동내용입력!$B$4:$F$63,5,FALSE),""),"")</f>
        <v/>
      </c>
      <c r="BL9" s="41" t="str">
        <f>IFERROR(IF(D9=1,VLOOKUP(D$2,활동내용입력!$B$4:$F$63,5,FALSE),""),"")</f>
        <v/>
      </c>
      <c r="BM9" s="41" t="str">
        <f>IFERROR(IF(E9=1,VLOOKUP(E$2,활동내용입력!$B$4:$F$63,5,FALSE),""),"")</f>
        <v/>
      </c>
      <c r="BN9" s="41" t="str">
        <f>IFERROR(IF(F9=1,VLOOKUP(F$2,활동내용입력!$B$4:$F$63,5,FALSE),""),"")</f>
        <v/>
      </c>
      <c r="BO9" s="41" t="str">
        <f>IFERROR(IF(G9=1,VLOOKUP(G$2,활동내용입력!$B$4:$F$63,5,FALSE),""),"")</f>
        <v>생명존중교육(2019.03.08., 2019.03.29., 2019.09.06., 2019.11.15.)을 통해 청소년들의 자살에 대한 심리적 상태를 이해하고 힘들어 하는 주변 친구들에게 따뜻한 배려와 도움이 절실히 필요함을 느꼈으며 생명의 소중함을 다시 한번 깨닫는 기회를 가지게 됨.</v>
      </c>
      <c r="BP9" s="41" t="str">
        <f>IFERROR(IF(H9=1,VLOOKUP(H$2,활동내용입력!$B$4:$F$63,5,FALSE),""),"")</f>
        <v>안전교육(2019.03.15., 2019.06.14., 2019.07.19., 2019.08.30., 2019.12.27., 2020.01.03., 2020.01.10.)을 통해 화재, 물놀이, 빙상 등 일상생활에서 일어날 수 있는 안전사고에 대한 예방법과 사고 시 대처방법을 확인하고 실천할 수 있게 됨.</v>
      </c>
      <c r="BQ9" s="41" t="str">
        <f>IFERROR(IF(I9=1,VLOOKUP(I$2,활동내용입력!$B$4:$F$63,5,FALSE),""),"")</f>
        <v>학교폭력 예방교육(2019.03.15., 2019.05.31., 2019.10.18., 2019.12.13., 2020.01.03.)을 통해 학교폭력의 심각성을 알게 되었으며 자신의 인권이 소중한 것처럼 타인의 인권도 소중함을 깨닫고 실천하는 계기가 됨.</v>
      </c>
      <c r="BR9" s="41" t="str">
        <f>IFERROR(IF(J9=1,VLOOKUP(J$2,활동내용입력!$B$4:$F$63,5,FALSE),""),"")</f>
        <v>학급회의(2019.03.15, 2019.03.29., 2019.07.12.)를 통해 학급의 문제들을 해결하기위한 의사결정과정에 적극적으로 참여함.</v>
      </c>
      <c r="BS9" s="41" t="str">
        <f>IFERROR(IF(K9=1,VLOOKUP(K$2,활동내용입력!$B$4:$F$63,5,FALSE),""),"")</f>
        <v xml:space="preserve">다문화교육(2019.03.22., 2019.09.20.)을 통해 우리 나라와 다른 나라의 문화를 함께 나눔으로써 지구촌의 평화와 번영을 함께 누릴 수 있다는 사실을 새삼 깨달은 계기가 됨. </v>
      </c>
      <c r="BT9" s="41" t="str">
        <f>IFERROR(IF(L9=1,VLOOKUP(L$2,활동내용입력!$B$4:$F$63,5,FALSE),""),"")</f>
        <v>흡연, 음주 등 약물 오남용 예방교육(2019.04.05., 2019.05.10, 2019.07.05., 2019.07.12., 2019.07.19., 2019.11.08., 2019.12.06., 2020.01.03.)을 통해 흡연과 음주 등 약물 오남용의 폐해를 인식하고 자신의 건강을 위해 흡연과 음주와 같은 행위를 하지 않겠다고 다짐함.</v>
      </c>
      <c r="BU9" s="41" t="str">
        <f>IFERROR(IF(M9=1,VLOOKUP(M$2,활동내용입력!$B$4:$F$63,5,FALSE),""),"")</f>
        <v>장애인이해교육(2019.04.19., 2019.11.29.)을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v>
      </c>
      <c r="BV9" s="41" t="str">
        <f>IFERROR(IF(N9=1,VLOOKUP(N$2,활동내용입력!$B$4:$F$63,5,FALSE),""),"")</f>
        <v>안전교육(2019.05.10., 2019.05.24., 2019.07.22.)을 통해 교통안전사고를 예방할 수 있는 수칙에 대한 인식을 일깨우고 실천하고자 하는 마음을 다지게 됨.</v>
      </c>
      <c r="BW9" s="41" t="str">
        <f>IFERROR(IF(O9=1,VLOOKUP(O$2,활동내용입력!$B$4:$F$63,5,FALSE),""),"")</f>
        <v>518 광주민주화운동 교육(2019.05.17.)을 통해 민주화 운동이 일어나게 된 배경을 이해하고, 독재에 맞서 싸우다 억울하게 죽어간 수많은 시민들을 추모하는 시간을 가짐.</v>
      </c>
      <c r="BX9" s="41" t="str">
        <f>IFERROR(IF(P9=1,VLOOKUP(P$2,활동내용입력!$B$4:$F$63,5,FALSE),""),"")</f>
        <v>자기주도진로체험활동(2019.06.19.-2019.06.21.)에서 계획 수립부터 진행과정까지 적극적으로 참여함.</v>
      </c>
      <c r="BY9" s="41" t="str">
        <f>IFERROR(IF(Q9=1,VLOOKUP(Q$2,활동내용입력!$B$4:$F$63,5,FALSE),""),"")</f>
        <v>성폭력예방교육(2019.06.28., 2019.10.25., 2019.12.20.)을 통해 이성교제 시 지켜야 할 기본수칙을 배우고 성희롱 및 성폭력의 예방방법과 성적자기결정권의 중요성을 인식하게 됨.</v>
      </c>
      <c r="BZ9" s="41" t="str">
        <f>IFERROR(IF(R9=1,VLOOKUP(R$2,활동내용입력!$B$4:$F$63,5,FALSE),""),"")</f>
        <v>인권교육(2019.12.24.)에 참여하여 인권을 침해 받은 사람들에 대해 마음 아파하고 함께 해결해 나가려 하는 마음을 갖게 됨.</v>
      </c>
      <c r="CA9" s="41" t="str">
        <f>IFERROR(IF(S9=1,VLOOKUP(S$2,활동내용입력!$B$4:$F$63,5,FALSE),""),"")</f>
        <v/>
      </c>
      <c r="CB9" s="41" t="str">
        <f>IFERROR(IF(T9=1,VLOOKUP(T$2,활동내용입력!$B$4:$F$63,5,FALSE),""),"")</f>
        <v/>
      </c>
      <c r="CC9" s="41" t="str">
        <f>IFERROR(IF(U9=1,VLOOKUP(U$2,활동내용입력!$B$4:$F$63,5,FALSE),""),"")</f>
        <v/>
      </c>
      <c r="CD9" s="41" t="str">
        <f>IFERROR(IF(V9=1,VLOOKUP(V$2,활동내용입력!$B$4:$F$63,5,FALSE),""),"")</f>
        <v/>
      </c>
      <c r="CE9" s="41" t="str">
        <f>IFERROR(IF(W9=1,VLOOKUP(W$2,활동내용입력!$B$4:$F$63,5,FALSE),""),"")</f>
        <v/>
      </c>
      <c r="CF9" s="41" t="str">
        <f>IFERROR(IF(X9=1,VLOOKUP(X$2,활동내용입력!$B$4:$F$63,5,FALSE),""),"")</f>
        <v/>
      </c>
      <c r="CG9" s="41" t="str">
        <f>IFERROR(IF(Y9=1,VLOOKUP(Y$2,활동내용입력!$B$4:$F$63,5,FALSE),""),"")</f>
        <v/>
      </c>
      <c r="CH9" s="41" t="str">
        <f>IFERROR(IF(Z9=1,VLOOKUP(Z$2,활동내용입력!$B$4:$F$63,5,FALSE),""),"")</f>
        <v/>
      </c>
      <c r="CI9" s="41" t="str">
        <f>IFERROR(IF(AA9=1,VLOOKUP(AA$2,활동내용입력!$B$4:$F$63,5,FALSE),""),"")</f>
        <v/>
      </c>
      <c r="CJ9" s="41" t="str">
        <f>IFERROR(IF(AB9=1,VLOOKUP(AB$2,활동내용입력!$B$4:$F$63,5,FALSE),""),"")</f>
        <v/>
      </c>
      <c r="CK9" s="41" t="str">
        <f>IFERROR(IF(AC9=1,VLOOKUP(AC$2,활동내용입력!$B$4:$F$63,5,FALSE),""),"")</f>
        <v/>
      </c>
      <c r="CL9" s="41" t="str">
        <f>IFERROR(IF(AD9=1,VLOOKUP(AD$2,활동내용입력!$B$4:$F$63,5,FALSE),""),"")</f>
        <v/>
      </c>
      <c r="CM9" s="41" t="str">
        <f>IFERROR(IF(AE9=1,VLOOKUP(AE$2,활동내용입력!$B$4:$F$63,5,FALSE),""),"")</f>
        <v/>
      </c>
      <c r="CN9" s="41" t="str">
        <f>IFERROR(IF(AF9=1,VLOOKUP(AF$2,활동내용입력!$B$4:$F$63,5,FALSE),""),"")</f>
        <v/>
      </c>
      <c r="CO9" s="41" t="str">
        <f>IFERROR(IF(AG9=1,VLOOKUP(AG$2,활동내용입력!$B$4:$F$63,5,FALSE),""),"")</f>
        <v/>
      </c>
      <c r="CP9" s="41" t="str">
        <f>IFERROR(IF(AH9=1,VLOOKUP(AH$2,활동내용입력!$B$4:$F$63,5,FALSE),""),"")</f>
        <v/>
      </c>
      <c r="CQ9" s="41" t="str">
        <f>IFERROR(IF(AI9=1,VLOOKUP(AI$2,활동내용입력!$B$4:$F$63,5,FALSE),""),"")</f>
        <v/>
      </c>
      <c r="CR9" s="41" t="str">
        <f>IFERROR(IF(AJ9=1,VLOOKUP(AJ$2,활동내용입력!$B$4:$F$63,5,FALSE),""),"")</f>
        <v/>
      </c>
      <c r="CS9" s="41" t="str">
        <f>IFERROR(IF(AK9=1,VLOOKUP(AK$2,활동내용입력!$B$4:$F$63,5,FALSE),""),"")</f>
        <v/>
      </c>
      <c r="CT9" s="41" t="str">
        <f>IFERROR(IF(AL9=1,VLOOKUP(AL$2,활동내용입력!$B$4:$F$63,5,FALSE),""),"")</f>
        <v/>
      </c>
      <c r="CU9" s="41" t="str">
        <f>IFERROR(IF(AM9=1,VLOOKUP(AM$2,활동내용입력!$B$4:$F$63,5,FALSE),""),"")</f>
        <v/>
      </c>
      <c r="CV9" s="41" t="str">
        <f>IFERROR(IF(AN9=1,VLOOKUP(AN$2,활동내용입력!$B$4:$F$63,5,FALSE),""),"")</f>
        <v/>
      </c>
      <c r="CW9" s="41" t="str">
        <f>IFERROR(IF(AO9=1,VLOOKUP(AO$2,활동내용입력!$B$4:$F$63,5,FALSE),""),"")</f>
        <v/>
      </c>
      <c r="CX9" s="41" t="str">
        <f>IFERROR(IF(AP9=1,VLOOKUP(AP$2,활동내용입력!$B$4:$F$63,5,FALSE),""),"")</f>
        <v/>
      </c>
      <c r="CY9" s="41" t="str">
        <f>IFERROR(IF(AQ9=1,VLOOKUP(AQ$2,활동내용입력!$B$4:$F$63,5,FALSE),""),"")</f>
        <v/>
      </c>
      <c r="CZ9" s="41" t="str">
        <f>IFERROR(IF(AR9=1,VLOOKUP(AR$2,활동내용입력!$B$4:$F$63,5,FALSE),""),"")</f>
        <v/>
      </c>
      <c r="DA9" s="41" t="str">
        <f>IFERROR(IF(AS9=1,VLOOKUP(AS$2,활동내용입력!$B$4:$F$63,5,FALSE),""),"")</f>
        <v/>
      </c>
      <c r="DB9" s="41" t="str">
        <f>IFERROR(IF(AT9=1,VLOOKUP(AT$2,활동내용입력!$B$4:$F$63,5,FALSE),""),"")</f>
        <v/>
      </c>
      <c r="DC9" s="41" t="str">
        <f>IFERROR(IF(AU9=1,VLOOKUP(AU$2,활동내용입력!$B$4:$F$63,5,FALSE),""),"")</f>
        <v/>
      </c>
      <c r="DD9" s="41" t="str">
        <f>IFERROR(IF(AV9=1,VLOOKUP(AV$2,활동내용입력!$B$4:$F$63,5,FALSE),""),"")</f>
        <v/>
      </c>
      <c r="DE9" s="41" t="str">
        <f>IFERROR(IF(AW9=1,VLOOKUP(AW$2,활동내용입력!$B$4:$F$63,5,FALSE),""),"")</f>
        <v/>
      </c>
      <c r="DF9" s="41" t="str">
        <f>IFERROR(IF(AX9=1,VLOOKUP(AX$2,활동내용입력!$B$4:$F$63,5,FALSE),""),"")</f>
        <v/>
      </c>
      <c r="DG9" s="41" t="str">
        <f>IFERROR(IF(AY9=1,VLOOKUP(AY$2,활동내용입력!$B$4:$F$63,5,FALSE),""),"")</f>
        <v/>
      </c>
      <c r="DH9" s="41" t="str">
        <f>IFERROR(IF(AZ9=1,VLOOKUP(AZ$2,활동내용입력!$B$4:$F$63,5,FALSE),""),"")</f>
        <v/>
      </c>
      <c r="DI9" s="41" t="str">
        <f>IFERROR(IF(BA9=1,VLOOKUP(BA$2,활동내용입력!$B$4:$F$63,5,FALSE),""),"")</f>
        <v/>
      </c>
      <c r="DJ9" s="41" t="str">
        <f>IFERROR(IF(BB9=1,VLOOKUP(BB$2,활동내용입력!$B$4:$F$63,5,FALSE),""),"")</f>
        <v/>
      </c>
      <c r="DK9" s="41" t="str">
        <f>IFERROR(IF(BC9=1,VLOOKUP(BC$2,활동내용입력!$B$4:$F$63,5,FALSE),""),"")</f>
        <v/>
      </c>
      <c r="DL9" s="41" t="str">
        <f>IFERROR(IF(BD9=1,VLOOKUP(BD$2,활동내용입력!$B$4:$F$63,5,FALSE),""),"")</f>
        <v/>
      </c>
      <c r="DM9" s="41" t="str">
        <f>IFERROR(IF(BE9=1,VLOOKUP(BE$2,활동내용입력!$B$4:$F$63,5,FALSE),""),"")</f>
        <v/>
      </c>
      <c r="DN9" s="41" t="str">
        <f>IFERROR(IF(BF9=1,VLOOKUP(BF$2,활동내용입력!$B$4:$F$63,5,FALSE),""),"")</f>
        <v/>
      </c>
      <c r="DO9" s="41" t="str">
        <f>IFERROR(IF(BG9=1,VLOOKUP(BG$2,활동내용입력!$B$4:$F$63,5,FALSE),""),"")</f>
        <v/>
      </c>
      <c r="DP9" s="41" t="str">
        <f>IFERROR(IF(BH9=1,VLOOKUP(BH$2,활동내용입력!$B$4:$F$63,5,FALSE),""),"")</f>
        <v/>
      </c>
      <c r="DQ9" s="41" t="str">
        <f>IFERROR(IF(BI9=1,VLOOKUP(BI$2,활동내용입력!$B$4:$F$63,5,FALSE),""),"")</f>
        <v/>
      </c>
      <c r="DR9" s="41" t="str">
        <f>IFERROR(IF(BJ9=1,VLOOKUP(BJ$2,활동내용입력!$B$4:$F$63,5,FALSE),""),"")</f>
        <v/>
      </c>
      <c r="DS9" s="41" t="str">
        <f t="shared" si="7"/>
        <v xml:space="preserve">생명존중교육(2019.03.08., 2019.03.29., 2019.09.06., 2019.11.15.)을 통해 청소년들의 자살에 대한 심리적 상태를 이해하고 힘들어 하는 주변 친구들에게 따뜻한 배려와 도움이 절실히 필요함을 느꼈으며 생명의 소중함을 다시 한번 깨닫는 기회를 가지게 됨.
안전교육(2019.03.15., 2019.06.14., 2019.07.19., 2019.08.30., 2019.12.27., 2020.01.03., 2020.01.10.)을 통해 화재, 물놀이, 빙상 등 일상생활에서 일어날 수 있는 안전사고에 대한 예방법과 사고 시 대처방법을 확인하고 실천할 수 있게 됨.
학교폭력 예방교육(2019.03.15., 2019.05.31., 2019.10.18., 2019.12.13., 2020.01.03.)을 통해 학교폭력의 심각성을 알게 되었으며 자신의 인권이 소중한 것처럼 타인의 인권도 소중함을 깨닫고 실천하는 계기가 됨.
학급회의(2019.03.15, 2019.03.29., 2019.07.12.)를 통해 학급의 문제들을 해결하기위한 의사결정과정에 적극적으로 참여함.
다문화교육(2019.03.22., 2019.09.20.)을 통해 우리 나라와 다른 나라의 문화를 함께 나눔으로써 지구촌의 평화와 번영을 함께 누릴 수 있다는 사실을 새삼 깨달은 계기가 됨. 
흡연, 음주 등 약물 오남용 예방교육(2019.04.05., 2019.05.10, 2019.07.05., 2019.07.12., 2019.07.19., 2019.11.08., 2019.12.06., 2020.01.03.)을 통해 흡연과 음주 등 약물 오남용의 폐해를 인식하고 자신의 건강을 위해 흡연과 음주와 같은 행위를 하지 않겠다고 다짐함.
장애인이해교육(2019.04.19., 2019.11.29.)을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
안전교육(2019.05.10., 2019.05.24., 2019.07.22.)을 통해 교통안전사고를 예방할 수 있는 수칙에 대한 인식을 일깨우고 실천하고자 하는 마음을 다지게 됨.
518 광주민주화운동 교육(2019.05.17.)을 통해 민주화 운동이 일어나게 된 배경을 이해하고, 독재에 맞서 싸우다 억울하게 죽어간 수많은 시민들을 추모하는 시간을 가짐.
자기주도진로체험활동(2019.06.19.-2019.06.21.)에서 계획 수립부터 진행과정까지 적극적으로 참여함.
성폭력예방교육(2019.06.28., 2019.10.25., 2019.12.20.)을 통해 이성교제 시 지켜야 할 기본수칙을 배우고 성희롱 및 성폭력의 예방방법과 성적자기결정권의 중요성을 인식하게 됨.
인권교육(2019.12.24.)에 참여하여 인권을 침해 받은 사람들에 대해 마음 아파하고 함께 해결해 나가려 하는 마음을 갖게 됨.
</v>
      </c>
      <c r="DT9" s="42">
        <f t="shared" si="6"/>
        <v>12</v>
      </c>
      <c r="DU9" s="34"/>
    </row>
    <row r="10" spans="1:125" x14ac:dyDescent="0.3">
      <c r="A10" s="58">
        <v>6</v>
      </c>
      <c r="B10" s="57" t="s">
        <v>247</v>
      </c>
      <c r="C10" s="40"/>
      <c r="D10" s="40"/>
      <c r="E10" s="40"/>
      <c r="F10" s="40"/>
      <c r="G10" s="40">
        <v>1</v>
      </c>
      <c r="H10" s="40">
        <v>1</v>
      </c>
      <c r="I10" s="40">
        <v>1</v>
      </c>
      <c r="J10" s="40">
        <v>1</v>
      </c>
      <c r="K10" s="40">
        <v>1</v>
      </c>
      <c r="L10" s="40">
        <v>1</v>
      </c>
      <c r="M10" s="40">
        <v>1</v>
      </c>
      <c r="N10" s="40">
        <v>1</v>
      </c>
      <c r="O10" s="40">
        <v>1</v>
      </c>
      <c r="P10" s="40">
        <v>1</v>
      </c>
      <c r="Q10" s="40">
        <v>1</v>
      </c>
      <c r="R10" s="40">
        <v>1</v>
      </c>
      <c r="S10" s="40"/>
      <c r="T10" s="40"/>
      <c r="U10" s="40"/>
      <c r="V10" s="40"/>
      <c r="W10" s="40"/>
      <c r="X10" s="40"/>
      <c r="Y10" s="40"/>
      <c r="Z10" s="40"/>
      <c r="AA10" s="40"/>
      <c r="AB10" s="40"/>
      <c r="AC10" s="40"/>
      <c r="AD10" s="40"/>
      <c r="AE10" s="40"/>
      <c r="AF10" s="40"/>
      <c r="AG10" s="40"/>
      <c r="AH10" s="40"/>
      <c r="AI10" s="40"/>
      <c r="AJ10" s="40"/>
      <c r="AK10" s="40"/>
      <c r="AL10" s="40"/>
      <c r="AM10" s="40"/>
      <c r="AN10" s="40"/>
      <c r="AO10" s="40"/>
      <c r="AP10" s="40"/>
      <c r="AQ10" s="40"/>
      <c r="AR10" s="40"/>
      <c r="AS10" s="40"/>
      <c r="AT10" s="40"/>
      <c r="AU10" s="40"/>
      <c r="AV10" s="40"/>
      <c r="AW10" s="40"/>
      <c r="AX10" s="40"/>
      <c r="AY10" s="40"/>
      <c r="AZ10" s="40"/>
      <c r="BA10" s="40"/>
      <c r="BB10" s="40"/>
      <c r="BC10" s="40"/>
      <c r="BD10" s="40"/>
      <c r="BE10" s="40"/>
      <c r="BF10" s="40"/>
      <c r="BG10" s="40"/>
      <c r="BH10" s="40"/>
      <c r="BI10" s="40"/>
      <c r="BJ10" s="40"/>
      <c r="BK10" s="41" t="str">
        <f>IFERROR(IF(C10=1,VLOOKUP(C$2,활동내용입력!$B$4:$F$63,5,FALSE),""),"")</f>
        <v/>
      </c>
      <c r="BL10" s="41" t="str">
        <f>IFERROR(IF(D10=1,VLOOKUP(D$2,활동내용입력!$B$4:$F$63,5,FALSE),""),"")</f>
        <v/>
      </c>
      <c r="BM10" s="41" t="str">
        <f>IFERROR(IF(E10=1,VLOOKUP(E$2,활동내용입력!$B$4:$F$63,5,FALSE),""),"")</f>
        <v/>
      </c>
      <c r="BN10" s="41" t="str">
        <f>IFERROR(IF(F10=1,VLOOKUP(F$2,활동내용입력!$B$4:$F$63,5,FALSE),""),"")</f>
        <v/>
      </c>
      <c r="BO10" s="41" t="str">
        <f>IFERROR(IF(G10=1,VLOOKUP(G$2,활동내용입력!$B$4:$F$63,5,FALSE),""),"")</f>
        <v>생명존중교육(2019.03.08., 2019.03.29., 2019.09.06., 2019.11.15.)을 통해 청소년들의 자살에 대한 심리적 상태를 이해하고 힘들어 하는 주변 친구들에게 따뜻한 배려와 도움이 절실히 필요함을 느꼈으며 생명의 소중함을 다시 한번 깨닫는 기회를 가지게 됨.</v>
      </c>
      <c r="BP10" s="41" t="str">
        <f>IFERROR(IF(H10=1,VLOOKUP(H$2,활동내용입력!$B$4:$F$63,5,FALSE),""),"")</f>
        <v>안전교육(2019.03.15., 2019.06.14., 2019.07.19., 2019.08.30., 2019.12.27., 2020.01.03., 2020.01.10.)을 통해 화재, 물놀이, 빙상 등 일상생활에서 일어날 수 있는 안전사고에 대한 예방법과 사고 시 대처방법을 확인하고 실천할 수 있게 됨.</v>
      </c>
      <c r="BQ10" s="41" t="str">
        <f>IFERROR(IF(I10=1,VLOOKUP(I$2,활동내용입력!$B$4:$F$63,5,FALSE),""),"")</f>
        <v>학교폭력 예방교육(2019.03.15., 2019.05.31., 2019.10.18., 2019.12.13., 2020.01.03.)을 통해 학교폭력의 심각성을 알게 되었으며 자신의 인권이 소중한 것처럼 타인의 인권도 소중함을 깨닫고 실천하는 계기가 됨.</v>
      </c>
      <c r="BR10" s="41" t="str">
        <f>IFERROR(IF(J10=1,VLOOKUP(J$2,활동내용입력!$B$4:$F$63,5,FALSE),""),"")</f>
        <v>학급회의(2019.03.15, 2019.03.29., 2019.07.12.)를 통해 학급의 문제들을 해결하기위한 의사결정과정에 적극적으로 참여함.</v>
      </c>
      <c r="BS10" s="41" t="str">
        <f>IFERROR(IF(K10=1,VLOOKUP(K$2,활동내용입력!$B$4:$F$63,5,FALSE),""),"")</f>
        <v xml:space="preserve">다문화교육(2019.03.22., 2019.09.20.)을 통해 우리 나라와 다른 나라의 문화를 함께 나눔으로써 지구촌의 평화와 번영을 함께 누릴 수 있다는 사실을 새삼 깨달은 계기가 됨. </v>
      </c>
      <c r="BT10" s="41" t="str">
        <f>IFERROR(IF(L10=1,VLOOKUP(L$2,활동내용입력!$B$4:$F$63,5,FALSE),""),"")</f>
        <v>흡연, 음주 등 약물 오남용 예방교육(2019.04.05., 2019.05.10, 2019.07.05., 2019.07.12., 2019.07.19., 2019.11.08., 2019.12.06., 2020.01.03.)을 통해 흡연과 음주 등 약물 오남용의 폐해를 인식하고 자신의 건강을 위해 흡연과 음주와 같은 행위를 하지 않겠다고 다짐함.</v>
      </c>
      <c r="BU10" s="41" t="str">
        <f>IFERROR(IF(M10=1,VLOOKUP(M$2,활동내용입력!$B$4:$F$63,5,FALSE),""),"")</f>
        <v>장애인이해교육(2019.04.19., 2019.11.29.)을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v>
      </c>
      <c r="BV10" s="41" t="str">
        <f>IFERROR(IF(N10=1,VLOOKUP(N$2,활동내용입력!$B$4:$F$63,5,FALSE),""),"")</f>
        <v>안전교육(2019.05.10., 2019.05.24., 2019.07.22.)을 통해 교통안전사고를 예방할 수 있는 수칙에 대한 인식을 일깨우고 실천하고자 하는 마음을 다지게 됨.</v>
      </c>
      <c r="BW10" s="41" t="str">
        <f>IFERROR(IF(O10=1,VLOOKUP(O$2,활동내용입력!$B$4:$F$63,5,FALSE),""),"")</f>
        <v>518 광주민주화운동 교육(2019.05.17.)을 통해 민주화 운동이 일어나게 된 배경을 이해하고, 독재에 맞서 싸우다 억울하게 죽어간 수많은 시민들을 추모하는 시간을 가짐.</v>
      </c>
      <c r="BX10" s="41" t="str">
        <f>IFERROR(IF(P10=1,VLOOKUP(P$2,활동내용입력!$B$4:$F$63,5,FALSE),""),"")</f>
        <v>자기주도진로체험활동(2019.06.19.-2019.06.21.)에서 계획 수립부터 진행과정까지 적극적으로 참여함.</v>
      </c>
      <c r="BY10" s="41" t="str">
        <f>IFERROR(IF(Q10=1,VLOOKUP(Q$2,활동내용입력!$B$4:$F$63,5,FALSE),""),"")</f>
        <v>성폭력예방교육(2019.06.28., 2019.10.25., 2019.12.20.)을 통해 이성교제 시 지켜야 할 기본수칙을 배우고 성희롱 및 성폭력의 예방방법과 성적자기결정권의 중요성을 인식하게 됨.</v>
      </c>
      <c r="BZ10" s="41" t="str">
        <f>IFERROR(IF(R10=1,VLOOKUP(R$2,활동내용입력!$B$4:$F$63,5,FALSE),""),"")</f>
        <v>인권교육(2019.12.24.)에 참여하여 인권을 침해 받은 사람들에 대해 마음 아파하고 함께 해결해 나가려 하는 마음을 갖게 됨.</v>
      </c>
      <c r="CA10" s="41" t="str">
        <f>IFERROR(IF(S10=1,VLOOKUP(S$2,활동내용입력!$B$4:$F$63,5,FALSE),""),"")</f>
        <v/>
      </c>
      <c r="CB10" s="41" t="str">
        <f>IFERROR(IF(T10=1,VLOOKUP(T$2,활동내용입력!$B$4:$F$63,5,FALSE),""),"")</f>
        <v/>
      </c>
      <c r="CC10" s="41" t="str">
        <f>IFERROR(IF(U10=1,VLOOKUP(U$2,활동내용입력!$B$4:$F$63,5,FALSE),""),"")</f>
        <v/>
      </c>
      <c r="CD10" s="41" t="str">
        <f>IFERROR(IF(V10=1,VLOOKUP(V$2,활동내용입력!$B$4:$F$63,5,FALSE),""),"")</f>
        <v/>
      </c>
      <c r="CE10" s="41" t="str">
        <f>IFERROR(IF(W10=1,VLOOKUP(W$2,활동내용입력!$B$4:$F$63,5,FALSE),""),"")</f>
        <v/>
      </c>
      <c r="CF10" s="41" t="str">
        <f>IFERROR(IF(X10=1,VLOOKUP(X$2,활동내용입력!$B$4:$F$63,5,FALSE),""),"")</f>
        <v/>
      </c>
      <c r="CG10" s="41" t="str">
        <f>IFERROR(IF(Y10=1,VLOOKUP(Y$2,활동내용입력!$B$4:$F$63,5,FALSE),""),"")</f>
        <v/>
      </c>
      <c r="CH10" s="41" t="str">
        <f>IFERROR(IF(Z10=1,VLOOKUP(Z$2,활동내용입력!$B$4:$F$63,5,FALSE),""),"")</f>
        <v/>
      </c>
      <c r="CI10" s="41" t="str">
        <f>IFERROR(IF(AA10=1,VLOOKUP(AA$2,활동내용입력!$B$4:$F$63,5,FALSE),""),"")</f>
        <v/>
      </c>
      <c r="CJ10" s="41" t="str">
        <f>IFERROR(IF(AB10=1,VLOOKUP(AB$2,활동내용입력!$B$4:$F$63,5,FALSE),""),"")</f>
        <v/>
      </c>
      <c r="CK10" s="41" t="str">
        <f>IFERROR(IF(AC10=1,VLOOKUP(AC$2,활동내용입력!$B$4:$F$63,5,FALSE),""),"")</f>
        <v/>
      </c>
      <c r="CL10" s="41" t="str">
        <f>IFERROR(IF(AD10=1,VLOOKUP(AD$2,활동내용입력!$B$4:$F$63,5,FALSE),""),"")</f>
        <v/>
      </c>
      <c r="CM10" s="41" t="str">
        <f>IFERROR(IF(AE10=1,VLOOKUP(AE$2,활동내용입력!$B$4:$F$63,5,FALSE),""),"")</f>
        <v/>
      </c>
      <c r="CN10" s="41" t="str">
        <f>IFERROR(IF(AF10=1,VLOOKUP(AF$2,활동내용입력!$B$4:$F$63,5,FALSE),""),"")</f>
        <v/>
      </c>
      <c r="CO10" s="41" t="str">
        <f>IFERROR(IF(AG10=1,VLOOKUP(AG$2,활동내용입력!$B$4:$F$63,5,FALSE),""),"")</f>
        <v/>
      </c>
      <c r="CP10" s="41" t="str">
        <f>IFERROR(IF(AH10=1,VLOOKUP(AH$2,활동내용입력!$B$4:$F$63,5,FALSE),""),"")</f>
        <v/>
      </c>
      <c r="CQ10" s="41" t="str">
        <f>IFERROR(IF(AI10=1,VLOOKUP(AI$2,활동내용입력!$B$4:$F$63,5,FALSE),""),"")</f>
        <v/>
      </c>
      <c r="CR10" s="41" t="str">
        <f>IFERROR(IF(AJ10=1,VLOOKUP(AJ$2,활동내용입력!$B$4:$F$63,5,FALSE),""),"")</f>
        <v/>
      </c>
      <c r="CS10" s="41" t="str">
        <f>IFERROR(IF(AK10=1,VLOOKUP(AK$2,활동내용입력!$B$4:$F$63,5,FALSE),""),"")</f>
        <v/>
      </c>
      <c r="CT10" s="41" t="str">
        <f>IFERROR(IF(AL10=1,VLOOKUP(AL$2,활동내용입력!$B$4:$F$63,5,FALSE),""),"")</f>
        <v/>
      </c>
      <c r="CU10" s="41" t="str">
        <f>IFERROR(IF(AM10=1,VLOOKUP(AM$2,활동내용입력!$B$4:$F$63,5,FALSE),""),"")</f>
        <v/>
      </c>
      <c r="CV10" s="41" t="str">
        <f>IFERROR(IF(AN10=1,VLOOKUP(AN$2,활동내용입력!$B$4:$F$63,5,FALSE),""),"")</f>
        <v/>
      </c>
      <c r="CW10" s="41" t="str">
        <f>IFERROR(IF(AO10=1,VLOOKUP(AO$2,활동내용입력!$B$4:$F$63,5,FALSE),""),"")</f>
        <v/>
      </c>
      <c r="CX10" s="41" t="str">
        <f>IFERROR(IF(AP10=1,VLOOKUP(AP$2,활동내용입력!$B$4:$F$63,5,FALSE),""),"")</f>
        <v/>
      </c>
      <c r="CY10" s="41" t="str">
        <f>IFERROR(IF(AQ10=1,VLOOKUP(AQ$2,활동내용입력!$B$4:$F$63,5,FALSE),""),"")</f>
        <v/>
      </c>
      <c r="CZ10" s="41" t="str">
        <f>IFERROR(IF(AR10=1,VLOOKUP(AR$2,활동내용입력!$B$4:$F$63,5,FALSE),""),"")</f>
        <v/>
      </c>
      <c r="DA10" s="41" t="str">
        <f>IFERROR(IF(AS10=1,VLOOKUP(AS$2,활동내용입력!$B$4:$F$63,5,FALSE),""),"")</f>
        <v/>
      </c>
      <c r="DB10" s="41" t="str">
        <f>IFERROR(IF(AT10=1,VLOOKUP(AT$2,활동내용입력!$B$4:$F$63,5,FALSE),""),"")</f>
        <v/>
      </c>
      <c r="DC10" s="41" t="str">
        <f>IFERROR(IF(AU10=1,VLOOKUP(AU$2,활동내용입력!$B$4:$F$63,5,FALSE),""),"")</f>
        <v/>
      </c>
      <c r="DD10" s="41" t="str">
        <f>IFERROR(IF(AV10=1,VLOOKUP(AV$2,활동내용입력!$B$4:$F$63,5,FALSE),""),"")</f>
        <v/>
      </c>
      <c r="DE10" s="41" t="str">
        <f>IFERROR(IF(AW10=1,VLOOKUP(AW$2,활동내용입력!$B$4:$F$63,5,FALSE),""),"")</f>
        <v/>
      </c>
      <c r="DF10" s="41" t="str">
        <f>IFERROR(IF(AX10=1,VLOOKUP(AX$2,활동내용입력!$B$4:$F$63,5,FALSE),""),"")</f>
        <v/>
      </c>
      <c r="DG10" s="41" t="str">
        <f>IFERROR(IF(AY10=1,VLOOKUP(AY$2,활동내용입력!$B$4:$F$63,5,FALSE),""),"")</f>
        <v/>
      </c>
      <c r="DH10" s="41" t="str">
        <f>IFERROR(IF(AZ10=1,VLOOKUP(AZ$2,활동내용입력!$B$4:$F$63,5,FALSE),""),"")</f>
        <v/>
      </c>
      <c r="DI10" s="41" t="str">
        <f>IFERROR(IF(BA10=1,VLOOKUP(BA$2,활동내용입력!$B$4:$F$63,5,FALSE),""),"")</f>
        <v/>
      </c>
      <c r="DJ10" s="41" t="str">
        <f>IFERROR(IF(BB10=1,VLOOKUP(BB$2,활동내용입력!$B$4:$F$63,5,FALSE),""),"")</f>
        <v/>
      </c>
      <c r="DK10" s="41" t="str">
        <f>IFERROR(IF(BC10=1,VLOOKUP(BC$2,활동내용입력!$B$4:$F$63,5,FALSE),""),"")</f>
        <v/>
      </c>
      <c r="DL10" s="41" t="str">
        <f>IFERROR(IF(BD10=1,VLOOKUP(BD$2,활동내용입력!$B$4:$F$63,5,FALSE),""),"")</f>
        <v/>
      </c>
      <c r="DM10" s="41" t="str">
        <f>IFERROR(IF(BE10=1,VLOOKUP(BE$2,활동내용입력!$B$4:$F$63,5,FALSE),""),"")</f>
        <v/>
      </c>
      <c r="DN10" s="41" t="str">
        <f>IFERROR(IF(BF10=1,VLOOKUP(BF$2,활동내용입력!$B$4:$F$63,5,FALSE),""),"")</f>
        <v/>
      </c>
      <c r="DO10" s="41" t="str">
        <f>IFERROR(IF(BG10=1,VLOOKUP(BG$2,활동내용입력!$B$4:$F$63,5,FALSE),""),"")</f>
        <v/>
      </c>
      <c r="DP10" s="41" t="str">
        <f>IFERROR(IF(BH10=1,VLOOKUP(BH$2,활동내용입력!$B$4:$F$63,5,FALSE),""),"")</f>
        <v/>
      </c>
      <c r="DQ10" s="41" t="str">
        <f>IFERROR(IF(BI10=1,VLOOKUP(BI$2,활동내용입력!$B$4:$F$63,5,FALSE),""),"")</f>
        <v/>
      </c>
      <c r="DR10" s="41" t="str">
        <f>IFERROR(IF(BJ10=1,VLOOKUP(BJ$2,활동내용입력!$B$4:$F$63,5,FALSE),""),"")</f>
        <v/>
      </c>
      <c r="DS10" s="41" t="str">
        <f t="shared" si="7"/>
        <v xml:space="preserve">생명존중교육(2019.03.08., 2019.03.29., 2019.09.06., 2019.11.15.)을 통해 청소년들의 자살에 대한 심리적 상태를 이해하고 힘들어 하는 주변 친구들에게 따뜻한 배려와 도움이 절실히 필요함을 느꼈으며 생명의 소중함을 다시 한번 깨닫는 기회를 가지게 됨.
안전교육(2019.03.15., 2019.06.14., 2019.07.19., 2019.08.30., 2019.12.27., 2020.01.03., 2020.01.10.)을 통해 화재, 물놀이, 빙상 등 일상생활에서 일어날 수 있는 안전사고에 대한 예방법과 사고 시 대처방법을 확인하고 실천할 수 있게 됨.
학교폭력 예방교육(2019.03.15., 2019.05.31., 2019.10.18., 2019.12.13., 2020.01.03.)을 통해 학교폭력의 심각성을 알게 되었으며 자신의 인권이 소중한 것처럼 타인의 인권도 소중함을 깨닫고 실천하는 계기가 됨.
학급회의(2019.03.15, 2019.03.29., 2019.07.12.)를 통해 학급의 문제들을 해결하기위한 의사결정과정에 적극적으로 참여함.
다문화교육(2019.03.22., 2019.09.20.)을 통해 우리 나라와 다른 나라의 문화를 함께 나눔으로써 지구촌의 평화와 번영을 함께 누릴 수 있다는 사실을 새삼 깨달은 계기가 됨. 
흡연, 음주 등 약물 오남용 예방교육(2019.04.05., 2019.05.10, 2019.07.05., 2019.07.12., 2019.07.19., 2019.11.08., 2019.12.06., 2020.01.03.)을 통해 흡연과 음주 등 약물 오남용의 폐해를 인식하고 자신의 건강을 위해 흡연과 음주와 같은 행위를 하지 않겠다고 다짐함.
장애인이해교육(2019.04.19., 2019.11.29.)을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
안전교육(2019.05.10., 2019.05.24., 2019.07.22.)을 통해 교통안전사고를 예방할 수 있는 수칙에 대한 인식을 일깨우고 실천하고자 하는 마음을 다지게 됨.
518 광주민주화운동 교육(2019.05.17.)을 통해 민주화 운동이 일어나게 된 배경을 이해하고, 독재에 맞서 싸우다 억울하게 죽어간 수많은 시민들을 추모하는 시간을 가짐.
자기주도진로체험활동(2019.06.19.-2019.06.21.)에서 계획 수립부터 진행과정까지 적극적으로 참여함.
성폭력예방교육(2019.06.28., 2019.10.25., 2019.12.20.)을 통해 이성교제 시 지켜야 할 기본수칙을 배우고 성희롱 및 성폭력의 예방방법과 성적자기결정권의 중요성을 인식하게 됨.
인권교육(2019.12.24.)에 참여하여 인권을 침해 받은 사람들에 대해 마음 아파하고 함께 해결해 나가려 하는 마음을 갖게 됨.
</v>
      </c>
      <c r="DT10" s="42">
        <f t="shared" si="6"/>
        <v>12</v>
      </c>
      <c r="DU10" s="34"/>
    </row>
    <row r="11" spans="1:125" x14ac:dyDescent="0.3">
      <c r="A11" s="58">
        <v>7</v>
      </c>
      <c r="B11" s="57" t="s">
        <v>248</v>
      </c>
      <c r="C11" s="40"/>
      <c r="D11" s="40"/>
      <c r="E11" s="40"/>
      <c r="F11" s="40"/>
      <c r="G11" s="40">
        <v>1</v>
      </c>
      <c r="H11" s="40">
        <v>1</v>
      </c>
      <c r="I11" s="40">
        <v>1</v>
      </c>
      <c r="J11" s="40">
        <v>1</v>
      </c>
      <c r="K11" s="40">
        <v>1</v>
      </c>
      <c r="L11" s="40">
        <v>1</v>
      </c>
      <c r="M11" s="40">
        <v>1</v>
      </c>
      <c r="N11" s="40">
        <v>1</v>
      </c>
      <c r="O11" s="40">
        <v>1</v>
      </c>
      <c r="P11" s="40">
        <v>1</v>
      </c>
      <c r="Q11" s="40">
        <v>1</v>
      </c>
      <c r="R11" s="40">
        <v>1</v>
      </c>
      <c r="S11" s="40"/>
      <c r="T11" s="40"/>
      <c r="U11" s="40"/>
      <c r="V11" s="40"/>
      <c r="W11" s="40"/>
      <c r="X11" s="40"/>
      <c r="Y11" s="40"/>
      <c r="Z11" s="40"/>
      <c r="AA11" s="40"/>
      <c r="AB11" s="40"/>
      <c r="AC11" s="40"/>
      <c r="AD11" s="40"/>
      <c r="AE11" s="40"/>
      <c r="AF11" s="40"/>
      <c r="AG11" s="40"/>
      <c r="AH11" s="40"/>
      <c r="AI11" s="40"/>
      <c r="AJ11" s="40"/>
      <c r="AK11" s="40"/>
      <c r="AL11" s="40"/>
      <c r="AM11" s="40"/>
      <c r="AN11" s="40"/>
      <c r="AO11" s="40"/>
      <c r="AP11" s="40"/>
      <c r="AQ11" s="40"/>
      <c r="AR11" s="40"/>
      <c r="AS11" s="40"/>
      <c r="AT11" s="40"/>
      <c r="AU11" s="40"/>
      <c r="AV11" s="40"/>
      <c r="AW11" s="40"/>
      <c r="AX11" s="40"/>
      <c r="AY11" s="40"/>
      <c r="AZ11" s="40"/>
      <c r="BA11" s="40"/>
      <c r="BB11" s="40"/>
      <c r="BC11" s="40"/>
      <c r="BD11" s="40"/>
      <c r="BE11" s="40"/>
      <c r="BF11" s="40"/>
      <c r="BG11" s="40"/>
      <c r="BH11" s="40"/>
      <c r="BI11" s="40"/>
      <c r="BJ11" s="40"/>
      <c r="BK11" s="41" t="str">
        <f>IFERROR(IF(C11=1,VLOOKUP(C$2,활동내용입력!$B$4:$F$63,5,FALSE),""),"")</f>
        <v/>
      </c>
      <c r="BL11" s="41" t="str">
        <f>IFERROR(IF(D11=1,VLOOKUP(D$2,활동내용입력!$B$4:$F$63,5,FALSE),""),"")</f>
        <v/>
      </c>
      <c r="BM11" s="41" t="str">
        <f>IFERROR(IF(E11=1,VLOOKUP(E$2,활동내용입력!$B$4:$F$63,5,FALSE),""),"")</f>
        <v/>
      </c>
      <c r="BN11" s="41" t="str">
        <f>IFERROR(IF(F11=1,VLOOKUP(F$2,활동내용입력!$B$4:$F$63,5,FALSE),""),"")</f>
        <v/>
      </c>
      <c r="BO11" s="41" t="str">
        <f>IFERROR(IF(G11=1,VLOOKUP(G$2,활동내용입력!$B$4:$F$63,5,FALSE),""),"")</f>
        <v>생명존중교육(2019.03.08., 2019.03.29., 2019.09.06., 2019.11.15.)을 통해 청소년들의 자살에 대한 심리적 상태를 이해하고 힘들어 하는 주변 친구들에게 따뜻한 배려와 도움이 절실히 필요함을 느꼈으며 생명의 소중함을 다시 한번 깨닫는 기회를 가지게 됨.</v>
      </c>
      <c r="BP11" s="41" t="str">
        <f>IFERROR(IF(H11=1,VLOOKUP(H$2,활동내용입력!$B$4:$F$63,5,FALSE),""),"")</f>
        <v>안전교육(2019.03.15., 2019.06.14., 2019.07.19., 2019.08.30., 2019.12.27., 2020.01.03., 2020.01.10.)을 통해 화재, 물놀이, 빙상 등 일상생활에서 일어날 수 있는 안전사고에 대한 예방법과 사고 시 대처방법을 확인하고 실천할 수 있게 됨.</v>
      </c>
      <c r="BQ11" s="41" t="str">
        <f>IFERROR(IF(I11=1,VLOOKUP(I$2,활동내용입력!$B$4:$F$63,5,FALSE),""),"")</f>
        <v>학교폭력 예방교육(2019.03.15., 2019.05.31., 2019.10.18., 2019.12.13., 2020.01.03.)을 통해 학교폭력의 심각성을 알게 되었으며 자신의 인권이 소중한 것처럼 타인의 인권도 소중함을 깨닫고 실천하는 계기가 됨.</v>
      </c>
      <c r="BR11" s="41" t="str">
        <f>IFERROR(IF(J11=1,VLOOKUP(J$2,활동내용입력!$B$4:$F$63,5,FALSE),""),"")</f>
        <v>학급회의(2019.03.15, 2019.03.29., 2019.07.12.)를 통해 학급의 문제들을 해결하기위한 의사결정과정에 적극적으로 참여함.</v>
      </c>
      <c r="BS11" s="41" t="str">
        <f>IFERROR(IF(K11=1,VLOOKUP(K$2,활동내용입력!$B$4:$F$63,5,FALSE),""),"")</f>
        <v xml:space="preserve">다문화교육(2019.03.22., 2019.09.20.)을 통해 우리 나라와 다른 나라의 문화를 함께 나눔으로써 지구촌의 평화와 번영을 함께 누릴 수 있다는 사실을 새삼 깨달은 계기가 됨. </v>
      </c>
      <c r="BT11" s="41" t="str">
        <f>IFERROR(IF(L11=1,VLOOKUP(L$2,활동내용입력!$B$4:$F$63,5,FALSE),""),"")</f>
        <v>흡연, 음주 등 약물 오남용 예방교육(2019.04.05., 2019.05.10, 2019.07.05., 2019.07.12., 2019.07.19., 2019.11.08., 2019.12.06., 2020.01.03.)을 통해 흡연과 음주 등 약물 오남용의 폐해를 인식하고 자신의 건강을 위해 흡연과 음주와 같은 행위를 하지 않겠다고 다짐함.</v>
      </c>
      <c r="BU11" s="41" t="str">
        <f>IFERROR(IF(M11=1,VLOOKUP(M$2,활동내용입력!$B$4:$F$63,5,FALSE),""),"")</f>
        <v>장애인이해교육(2019.04.19., 2019.11.29.)을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v>
      </c>
      <c r="BV11" s="41" t="str">
        <f>IFERROR(IF(N11=1,VLOOKUP(N$2,활동내용입력!$B$4:$F$63,5,FALSE),""),"")</f>
        <v>안전교육(2019.05.10., 2019.05.24., 2019.07.22.)을 통해 교통안전사고를 예방할 수 있는 수칙에 대한 인식을 일깨우고 실천하고자 하는 마음을 다지게 됨.</v>
      </c>
      <c r="BW11" s="41" t="str">
        <f>IFERROR(IF(O11=1,VLOOKUP(O$2,활동내용입력!$B$4:$F$63,5,FALSE),""),"")</f>
        <v>518 광주민주화운동 교육(2019.05.17.)을 통해 민주화 운동이 일어나게 된 배경을 이해하고, 독재에 맞서 싸우다 억울하게 죽어간 수많은 시민들을 추모하는 시간을 가짐.</v>
      </c>
      <c r="BX11" s="41" t="str">
        <f>IFERROR(IF(P11=1,VLOOKUP(P$2,활동내용입력!$B$4:$F$63,5,FALSE),""),"")</f>
        <v>자기주도진로체험활동(2019.06.19.-2019.06.21.)에서 계획 수립부터 진행과정까지 적극적으로 참여함.</v>
      </c>
      <c r="BY11" s="41" t="str">
        <f>IFERROR(IF(Q11=1,VLOOKUP(Q$2,활동내용입력!$B$4:$F$63,5,FALSE),""),"")</f>
        <v>성폭력예방교육(2019.06.28., 2019.10.25., 2019.12.20.)을 통해 이성교제 시 지켜야 할 기본수칙을 배우고 성희롱 및 성폭력의 예방방법과 성적자기결정권의 중요성을 인식하게 됨.</v>
      </c>
      <c r="BZ11" s="41" t="str">
        <f>IFERROR(IF(R11=1,VLOOKUP(R$2,활동내용입력!$B$4:$F$63,5,FALSE),""),"")</f>
        <v>인권교육(2019.12.24.)에 참여하여 인권을 침해 받은 사람들에 대해 마음 아파하고 함께 해결해 나가려 하는 마음을 갖게 됨.</v>
      </c>
      <c r="CA11" s="41" t="str">
        <f>IFERROR(IF(S11=1,VLOOKUP(S$2,활동내용입력!$B$4:$F$63,5,FALSE),""),"")</f>
        <v/>
      </c>
      <c r="CB11" s="41" t="str">
        <f>IFERROR(IF(T11=1,VLOOKUP(T$2,활동내용입력!$B$4:$F$63,5,FALSE),""),"")</f>
        <v/>
      </c>
      <c r="CC11" s="41" t="str">
        <f>IFERROR(IF(U11=1,VLOOKUP(U$2,활동내용입력!$B$4:$F$63,5,FALSE),""),"")</f>
        <v/>
      </c>
      <c r="CD11" s="41" t="str">
        <f>IFERROR(IF(V11=1,VLOOKUP(V$2,활동내용입력!$B$4:$F$63,5,FALSE),""),"")</f>
        <v/>
      </c>
      <c r="CE11" s="41" t="str">
        <f>IFERROR(IF(W11=1,VLOOKUP(W$2,활동내용입력!$B$4:$F$63,5,FALSE),""),"")</f>
        <v/>
      </c>
      <c r="CF11" s="41" t="str">
        <f>IFERROR(IF(X11=1,VLOOKUP(X$2,활동내용입력!$B$4:$F$63,5,FALSE),""),"")</f>
        <v/>
      </c>
      <c r="CG11" s="41" t="str">
        <f>IFERROR(IF(Y11=1,VLOOKUP(Y$2,활동내용입력!$B$4:$F$63,5,FALSE),""),"")</f>
        <v/>
      </c>
      <c r="CH11" s="41" t="str">
        <f>IFERROR(IF(Z11=1,VLOOKUP(Z$2,활동내용입력!$B$4:$F$63,5,FALSE),""),"")</f>
        <v/>
      </c>
      <c r="CI11" s="41" t="str">
        <f>IFERROR(IF(AA11=1,VLOOKUP(AA$2,활동내용입력!$B$4:$F$63,5,FALSE),""),"")</f>
        <v/>
      </c>
      <c r="CJ11" s="41" t="str">
        <f>IFERROR(IF(AB11=1,VLOOKUP(AB$2,활동내용입력!$B$4:$F$63,5,FALSE),""),"")</f>
        <v/>
      </c>
      <c r="CK11" s="41" t="str">
        <f>IFERROR(IF(AC11=1,VLOOKUP(AC$2,활동내용입력!$B$4:$F$63,5,FALSE),""),"")</f>
        <v/>
      </c>
      <c r="CL11" s="41" t="str">
        <f>IFERROR(IF(AD11=1,VLOOKUP(AD$2,활동내용입력!$B$4:$F$63,5,FALSE),""),"")</f>
        <v/>
      </c>
      <c r="CM11" s="41" t="str">
        <f>IFERROR(IF(AE11=1,VLOOKUP(AE$2,활동내용입력!$B$4:$F$63,5,FALSE),""),"")</f>
        <v/>
      </c>
      <c r="CN11" s="41" t="str">
        <f>IFERROR(IF(AF11=1,VLOOKUP(AF$2,활동내용입력!$B$4:$F$63,5,FALSE),""),"")</f>
        <v/>
      </c>
      <c r="CO11" s="41" t="str">
        <f>IFERROR(IF(AG11=1,VLOOKUP(AG$2,활동내용입력!$B$4:$F$63,5,FALSE),""),"")</f>
        <v/>
      </c>
      <c r="CP11" s="41" t="str">
        <f>IFERROR(IF(AH11=1,VLOOKUP(AH$2,활동내용입력!$B$4:$F$63,5,FALSE),""),"")</f>
        <v/>
      </c>
      <c r="CQ11" s="41" t="str">
        <f>IFERROR(IF(AI11=1,VLOOKUP(AI$2,활동내용입력!$B$4:$F$63,5,FALSE),""),"")</f>
        <v/>
      </c>
      <c r="CR11" s="41" t="str">
        <f>IFERROR(IF(AJ11=1,VLOOKUP(AJ$2,활동내용입력!$B$4:$F$63,5,FALSE),""),"")</f>
        <v/>
      </c>
      <c r="CS11" s="41" t="str">
        <f>IFERROR(IF(AK11=1,VLOOKUP(AK$2,활동내용입력!$B$4:$F$63,5,FALSE),""),"")</f>
        <v/>
      </c>
      <c r="CT11" s="41" t="str">
        <f>IFERROR(IF(AL11=1,VLOOKUP(AL$2,활동내용입력!$B$4:$F$63,5,FALSE),""),"")</f>
        <v/>
      </c>
      <c r="CU11" s="41" t="str">
        <f>IFERROR(IF(AM11=1,VLOOKUP(AM$2,활동내용입력!$B$4:$F$63,5,FALSE),""),"")</f>
        <v/>
      </c>
      <c r="CV11" s="41" t="str">
        <f>IFERROR(IF(AN11=1,VLOOKUP(AN$2,활동내용입력!$B$4:$F$63,5,FALSE),""),"")</f>
        <v/>
      </c>
      <c r="CW11" s="41" t="str">
        <f>IFERROR(IF(AO11=1,VLOOKUP(AO$2,활동내용입력!$B$4:$F$63,5,FALSE),""),"")</f>
        <v/>
      </c>
      <c r="CX11" s="41" t="str">
        <f>IFERROR(IF(AP11=1,VLOOKUP(AP$2,활동내용입력!$B$4:$F$63,5,FALSE),""),"")</f>
        <v/>
      </c>
      <c r="CY11" s="41" t="str">
        <f>IFERROR(IF(AQ11=1,VLOOKUP(AQ$2,활동내용입력!$B$4:$F$63,5,FALSE),""),"")</f>
        <v/>
      </c>
      <c r="CZ11" s="41" t="str">
        <f>IFERROR(IF(AR11=1,VLOOKUP(AR$2,활동내용입력!$B$4:$F$63,5,FALSE),""),"")</f>
        <v/>
      </c>
      <c r="DA11" s="41" t="str">
        <f>IFERROR(IF(AS11=1,VLOOKUP(AS$2,활동내용입력!$B$4:$F$63,5,FALSE),""),"")</f>
        <v/>
      </c>
      <c r="DB11" s="41" t="str">
        <f>IFERROR(IF(AT11=1,VLOOKUP(AT$2,활동내용입력!$B$4:$F$63,5,FALSE),""),"")</f>
        <v/>
      </c>
      <c r="DC11" s="41" t="str">
        <f>IFERROR(IF(AU11=1,VLOOKUP(AU$2,활동내용입력!$B$4:$F$63,5,FALSE),""),"")</f>
        <v/>
      </c>
      <c r="DD11" s="41" t="str">
        <f>IFERROR(IF(AV11=1,VLOOKUP(AV$2,활동내용입력!$B$4:$F$63,5,FALSE),""),"")</f>
        <v/>
      </c>
      <c r="DE11" s="41" t="str">
        <f>IFERROR(IF(AW11=1,VLOOKUP(AW$2,활동내용입력!$B$4:$F$63,5,FALSE),""),"")</f>
        <v/>
      </c>
      <c r="DF11" s="41" t="str">
        <f>IFERROR(IF(AX11=1,VLOOKUP(AX$2,활동내용입력!$B$4:$F$63,5,FALSE),""),"")</f>
        <v/>
      </c>
      <c r="DG11" s="41" t="str">
        <f>IFERROR(IF(AY11=1,VLOOKUP(AY$2,활동내용입력!$B$4:$F$63,5,FALSE),""),"")</f>
        <v/>
      </c>
      <c r="DH11" s="41" t="str">
        <f>IFERROR(IF(AZ11=1,VLOOKUP(AZ$2,활동내용입력!$B$4:$F$63,5,FALSE),""),"")</f>
        <v/>
      </c>
      <c r="DI11" s="41" t="str">
        <f>IFERROR(IF(BA11=1,VLOOKUP(BA$2,활동내용입력!$B$4:$F$63,5,FALSE),""),"")</f>
        <v/>
      </c>
      <c r="DJ11" s="41" t="str">
        <f>IFERROR(IF(BB11=1,VLOOKUP(BB$2,활동내용입력!$B$4:$F$63,5,FALSE),""),"")</f>
        <v/>
      </c>
      <c r="DK11" s="41" t="str">
        <f>IFERROR(IF(BC11=1,VLOOKUP(BC$2,활동내용입력!$B$4:$F$63,5,FALSE),""),"")</f>
        <v/>
      </c>
      <c r="DL11" s="41" t="str">
        <f>IFERROR(IF(BD11=1,VLOOKUP(BD$2,활동내용입력!$B$4:$F$63,5,FALSE),""),"")</f>
        <v/>
      </c>
      <c r="DM11" s="41" t="str">
        <f>IFERROR(IF(BE11=1,VLOOKUP(BE$2,활동내용입력!$B$4:$F$63,5,FALSE),""),"")</f>
        <v/>
      </c>
      <c r="DN11" s="41" t="str">
        <f>IFERROR(IF(BF11=1,VLOOKUP(BF$2,활동내용입력!$B$4:$F$63,5,FALSE),""),"")</f>
        <v/>
      </c>
      <c r="DO11" s="41" t="str">
        <f>IFERROR(IF(BG11=1,VLOOKUP(BG$2,활동내용입력!$B$4:$F$63,5,FALSE),""),"")</f>
        <v/>
      </c>
      <c r="DP11" s="41" t="str">
        <f>IFERROR(IF(BH11=1,VLOOKUP(BH$2,활동내용입력!$B$4:$F$63,5,FALSE),""),"")</f>
        <v/>
      </c>
      <c r="DQ11" s="41" t="str">
        <f>IFERROR(IF(BI11=1,VLOOKUP(BI$2,활동내용입력!$B$4:$F$63,5,FALSE),""),"")</f>
        <v/>
      </c>
      <c r="DR11" s="41" t="str">
        <f>IFERROR(IF(BJ11=1,VLOOKUP(BJ$2,활동내용입력!$B$4:$F$63,5,FALSE),""),"")</f>
        <v/>
      </c>
      <c r="DS11" s="41" t="str">
        <f t="shared" si="7"/>
        <v xml:space="preserve">생명존중교육(2019.03.08., 2019.03.29., 2019.09.06., 2019.11.15.)을 통해 청소년들의 자살에 대한 심리적 상태를 이해하고 힘들어 하는 주변 친구들에게 따뜻한 배려와 도움이 절실히 필요함을 느꼈으며 생명의 소중함을 다시 한번 깨닫는 기회를 가지게 됨.
안전교육(2019.03.15., 2019.06.14., 2019.07.19., 2019.08.30., 2019.12.27., 2020.01.03., 2020.01.10.)을 통해 화재, 물놀이, 빙상 등 일상생활에서 일어날 수 있는 안전사고에 대한 예방법과 사고 시 대처방법을 확인하고 실천할 수 있게 됨.
학교폭력 예방교육(2019.03.15., 2019.05.31., 2019.10.18., 2019.12.13., 2020.01.03.)을 통해 학교폭력의 심각성을 알게 되었으며 자신의 인권이 소중한 것처럼 타인의 인권도 소중함을 깨닫고 실천하는 계기가 됨.
학급회의(2019.03.15, 2019.03.29., 2019.07.12.)를 통해 학급의 문제들을 해결하기위한 의사결정과정에 적극적으로 참여함.
다문화교육(2019.03.22., 2019.09.20.)을 통해 우리 나라와 다른 나라의 문화를 함께 나눔으로써 지구촌의 평화와 번영을 함께 누릴 수 있다는 사실을 새삼 깨달은 계기가 됨. 
흡연, 음주 등 약물 오남용 예방교육(2019.04.05., 2019.05.10, 2019.07.05., 2019.07.12., 2019.07.19., 2019.11.08., 2019.12.06., 2020.01.03.)을 통해 흡연과 음주 등 약물 오남용의 폐해를 인식하고 자신의 건강을 위해 흡연과 음주와 같은 행위를 하지 않겠다고 다짐함.
장애인이해교육(2019.04.19., 2019.11.29.)을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
안전교육(2019.05.10., 2019.05.24., 2019.07.22.)을 통해 교통안전사고를 예방할 수 있는 수칙에 대한 인식을 일깨우고 실천하고자 하는 마음을 다지게 됨.
518 광주민주화운동 교육(2019.05.17.)을 통해 민주화 운동이 일어나게 된 배경을 이해하고, 독재에 맞서 싸우다 억울하게 죽어간 수많은 시민들을 추모하는 시간을 가짐.
자기주도진로체험활동(2019.06.19.-2019.06.21.)에서 계획 수립부터 진행과정까지 적극적으로 참여함.
성폭력예방교육(2019.06.28., 2019.10.25., 2019.12.20.)을 통해 이성교제 시 지켜야 할 기본수칙을 배우고 성희롱 및 성폭력의 예방방법과 성적자기결정권의 중요성을 인식하게 됨.
인권교육(2019.12.24.)에 참여하여 인권을 침해 받은 사람들에 대해 마음 아파하고 함께 해결해 나가려 하는 마음을 갖게 됨.
</v>
      </c>
      <c r="DT11" s="42">
        <f t="shared" si="6"/>
        <v>12</v>
      </c>
      <c r="DU11" s="34"/>
    </row>
    <row r="12" spans="1:125" x14ac:dyDescent="0.3">
      <c r="A12" s="58">
        <v>8</v>
      </c>
      <c r="B12" s="57" t="s">
        <v>249</v>
      </c>
      <c r="C12" s="40"/>
      <c r="D12" s="40"/>
      <c r="E12" s="40"/>
      <c r="F12" s="40"/>
      <c r="G12" s="40">
        <v>1</v>
      </c>
      <c r="H12" s="40">
        <v>1</v>
      </c>
      <c r="I12" s="40">
        <v>1</v>
      </c>
      <c r="J12" s="40">
        <v>1</v>
      </c>
      <c r="K12" s="40">
        <v>1</v>
      </c>
      <c r="L12" s="40">
        <v>1</v>
      </c>
      <c r="M12" s="40">
        <v>1</v>
      </c>
      <c r="N12" s="40">
        <v>1</v>
      </c>
      <c r="O12" s="40">
        <v>1</v>
      </c>
      <c r="P12" s="40">
        <v>1</v>
      </c>
      <c r="Q12" s="40">
        <v>1</v>
      </c>
      <c r="R12" s="40">
        <v>1</v>
      </c>
      <c r="S12" s="40"/>
      <c r="T12" s="40"/>
      <c r="U12" s="40"/>
      <c r="V12" s="40"/>
      <c r="W12" s="40"/>
      <c r="X12" s="40"/>
      <c r="Y12" s="40"/>
      <c r="Z12" s="40"/>
      <c r="AA12" s="40"/>
      <c r="AB12" s="40"/>
      <c r="AC12" s="40"/>
      <c r="AD12" s="40"/>
      <c r="AE12" s="40"/>
      <c r="AF12" s="40"/>
      <c r="AG12" s="40"/>
      <c r="AH12" s="40"/>
      <c r="AI12" s="40"/>
      <c r="AJ12" s="40"/>
      <c r="AK12" s="40"/>
      <c r="AL12" s="40"/>
      <c r="AM12" s="40"/>
      <c r="AN12" s="40"/>
      <c r="AO12" s="40"/>
      <c r="AP12" s="40"/>
      <c r="AQ12" s="40"/>
      <c r="AR12" s="40"/>
      <c r="AS12" s="40"/>
      <c r="AT12" s="40"/>
      <c r="AU12" s="40"/>
      <c r="AV12" s="40"/>
      <c r="AW12" s="40"/>
      <c r="AX12" s="40"/>
      <c r="AY12" s="40"/>
      <c r="AZ12" s="40"/>
      <c r="BA12" s="40"/>
      <c r="BB12" s="40"/>
      <c r="BC12" s="40"/>
      <c r="BD12" s="40"/>
      <c r="BE12" s="40"/>
      <c r="BF12" s="40"/>
      <c r="BG12" s="40"/>
      <c r="BH12" s="40"/>
      <c r="BI12" s="40"/>
      <c r="BJ12" s="40"/>
      <c r="BK12" s="41" t="str">
        <f>IFERROR(IF(C12=1,VLOOKUP(C$2,활동내용입력!$B$4:$F$63,5,FALSE),""),"")</f>
        <v/>
      </c>
      <c r="BL12" s="41" t="str">
        <f>IFERROR(IF(D12=1,VLOOKUP(D$2,활동내용입력!$B$4:$F$63,5,FALSE),""),"")</f>
        <v/>
      </c>
      <c r="BM12" s="41" t="str">
        <f>IFERROR(IF(E12=1,VLOOKUP(E$2,활동내용입력!$B$4:$F$63,5,FALSE),""),"")</f>
        <v/>
      </c>
      <c r="BN12" s="41" t="str">
        <f>IFERROR(IF(F12=1,VLOOKUP(F$2,활동내용입력!$B$4:$F$63,5,FALSE),""),"")</f>
        <v/>
      </c>
      <c r="BO12" s="41" t="str">
        <f>IFERROR(IF(G12=1,VLOOKUP(G$2,활동내용입력!$B$4:$F$63,5,FALSE),""),"")</f>
        <v>생명존중교육(2019.03.08., 2019.03.29., 2019.09.06., 2019.11.15.)을 통해 청소년들의 자살에 대한 심리적 상태를 이해하고 힘들어 하는 주변 친구들에게 따뜻한 배려와 도움이 절실히 필요함을 느꼈으며 생명의 소중함을 다시 한번 깨닫는 기회를 가지게 됨.</v>
      </c>
      <c r="BP12" s="41" t="str">
        <f>IFERROR(IF(H12=1,VLOOKUP(H$2,활동내용입력!$B$4:$F$63,5,FALSE),""),"")</f>
        <v>안전교육(2019.03.15., 2019.06.14., 2019.07.19., 2019.08.30., 2019.12.27., 2020.01.03., 2020.01.10.)을 통해 화재, 물놀이, 빙상 등 일상생활에서 일어날 수 있는 안전사고에 대한 예방법과 사고 시 대처방법을 확인하고 실천할 수 있게 됨.</v>
      </c>
      <c r="BQ12" s="41" t="str">
        <f>IFERROR(IF(I12=1,VLOOKUP(I$2,활동내용입력!$B$4:$F$63,5,FALSE),""),"")</f>
        <v>학교폭력 예방교육(2019.03.15., 2019.05.31., 2019.10.18., 2019.12.13., 2020.01.03.)을 통해 학교폭력의 심각성을 알게 되었으며 자신의 인권이 소중한 것처럼 타인의 인권도 소중함을 깨닫고 실천하는 계기가 됨.</v>
      </c>
      <c r="BR12" s="41" t="str">
        <f>IFERROR(IF(J12=1,VLOOKUP(J$2,활동내용입력!$B$4:$F$63,5,FALSE),""),"")</f>
        <v>학급회의(2019.03.15, 2019.03.29., 2019.07.12.)를 통해 학급의 문제들을 해결하기위한 의사결정과정에 적극적으로 참여함.</v>
      </c>
      <c r="BS12" s="41" t="str">
        <f>IFERROR(IF(K12=1,VLOOKUP(K$2,활동내용입력!$B$4:$F$63,5,FALSE),""),"")</f>
        <v xml:space="preserve">다문화교육(2019.03.22., 2019.09.20.)을 통해 우리 나라와 다른 나라의 문화를 함께 나눔으로써 지구촌의 평화와 번영을 함께 누릴 수 있다는 사실을 새삼 깨달은 계기가 됨. </v>
      </c>
      <c r="BT12" s="41" t="str">
        <f>IFERROR(IF(L12=1,VLOOKUP(L$2,활동내용입력!$B$4:$F$63,5,FALSE),""),"")</f>
        <v>흡연, 음주 등 약물 오남용 예방교육(2019.04.05., 2019.05.10, 2019.07.05., 2019.07.12., 2019.07.19., 2019.11.08., 2019.12.06., 2020.01.03.)을 통해 흡연과 음주 등 약물 오남용의 폐해를 인식하고 자신의 건강을 위해 흡연과 음주와 같은 행위를 하지 않겠다고 다짐함.</v>
      </c>
      <c r="BU12" s="41" t="str">
        <f>IFERROR(IF(M12=1,VLOOKUP(M$2,활동내용입력!$B$4:$F$63,5,FALSE),""),"")</f>
        <v>장애인이해교육(2019.04.19., 2019.11.29.)을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v>
      </c>
      <c r="BV12" s="41" t="str">
        <f>IFERROR(IF(N12=1,VLOOKUP(N$2,활동내용입력!$B$4:$F$63,5,FALSE),""),"")</f>
        <v>안전교육(2019.05.10., 2019.05.24., 2019.07.22.)을 통해 교통안전사고를 예방할 수 있는 수칙에 대한 인식을 일깨우고 실천하고자 하는 마음을 다지게 됨.</v>
      </c>
      <c r="BW12" s="41" t="str">
        <f>IFERROR(IF(O12=1,VLOOKUP(O$2,활동내용입력!$B$4:$F$63,5,FALSE),""),"")</f>
        <v>518 광주민주화운동 교육(2019.05.17.)을 통해 민주화 운동이 일어나게 된 배경을 이해하고, 독재에 맞서 싸우다 억울하게 죽어간 수많은 시민들을 추모하는 시간을 가짐.</v>
      </c>
      <c r="BX12" s="41" t="str">
        <f>IFERROR(IF(P12=1,VLOOKUP(P$2,활동내용입력!$B$4:$F$63,5,FALSE),""),"")</f>
        <v>자기주도진로체험활동(2019.06.19.-2019.06.21.)에서 계획 수립부터 진행과정까지 적극적으로 참여함.</v>
      </c>
      <c r="BY12" s="41" t="str">
        <f>IFERROR(IF(Q12=1,VLOOKUP(Q$2,활동내용입력!$B$4:$F$63,5,FALSE),""),"")</f>
        <v>성폭력예방교육(2019.06.28., 2019.10.25., 2019.12.20.)을 통해 이성교제 시 지켜야 할 기본수칙을 배우고 성희롱 및 성폭력의 예방방법과 성적자기결정권의 중요성을 인식하게 됨.</v>
      </c>
      <c r="BZ12" s="41" t="str">
        <f>IFERROR(IF(R12=1,VLOOKUP(R$2,활동내용입력!$B$4:$F$63,5,FALSE),""),"")</f>
        <v>인권교육(2019.12.24.)에 참여하여 인권을 침해 받은 사람들에 대해 마음 아파하고 함께 해결해 나가려 하는 마음을 갖게 됨.</v>
      </c>
      <c r="CA12" s="41" t="str">
        <f>IFERROR(IF(S12=1,VLOOKUP(S$2,활동내용입력!$B$4:$F$63,5,FALSE),""),"")</f>
        <v/>
      </c>
      <c r="CB12" s="41" t="str">
        <f>IFERROR(IF(T12=1,VLOOKUP(T$2,활동내용입력!$B$4:$F$63,5,FALSE),""),"")</f>
        <v/>
      </c>
      <c r="CC12" s="41" t="str">
        <f>IFERROR(IF(U12=1,VLOOKUP(U$2,활동내용입력!$B$4:$F$63,5,FALSE),""),"")</f>
        <v/>
      </c>
      <c r="CD12" s="41" t="str">
        <f>IFERROR(IF(V12=1,VLOOKUP(V$2,활동내용입력!$B$4:$F$63,5,FALSE),""),"")</f>
        <v/>
      </c>
      <c r="CE12" s="41" t="str">
        <f>IFERROR(IF(W12=1,VLOOKUP(W$2,활동내용입력!$B$4:$F$63,5,FALSE),""),"")</f>
        <v/>
      </c>
      <c r="CF12" s="41" t="str">
        <f>IFERROR(IF(X12=1,VLOOKUP(X$2,활동내용입력!$B$4:$F$63,5,FALSE),""),"")</f>
        <v/>
      </c>
      <c r="CG12" s="41" t="str">
        <f>IFERROR(IF(Y12=1,VLOOKUP(Y$2,활동내용입력!$B$4:$F$63,5,FALSE),""),"")</f>
        <v/>
      </c>
      <c r="CH12" s="41" t="str">
        <f>IFERROR(IF(Z12=1,VLOOKUP(Z$2,활동내용입력!$B$4:$F$63,5,FALSE),""),"")</f>
        <v/>
      </c>
      <c r="CI12" s="41" t="str">
        <f>IFERROR(IF(AA12=1,VLOOKUP(AA$2,활동내용입력!$B$4:$F$63,5,FALSE),""),"")</f>
        <v/>
      </c>
      <c r="CJ12" s="41" t="str">
        <f>IFERROR(IF(AB12=1,VLOOKUP(AB$2,활동내용입력!$B$4:$F$63,5,FALSE),""),"")</f>
        <v/>
      </c>
      <c r="CK12" s="41" t="str">
        <f>IFERROR(IF(AC12=1,VLOOKUP(AC$2,활동내용입력!$B$4:$F$63,5,FALSE),""),"")</f>
        <v/>
      </c>
      <c r="CL12" s="41" t="str">
        <f>IFERROR(IF(AD12=1,VLOOKUP(AD$2,활동내용입력!$B$4:$F$63,5,FALSE),""),"")</f>
        <v/>
      </c>
      <c r="CM12" s="41" t="str">
        <f>IFERROR(IF(AE12=1,VLOOKUP(AE$2,활동내용입력!$B$4:$F$63,5,FALSE),""),"")</f>
        <v/>
      </c>
      <c r="CN12" s="41" t="str">
        <f>IFERROR(IF(AF12=1,VLOOKUP(AF$2,활동내용입력!$B$4:$F$63,5,FALSE),""),"")</f>
        <v/>
      </c>
      <c r="CO12" s="41" t="str">
        <f>IFERROR(IF(AG12=1,VLOOKUP(AG$2,활동내용입력!$B$4:$F$63,5,FALSE),""),"")</f>
        <v/>
      </c>
      <c r="CP12" s="41" t="str">
        <f>IFERROR(IF(AH12=1,VLOOKUP(AH$2,활동내용입력!$B$4:$F$63,5,FALSE),""),"")</f>
        <v/>
      </c>
      <c r="CQ12" s="41" t="str">
        <f>IFERROR(IF(AI12=1,VLOOKUP(AI$2,활동내용입력!$B$4:$F$63,5,FALSE),""),"")</f>
        <v/>
      </c>
      <c r="CR12" s="41" t="str">
        <f>IFERROR(IF(AJ12=1,VLOOKUP(AJ$2,활동내용입력!$B$4:$F$63,5,FALSE),""),"")</f>
        <v/>
      </c>
      <c r="CS12" s="41" t="str">
        <f>IFERROR(IF(AK12=1,VLOOKUP(AK$2,활동내용입력!$B$4:$F$63,5,FALSE),""),"")</f>
        <v/>
      </c>
      <c r="CT12" s="41" t="str">
        <f>IFERROR(IF(AL12=1,VLOOKUP(AL$2,활동내용입력!$B$4:$F$63,5,FALSE),""),"")</f>
        <v/>
      </c>
      <c r="CU12" s="41" t="str">
        <f>IFERROR(IF(AM12=1,VLOOKUP(AM$2,활동내용입력!$B$4:$F$63,5,FALSE),""),"")</f>
        <v/>
      </c>
      <c r="CV12" s="41" t="str">
        <f>IFERROR(IF(AN12=1,VLOOKUP(AN$2,활동내용입력!$B$4:$F$63,5,FALSE),""),"")</f>
        <v/>
      </c>
      <c r="CW12" s="41" t="str">
        <f>IFERROR(IF(AO12=1,VLOOKUP(AO$2,활동내용입력!$B$4:$F$63,5,FALSE),""),"")</f>
        <v/>
      </c>
      <c r="CX12" s="41" t="str">
        <f>IFERROR(IF(AP12=1,VLOOKUP(AP$2,활동내용입력!$B$4:$F$63,5,FALSE),""),"")</f>
        <v/>
      </c>
      <c r="CY12" s="41" t="str">
        <f>IFERROR(IF(AQ12=1,VLOOKUP(AQ$2,활동내용입력!$B$4:$F$63,5,FALSE),""),"")</f>
        <v/>
      </c>
      <c r="CZ12" s="41" t="str">
        <f>IFERROR(IF(AR12=1,VLOOKUP(AR$2,활동내용입력!$B$4:$F$63,5,FALSE),""),"")</f>
        <v/>
      </c>
      <c r="DA12" s="41" t="str">
        <f>IFERROR(IF(AS12=1,VLOOKUP(AS$2,활동내용입력!$B$4:$F$63,5,FALSE),""),"")</f>
        <v/>
      </c>
      <c r="DB12" s="41" t="str">
        <f>IFERROR(IF(AT12=1,VLOOKUP(AT$2,활동내용입력!$B$4:$F$63,5,FALSE),""),"")</f>
        <v/>
      </c>
      <c r="DC12" s="41" t="str">
        <f>IFERROR(IF(AU12=1,VLOOKUP(AU$2,활동내용입력!$B$4:$F$63,5,FALSE),""),"")</f>
        <v/>
      </c>
      <c r="DD12" s="41" t="str">
        <f>IFERROR(IF(AV12=1,VLOOKUP(AV$2,활동내용입력!$B$4:$F$63,5,FALSE),""),"")</f>
        <v/>
      </c>
      <c r="DE12" s="41" t="str">
        <f>IFERROR(IF(AW12=1,VLOOKUP(AW$2,활동내용입력!$B$4:$F$63,5,FALSE),""),"")</f>
        <v/>
      </c>
      <c r="DF12" s="41" t="str">
        <f>IFERROR(IF(AX12=1,VLOOKUP(AX$2,활동내용입력!$B$4:$F$63,5,FALSE),""),"")</f>
        <v/>
      </c>
      <c r="DG12" s="41" t="str">
        <f>IFERROR(IF(AY12=1,VLOOKUP(AY$2,활동내용입력!$B$4:$F$63,5,FALSE),""),"")</f>
        <v/>
      </c>
      <c r="DH12" s="41" t="str">
        <f>IFERROR(IF(AZ12=1,VLOOKUP(AZ$2,활동내용입력!$B$4:$F$63,5,FALSE),""),"")</f>
        <v/>
      </c>
      <c r="DI12" s="41" t="str">
        <f>IFERROR(IF(BA12=1,VLOOKUP(BA$2,활동내용입력!$B$4:$F$63,5,FALSE),""),"")</f>
        <v/>
      </c>
      <c r="DJ12" s="41" t="str">
        <f>IFERROR(IF(BB12=1,VLOOKUP(BB$2,활동내용입력!$B$4:$F$63,5,FALSE),""),"")</f>
        <v/>
      </c>
      <c r="DK12" s="41" t="str">
        <f>IFERROR(IF(BC12=1,VLOOKUP(BC$2,활동내용입력!$B$4:$F$63,5,FALSE),""),"")</f>
        <v/>
      </c>
      <c r="DL12" s="41" t="str">
        <f>IFERROR(IF(BD12=1,VLOOKUP(BD$2,활동내용입력!$B$4:$F$63,5,FALSE),""),"")</f>
        <v/>
      </c>
      <c r="DM12" s="41" t="str">
        <f>IFERROR(IF(BE12=1,VLOOKUP(BE$2,활동내용입력!$B$4:$F$63,5,FALSE),""),"")</f>
        <v/>
      </c>
      <c r="DN12" s="41" t="str">
        <f>IFERROR(IF(BF12=1,VLOOKUP(BF$2,활동내용입력!$B$4:$F$63,5,FALSE),""),"")</f>
        <v/>
      </c>
      <c r="DO12" s="41" t="str">
        <f>IFERROR(IF(BG12=1,VLOOKUP(BG$2,활동내용입력!$B$4:$F$63,5,FALSE),""),"")</f>
        <v/>
      </c>
      <c r="DP12" s="41" t="str">
        <f>IFERROR(IF(BH12=1,VLOOKUP(BH$2,활동내용입력!$B$4:$F$63,5,FALSE),""),"")</f>
        <v/>
      </c>
      <c r="DQ12" s="41" t="str">
        <f>IFERROR(IF(BI12=1,VLOOKUP(BI$2,활동내용입력!$B$4:$F$63,5,FALSE),""),"")</f>
        <v/>
      </c>
      <c r="DR12" s="41" t="str">
        <f>IFERROR(IF(BJ12=1,VLOOKUP(BJ$2,활동내용입력!$B$4:$F$63,5,FALSE),""),"")</f>
        <v/>
      </c>
      <c r="DS12" s="41" t="str">
        <f t="shared" si="7"/>
        <v xml:space="preserve">생명존중교육(2019.03.08., 2019.03.29., 2019.09.06., 2019.11.15.)을 통해 청소년들의 자살에 대한 심리적 상태를 이해하고 힘들어 하는 주변 친구들에게 따뜻한 배려와 도움이 절실히 필요함을 느꼈으며 생명의 소중함을 다시 한번 깨닫는 기회를 가지게 됨.
안전교육(2019.03.15., 2019.06.14., 2019.07.19., 2019.08.30., 2019.12.27., 2020.01.03., 2020.01.10.)을 통해 화재, 물놀이, 빙상 등 일상생활에서 일어날 수 있는 안전사고에 대한 예방법과 사고 시 대처방법을 확인하고 실천할 수 있게 됨.
학교폭력 예방교육(2019.03.15., 2019.05.31., 2019.10.18., 2019.12.13., 2020.01.03.)을 통해 학교폭력의 심각성을 알게 되었으며 자신의 인권이 소중한 것처럼 타인의 인권도 소중함을 깨닫고 실천하는 계기가 됨.
학급회의(2019.03.15, 2019.03.29., 2019.07.12.)를 통해 학급의 문제들을 해결하기위한 의사결정과정에 적극적으로 참여함.
다문화교육(2019.03.22., 2019.09.20.)을 통해 우리 나라와 다른 나라의 문화를 함께 나눔으로써 지구촌의 평화와 번영을 함께 누릴 수 있다는 사실을 새삼 깨달은 계기가 됨. 
흡연, 음주 등 약물 오남용 예방교육(2019.04.05., 2019.05.10, 2019.07.05., 2019.07.12., 2019.07.19., 2019.11.08., 2019.12.06., 2020.01.03.)을 통해 흡연과 음주 등 약물 오남용의 폐해를 인식하고 자신의 건강을 위해 흡연과 음주와 같은 행위를 하지 않겠다고 다짐함.
장애인이해교육(2019.04.19., 2019.11.29.)을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
안전교육(2019.05.10., 2019.05.24., 2019.07.22.)을 통해 교통안전사고를 예방할 수 있는 수칙에 대한 인식을 일깨우고 실천하고자 하는 마음을 다지게 됨.
518 광주민주화운동 교육(2019.05.17.)을 통해 민주화 운동이 일어나게 된 배경을 이해하고, 독재에 맞서 싸우다 억울하게 죽어간 수많은 시민들을 추모하는 시간을 가짐.
자기주도진로체험활동(2019.06.19.-2019.06.21.)에서 계획 수립부터 진행과정까지 적극적으로 참여함.
성폭력예방교육(2019.06.28., 2019.10.25., 2019.12.20.)을 통해 이성교제 시 지켜야 할 기본수칙을 배우고 성희롱 및 성폭력의 예방방법과 성적자기결정권의 중요성을 인식하게 됨.
인권교육(2019.12.24.)에 참여하여 인권을 침해 받은 사람들에 대해 마음 아파하고 함께 해결해 나가려 하는 마음을 갖게 됨.
</v>
      </c>
      <c r="DT12" s="42">
        <f t="shared" si="6"/>
        <v>12</v>
      </c>
      <c r="DU12" s="34"/>
    </row>
    <row r="13" spans="1:125" x14ac:dyDescent="0.3">
      <c r="A13" s="58">
        <v>9</v>
      </c>
      <c r="B13" s="57" t="s">
        <v>250</v>
      </c>
      <c r="C13" s="40"/>
      <c r="D13" s="40"/>
      <c r="E13" s="40"/>
      <c r="F13" s="40"/>
      <c r="G13" s="40">
        <v>1</v>
      </c>
      <c r="H13" s="40">
        <v>1</v>
      </c>
      <c r="I13" s="40">
        <v>1</v>
      </c>
      <c r="J13" s="40">
        <v>1</v>
      </c>
      <c r="K13" s="40">
        <v>1</v>
      </c>
      <c r="L13" s="40">
        <v>1</v>
      </c>
      <c r="M13" s="40">
        <v>1</v>
      </c>
      <c r="N13" s="40">
        <v>1</v>
      </c>
      <c r="O13" s="40">
        <v>1</v>
      </c>
      <c r="P13" s="40">
        <v>1</v>
      </c>
      <c r="Q13" s="40">
        <v>1</v>
      </c>
      <c r="R13" s="40">
        <v>1</v>
      </c>
      <c r="S13" s="40"/>
      <c r="T13" s="40"/>
      <c r="U13" s="40"/>
      <c r="V13" s="40"/>
      <c r="W13" s="40"/>
      <c r="X13" s="40"/>
      <c r="Y13" s="40"/>
      <c r="Z13" s="40"/>
      <c r="AA13" s="40"/>
      <c r="AB13" s="40"/>
      <c r="AC13" s="40"/>
      <c r="AD13" s="40"/>
      <c r="AE13" s="40"/>
      <c r="AF13" s="40"/>
      <c r="AG13" s="40"/>
      <c r="AH13" s="40"/>
      <c r="AI13" s="40"/>
      <c r="AJ13" s="40"/>
      <c r="AK13" s="40"/>
      <c r="AL13" s="40"/>
      <c r="AM13" s="40"/>
      <c r="AN13" s="40"/>
      <c r="AO13" s="40"/>
      <c r="AP13" s="40"/>
      <c r="AQ13" s="40"/>
      <c r="AR13" s="40"/>
      <c r="AS13" s="40"/>
      <c r="AT13" s="40"/>
      <c r="AU13" s="40"/>
      <c r="AV13" s="40"/>
      <c r="AW13" s="40"/>
      <c r="AX13" s="40"/>
      <c r="AY13" s="40"/>
      <c r="AZ13" s="40"/>
      <c r="BA13" s="40"/>
      <c r="BB13" s="40"/>
      <c r="BC13" s="40"/>
      <c r="BD13" s="40"/>
      <c r="BE13" s="40"/>
      <c r="BF13" s="40"/>
      <c r="BG13" s="40"/>
      <c r="BH13" s="40"/>
      <c r="BI13" s="40"/>
      <c r="BJ13" s="40"/>
      <c r="BK13" s="41" t="str">
        <f>IFERROR(IF(C13=1,VLOOKUP(C$2,활동내용입력!$B$4:$F$63,5,FALSE),""),"")</f>
        <v/>
      </c>
      <c r="BL13" s="41" t="str">
        <f>IFERROR(IF(D13=1,VLOOKUP(D$2,활동내용입력!$B$4:$F$63,5,FALSE),""),"")</f>
        <v/>
      </c>
      <c r="BM13" s="41" t="str">
        <f>IFERROR(IF(E13=1,VLOOKUP(E$2,활동내용입력!$B$4:$F$63,5,FALSE),""),"")</f>
        <v/>
      </c>
      <c r="BN13" s="41" t="str">
        <f>IFERROR(IF(F13=1,VLOOKUP(F$2,활동내용입력!$B$4:$F$63,5,FALSE),""),"")</f>
        <v/>
      </c>
      <c r="BO13" s="41" t="str">
        <f>IFERROR(IF(G13=1,VLOOKUP(G$2,활동내용입력!$B$4:$F$63,5,FALSE),""),"")</f>
        <v>생명존중교육(2019.03.08., 2019.03.29., 2019.09.06., 2019.11.15.)을 통해 청소년들의 자살에 대한 심리적 상태를 이해하고 힘들어 하는 주변 친구들에게 따뜻한 배려와 도움이 절실히 필요함을 느꼈으며 생명의 소중함을 다시 한번 깨닫는 기회를 가지게 됨.</v>
      </c>
      <c r="BP13" s="41" t="str">
        <f>IFERROR(IF(H13=1,VLOOKUP(H$2,활동내용입력!$B$4:$F$63,5,FALSE),""),"")</f>
        <v>안전교육(2019.03.15., 2019.06.14., 2019.07.19., 2019.08.30., 2019.12.27., 2020.01.03., 2020.01.10.)을 통해 화재, 물놀이, 빙상 등 일상생활에서 일어날 수 있는 안전사고에 대한 예방법과 사고 시 대처방법을 확인하고 실천할 수 있게 됨.</v>
      </c>
      <c r="BQ13" s="41" t="str">
        <f>IFERROR(IF(I13=1,VLOOKUP(I$2,활동내용입력!$B$4:$F$63,5,FALSE),""),"")</f>
        <v>학교폭력 예방교육(2019.03.15., 2019.05.31., 2019.10.18., 2019.12.13., 2020.01.03.)을 통해 학교폭력의 심각성을 알게 되었으며 자신의 인권이 소중한 것처럼 타인의 인권도 소중함을 깨닫고 실천하는 계기가 됨.</v>
      </c>
      <c r="BR13" s="41" t="str">
        <f>IFERROR(IF(J13=1,VLOOKUP(J$2,활동내용입력!$B$4:$F$63,5,FALSE),""),"")</f>
        <v>학급회의(2019.03.15, 2019.03.29., 2019.07.12.)를 통해 학급의 문제들을 해결하기위한 의사결정과정에 적극적으로 참여함.</v>
      </c>
      <c r="BS13" s="41" t="str">
        <f>IFERROR(IF(K13=1,VLOOKUP(K$2,활동내용입력!$B$4:$F$63,5,FALSE),""),"")</f>
        <v xml:space="preserve">다문화교육(2019.03.22., 2019.09.20.)을 통해 우리 나라와 다른 나라의 문화를 함께 나눔으로써 지구촌의 평화와 번영을 함께 누릴 수 있다는 사실을 새삼 깨달은 계기가 됨. </v>
      </c>
      <c r="BT13" s="41" t="str">
        <f>IFERROR(IF(L13=1,VLOOKUP(L$2,활동내용입력!$B$4:$F$63,5,FALSE),""),"")</f>
        <v>흡연, 음주 등 약물 오남용 예방교육(2019.04.05., 2019.05.10, 2019.07.05., 2019.07.12., 2019.07.19., 2019.11.08., 2019.12.06., 2020.01.03.)을 통해 흡연과 음주 등 약물 오남용의 폐해를 인식하고 자신의 건강을 위해 흡연과 음주와 같은 행위를 하지 않겠다고 다짐함.</v>
      </c>
      <c r="BU13" s="41" t="str">
        <f>IFERROR(IF(M13=1,VLOOKUP(M$2,활동내용입력!$B$4:$F$63,5,FALSE),""),"")</f>
        <v>장애인이해교육(2019.04.19., 2019.11.29.)을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v>
      </c>
      <c r="BV13" s="41" t="str">
        <f>IFERROR(IF(N13=1,VLOOKUP(N$2,활동내용입력!$B$4:$F$63,5,FALSE),""),"")</f>
        <v>안전교육(2019.05.10., 2019.05.24., 2019.07.22.)을 통해 교통안전사고를 예방할 수 있는 수칙에 대한 인식을 일깨우고 실천하고자 하는 마음을 다지게 됨.</v>
      </c>
      <c r="BW13" s="41" t="str">
        <f>IFERROR(IF(O13=1,VLOOKUP(O$2,활동내용입력!$B$4:$F$63,5,FALSE),""),"")</f>
        <v>518 광주민주화운동 교육(2019.05.17.)을 통해 민주화 운동이 일어나게 된 배경을 이해하고, 독재에 맞서 싸우다 억울하게 죽어간 수많은 시민들을 추모하는 시간을 가짐.</v>
      </c>
      <c r="BX13" s="41" t="str">
        <f>IFERROR(IF(P13=1,VLOOKUP(P$2,활동내용입력!$B$4:$F$63,5,FALSE),""),"")</f>
        <v>자기주도진로체험활동(2019.06.19.-2019.06.21.)에서 계획 수립부터 진행과정까지 적극적으로 참여함.</v>
      </c>
      <c r="BY13" s="41" t="str">
        <f>IFERROR(IF(Q13=1,VLOOKUP(Q$2,활동내용입력!$B$4:$F$63,5,FALSE),""),"")</f>
        <v>성폭력예방교육(2019.06.28., 2019.10.25., 2019.12.20.)을 통해 이성교제 시 지켜야 할 기본수칙을 배우고 성희롱 및 성폭력의 예방방법과 성적자기결정권의 중요성을 인식하게 됨.</v>
      </c>
      <c r="BZ13" s="41" t="str">
        <f>IFERROR(IF(R13=1,VLOOKUP(R$2,활동내용입력!$B$4:$F$63,5,FALSE),""),"")</f>
        <v>인권교육(2019.12.24.)에 참여하여 인권을 침해 받은 사람들에 대해 마음 아파하고 함께 해결해 나가려 하는 마음을 갖게 됨.</v>
      </c>
      <c r="CA13" s="41" t="str">
        <f>IFERROR(IF(S13=1,VLOOKUP(S$2,활동내용입력!$B$4:$F$63,5,FALSE),""),"")</f>
        <v/>
      </c>
      <c r="CB13" s="41" t="str">
        <f>IFERROR(IF(T13=1,VLOOKUP(T$2,활동내용입력!$B$4:$F$63,5,FALSE),""),"")</f>
        <v/>
      </c>
      <c r="CC13" s="41" t="str">
        <f>IFERROR(IF(U13=1,VLOOKUP(U$2,활동내용입력!$B$4:$F$63,5,FALSE),""),"")</f>
        <v/>
      </c>
      <c r="CD13" s="41" t="str">
        <f>IFERROR(IF(V13=1,VLOOKUP(V$2,활동내용입력!$B$4:$F$63,5,FALSE),""),"")</f>
        <v/>
      </c>
      <c r="CE13" s="41" t="str">
        <f>IFERROR(IF(W13=1,VLOOKUP(W$2,활동내용입력!$B$4:$F$63,5,FALSE),""),"")</f>
        <v/>
      </c>
      <c r="CF13" s="41" t="str">
        <f>IFERROR(IF(X13=1,VLOOKUP(X$2,활동내용입력!$B$4:$F$63,5,FALSE),""),"")</f>
        <v/>
      </c>
      <c r="CG13" s="41" t="str">
        <f>IFERROR(IF(Y13=1,VLOOKUP(Y$2,활동내용입력!$B$4:$F$63,5,FALSE),""),"")</f>
        <v/>
      </c>
      <c r="CH13" s="41" t="str">
        <f>IFERROR(IF(Z13=1,VLOOKUP(Z$2,활동내용입력!$B$4:$F$63,5,FALSE),""),"")</f>
        <v/>
      </c>
      <c r="CI13" s="41" t="str">
        <f>IFERROR(IF(AA13=1,VLOOKUP(AA$2,활동내용입력!$B$4:$F$63,5,FALSE),""),"")</f>
        <v/>
      </c>
      <c r="CJ13" s="41" t="str">
        <f>IFERROR(IF(AB13=1,VLOOKUP(AB$2,활동내용입력!$B$4:$F$63,5,FALSE),""),"")</f>
        <v/>
      </c>
      <c r="CK13" s="41" t="str">
        <f>IFERROR(IF(AC13=1,VLOOKUP(AC$2,활동내용입력!$B$4:$F$63,5,FALSE),""),"")</f>
        <v/>
      </c>
      <c r="CL13" s="41" t="str">
        <f>IFERROR(IF(AD13=1,VLOOKUP(AD$2,활동내용입력!$B$4:$F$63,5,FALSE),""),"")</f>
        <v/>
      </c>
      <c r="CM13" s="41" t="str">
        <f>IFERROR(IF(AE13=1,VLOOKUP(AE$2,활동내용입력!$B$4:$F$63,5,FALSE),""),"")</f>
        <v/>
      </c>
      <c r="CN13" s="41" t="str">
        <f>IFERROR(IF(AF13=1,VLOOKUP(AF$2,활동내용입력!$B$4:$F$63,5,FALSE),""),"")</f>
        <v/>
      </c>
      <c r="CO13" s="41" t="str">
        <f>IFERROR(IF(AG13=1,VLOOKUP(AG$2,활동내용입력!$B$4:$F$63,5,FALSE),""),"")</f>
        <v/>
      </c>
      <c r="CP13" s="41" t="str">
        <f>IFERROR(IF(AH13=1,VLOOKUP(AH$2,활동내용입력!$B$4:$F$63,5,FALSE),""),"")</f>
        <v/>
      </c>
      <c r="CQ13" s="41" t="str">
        <f>IFERROR(IF(AI13=1,VLOOKUP(AI$2,활동내용입력!$B$4:$F$63,5,FALSE),""),"")</f>
        <v/>
      </c>
      <c r="CR13" s="41" t="str">
        <f>IFERROR(IF(AJ13=1,VLOOKUP(AJ$2,활동내용입력!$B$4:$F$63,5,FALSE),""),"")</f>
        <v/>
      </c>
      <c r="CS13" s="41" t="str">
        <f>IFERROR(IF(AK13=1,VLOOKUP(AK$2,활동내용입력!$B$4:$F$63,5,FALSE),""),"")</f>
        <v/>
      </c>
      <c r="CT13" s="41" t="str">
        <f>IFERROR(IF(AL13=1,VLOOKUP(AL$2,활동내용입력!$B$4:$F$63,5,FALSE),""),"")</f>
        <v/>
      </c>
      <c r="CU13" s="41" t="str">
        <f>IFERROR(IF(AM13=1,VLOOKUP(AM$2,활동내용입력!$B$4:$F$63,5,FALSE),""),"")</f>
        <v/>
      </c>
      <c r="CV13" s="41" t="str">
        <f>IFERROR(IF(AN13=1,VLOOKUP(AN$2,활동내용입력!$B$4:$F$63,5,FALSE),""),"")</f>
        <v/>
      </c>
      <c r="CW13" s="41" t="str">
        <f>IFERROR(IF(AO13=1,VLOOKUP(AO$2,활동내용입력!$B$4:$F$63,5,FALSE),""),"")</f>
        <v/>
      </c>
      <c r="CX13" s="41" t="str">
        <f>IFERROR(IF(AP13=1,VLOOKUP(AP$2,활동내용입력!$B$4:$F$63,5,FALSE),""),"")</f>
        <v/>
      </c>
      <c r="CY13" s="41" t="str">
        <f>IFERROR(IF(AQ13=1,VLOOKUP(AQ$2,활동내용입력!$B$4:$F$63,5,FALSE),""),"")</f>
        <v/>
      </c>
      <c r="CZ13" s="41" t="str">
        <f>IFERROR(IF(AR13=1,VLOOKUP(AR$2,활동내용입력!$B$4:$F$63,5,FALSE),""),"")</f>
        <v/>
      </c>
      <c r="DA13" s="41" t="str">
        <f>IFERROR(IF(AS13=1,VLOOKUP(AS$2,활동내용입력!$B$4:$F$63,5,FALSE),""),"")</f>
        <v/>
      </c>
      <c r="DB13" s="41" t="str">
        <f>IFERROR(IF(AT13=1,VLOOKUP(AT$2,활동내용입력!$B$4:$F$63,5,FALSE),""),"")</f>
        <v/>
      </c>
      <c r="DC13" s="41" t="str">
        <f>IFERROR(IF(AU13=1,VLOOKUP(AU$2,활동내용입력!$B$4:$F$63,5,FALSE),""),"")</f>
        <v/>
      </c>
      <c r="DD13" s="41" t="str">
        <f>IFERROR(IF(AV13=1,VLOOKUP(AV$2,활동내용입력!$B$4:$F$63,5,FALSE),""),"")</f>
        <v/>
      </c>
      <c r="DE13" s="41" t="str">
        <f>IFERROR(IF(AW13=1,VLOOKUP(AW$2,활동내용입력!$B$4:$F$63,5,FALSE),""),"")</f>
        <v/>
      </c>
      <c r="DF13" s="41" t="str">
        <f>IFERROR(IF(AX13=1,VLOOKUP(AX$2,활동내용입력!$B$4:$F$63,5,FALSE),""),"")</f>
        <v/>
      </c>
      <c r="DG13" s="41" t="str">
        <f>IFERROR(IF(AY13=1,VLOOKUP(AY$2,활동내용입력!$B$4:$F$63,5,FALSE),""),"")</f>
        <v/>
      </c>
      <c r="DH13" s="41" t="str">
        <f>IFERROR(IF(AZ13=1,VLOOKUP(AZ$2,활동내용입력!$B$4:$F$63,5,FALSE),""),"")</f>
        <v/>
      </c>
      <c r="DI13" s="41" t="str">
        <f>IFERROR(IF(BA13=1,VLOOKUP(BA$2,활동내용입력!$B$4:$F$63,5,FALSE),""),"")</f>
        <v/>
      </c>
      <c r="DJ13" s="41" t="str">
        <f>IFERROR(IF(BB13=1,VLOOKUP(BB$2,활동내용입력!$B$4:$F$63,5,FALSE),""),"")</f>
        <v/>
      </c>
      <c r="DK13" s="41" t="str">
        <f>IFERROR(IF(BC13=1,VLOOKUP(BC$2,활동내용입력!$B$4:$F$63,5,FALSE),""),"")</f>
        <v/>
      </c>
      <c r="DL13" s="41" t="str">
        <f>IFERROR(IF(BD13=1,VLOOKUP(BD$2,활동내용입력!$B$4:$F$63,5,FALSE),""),"")</f>
        <v/>
      </c>
      <c r="DM13" s="41" t="str">
        <f>IFERROR(IF(BE13=1,VLOOKUP(BE$2,활동내용입력!$B$4:$F$63,5,FALSE),""),"")</f>
        <v/>
      </c>
      <c r="DN13" s="41" t="str">
        <f>IFERROR(IF(BF13=1,VLOOKUP(BF$2,활동내용입력!$B$4:$F$63,5,FALSE),""),"")</f>
        <v/>
      </c>
      <c r="DO13" s="41" t="str">
        <f>IFERROR(IF(BG13=1,VLOOKUP(BG$2,활동내용입력!$B$4:$F$63,5,FALSE),""),"")</f>
        <v/>
      </c>
      <c r="DP13" s="41" t="str">
        <f>IFERROR(IF(BH13=1,VLOOKUP(BH$2,활동내용입력!$B$4:$F$63,5,FALSE),""),"")</f>
        <v/>
      </c>
      <c r="DQ13" s="41" t="str">
        <f>IFERROR(IF(BI13=1,VLOOKUP(BI$2,활동내용입력!$B$4:$F$63,5,FALSE),""),"")</f>
        <v/>
      </c>
      <c r="DR13" s="41" t="str">
        <f>IFERROR(IF(BJ13=1,VLOOKUP(BJ$2,활동내용입력!$B$4:$F$63,5,FALSE),""),"")</f>
        <v/>
      </c>
      <c r="DS13" s="41" t="str">
        <f t="shared" si="7"/>
        <v xml:space="preserve">생명존중교육(2019.03.08., 2019.03.29., 2019.09.06., 2019.11.15.)을 통해 청소년들의 자살에 대한 심리적 상태를 이해하고 힘들어 하는 주변 친구들에게 따뜻한 배려와 도움이 절실히 필요함을 느꼈으며 생명의 소중함을 다시 한번 깨닫는 기회를 가지게 됨.
안전교육(2019.03.15., 2019.06.14., 2019.07.19., 2019.08.30., 2019.12.27., 2020.01.03., 2020.01.10.)을 통해 화재, 물놀이, 빙상 등 일상생활에서 일어날 수 있는 안전사고에 대한 예방법과 사고 시 대처방법을 확인하고 실천할 수 있게 됨.
학교폭력 예방교육(2019.03.15., 2019.05.31., 2019.10.18., 2019.12.13., 2020.01.03.)을 통해 학교폭력의 심각성을 알게 되었으며 자신의 인권이 소중한 것처럼 타인의 인권도 소중함을 깨닫고 실천하는 계기가 됨.
학급회의(2019.03.15, 2019.03.29., 2019.07.12.)를 통해 학급의 문제들을 해결하기위한 의사결정과정에 적극적으로 참여함.
다문화교육(2019.03.22., 2019.09.20.)을 통해 우리 나라와 다른 나라의 문화를 함께 나눔으로써 지구촌의 평화와 번영을 함께 누릴 수 있다는 사실을 새삼 깨달은 계기가 됨. 
흡연, 음주 등 약물 오남용 예방교육(2019.04.05., 2019.05.10, 2019.07.05., 2019.07.12., 2019.07.19., 2019.11.08., 2019.12.06., 2020.01.03.)을 통해 흡연과 음주 등 약물 오남용의 폐해를 인식하고 자신의 건강을 위해 흡연과 음주와 같은 행위를 하지 않겠다고 다짐함.
장애인이해교육(2019.04.19., 2019.11.29.)을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
안전교육(2019.05.10., 2019.05.24., 2019.07.22.)을 통해 교통안전사고를 예방할 수 있는 수칙에 대한 인식을 일깨우고 실천하고자 하는 마음을 다지게 됨.
518 광주민주화운동 교육(2019.05.17.)을 통해 민주화 운동이 일어나게 된 배경을 이해하고, 독재에 맞서 싸우다 억울하게 죽어간 수많은 시민들을 추모하는 시간을 가짐.
자기주도진로체험활동(2019.06.19.-2019.06.21.)에서 계획 수립부터 진행과정까지 적극적으로 참여함.
성폭력예방교육(2019.06.28., 2019.10.25., 2019.12.20.)을 통해 이성교제 시 지켜야 할 기본수칙을 배우고 성희롱 및 성폭력의 예방방법과 성적자기결정권의 중요성을 인식하게 됨.
인권교육(2019.12.24.)에 참여하여 인권을 침해 받은 사람들에 대해 마음 아파하고 함께 해결해 나가려 하는 마음을 갖게 됨.
</v>
      </c>
      <c r="DT13" s="42">
        <f t="shared" si="6"/>
        <v>12</v>
      </c>
      <c r="DU13" s="34"/>
    </row>
    <row r="14" spans="1:125" x14ac:dyDescent="0.3">
      <c r="A14" s="58">
        <v>10</v>
      </c>
      <c r="B14" s="57" t="s">
        <v>251</v>
      </c>
      <c r="C14" s="40"/>
      <c r="D14" s="40"/>
      <c r="E14" s="40"/>
      <c r="F14" s="40"/>
      <c r="G14" s="40">
        <v>1</v>
      </c>
      <c r="H14" s="40">
        <v>1</v>
      </c>
      <c r="I14" s="40">
        <v>1</v>
      </c>
      <c r="J14" s="40">
        <v>1</v>
      </c>
      <c r="K14" s="40">
        <v>1</v>
      </c>
      <c r="L14" s="40">
        <v>1</v>
      </c>
      <c r="M14" s="40">
        <v>1</v>
      </c>
      <c r="N14" s="40">
        <v>1</v>
      </c>
      <c r="O14" s="40">
        <v>1</v>
      </c>
      <c r="P14" s="40">
        <v>1</v>
      </c>
      <c r="Q14" s="40">
        <v>1</v>
      </c>
      <c r="R14" s="40">
        <v>1</v>
      </c>
      <c r="S14" s="40"/>
      <c r="T14" s="40"/>
      <c r="U14" s="40"/>
      <c r="V14" s="40"/>
      <c r="W14" s="40"/>
      <c r="X14" s="40"/>
      <c r="Y14" s="40"/>
      <c r="Z14" s="40"/>
      <c r="AA14" s="40"/>
      <c r="AB14" s="40"/>
      <c r="AC14" s="40"/>
      <c r="AD14" s="40"/>
      <c r="AE14" s="40"/>
      <c r="AF14" s="40"/>
      <c r="AG14" s="40"/>
      <c r="AH14" s="40"/>
      <c r="AI14" s="40"/>
      <c r="AJ14" s="40"/>
      <c r="AK14" s="40"/>
      <c r="AL14" s="40"/>
      <c r="AM14" s="40"/>
      <c r="AN14" s="40"/>
      <c r="AO14" s="40"/>
      <c r="AP14" s="40"/>
      <c r="AQ14" s="40"/>
      <c r="AR14" s="40"/>
      <c r="AS14" s="40"/>
      <c r="AT14" s="40"/>
      <c r="AU14" s="40"/>
      <c r="AV14" s="40"/>
      <c r="AW14" s="40"/>
      <c r="AX14" s="40"/>
      <c r="AY14" s="40"/>
      <c r="AZ14" s="40"/>
      <c r="BA14" s="40"/>
      <c r="BB14" s="40"/>
      <c r="BC14" s="40"/>
      <c r="BD14" s="40"/>
      <c r="BE14" s="40"/>
      <c r="BF14" s="40"/>
      <c r="BG14" s="40"/>
      <c r="BH14" s="40"/>
      <c r="BI14" s="40"/>
      <c r="BJ14" s="40"/>
      <c r="BK14" s="41" t="str">
        <f>IFERROR(IF(C14=1,VLOOKUP(C$2,활동내용입력!$B$4:$F$63,5,FALSE),""),"")</f>
        <v/>
      </c>
      <c r="BL14" s="41" t="str">
        <f>IFERROR(IF(D14=1,VLOOKUP(D$2,활동내용입력!$B$4:$F$63,5,FALSE),""),"")</f>
        <v/>
      </c>
      <c r="BM14" s="41" t="str">
        <f>IFERROR(IF(E14=1,VLOOKUP(E$2,활동내용입력!$B$4:$F$63,5,FALSE),""),"")</f>
        <v/>
      </c>
      <c r="BN14" s="41" t="str">
        <f>IFERROR(IF(F14=1,VLOOKUP(F$2,활동내용입력!$B$4:$F$63,5,FALSE),""),"")</f>
        <v/>
      </c>
      <c r="BO14" s="41" t="str">
        <f>IFERROR(IF(G14=1,VLOOKUP(G$2,활동내용입력!$B$4:$F$63,5,FALSE),""),"")</f>
        <v>생명존중교육(2019.03.08., 2019.03.29., 2019.09.06., 2019.11.15.)을 통해 청소년들의 자살에 대한 심리적 상태를 이해하고 힘들어 하는 주변 친구들에게 따뜻한 배려와 도움이 절실히 필요함을 느꼈으며 생명의 소중함을 다시 한번 깨닫는 기회를 가지게 됨.</v>
      </c>
      <c r="BP14" s="41" t="str">
        <f>IFERROR(IF(H14=1,VLOOKUP(H$2,활동내용입력!$B$4:$F$63,5,FALSE),""),"")</f>
        <v>안전교육(2019.03.15., 2019.06.14., 2019.07.19., 2019.08.30., 2019.12.27., 2020.01.03., 2020.01.10.)을 통해 화재, 물놀이, 빙상 등 일상생활에서 일어날 수 있는 안전사고에 대한 예방법과 사고 시 대처방법을 확인하고 실천할 수 있게 됨.</v>
      </c>
      <c r="BQ14" s="41" t="str">
        <f>IFERROR(IF(I14=1,VLOOKUP(I$2,활동내용입력!$B$4:$F$63,5,FALSE),""),"")</f>
        <v>학교폭력 예방교육(2019.03.15., 2019.05.31., 2019.10.18., 2019.12.13., 2020.01.03.)을 통해 학교폭력의 심각성을 알게 되었으며 자신의 인권이 소중한 것처럼 타인의 인권도 소중함을 깨닫고 실천하는 계기가 됨.</v>
      </c>
      <c r="BR14" s="41" t="str">
        <f>IFERROR(IF(J14=1,VLOOKUP(J$2,활동내용입력!$B$4:$F$63,5,FALSE),""),"")</f>
        <v>학급회의(2019.03.15, 2019.03.29., 2019.07.12.)를 통해 학급의 문제들을 해결하기위한 의사결정과정에 적극적으로 참여함.</v>
      </c>
      <c r="BS14" s="41" t="str">
        <f>IFERROR(IF(K14=1,VLOOKUP(K$2,활동내용입력!$B$4:$F$63,5,FALSE),""),"")</f>
        <v xml:space="preserve">다문화교육(2019.03.22., 2019.09.20.)을 통해 우리 나라와 다른 나라의 문화를 함께 나눔으로써 지구촌의 평화와 번영을 함께 누릴 수 있다는 사실을 새삼 깨달은 계기가 됨. </v>
      </c>
      <c r="BT14" s="41" t="str">
        <f>IFERROR(IF(L14=1,VLOOKUP(L$2,활동내용입력!$B$4:$F$63,5,FALSE),""),"")</f>
        <v>흡연, 음주 등 약물 오남용 예방교육(2019.04.05., 2019.05.10, 2019.07.05., 2019.07.12., 2019.07.19., 2019.11.08., 2019.12.06., 2020.01.03.)을 통해 흡연과 음주 등 약물 오남용의 폐해를 인식하고 자신의 건강을 위해 흡연과 음주와 같은 행위를 하지 않겠다고 다짐함.</v>
      </c>
      <c r="BU14" s="41" t="str">
        <f>IFERROR(IF(M14=1,VLOOKUP(M$2,활동내용입력!$B$4:$F$63,5,FALSE),""),"")</f>
        <v>장애인이해교육(2019.04.19., 2019.11.29.)을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v>
      </c>
      <c r="BV14" s="41" t="str">
        <f>IFERROR(IF(N14=1,VLOOKUP(N$2,활동내용입력!$B$4:$F$63,5,FALSE),""),"")</f>
        <v>안전교육(2019.05.10., 2019.05.24., 2019.07.22.)을 통해 교통안전사고를 예방할 수 있는 수칙에 대한 인식을 일깨우고 실천하고자 하는 마음을 다지게 됨.</v>
      </c>
      <c r="BW14" s="41" t="str">
        <f>IFERROR(IF(O14=1,VLOOKUP(O$2,활동내용입력!$B$4:$F$63,5,FALSE),""),"")</f>
        <v>518 광주민주화운동 교육(2019.05.17.)을 통해 민주화 운동이 일어나게 된 배경을 이해하고, 독재에 맞서 싸우다 억울하게 죽어간 수많은 시민들을 추모하는 시간을 가짐.</v>
      </c>
      <c r="BX14" s="41" t="str">
        <f>IFERROR(IF(P14=1,VLOOKUP(P$2,활동내용입력!$B$4:$F$63,5,FALSE),""),"")</f>
        <v>자기주도진로체험활동(2019.06.19.-2019.06.21.)에서 계획 수립부터 진행과정까지 적극적으로 참여함.</v>
      </c>
      <c r="BY14" s="41" t="str">
        <f>IFERROR(IF(Q14=1,VLOOKUP(Q$2,활동내용입력!$B$4:$F$63,5,FALSE),""),"")</f>
        <v>성폭력예방교육(2019.06.28., 2019.10.25., 2019.12.20.)을 통해 이성교제 시 지켜야 할 기본수칙을 배우고 성희롱 및 성폭력의 예방방법과 성적자기결정권의 중요성을 인식하게 됨.</v>
      </c>
      <c r="BZ14" s="41" t="str">
        <f>IFERROR(IF(R14=1,VLOOKUP(R$2,활동내용입력!$B$4:$F$63,5,FALSE),""),"")</f>
        <v>인권교육(2019.12.24.)에 참여하여 인권을 침해 받은 사람들에 대해 마음 아파하고 함께 해결해 나가려 하는 마음을 갖게 됨.</v>
      </c>
      <c r="CA14" s="41" t="str">
        <f>IFERROR(IF(S14=1,VLOOKUP(S$2,활동내용입력!$B$4:$F$63,5,FALSE),""),"")</f>
        <v/>
      </c>
      <c r="CB14" s="41" t="str">
        <f>IFERROR(IF(T14=1,VLOOKUP(T$2,활동내용입력!$B$4:$F$63,5,FALSE),""),"")</f>
        <v/>
      </c>
      <c r="CC14" s="41" t="str">
        <f>IFERROR(IF(U14=1,VLOOKUP(U$2,활동내용입력!$B$4:$F$63,5,FALSE),""),"")</f>
        <v/>
      </c>
      <c r="CD14" s="41" t="str">
        <f>IFERROR(IF(V14=1,VLOOKUP(V$2,활동내용입력!$B$4:$F$63,5,FALSE),""),"")</f>
        <v/>
      </c>
      <c r="CE14" s="41" t="str">
        <f>IFERROR(IF(W14=1,VLOOKUP(W$2,활동내용입력!$B$4:$F$63,5,FALSE),""),"")</f>
        <v/>
      </c>
      <c r="CF14" s="41" t="str">
        <f>IFERROR(IF(X14=1,VLOOKUP(X$2,활동내용입력!$B$4:$F$63,5,FALSE),""),"")</f>
        <v/>
      </c>
      <c r="CG14" s="41" t="str">
        <f>IFERROR(IF(Y14=1,VLOOKUP(Y$2,활동내용입력!$B$4:$F$63,5,FALSE),""),"")</f>
        <v/>
      </c>
      <c r="CH14" s="41" t="str">
        <f>IFERROR(IF(Z14=1,VLOOKUP(Z$2,활동내용입력!$B$4:$F$63,5,FALSE),""),"")</f>
        <v/>
      </c>
      <c r="CI14" s="41" t="str">
        <f>IFERROR(IF(AA14=1,VLOOKUP(AA$2,활동내용입력!$B$4:$F$63,5,FALSE),""),"")</f>
        <v/>
      </c>
      <c r="CJ14" s="41" t="str">
        <f>IFERROR(IF(AB14=1,VLOOKUP(AB$2,활동내용입력!$B$4:$F$63,5,FALSE),""),"")</f>
        <v/>
      </c>
      <c r="CK14" s="41" t="str">
        <f>IFERROR(IF(AC14=1,VLOOKUP(AC$2,활동내용입력!$B$4:$F$63,5,FALSE),""),"")</f>
        <v/>
      </c>
      <c r="CL14" s="41" t="str">
        <f>IFERROR(IF(AD14=1,VLOOKUP(AD$2,활동내용입력!$B$4:$F$63,5,FALSE),""),"")</f>
        <v/>
      </c>
      <c r="CM14" s="41" t="str">
        <f>IFERROR(IF(AE14=1,VLOOKUP(AE$2,활동내용입력!$B$4:$F$63,5,FALSE),""),"")</f>
        <v/>
      </c>
      <c r="CN14" s="41" t="str">
        <f>IFERROR(IF(AF14=1,VLOOKUP(AF$2,활동내용입력!$B$4:$F$63,5,FALSE),""),"")</f>
        <v/>
      </c>
      <c r="CO14" s="41" t="str">
        <f>IFERROR(IF(AG14=1,VLOOKUP(AG$2,활동내용입력!$B$4:$F$63,5,FALSE),""),"")</f>
        <v/>
      </c>
      <c r="CP14" s="41" t="str">
        <f>IFERROR(IF(AH14=1,VLOOKUP(AH$2,활동내용입력!$B$4:$F$63,5,FALSE),""),"")</f>
        <v/>
      </c>
      <c r="CQ14" s="41" t="str">
        <f>IFERROR(IF(AI14=1,VLOOKUP(AI$2,활동내용입력!$B$4:$F$63,5,FALSE),""),"")</f>
        <v/>
      </c>
      <c r="CR14" s="41" t="str">
        <f>IFERROR(IF(AJ14=1,VLOOKUP(AJ$2,활동내용입력!$B$4:$F$63,5,FALSE),""),"")</f>
        <v/>
      </c>
      <c r="CS14" s="41" t="str">
        <f>IFERROR(IF(AK14=1,VLOOKUP(AK$2,활동내용입력!$B$4:$F$63,5,FALSE),""),"")</f>
        <v/>
      </c>
      <c r="CT14" s="41" t="str">
        <f>IFERROR(IF(AL14=1,VLOOKUP(AL$2,활동내용입력!$B$4:$F$63,5,FALSE),""),"")</f>
        <v/>
      </c>
      <c r="CU14" s="41" t="str">
        <f>IFERROR(IF(AM14=1,VLOOKUP(AM$2,활동내용입력!$B$4:$F$63,5,FALSE),""),"")</f>
        <v/>
      </c>
      <c r="CV14" s="41" t="str">
        <f>IFERROR(IF(AN14=1,VLOOKUP(AN$2,활동내용입력!$B$4:$F$63,5,FALSE),""),"")</f>
        <v/>
      </c>
      <c r="CW14" s="41" t="str">
        <f>IFERROR(IF(AO14=1,VLOOKUP(AO$2,활동내용입력!$B$4:$F$63,5,FALSE),""),"")</f>
        <v/>
      </c>
      <c r="CX14" s="41" t="str">
        <f>IFERROR(IF(AP14=1,VLOOKUP(AP$2,활동내용입력!$B$4:$F$63,5,FALSE),""),"")</f>
        <v/>
      </c>
      <c r="CY14" s="41" t="str">
        <f>IFERROR(IF(AQ14=1,VLOOKUP(AQ$2,활동내용입력!$B$4:$F$63,5,FALSE),""),"")</f>
        <v/>
      </c>
      <c r="CZ14" s="41" t="str">
        <f>IFERROR(IF(AR14=1,VLOOKUP(AR$2,활동내용입력!$B$4:$F$63,5,FALSE),""),"")</f>
        <v/>
      </c>
      <c r="DA14" s="41" t="str">
        <f>IFERROR(IF(AS14=1,VLOOKUP(AS$2,활동내용입력!$B$4:$F$63,5,FALSE),""),"")</f>
        <v/>
      </c>
      <c r="DB14" s="41" t="str">
        <f>IFERROR(IF(AT14=1,VLOOKUP(AT$2,활동내용입력!$B$4:$F$63,5,FALSE),""),"")</f>
        <v/>
      </c>
      <c r="DC14" s="41" t="str">
        <f>IFERROR(IF(AU14=1,VLOOKUP(AU$2,활동내용입력!$B$4:$F$63,5,FALSE),""),"")</f>
        <v/>
      </c>
      <c r="DD14" s="41" t="str">
        <f>IFERROR(IF(AV14=1,VLOOKUP(AV$2,활동내용입력!$B$4:$F$63,5,FALSE),""),"")</f>
        <v/>
      </c>
      <c r="DE14" s="41" t="str">
        <f>IFERROR(IF(AW14=1,VLOOKUP(AW$2,활동내용입력!$B$4:$F$63,5,FALSE),""),"")</f>
        <v/>
      </c>
      <c r="DF14" s="41" t="str">
        <f>IFERROR(IF(AX14=1,VLOOKUP(AX$2,활동내용입력!$B$4:$F$63,5,FALSE),""),"")</f>
        <v/>
      </c>
      <c r="DG14" s="41" t="str">
        <f>IFERROR(IF(AY14=1,VLOOKUP(AY$2,활동내용입력!$B$4:$F$63,5,FALSE),""),"")</f>
        <v/>
      </c>
      <c r="DH14" s="41" t="str">
        <f>IFERROR(IF(AZ14=1,VLOOKUP(AZ$2,활동내용입력!$B$4:$F$63,5,FALSE),""),"")</f>
        <v/>
      </c>
      <c r="DI14" s="41" t="str">
        <f>IFERROR(IF(BA14=1,VLOOKUP(BA$2,활동내용입력!$B$4:$F$63,5,FALSE),""),"")</f>
        <v/>
      </c>
      <c r="DJ14" s="41" t="str">
        <f>IFERROR(IF(BB14=1,VLOOKUP(BB$2,활동내용입력!$B$4:$F$63,5,FALSE),""),"")</f>
        <v/>
      </c>
      <c r="DK14" s="41" t="str">
        <f>IFERROR(IF(BC14=1,VLOOKUP(BC$2,활동내용입력!$B$4:$F$63,5,FALSE),""),"")</f>
        <v/>
      </c>
      <c r="DL14" s="41" t="str">
        <f>IFERROR(IF(BD14=1,VLOOKUP(BD$2,활동내용입력!$B$4:$F$63,5,FALSE),""),"")</f>
        <v/>
      </c>
      <c r="DM14" s="41" t="str">
        <f>IFERROR(IF(BE14=1,VLOOKUP(BE$2,활동내용입력!$B$4:$F$63,5,FALSE),""),"")</f>
        <v/>
      </c>
      <c r="DN14" s="41" t="str">
        <f>IFERROR(IF(BF14=1,VLOOKUP(BF$2,활동내용입력!$B$4:$F$63,5,FALSE),""),"")</f>
        <v/>
      </c>
      <c r="DO14" s="41" t="str">
        <f>IFERROR(IF(BG14=1,VLOOKUP(BG$2,활동내용입력!$B$4:$F$63,5,FALSE),""),"")</f>
        <v/>
      </c>
      <c r="DP14" s="41" t="str">
        <f>IFERROR(IF(BH14=1,VLOOKUP(BH$2,활동내용입력!$B$4:$F$63,5,FALSE),""),"")</f>
        <v/>
      </c>
      <c r="DQ14" s="41" t="str">
        <f>IFERROR(IF(BI14=1,VLOOKUP(BI$2,활동내용입력!$B$4:$F$63,5,FALSE),""),"")</f>
        <v/>
      </c>
      <c r="DR14" s="41" t="str">
        <f>IFERROR(IF(BJ14=1,VLOOKUP(BJ$2,활동내용입력!$B$4:$F$63,5,FALSE),""),"")</f>
        <v/>
      </c>
      <c r="DS14" s="41" t="str">
        <f t="shared" si="7"/>
        <v xml:space="preserve">생명존중교육(2019.03.08., 2019.03.29., 2019.09.06., 2019.11.15.)을 통해 청소년들의 자살에 대한 심리적 상태를 이해하고 힘들어 하는 주변 친구들에게 따뜻한 배려와 도움이 절실히 필요함을 느꼈으며 생명의 소중함을 다시 한번 깨닫는 기회를 가지게 됨.
안전교육(2019.03.15., 2019.06.14., 2019.07.19., 2019.08.30., 2019.12.27., 2020.01.03., 2020.01.10.)을 통해 화재, 물놀이, 빙상 등 일상생활에서 일어날 수 있는 안전사고에 대한 예방법과 사고 시 대처방법을 확인하고 실천할 수 있게 됨.
학교폭력 예방교육(2019.03.15., 2019.05.31., 2019.10.18., 2019.12.13., 2020.01.03.)을 통해 학교폭력의 심각성을 알게 되었으며 자신의 인권이 소중한 것처럼 타인의 인권도 소중함을 깨닫고 실천하는 계기가 됨.
학급회의(2019.03.15, 2019.03.29., 2019.07.12.)를 통해 학급의 문제들을 해결하기위한 의사결정과정에 적극적으로 참여함.
다문화교육(2019.03.22., 2019.09.20.)을 통해 우리 나라와 다른 나라의 문화를 함께 나눔으로써 지구촌의 평화와 번영을 함께 누릴 수 있다는 사실을 새삼 깨달은 계기가 됨. 
흡연, 음주 등 약물 오남용 예방교육(2019.04.05., 2019.05.10, 2019.07.05., 2019.07.12., 2019.07.19., 2019.11.08., 2019.12.06., 2020.01.03.)을 통해 흡연과 음주 등 약물 오남용의 폐해를 인식하고 자신의 건강을 위해 흡연과 음주와 같은 행위를 하지 않겠다고 다짐함.
장애인이해교육(2019.04.19., 2019.11.29.)을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
안전교육(2019.05.10., 2019.05.24., 2019.07.22.)을 통해 교통안전사고를 예방할 수 있는 수칙에 대한 인식을 일깨우고 실천하고자 하는 마음을 다지게 됨.
518 광주민주화운동 교육(2019.05.17.)을 통해 민주화 운동이 일어나게 된 배경을 이해하고, 독재에 맞서 싸우다 억울하게 죽어간 수많은 시민들을 추모하는 시간을 가짐.
자기주도진로체험활동(2019.06.19.-2019.06.21.)에서 계획 수립부터 진행과정까지 적극적으로 참여함.
성폭력예방교육(2019.06.28., 2019.10.25., 2019.12.20.)을 통해 이성교제 시 지켜야 할 기본수칙을 배우고 성희롱 및 성폭력의 예방방법과 성적자기결정권의 중요성을 인식하게 됨.
인권교육(2019.12.24.)에 참여하여 인권을 침해 받은 사람들에 대해 마음 아파하고 함께 해결해 나가려 하는 마음을 갖게 됨.
</v>
      </c>
      <c r="DT14" s="42">
        <f t="shared" si="6"/>
        <v>12</v>
      </c>
      <c r="DU14" s="34"/>
    </row>
    <row r="15" spans="1:125" x14ac:dyDescent="0.3">
      <c r="A15" s="58">
        <v>11</v>
      </c>
      <c r="B15" s="57" t="s">
        <v>252</v>
      </c>
      <c r="C15" s="40"/>
      <c r="D15" s="40"/>
      <c r="E15" s="40"/>
      <c r="F15" s="40"/>
      <c r="G15" s="40">
        <v>1</v>
      </c>
      <c r="H15" s="40">
        <v>1</v>
      </c>
      <c r="I15" s="40">
        <v>1</v>
      </c>
      <c r="J15" s="40">
        <v>1</v>
      </c>
      <c r="K15" s="40">
        <v>1</v>
      </c>
      <c r="L15" s="40">
        <v>1</v>
      </c>
      <c r="M15" s="40">
        <v>1</v>
      </c>
      <c r="N15" s="40">
        <v>1</v>
      </c>
      <c r="O15" s="40">
        <v>1</v>
      </c>
      <c r="P15" s="40">
        <v>1</v>
      </c>
      <c r="Q15" s="40">
        <v>1</v>
      </c>
      <c r="R15" s="40">
        <v>1</v>
      </c>
      <c r="S15" s="40"/>
      <c r="T15" s="40"/>
      <c r="U15" s="40"/>
      <c r="V15" s="40"/>
      <c r="W15" s="40"/>
      <c r="X15" s="40"/>
      <c r="Y15" s="40"/>
      <c r="Z15" s="40"/>
      <c r="AA15" s="40"/>
      <c r="AB15" s="40"/>
      <c r="AC15" s="40"/>
      <c r="AD15" s="40"/>
      <c r="AE15" s="40"/>
      <c r="AF15" s="40"/>
      <c r="AG15" s="40"/>
      <c r="AH15" s="40"/>
      <c r="AI15" s="40"/>
      <c r="AJ15" s="40"/>
      <c r="AK15" s="40"/>
      <c r="AL15" s="40"/>
      <c r="AM15" s="40"/>
      <c r="AN15" s="40"/>
      <c r="AO15" s="40"/>
      <c r="AP15" s="40"/>
      <c r="AQ15" s="40"/>
      <c r="AR15" s="40"/>
      <c r="AS15" s="40"/>
      <c r="AT15" s="40"/>
      <c r="AU15" s="40"/>
      <c r="AV15" s="40"/>
      <c r="AW15" s="40"/>
      <c r="AX15" s="40"/>
      <c r="AY15" s="40"/>
      <c r="AZ15" s="40"/>
      <c r="BA15" s="40"/>
      <c r="BB15" s="40"/>
      <c r="BC15" s="40"/>
      <c r="BD15" s="40"/>
      <c r="BE15" s="40"/>
      <c r="BF15" s="40"/>
      <c r="BG15" s="40"/>
      <c r="BH15" s="40"/>
      <c r="BI15" s="40"/>
      <c r="BJ15" s="40"/>
      <c r="BK15" s="41" t="str">
        <f>IFERROR(IF(C15=1,VLOOKUP(C$2,활동내용입력!$B$4:$F$63,5,FALSE),""),"")</f>
        <v/>
      </c>
      <c r="BL15" s="41" t="str">
        <f>IFERROR(IF(D15=1,VLOOKUP(D$2,활동내용입력!$B$4:$F$63,5,FALSE),""),"")</f>
        <v/>
      </c>
      <c r="BM15" s="41" t="str">
        <f>IFERROR(IF(E15=1,VLOOKUP(E$2,활동내용입력!$B$4:$F$63,5,FALSE),""),"")</f>
        <v/>
      </c>
      <c r="BN15" s="41" t="str">
        <f>IFERROR(IF(F15=1,VLOOKUP(F$2,활동내용입력!$B$4:$F$63,5,FALSE),""),"")</f>
        <v/>
      </c>
      <c r="BO15" s="41" t="str">
        <f>IFERROR(IF(G15=1,VLOOKUP(G$2,활동내용입력!$B$4:$F$63,5,FALSE),""),"")</f>
        <v>생명존중교육(2019.03.08., 2019.03.29., 2019.09.06., 2019.11.15.)을 통해 청소년들의 자살에 대한 심리적 상태를 이해하고 힘들어 하는 주변 친구들에게 따뜻한 배려와 도움이 절실히 필요함을 느꼈으며 생명의 소중함을 다시 한번 깨닫는 기회를 가지게 됨.</v>
      </c>
      <c r="BP15" s="41" t="str">
        <f>IFERROR(IF(H15=1,VLOOKUP(H$2,활동내용입력!$B$4:$F$63,5,FALSE),""),"")</f>
        <v>안전교육(2019.03.15., 2019.06.14., 2019.07.19., 2019.08.30., 2019.12.27., 2020.01.03., 2020.01.10.)을 통해 화재, 물놀이, 빙상 등 일상생활에서 일어날 수 있는 안전사고에 대한 예방법과 사고 시 대처방법을 확인하고 실천할 수 있게 됨.</v>
      </c>
      <c r="BQ15" s="41" t="str">
        <f>IFERROR(IF(I15=1,VLOOKUP(I$2,활동내용입력!$B$4:$F$63,5,FALSE),""),"")</f>
        <v>학교폭력 예방교육(2019.03.15., 2019.05.31., 2019.10.18., 2019.12.13., 2020.01.03.)을 통해 학교폭력의 심각성을 알게 되었으며 자신의 인권이 소중한 것처럼 타인의 인권도 소중함을 깨닫고 실천하는 계기가 됨.</v>
      </c>
      <c r="BR15" s="41" t="str">
        <f>IFERROR(IF(J15=1,VLOOKUP(J$2,활동내용입력!$B$4:$F$63,5,FALSE),""),"")</f>
        <v>학급회의(2019.03.15, 2019.03.29., 2019.07.12.)를 통해 학급의 문제들을 해결하기위한 의사결정과정에 적극적으로 참여함.</v>
      </c>
      <c r="BS15" s="41" t="str">
        <f>IFERROR(IF(K15=1,VLOOKUP(K$2,활동내용입력!$B$4:$F$63,5,FALSE),""),"")</f>
        <v xml:space="preserve">다문화교육(2019.03.22., 2019.09.20.)을 통해 우리 나라와 다른 나라의 문화를 함께 나눔으로써 지구촌의 평화와 번영을 함께 누릴 수 있다는 사실을 새삼 깨달은 계기가 됨. </v>
      </c>
      <c r="BT15" s="41" t="str">
        <f>IFERROR(IF(L15=1,VLOOKUP(L$2,활동내용입력!$B$4:$F$63,5,FALSE),""),"")</f>
        <v>흡연, 음주 등 약물 오남용 예방교육(2019.04.05., 2019.05.10, 2019.07.05., 2019.07.12., 2019.07.19., 2019.11.08., 2019.12.06., 2020.01.03.)을 통해 흡연과 음주 등 약물 오남용의 폐해를 인식하고 자신의 건강을 위해 흡연과 음주와 같은 행위를 하지 않겠다고 다짐함.</v>
      </c>
      <c r="BU15" s="41" t="str">
        <f>IFERROR(IF(M15=1,VLOOKUP(M$2,활동내용입력!$B$4:$F$63,5,FALSE),""),"")</f>
        <v>장애인이해교육(2019.04.19., 2019.11.29.)을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v>
      </c>
      <c r="BV15" s="41" t="str">
        <f>IFERROR(IF(N15=1,VLOOKUP(N$2,활동내용입력!$B$4:$F$63,5,FALSE),""),"")</f>
        <v>안전교육(2019.05.10., 2019.05.24., 2019.07.22.)을 통해 교통안전사고를 예방할 수 있는 수칙에 대한 인식을 일깨우고 실천하고자 하는 마음을 다지게 됨.</v>
      </c>
      <c r="BW15" s="41" t="str">
        <f>IFERROR(IF(O15=1,VLOOKUP(O$2,활동내용입력!$B$4:$F$63,5,FALSE),""),"")</f>
        <v>518 광주민주화운동 교육(2019.05.17.)을 통해 민주화 운동이 일어나게 된 배경을 이해하고, 독재에 맞서 싸우다 억울하게 죽어간 수많은 시민들을 추모하는 시간을 가짐.</v>
      </c>
      <c r="BX15" s="41" t="str">
        <f>IFERROR(IF(P15=1,VLOOKUP(P$2,활동내용입력!$B$4:$F$63,5,FALSE),""),"")</f>
        <v>자기주도진로체험활동(2019.06.19.-2019.06.21.)에서 계획 수립부터 진행과정까지 적극적으로 참여함.</v>
      </c>
      <c r="BY15" s="41" t="str">
        <f>IFERROR(IF(Q15=1,VLOOKUP(Q$2,활동내용입력!$B$4:$F$63,5,FALSE),""),"")</f>
        <v>성폭력예방교육(2019.06.28., 2019.10.25., 2019.12.20.)을 통해 이성교제 시 지켜야 할 기본수칙을 배우고 성희롱 및 성폭력의 예방방법과 성적자기결정권의 중요성을 인식하게 됨.</v>
      </c>
      <c r="BZ15" s="41" t="str">
        <f>IFERROR(IF(R15=1,VLOOKUP(R$2,활동내용입력!$B$4:$F$63,5,FALSE),""),"")</f>
        <v>인권교육(2019.12.24.)에 참여하여 인권을 침해 받은 사람들에 대해 마음 아파하고 함께 해결해 나가려 하는 마음을 갖게 됨.</v>
      </c>
      <c r="CA15" s="41" t="str">
        <f>IFERROR(IF(S15=1,VLOOKUP(S$2,활동내용입력!$B$4:$F$63,5,FALSE),""),"")</f>
        <v/>
      </c>
      <c r="CB15" s="41" t="str">
        <f>IFERROR(IF(T15=1,VLOOKUP(T$2,활동내용입력!$B$4:$F$63,5,FALSE),""),"")</f>
        <v/>
      </c>
      <c r="CC15" s="41" t="str">
        <f>IFERROR(IF(U15=1,VLOOKUP(U$2,활동내용입력!$B$4:$F$63,5,FALSE),""),"")</f>
        <v/>
      </c>
      <c r="CD15" s="41" t="str">
        <f>IFERROR(IF(V15=1,VLOOKUP(V$2,활동내용입력!$B$4:$F$63,5,FALSE),""),"")</f>
        <v/>
      </c>
      <c r="CE15" s="41" t="str">
        <f>IFERROR(IF(W15=1,VLOOKUP(W$2,활동내용입력!$B$4:$F$63,5,FALSE),""),"")</f>
        <v/>
      </c>
      <c r="CF15" s="41" t="str">
        <f>IFERROR(IF(X15=1,VLOOKUP(X$2,활동내용입력!$B$4:$F$63,5,FALSE),""),"")</f>
        <v/>
      </c>
      <c r="CG15" s="41" t="str">
        <f>IFERROR(IF(Y15=1,VLOOKUP(Y$2,활동내용입력!$B$4:$F$63,5,FALSE),""),"")</f>
        <v/>
      </c>
      <c r="CH15" s="41" t="str">
        <f>IFERROR(IF(Z15=1,VLOOKUP(Z$2,활동내용입력!$B$4:$F$63,5,FALSE),""),"")</f>
        <v/>
      </c>
      <c r="CI15" s="41" t="str">
        <f>IFERROR(IF(AA15=1,VLOOKUP(AA$2,활동내용입력!$B$4:$F$63,5,FALSE),""),"")</f>
        <v/>
      </c>
      <c r="CJ15" s="41" t="str">
        <f>IFERROR(IF(AB15=1,VLOOKUP(AB$2,활동내용입력!$B$4:$F$63,5,FALSE),""),"")</f>
        <v/>
      </c>
      <c r="CK15" s="41" t="str">
        <f>IFERROR(IF(AC15=1,VLOOKUP(AC$2,활동내용입력!$B$4:$F$63,5,FALSE),""),"")</f>
        <v/>
      </c>
      <c r="CL15" s="41" t="str">
        <f>IFERROR(IF(AD15=1,VLOOKUP(AD$2,활동내용입력!$B$4:$F$63,5,FALSE),""),"")</f>
        <v/>
      </c>
      <c r="CM15" s="41" t="str">
        <f>IFERROR(IF(AE15=1,VLOOKUP(AE$2,활동내용입력!$B$4:$F$63,5,FALSE),""),"")</f>
        <v/>
      </c>
      <c r="CN15" s="41" t="str">
        <f>IFERROR(IF(AF15=1,VLOOKUP(AF$2,활동내용입력!$B$4:$F$63,5,FALSE),""),"")</f>
        <v/>
      </c>
      <c r="CO15" s="41" t="str">
        <f>IFERROR(IF(AG15=1,VLOOKUP(AG$2,활동내용입력!$B$4:$F$63,5,FALSE),""),"")</f>
        <v/>
      </c>
      <c r="CP15" s="41" t="str">
        <f>IFERROR(IF(AH15=1,VLOOKUP(AH$2,활동내용입력!$B$4:$F$63,5,FALSE),""),"")</f>
        <v/>
      </c>
      <c r="CQ15" s="41" t="str">
        <f>IFERROR(IF(AI15=1,VLOOKUP(AI$2,활동내용입력!$B$4:$F$63,5,FALSE),""),"")</f>
        <v/>
      </c>
      <c r="CR15" s="41" t="str">
        <f>IFERROR(IF(AJ15=1,VLOOKUP(AJ$2,활동내용입력!$B$4:$F$63,5,FALSE),""),"")</f>
        <v/>
      </c>
      <c r="CS15" s="41" t="str">
        <f>IFERROR(IF(AK15=1,VLOOKUP(AK$2,활동내용입력!$B$4:$F$63,5,FALSE),""),"")</f>
        <v/>
      </c>
      <c r="CT15" s="41" t="str">
        <f>IFERROR(IF(AL15=1,VLOOKUP(AL$2,활동내용입력!$B$4:$F$63,5,FALSE),""),"")</f>
        <v/>
      </c>
      <c r="CU15" s="41" t="str">
        <f>IFERROR(IF(AM15=1,VLOOKUP(AM$2,활동내용입력!$B$4:$F$63,5,FALSE),""),"")</f>
        <v/>
      </c>
      <c r="CV15" s="41" t="str">
        <f>IFERROR(IF(AN15=1,VLOOKUP(AN$2,활동내용입력!$B$4:$F$63,5,FALSE),""),"")</f>
        <v/>
      </c>
      <c r="CW15" s="41" t="str">
        <f>IFERROR(IF(AO15=1,VLOOKUP(AO$2,활동내용입력!$B$4:$F$63,5,FALSE),""),"")</f>
        <v/>
      </c>
      <c r="CX15" s="41" t="str">
        <f>IFERROR(IF(AP15=1,VLOOKUP(AP$2,활동내용입력!$B$4:$F$63,5,FALSE),""),"")</f>
        <v/>
      </c>
      <c r="CY15" s="41" t="str">
        <f>IFERROR(IF(AQ15=1,VLOOKUP(AQ$2,활동내용입력!$B$4:$F$63,5,FALSE),""),"")</f>
        <v/>
      </c>
      <c r="CZ15" s="41" t="str">
        <f>IFERROR(IF(AR15=1,VLOOKUP(AR$2,활동내용입력!$B$4:$F$63,5,FALSE),""),"")</f>
        <v/>
      </c>
      <c r="DA15" s="41" t="str">
        <f>IFERROR(IF(AS15=1,VLOOKUP(AS$2,활동내용입력!$B$4:$F$63,5,FALSE),""),"")</f>
        <v/>
      </c>
      <c r="DB15" s="41" t="str">
        <f>IFERROR(IF(AT15=1,VLOOKUP(AT$2,활동내용입력!$B$4:$F$63,5,FALSE),""),"")</f>
        <v/>
      </c>
      <c r="DC15" s="41" t="str">
        <f>IFERROR(IF(AU15=1,VLOOKUP(AU$2,활동내용입력!$B$4:$F$63,5,FALSE),""),"")</f>
        <v/>
      </c>
      <c r="DD15" s="41" t="str">
        <f>IFERROR(IF(AV15=1,VLOOKUP(AV$2,활동내용입력!$B$4:$F$63,5,FALSE),""),"")</f>
        <v/>
      </c>
      <c r="DE15" s="41" t="str">
        <f>IFERROR(IF(AW15=1,VLOOKUP(AW$2,활동내용입력!$B$4:$F$63,5,FALSE),""),"")</f>
        <v/>
      </c>
      <c r="DF15" s="41" t="str">
        <f>IFERROR(IF(AX15=1,VLOOKUP(AX$2,활동내용입력!$B$4:$F$63,5,FALSE),""),"")</f>
        <v/>
      </c>
      <c r="DG15" s="41" t="str">
        <f>IFERROR(IF(AY15=1,VLOOKUP(AY$2,활동내용입력!$B$4:$F$63,5,FALSE),""),"")</f>
        <v/>
      </c>
      <c r="DH15" s="41" t="str">
        <f>IFERROR(IF(AZ15=1,VLOOKUP(AZ$2,활동내용입력!$B$4:$F$63,5,FALSE),""),"")</f>
        <v/>
      </c>
      <c r="DI15" s="41" t="str">
        <f>IFERROR(IF(BA15=1,VLOOKUP(BA$2,활동내용입력!$B$4:$F$63,5,FALSE),""),"")</f>
        <v/>
      </c>
      <c r="DJ15" s="41" t="str">
        <f>IFERROR(IF(BB15=1,VLOOKUP(BB$2,활동내용입력!$B$4:$F$63,5,FALSE),""),"")</f>
        <v/>
      </c>
      <c r="DK15" s="41" t="str">
        <f>IFERROR(IF(BC15=1,VLOOKUP(BC$2,활동내용입력!$B$4:$F$63,5,FALSE),""),"")</f>
        <v/>
      </c>
      <c r="DL15" s="41" t="str">
        <f>IFERROR(IF(BD15=1,VLOOKUP(BD$2,활동내용입력!$B$4:$F$63,5,FALSE),""),"")</f>
        <v/>
      </c>
      <c r="DM15" s="41" t="str">
        <f>IFERROR(IF(BE15=1,VLOOKUP(BE$2,활동내용입력!$B$4:$F$63,5,FALSE),""),"")</f>
        <v/>
      </c>
      <c r="DN15" s="41" t="str">
        <f>IFERROR(IF(BF15=1,VLOOKUP(BF$2,활동내용입력!$B$4:$F$63,5,FALSE),""),"")</f>
        <v/>
      </c>
      <c r="DO15" s="41" t="str">
        <f>IFERROR(IF(BG15=1,VLOOKUP(BG$2,활동내용입력!$B$4:$F$63,5,FALSE),""),"")</f>
        <v/>
      </c>
      <c r="DP15" s="41" t="str">
        <f>IFERROR(IF(BH15=1,VLOOKUP(BH$2,활동내용입력!$B$4:$F$63,5,FALSE),""),"")</f>
        <v/>
      </c>
      <c r="DQ15" s="41" t="str">
        <f>IFERROR(IF(BI15=1,VLOOKUP(BI$2,활동내용입력!$B$4:$F$63,5,FALSE),""),"")</f>
        <v/>
      </c>
      <c r="DR15" s="41" t="str">
        <f>IFERROR(IF(BJ15=1,VLOOKUP(BJ$2,활동내용입력!$B$4:$F$63,5,FALSE),""),"")</f>
        <v/>
      </c>
      <c r="DS15" s="41" t="str">
        <f t="shared" si="7"/>
        <v xml:space="preserve">생명존중교육(2019.03.08., 2019.03.29., 2019.09.06., 2019.11.15.)을 통해 청소년들의 자살에 대한 심리적 상태를 이해하고 힘들어 하는 주변 친구들에게 따뜻한 배려와 도움이 절실히 필요함을 느꼈으며 생명의 소중함을 다시 한번 깨닫는 기회를 가지게 됨.
안전교육(2019.03.15., 2019.06.14., 2019.07.19., 2019.08.30., 2019.12.27., 2020.01.03., 2020.01.10.)을 통해 화재, 물놀이, 빙상 등 일상생활에서 일어날 수 있는 안전사고에 대한 예방법과 사고 시 대처방법을 확인하고 실천할 수 있게 됨.
학교폭력 예방교육(2019.03.15., 2019.05.31., 2019.10.18., 2019.12.13., 2020.01.03.)을 통해 학교폭력의 심각성을 알게 되었으며 자신의 인권이 소중한 것처럼 타인의 인권도 소중함을 깨닫고 실천하는 계기가 됨.
학급회의(2019.03.15, 2019.03.29., 2019.07.12.)를 통해 학급의 문제들을 해결하기위한 의사결정과정에 적극적으로 참여함.
다문화교육(2019.03.22., 2019.09.20.)을 통해 우리 나라와 다른 나라의 문화를 함께 나눔으로써 지구촌의 평화와 번영을 함께 누릴 수 있다는 사실을 새삼 깨달은 계기가 됨. 
흡연, 음주 등 약물 오남용 예방교육(2019.04.05., 2019.05.10, 2019.07.05., 2019.07.12., 2019.07.19., 2019.11.08., 2019.12.06., 2020.01.03.)을 통해 흡연과 음주 등 약물 오남용의 폐해를 인식하고 자신의 건강을 위해 흡연과 음주와 같은 행위를 하지 않겠다고 다짐함.
장애인이해교육(2019.04.19., 2019.11.29.)을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
안전교육(2019.05.10., 2019.05.24., 2019.07.22.)을 통해 교통안전사고를 예방할 수 있는 수칙에 대한 인식을 일깨우고 실천하고자 하는 마음을 다지게 됨.
518 광주민주화운동 교육(2019.05.17.)을 통해 민주화 운동이 일어나게 된 배경을 이해하고, 독재에 맞서 싸우다 억울하게 죽어간 수많은 시민들을 추모하는 시간을 가짐.
자기주도진로체험활동(2019.06.19.-2019.06.21.)에서 계획 수립부터 진행과정까지 적극적으로 참여함.
성폭력예방교육(2019.06.28., 2019.10.25., 2019.12.20.)을 통해 이성교제 시 지켜야 할 기본수칙을 배우고 성희롱 및 성폭력의 예방방법과 성적자기결정권의 중요성을 인식하게 됨.
인권교육(2019.12.24.)에 참여하여 인권을 침해 받은 사람들에 대해 마음 아파하고 함께 해결해 나가려 하는 마음을 갖게 됨.
</v>
      </c>
      <c r="DT15" s="42">
        <f t="shared" si="6"/>
        <v>12</v>
      </c>
      <c r="DU15" s="34"/>
    </row>
    <row r="16" spans="1:125" x14ac:dyDescent="0.3">
      <c r="A16" s="58">
        <v>12</v>
      </c>
      <c r="B16" s="57" t="s">
        <v>253</v>
      </c>
      <c r="C16" s="40"/>
      <c r="D16" s="40"/>
      <c r="E16" s="40"/>
      <c r="F16" s="40"/>
      <c r="G16" s="40">
        <v>1</v>
      </c>
      <c r="H16" s="40">
        <v>1</v>
      </c>
      <c r="I16" s="40">
        <v>1</v>
      </c>
      <c r="J16" s="40">
        <v>1</v>
      </c>
      <c r="K16" s="40">
        <v>1</v>
      </c>
      <c r="L16" s="40">
        <v>1</v>
      </c>
      <c r="M16" s="40">
        <v>1</v>
      </c>
      <c r="N16" s="40">
        <v>1</v>
      </c>
      <c r="O16" s="40">
        <v>1</v>
      </c>
      <c r="P16" s="40">
        <v>1</v>
      </c>
      <c r="Q16" s="40">
        <v>1</v>
      </c>
      <c r="R16" s="40">
        <v>1</v>
      </c>
      <c r="S16" s="40"/>
      <c r="T16" s="40"/>
      <c r="U16" s="40"/>
      <c r="V16" s="40"/>
      <c r="W16" s="40"/>
      <c r="X16" s="40"/>
      <c r="Y16" s="40"/>
      <c r="Z16" s="40"/>
      <c r="AA16" s="40"/>
      <c r="AB16" s="40"/>
      <c r="AC16" s="40"/>
      <c r="AD16" s="40"/>
      <c r="AE16" s="40"/>
      <c r="AF16" s="40"/>
      <c r="AG16" s="40"/>
      <c r="AH16" s="40"/>
      <c r="AI16" s="40"/>
      <c r="AJ16" s="40"/>
      <c r="AK16" s="40"/>
      <c r="AL16" s="40"/>
      <c r="AM16" s="40"/>
      <c r="AN16" s="40"/>
      <c r="AO16" s="40"/>
      <c r="AP16" s="40"/>
      <c r="AQ16" s="40"/>
      <c r="AR16" s="40"/>
      <c r="AS16" s="40"/>
      <c r="AT16" s="40"/>
      <c r="AU16" s="40"/>
      <c r="AV16" s="40"/>
      <c r="AW16" s="40"/>
      <c r="AX16" s="40"/>
      <c r="AY16" s="40"/>
      <c r="AZ16" s="40"/>
      <c r="BA16" s="40"/>
      <c r="BB16" s="40"/>
      <c r="BC16" s="40"/>
      <c r="BD16" s="40"/>
      <c r="BE16" s="40"/>
      <c r="BF16" s="40"/>
      <c r="BG16" s="40"/>
      <c r="BH16" s="40"/>
      <c r="BI16" s="40"/>
      <c r="BJ16" s="40"/>
      <c r="BK16" s="41" t="str">
        <f>IFERROR(IF(C16=1,VLOOKUP(C$2,활동내용입력!$B$4:$F$63,5,FALSE),""),"")</f>
        <v/>
      </c>
      <c r="BL16" s="41" t="str">
        <f>IFERROR(IF(D16=1,VLOOKUP(D$2,활동내용입력!$B$4:$F$63,5,FALSE),""),"")</f>
        <v/>
      </c>
      <c r="BM16" s="41" t="str">
        <f>IFERROR(IF(E16=1,VLOOKUP(E$2,활동내용입력!$B$4:$F$63,5,FALSE),""),"")</f>
        <v/>
      </c>
      <c r="BN16" s="41" t="str">
        <f>IFERROR(IF(F16=1,VLOOKUP(F$2,활동내용입력!$B$4:$F$63,5,FALSE),""),"")</f>
        <v/>
      </c>
      <c r="BO16" s="41" t="str">
        <f>IFERROR(IF(G16=1,VLOOKUP(G$2,활동내용입력!$B$4:$F$63,5,FALSE),""),"")</f>
        <v>생명존중교육(2019.03.08., 2019.03.29., 2019.09.06., 2019.11.15.)을 통해 청소년들의 자살에 대한 심리적 상태를 이해하고 힘들어 하는 주변 친구들에게 따뜻한 배려와 도움이 절실히 필요함을 느꼈으며 생명의 소중함을 다시 한번 깨닫는 기회를 가지게 됨.</v>
      </c>
      <c r="BP16" s="41" t="str">
        <f>IFERROR(IF(H16=1,VLOOKUP(H$2,활동내용입력!$B$4:$F$63,5,FALSE),""),"")</f>
        <v>안전교육(2019.03.15., 2019.06.14., 2019.07.19., 2019.08.30., 2019.12.27., 2020.01.03., 2020.01.10.)을 통해 화재, 물놀이, 빙상 등 일상생활에서 일어날 수 있는 안전사고에 대한 예방법과 사고 시 대처방법을 확인하고 실천할 수 있게 됨.</v>
      </c>
      <c r="BQ16" s="41" t="str">
        <f>IFERROR(IF(I16=1,VLOOKUP(I$2,활동내용입력!$B$4:$F$63,5,FALSE),""),"")</f>
        <v>학교폭력 예방교육(2019.03.15., 2019.05.31., 2019.10.18., 2019.12.13., 2020.01.03.)을 통해 학교폭력의 심각성을 알게 되었으며 자신의 인권이 소중한 것처럼 타인의 인권도 소중함을 깨닫고 실천하는 계기가 됨.</v>
      </c>
      <c r="BR16" s="41" t="str">
        <f>IFERROR(IF(J16=1,VLOOKUP(J$2,활동내용입력!$B$4:$F$63,5,FALSE),""),"")</f>
        <v>학급회의(2019.03.15, 2019.03.29., 2019.07.12.)를 통해 학급의 문제들을 해결하기위한 의사결정과정에 적극적으로 참여함.</v>
      </c>
      <c r="BS16" s="41" t="str">
        <f>IFERROR(IF(K16=1,VLOOKUP(K$2,활동내용입력!$B$4:$F$63,5,FALSE),""),"")</f>
        <v xml:space="preserve">다문화교육(2019.03.22., 2019.09.20.)을 통해 우리 나라와 다른 나라의 문화를 함께 나눔으로써 지구촌의 평화와 번영을 함께 누릴 수 있다는 사실을 새삼 깨달은 계기가 됨. </v>
      </c>
      <c r="BT16" s="41" t="str">
        <f>IFERROR(IF(L16=1,VLOOKUP(L$2,활동내용입력!$B$4:$F$63,5,FALSE),""),"")</f>
        <v>흡연, 음주 등 약물 오남용 예방교육(2019.04.05., 2019.05.10, 2019.07.05., 2019.07.12., 2019.07.19., 2019.11.08., 2019.12.06., 2020.01.03.)을 통해 흡연과 음주 등 약물 오남용의 폐해를 인식하고 자신의 건강을 위해 흡연과 음주와 같은 행위를 하지 않겠다고 다짐함.</v>
      </c>
      <c r="BU16" s="41" t="str">
        <f>IFERROR(IF(M16=1,VLOOKUP(M$2,활동내용입력!$B$4:$F$63,5,FALSE),""),"")</f>
        <v>장애인이해교육(2019.04.19., 2019.11.29.)을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v>
      </c>
      <c r="BV16" s="41" t="str">
        <f>IFERROR(IF(N16=1,VLOOKUP(N$2,활동내용입력!$B$4:$F$63,5,FALSE),""),"")</f>
        <v>안전교육(2019.05.10., 2019.05.24., 2019.07.22.)을 통해 교통안전사고를 예방할 수 있는 수칙에 대한 인식을 일깨우고 실천하고자 하는 마음을 다지게 됨.</v>
      </c>
      <c r="BW16" s="41" t="str">
        <f>IFERROR(IF(O16=1,VLOOKUP(O$2,활동내용입력!$B$4:$F$63,5,FALSE),""),"")</f>
        <v>518 광주민주화운동 교육(2019.05.17.)을 통해 민주화 운동이 일어나게 된 배경을 이해하고, 독재에 맞서 싸우다 억울하게 죽어간 수많은 시민들을 추모하는 시간을 가짐.</v>
      </c>
      <c r="BX16" s="41" t="str">
        <f>IFERROR(IF(P16=1,VLOOKUP(P$2,활동내용입력!$B$4:$F$63,5,FALSE),""),"")</f>
        <v>자기주도진로체험활동(2019.06.19.-2019.06.21.)에서 계획 수립부터 진행과정까지 적극적으로 참여함.</v>
      </c>
      <c r="BY16" s="41" t="str">
        <f>IFERROR(IF(Q16=1,VLOOKUP(Q$2,활동내용입력!$B$4:$F$63,5,FALSE),""),"")</f>
        <v>성폭력예방교육(2019.06.28., 2019.10.25., 2019.12.20.)을 통해 이성교제 시 지켜야 할 기본수칙을 배우고 성희롱 및 성폭력의 예방방법과 성적자기결정권의 중요성을 인식하게 됨.</v>
      </c>
      <c r="BZ16" s="41" t="str">
        <f>IFERROR(IF(R16=1,VLOOKUP(R$2,활동내용입력!$B$4:$F$63,5,FALSE),""),"")</f>
        <v>인권교육(2019.12.24.)에 참여하여 인권을 침해 받은 사람들에 대해 마음 아파하고 함께 해결해 나가려 하는 마음을 갖게 됨.</v>
      </c>
      <c r="CA16" s="41" t="str">
        <f>IFERROR(IF(S16=1,VLOOKUP(S$2,활동내용입력!$B$4:$F$63,5,FALSE),""),"")</f>
        <v/>
      </c>
      <c r="CB16" s="41" t="str">
        <f>IFERROR(IF(T16=1,VLOOKUP(T$2,활동내용입력!$B$4:$F$63,5,FALSE),""),"")</f>
        <v/>
      </c>
      <c r="CC16" s="41" t="str">
        <f>IFERROR(IF(U16=1,VLOOKUP(U$2,활동내용입력!$B$4:$F$63,5,FALSE),""),"")</f>
        <v/>
      </c>
      <c r="CD16" s="41" t="str">
        <f>IFERROR(IF(V16=1,VLOOKUP(V$2,활동내용입력!$B$4:$F$63,5,FALSE),""),"")</f>
        <v/>
      </c>
      <c r="CE16" s="41" t="str">
        <f>IFERROR(IF(W16=1,VLOOKUP(W$2,활동내용입력!$B$4:$F$63,5,FALSE),""),"")</f>
        <v/>
      </c>
      <c r="CF16" s="41" t="str">
        <f>IFERROR(IF(X16=1,VLOOKUP(X$2,활동내용입력!$B$4:$F$63,5,FALSE),""),"")</f>
        <v/>
      </c>
      <c r="CG16" s="41" t="str">
        <f>IFERROR(IF(Y16=1,VLOOKUP(Y$2,활동내용입력!$B$4:$F$63,5,FALSE),""),"")</f>
        <v/>
      </c>
      <c r="CH16" s="41" t="str">
        <f>IFERROR(IF(Z16=1,VLOOKUP(Z$2,활동내용입력!$B$4:$F$63,5,FALSE),""),"")</f>
        <v/>
      </c>
      <c r="CI16" s="41" t="str">
        <f>IFERROR(IF(AA16=1,VLOOKUP(AA$2,활동내용입력!$B$4:$F$63,5,FALSE),""),"")</f>
        <v/>
      </c>
      <c r="CJ16" s="41" t="str">
        <f>IFERROR(IF(AB16=1,VLOOKUP(AB$2,활동내용입력!$B$4:$F$63,5,FALSE),""),"")</f>
        <v/>
      </c>
      <c r="CK16" s="41" t="str">
        <f>IFERROR(IF(AC16=1,VLOOKUP(AC$2,활동내용입력!$B$4:$F$63,5,FALSE),""),"")</f>
        <v/>
      </c>
      <c r="CL16" s="41" t="str">
        <f>IFERROR(IF(AD16=1,VLOOKUP(AD$2,활동내용입력!$B$4:$F$63,5,FALSE),""),"")</f>
        <v/>
      </c>
      <c r="CM16" s="41" t="str">
        <f>IFERROR(IF(AE16=1,VLOOKUP(AE$2,활동내용입력!$B$4:$F$63,5,FALSE),""),"")</f>
        <v/>
      </c>
      <c r="CN16" s="41" t="str">
        <f>IFERROR(IF(AF16=1,VLOOKUP(AF$2,활동내용입력!$B$4:$F$63,5,FALSE),""),"")</f>
        <v/>
      </c>
      <c r="CO16" s="41" t="str">
        <f>IFERROR(IF(AG16=1,VLOOKUP(AG$2,활동내용입력!$B$4:$F$63,5,FALSE),""),"")</f>
        <v/>
      </c>
      <c r="CP16" s="41" t="str">
        <f>IFERROR(IF(AH16=1,VLOOKUP(AH$2,활동내용입력!$B$4:$F$63,5,FALSE),""),"")</f>
        <v/>
      </c>
      <c r="CQ16" s="41" t="str">
        <f>IFERROR(IF(AI16=1,VLOOKUP(AI$2,활동내용입력!$B$4:$F$63,5,FALSE),""),"")</f>
        <v/>
      </c>
      <c r="CR16" s="41" t="str">
        <f>IFERROR(IF(AJ16=1,VLOOKUP(AJ$2,활동내용입력!$B$4:$F$63,5,FALSE),""),"")</f>
        <v/>
      </c>
      <c r="CS16" s="41" t="str">
        <f>IFERROR(IF(AK16=1,VLOOKUP(AK$2,활동내용입력!$B$4:$F$63,5,FALSE),""),"")</f>
        <v/>
      </c>
      <c r="CT16" s="41" t="str">
        <f>IFERROR(IF(AL16=1,VLOOKUP(AL$2,활동내용입력!$B$4:$F$63,5,FALSE),""),"")</f>
        <v/>
      </c>
      <c r="CU16" s="41" t="str">
        <f>IFERROR(IF(AM16=1,VLOOKUP(AM$2,활동내용입력!$B$4:$F$63,5,FALSE),""),"")</f>
        <v/>
      </c>
      <c r="CV16" s="41" t="str">
        <f>IFERROR(IF(AN16=1,VLOOKUP(AN$2,활동내용입력!$B$4:$F$63,5,FALSE),""),"")</f>
        <v/>
      </c>
      <c r="CW16" s="41" t="str">
        <f>IFERROR(IF(AO16=1,VLOOKUP(AO$2,활동내용입력!$B$4:$F$63,5,FALSE),""),"")</f>
        <v/>
      </c>
      <c r="CX16" s="41" t="str">
        <f>IFERROR(IF(AP16=1,VLOOKUP(AP$2,활동내용입력!$B$4:$F$63,5,FALSE),""),"")</f>
        <v/>
      </c>
      <c r="CY16" s="41" t="str">
        <f>IFERROR(IF(AQ16=1,VLOOKUP(AQ$2,활동내용입력!$B$4:$F$63,5,FALSE),""),"")</f>
        <v/>
      </c>
      <c r="CZ16" s="41" t="str">
        <f>IFERROR(IF(AR16=1,VLOOKUP(AR$2,활동내용입력!$B$4:$F$63,5,FALSE),""),"")</f>
        <v/>
      </c>
      <c r="DA16" s="41" t="str">
        <f>IFERROR(IF(AS16=1,VLOOKUP(AS$2,활동내용입력!$B$4:$F$63,5,FALSE),""),"")</f>
        <v/>
      </c>
      <c r="DB16" s="41" t="str">
        <f>IFERROR(IF(AT16=1,VLOOKUP(AT$2,활동내용입력!$B$4:$F$63,5,FALSE),""),"")</f>
        <v/>
      </c>
      <c r="DC16" s="41" t="str">
        <f>IFERROR(IF(AU16=1,VLOOKUP(AU$2,활동내용입력!$B$4:$F$63,5,FALSE),""),"")</f>
        <v/>
      </c>
      <c r="DD16" s="41" t="str">
        <f>IFERROR(IF(AV16=1,VLOOKUP(AV$2,활동내용입력!$B$4:$F$63,5,FALSE),""),"")</f>
        <v/>
      </c>
      <c r="DE16" s="41" t="str">
        <f>IFERROR(IF(AW16=1,VLOOKUP(AW$2,활동내용입력!$B$4:$F$63,5,FALSE),""),"")</f>
        <v/>
      </c>
      <c r="DF16" s="41" t="str">
        <f>IFERROR(IF(AX16=1,VLOOKUP(AX$2,활동내용입력!$B$4:$F$63,5,FALSE),""),"")</f>
        <v/>
      </c>
      <c r="DG16" s="41" t="str">
        <f>IFERROR(IF(AY16=1,VLOOKUP(AY$2,활동내용입력!$B$4:$F$63,5,FALSE),""),"")</f>
        <v/>
      </c>
      <c r="DH16" s="41" t="str">
        <f>IFERROR(IF(AZ16=1,VLOOKUP(AZ$2,활동내용입력!$B$4:$F$63,5,FALSE),""),"")</f>
        <v/>
      </c>
      <c r="DI16" s="41" t="str">
        <f>IFERROR(IF(BA16=1,VLOOKUP(BA$2,활동내용입력!$B$4:$F$63,5,FALSE),""),"")</f>
        <v/>
      </c>
      <c r="DJ16" s="41" t="str">
        <f>IFERROR(IF(BB16=1,VLOOKUP(BB$2,활동내용입력!$B$4:$F$63,5,FALSE),""),"")</f>
        <v/>
      </c>
      <c r="DK16" s="41" t="str">
        <f>IFERROR(IF(BC16=1,VLOOKUP(BC$2,활동내용입력!$B$4:$F$63,5,FALSE),""),"")</f>
        <v/>
      </c>
      <c r="DL16" s="41" t="str">
        <f>IFERROR(IF(BD16=1,VLOOKUP(BD$2,활동내용입력!$B$4:$F$63,5,FALSE),""),"")</f>
        <v/>
      </c>
      <c r="DM16" s="41" t="str">
        <f>IFERROR(IF(BE16=1,VLOOKUP(BE$2,활동내용입력!$B$4:$F$63,5,FALSE),""),"")</f>
        <v/>
      </c>
      <c r="DN16" s="41" t="str">
        <f>IFERROR(IF(BF16=1,VLOOKUP(BF$2,활동내용입력!$B$4:$F$63,5,FALSE),""),"")</f>
        <v/>
      </c>
      <c r="DO16" s="41" t="str">
        <f>IFERROR(IF(BG16=1,VLOOKUP(BG$2,활동내용입력!$B$4:$F$63,5,FALSE),""),"")</f>
        <v/>
      </c>
      <c r="DP16" s="41" t="str">
        <f>IFERROR(IF(BH16=1,VLOOKUP(BH$2,활동내용입력!$B$4:$F$63,5,FALSE),""),"")</f>
        <v/>
      </c>
      <c r="DQ16" s="41" t="str">
        <f>IFERROR(IF(BI16=1,VLOOKUP(BI$2,활동내용입력!$B$4:$F$63,5,FALSE),""),"")</f>
        <v/>
      </c>
      <c r="DR16" s="41" t="str">
        <f>IFERROR(IF(BJ16=1,VLOOKUP(BJ$2,활동내용입력!$B$4:$F$63,5,FALSE),""),"")</f>
        <v/>
      </c>
      <c r="DS16" s="41" t="str">
        <f t="shared" si="7"/>
        <v xml:space="preserve">생명존중교육(2019.03.08., 2019.03.29., 2019.09.06., 2019.11.15.)을 통해 청소년들의 자살에 대한 심리적 상태를 이해하고 힘들어 하는 주변 친구들에게 따뜻한 배려와 도움이 절실히 필요함을 느꼈으며 생명의 소중함을 다시 한번 깨닫는 기회를 가지게 됨.
안전교육(2019.03.15., 2019.06.14., 2019.07.19., 2019.08.30., 2019.12.27., 2020.01.03., 2020.01.10.)을 통해 화재, 물놀이, 빙상 등 일상생활에서 일어날 수 있는 안전사고에 대한 예방법과 사고 시 대처방법을 확인하고 실천할 수 있게 됨.
학교폭력 예방교육(2019.03.15., 2019.05.31., 2019.10.18., 2019.12.13., 2020.01.03.)을 통해 학교폭력의 심각성을 알게 되었으며 자신의 인권이 소중한 것처럼 타인의 인권도 소중함을 깨닫고 실천하는 계기가 됨.
학급회의(2019.03.15, 2019.03.29., 2019.07.12.)를 통해 학급의 문제들을 해결하기위한 의사결정과정에 적극적으로 참여함.
다문화교육(2019.03.22., 2019.09.20.)을 통해 우리 나라와 다른 나라의 문화를 함께 나눔으로써 지구촌의 평화와 번영을 함께 누릴 수 있다는 사실을 새삼 깨달은 계기가 됨. 
흡연, 음주 등 약물 오남용 예방교육(2019.04.05., 2019.05.10, 2019.07.05., 2019.07.12., 2019.07.19., 2019.11.08., 2019.12.06., 2020.01.03.)을 통해 흡연과 음주 등 약물 오남용의 폐해를 인식하고 자신의 건강을 위해 흡연과 음주와 같은 행위를 하지 않겠다고 다짐함.
장애인이해교육(2019.04.19., 2019.11.29.)을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
안전교육(2019.05.10., 2019.05.24., 2019.07.22.)을 통해 교통안전사고를 예방할 수 있는 수칙에 대한 인식을 일깨우고 실천하고자 하는 마음을 다지게 됨.
518 광주민주화운동 교육(2019.05.17.)을 통해 민주화 운동이 일어나게 된 배경을 이해하고, 독재에 맞서 싸우다 억울하게 죽어간 수많은 시민들을 추모하는 시간을 가짐.
자기주도진로체험활동(2019.06.19.-2019.06.21.)에서 계획 수립부터 진행과정까지 적극적으로 참여함.
성폭력예방교육(2019.06.28., 2019.10.25., 2019.12.20.)을 통해 이성교제 시 지켜야 할 기본수칙을 배우고 성희롱 및 성폭력의 예방방법과 성적자기결정권의 중요성을 인식하게 됨.
인권교육(2019.12.24.)에 참여하여 인권을 침해 받은 사람들에 대해 마음 아파하고 함께 해결해 나가려 하는 마음을 갖게 됨.
</v>
      </c>
      <c r="DT16" s="42">
        <f t="shared" si="6"/>
        <v>12</v>
      </c>
      <c r="DU16" s="34"/>
    </row>
    <row r="17" spans="1:125" x14ac:dyDescent="0.3">
      <c r="A17" s="58">
        <v>13</v>
      </c>
      <c r="B17" s="57" t="s">
        <v>254</v>
      </c>
      <c r="C17" s="40"/>
      <c r="D17" s="40"/>
      <c r="E17" s="40"/>
      <c r="F17" s="40"/>
      <c r="G17" s="40">
        <v>1</v>
      </c>
      <c r="H17" s="40">
        <v>1</v>
      </c>
      <c r="I17" s="40">
        <v>1</v>
      </c>
      <c r="J17" s="40">
        <v>1</v>
      </c>
      <c r="K17" s="40">
        <v>1</v>
      </c>
      <c r="L17" s="40">
        <v>1</v>
      </c>
      <c r="M17" s="40">
        <v>1</v>
      </c>
      <c r="N17" s="40">
        <v>1</v>
      </c>
      <c r="O17" s="40">
        <v>1</v>
      </c>
      <c r="P17" s="40">
        <v>1</v>
      </c>
      <c r="Q17" s="40">
        <v>1</v>
      </c>
      <c r="R17" s="40">
        <v>1</v>
      </c>
      <c r="S17" s="40"/>
      <c r="T17" s="40"/>
      <c r="U17" s="40"/>
      <c r="V17" s="40"/>
      <c r="W17" s="40"/>
      <c r="X17" s="40"/>
      <c r="Y17" s="40"/>
      <c r="Z17" s="40"/>
      <c r="AA17" s="40"/>
      <c r="AB17" s="40"/>
      <c r="AC17" s="40"/>
      <c r="AD17" s="40"/>
      <c r="AE17" s="40"/>
      <c r="AF17" s="40"/>
      <c r="AG17" s="40"/>
      <c r="AH17" s="40"/>
      <c r="AI17" s="40"/>
      <c r="AJ17" s="40"/>
      <c r="AK17" s="40"/>
      <c r="AL17" s="40"/>
      <c r="AM17" s="40"/>
      <c r="AN17" s="40"/>
      <c r="AO17" s="40"/>
      <c r="AP17" s="40"/>
      <c r="AQ17" s="40"/>
      <c r="AR17" s="40"/>
      <c r="AS17" s="40"/>
      <c r="AT17" s="40"/>
      <c r="AU17" s="40"/>
      <c r="AV17" s="40"/>
      <c r="AW17" s="40"/>
      <c r="AX17" s="40"/>
      <c r="AY17" s="40"/>
      <c r="AZ17" s="40"/>
      <c r="BA17" s="40"/>
      <c r="BB17" s="40"/>
      <c r="BC17" s="40"/>
      <c r="BD17" s="40"/>
      <c r="BE17" s="40"/>
      <c r="BF17" s="40"/>
      <c r="BG17" s="40"/>
      <c r="BH17" s="40"/>
      <c r="BI17" s="40"/>
      <c r="BJ17" s="40"/>
      <c r="BK17" s="41" t="str">
        <f>IFERROR(IF(C17=1,VLOOKUP(C$2,활동내용입력!$B$4:$F$63,5,FALSE),""),"")</f>
        <v/>
      </c>
      <c r="BL17" s="41" t="str">
        <f>IFERROR(IF(D17=1,VLOOKUP(D$2,활동내용입력!$B$4:$F$63,5,FALSE),""),"")</f>
        <v/>
      </c>
      <c r="BM17" s="41" t="str">
        <f>IFERROR(IF(E17=1,VLOOKUP(E$2,활동내용입력!$B$4:$F$63,5,FALSE),""),"")</f>
        <v/>
      </c>
      <c r="BN17" s="41" t="str">
        <f>IFERROR(IF(F17=1,VLOOKUP(F$2,활동내용입력!$B$4:$F$63,5,FALSE),""),"")</f>
        <v/>
      </c>
      <c r="BO17" s="41" t="str">
        <f>IFERROR(IF(G17=1,VLOOKUP(G$2,활동내용입력!$B$4:$F$63,5,FALSE),""),"")</f>
        <v>생명존중교육(2019.03.08., 2019.03.29., 2019.09.06., 2019.11.15.)을 통해 청소년들의 자살에 대한 심리적 상태를 이해하고 힘들어 하는 주변 친구들에게 따뜻한 배려와 도움이 절실히 필요함을 느꼈으며 생명의 소중함을 다시 한번 깨닫는 기회를 가지게 됨.</v>
      </c>
      <c r="BP17" s="41" t="str">
        <f>IFERROR(IF(H17=1,VLOOKUP(H$2,활동내용입력!$B$4:$F$63,5,FALSE),""),"")</f>
        <v>안전교육(2019.03.15., 2019.06.14., 2019.07.19., 2019.08.30., 2019.12.27., 2020.01.03., 2020.01.10.)을 통해 화재, 물놀이, 빙상 등 일상생활에서 일어날 수 있는 안전사고에 대한 예방법과 사고 시 대처방법을 확인하고 실천할 수 있게 됨.</v>
      </c>
      <c r="BQ17" s="41" t="str">
        <f>IFERROR(IF(I17=1,VLOOKUP(I$2,활동내용입력!$B$4:$F$63,5,FALSE),""),"")</f>
        <v>학교폭력 예방교육(2019.03.15., 2019.05.31., 2019.10.18., 2019.12.13., 2020.01.03.)을 통해 학교폭력의 심각성을 알게 되었으며 자신의 인권이 소중한 것처럼 타인의 인권도 소중함을 깨닫고 실천하는 계기가 됨.</v>
      </c>
      <c r="BR17" s="41" t="str">
        <f>IFERROR(IF(J17=1,VLOOKUP(J$2,활동내용입력!$B$4:$F$63,5,FALSE),""),"")</f>
        <v>학급회의(2019.03.15, 2019.03.29., 2019.07.12.)를 통해 학급의 문제들을 해결하기위한 의사결정과정에 적극적으로 참여함.</v>
      </c>
      <c r="BS17" s="41" t="str">
        <f>IFERROR(IF(K17=1,VLOOKUP(K$2,활동내용입력!$B$4:$F$63,5,FALSE),""),"")</f>
        <v xml:space="preserve">다문화교육(2019.03.22., 2019.09.20.)을 통해 우리 나라와 다른 나라의 문화를 함께 나눔으로써 지구촌의 평화와 번영을 함께 누릴 수 있다는 사실을 새삼 깨달은 계기가 됨. </v>
      </c>
      <c r="BT17" s="41" t="str">
        <f>IFERROR(IF(L17=1,VLOOKUP(L$2,활동내용입력!$B$4:$F$63,5,FALSE),""),"")</f>
        <v>흡연, 음주 등 약물 오남용 예방교육(2019.04.05., 2019.05.10, 2019.07.05., 2019.07.12., 2019.07.19., 2019.11.08., 2019.12.06., 2020.01.03.)을 통해 흡연과 음주 등 약물 오남용의 폐해를 인식하고 자신의 건강을 위해 흡연과 음주와 같은 행위를 하지 않겠다고 다짐함.</v>
      </c>
      <c r="BU17" s="41" t="str">
        <f>IFERROR(IF(M17=1,VLOOKUP(M$2,활동내용입력!$B$4:$F$63,5,FALSE),""),"")</f>
        <v>장애인이해교육(2019.04.19., 2019.11.29.)을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v>
      </c>
      <c r="BV17" s="41" t="str">
        <f>IFERROR(IF(N17=1,VLOOKUP(N$2,활동내용입력!$B$4:$F$63,5,FALSE),""),"")</f>
        <v>안전교육(2019.05.10., 2019.05.24., 2019.07.22.)을 통해 교통안전사고를 예방할 수 있는 수칙에 대한 인식을 일깨우고 실천하고자 하는 마음을 다지게 됨.</v>
      </c>
      <c r="BW17" s="41" t="str">
        <f>IFERROR(IF(O17=1,VLOOKUP(O$2,활동내용입력!$B$4:$F$63,5,FALSE),""),"")</f>
        <v>518 광주민주화운동 교육(2019.05.17.)을 통해 민주화 운동이 일어나게 된 배경을 이해하고, 독재에 맞서 싸우다 억울하게 죽어간 수많은 시민들을 추모하는 시간을 가짐.</v>
      </c>
      <c r="BX17" s="41" t="str">
        <f>IFERROR(IF(P17=1,VLOOKUP(P$2,활동내용입력!$B$4:$F$63,5,FALSE),""),"")</f>
        <v>자기주도진로체험활동(2019.06.19.-2019.06.21.)에서 계획 수립부터 진행과정까지 적극적으로 참여함.</v>
      </c>
      <c r="BY17" s="41" t="str">
        <f>IFERROR(IF(Q17=1,VLOOKUP(Q$2,활동내용입력!$B$4:$F$63,5,FALSE),""),"")</f>
        <v>성폭력예방교육(2019.06.28., 2019.10.25., 2019.12.20.)을 통해 이성교제 시 지켜야 할 기본수칙을 배우고 성희롱 및 성폭력의 예방방법과 성적자기결정권의 중요성을 인식하게 됨.</v>
      </c>
      <c r="BZ17" s="41" t="str">
        <f>IFERROR(IF(R17=1,VLOOKUP(R$2,활동내용입력!$B$4:$F$63,5,FALSE),""),"")</f>
        <v>인권교육(2019.12.24.)에 참여하여 인권을 침해 받은 사람들에 대해 마음 아파하고 함께 해결해 나가려 하는 마음을 갖게 됨.</v>
      </c>
      <c r="CA17" s="41" t="str">
        <f>IFERROR(IF(S17=1,VLOOKUP(S$2,활동내용입력!$B$4:$F$63,5,FALSE),""),"")</f>
        <v/>
      </c>
      <c r="CB17" s="41" t="str">
        <f>IFERROR(IF(T17=1,VLOOKUP(T$2,활동내용입력!$B$4:$F$63,5,FALSE),""),"")</f>
        <v/>
      </c>
      <c r="CC17" s="41" t="str">
        <f>IFERROR(IF(U17=1,VLOOKUP(U$2,활동내용입력!$B$4:$F$63,5,FALSE),""),"")</f>
        <v/>
      </c>
      <c r="CD17" s="41" t="str">
        <f>IFERROR(IF(V17=1,VLOOKUP(V$2,활동내용입력!$B$4:$F$63,5,FALSE),""),"")</f>
        <v/>
      </c>
      <c r="CE17" s="41" t="str">
        <f>IFERROR(IF(W17=1,VLOOKUP(W$2,활동내용입력!$B$4:$F$63,5,FALSE),""),"")</f>
        <v/>
      </c>
      <c r="CF17" s="41" t="str">
        <f>IFERROR(IF(X17=1,VLOOKUP(X$2,활동내용입력!$B$4:$F$63,5,FALSE),""),"")</f>
        <v/>
      </c>
      <c r="CG17" s="41" t="str">
        <f>IFERROR(IF(Y17=1,VLOOKUP(Y$2,활동내용입력!$B$4:$F$63,5,FALSE),""),"")</f>
        <v/>
      </c>
      <c r="CH17" s="41" t="str">
        <f>IFERROR(IF(Z17=1,VLOOKUP(Z$2,활동내용입력!$B$4:$F$63,5,FALSE),""),"")</f>
        <v/>
      </c>
      <c r="CI17" s="41" t="str">
        <f>IFERROR(IF(AA17=1,VLOOKUP(AA$2,활동내용입력!$B$4:$F$63,5,FALSE),""),"")</f>
        <v/>
      </c>
      <c r="CJ17" s="41" t="str">
        <f>IFERROR(IF(AB17=1,VLOOKUP(AB$2,활동내용입력!$B$4:$F$63,5,FALSE),""),"")</f>
        <v/>
      </c>
      <c r="CK17" s="41" t="str">
        <f>IFERROR(IF(AC17=1,VLOOKUP(AC$2,활동내용입력!$B$4:$F$63,5,FALSE),""),"")</f>
        <v/>
      </c>
      <c r="CL17" s="41" t="str">
        <f>IFERROR(IF(AD17=1,VLOOKUP(AD$2,활동내용입력!$B$4:$F$63,5,FALSE),""),"")</f>
        <v/>
      </c>
      <c r="CM17" s="41" t="str">
        <f>IFERROR(IF(AE17=1,VLOOKUP(AE$2,활동내용입력!$B$4:$F$63,5,FALSE),""),"")</f>
        <v/>
      </c>
      <c r="CN17" s="41" t="str">
        <f>IFERROR(IF(AF17=1,VLOOKUP(AF$2,활동내용입력!$B$4:$F$63,5,FALSE),""),"")</f>
        <v/>
      </c>
      <c r="CO17" s="41" t="str">
        <f>IFERROR(IF(AG17=1,VLOOKUP(AG$2,활동내용입력!$B$4:$F$63,5,FALSE),""),"")</f>
        <v/>
      </c>
      <c r="CP17" s="41" t="str">
        <f>IFERROR(IF(AH17=1,VLOOKUP(AH$2,활동내용입력!$B$4:$F$63,5,FALSE),""),"")</f>
        <v/>
      </c>
      <c r="CQ17" s="41" t="str">
        <f>IFERROR(IF(AI17=1,VLOOKUP(AI$2,활동내용입력!$B$4:$F$63,5,FALSE),""),"")</f>
        <v/>
      </c>
      <c r="CR17" s="41" t="str">
        <f>IFERROR(IF(AJ17=1,VLOOKUP(AJ$2,활동내용입력!$B$4:$F$63,5,FALSE),""),"")</f>
        <v/>
      </c>
      <c r="CS17" s="41" t="str">
        <f>IFERROR(IF(AK17=1,VLOOKUP(AK$2,활동내용입력!$B$4:$F$63,5,FALSE),""),"")</f>
        <v/>
      </c>
      <c r="CT17" s="41" t="str">
        <f>IFERROR(IF(AL17=1,VLOOKUP(AL$2,활동내용입력!$B$4:$F$63,5,FALSE),""),"")</f>
        <v/>
      </c>
      <c r="CU17" s="41" t="str">
        <f>IFERROR(IF(AM17=1,VLOOKUP(AM$2,활동내용입력!$B$4:$F$63,5,FALSE),""),"")</f>
        <v/>
      </c>
      <c r="CV17" s="41" t="str">
        <f>IFERROR(IF(AN17=1,VLOOKUP(AN$2,활동내용입력!$B$4:$F$63,5,FALSE),""),"")</f>
        <v/>
      </c>
      <c r="CW17" s="41" t="str">
        <f>IFERROR(IF(AO17=1,VLOOKUP(AO$2,활동내용입력!$B$4:$F$63,5,FALSE),""),"")</f>
        <v/>
      </c>
      <c r="CX17" s="41" t="str">
        <f>IFERROR(IF(AP17=1,VLOOKUP(AP$2,활동내용입력!$B$4:$F$63,5,FALSE),""),"")</f>
        <v/>
      </c>
      <c r="CY17" s="41" t="str">
        <f>IFERROR(IF(AQ17=1,VLOOKUP(AQ$2,활동내용입력!$B$4:$F$63,5,FALSE),""),"")</f>
        <v/>
      </c>
      <c r="CZ17" s="41" t="str">
        <f>IFERROR(IF(AR17=1,VLOOKUP(AR$2,활동내용입력!$B$4:$F$63,5,FALSE),""),"")</f>
        <v/>
      </c>
      <c r="DA17" s="41" t="str">
        <f>IFERROR(IF(AS17=1,VLOOKUP(AS$2,활동내용입력!$B$4:$F$63,5,FALSE),""),"")</f>
        <v/>
      </c>
      <c r="DB17" s="41" t="str">
        <f>IFERROR(IF(AT17=1,VLOOKUP(AT$2,활동내용입력!$B$4:$F$63,5,FALSE),""),"")</f>
        <v/>
      </c>
      <c r="DC17" s="41" t="str">
        <f>IFERROR(IF(AU17=1,VLOOKUP(AU$2,활동내용입력!$B$4:$F$63,5,FALSE),""),"")</f>
        <v/>
      </c>
      <c r="DD17" s="41" t="str">
        <f>IFERROR(IF(AV17=1,VLOOKUP(AV$2,활동내용입력!$B$4:$F$63,5,FALSE),""),"")</f>
        <v/>
      </c>
      <c r="DE17" s="41" t="str">
        <f>IFERROR(IF(AW17=1,VLOOKUP(AW$2,활동내용입력!$B$4:$F$63,5,FALSE),""),"")</f>
        <v/>
      </c>
      <c r="DF17" s="41" t="str">
        <f>IFERROR(IF(AX17=1,VLOOKUP(AX$2,활동내용입력!$B$4:$F$63,5,FALSE),""),"")</f>
        <v/>
      </c>
      <c r="DG17" s="41" t="str">
        <f>IFERROR(IF(AY17=1,VLOOKUP(AY$2,활동내용입력!$B$4:$F$63,5,FALSE),""),"")</f>
        <v/>
      </c>
      <c r="DH17" s="41" t="str">
        <f>IFERROR(IF(AZ17=1,VLOOKUP(AZ$2,활동내용입력!$B$4:$F$63,5,FALSE),""),"")</f>
        <v/>
      </c>
      <c r="DI17" s="41" t="str">
        <f>IFERROR(IF(BA17=1,VLOOKUP(BA$2,활동내용입력!$B$4:$F$63,5,FALSE),""),"")</f>
        <v/>
      </c>
      <c r="DJ17" s="41" t="str">
        <f>IFERROR(IF(BB17=1,VLOOKUP(BB$2,활동내용입력!$B$4:$F$63,5,FALSE),""),"")</f>
        <v/>
      </c>
      <c r="DK17" s="41" t="str">
        <f>IFERROR(IF(BC17=1,VLOOKUP(BC$2,활동내용입력!$B$4:$F$63,5,FALSE),""),"")</f>
        <v/>
      </c>
      <c r="DL17" s="41" t="str">
        <f>IFERROR(IF(BD17=1,VLOOKUP(BD$2,활동내용입력!$B$4:$F$63,5,FALSE),""),"")</f>
        <v/>
      </c>
      <c r="DM17" s="41" t="str">
        <f>IFERROR(IF(BE17=1,VLOOKUP(BE$2,활동내용입력!$B$4:$F$63,5,FALSE),""),"")</f>
        <v/>
      </c>
      <c r="DN17" s="41" t="str">
        <f>IFERROR(IF(BF17=1,VLOOKUP(BF$2,활동내용입력!$B$4:$F$63,5,FALSE),""),"")</f>
        <v/>
      </c>
      <c r="DO17" s="41" t="str">
        <f>IFERROR(IF(BG17=1,VLOOKUP(BG$2,활동내용입력!$B$4:$F$63,5,FALSE),""),"")</f>
        <v/>
      </c>
      <c r="DP17" s="41" t="str">
        <f>IFERROR(IF(BH17=1,VLOOKUP(BH$2,활동내용입력!$B$4:$F$63,5,FALSE),""),"")</f>
        <v/>
      </c>
      <c r="DQ17" s="41" t="str">
        <f>IFERROR(IF(BI17=1,VLOOKUP(BI$2,활동내용입력!$B$4:$F$63,5,FALSE),""),"")</f>
        <v/>
      </c>
      <c r="DR17" s="41" t="str">
        <f>IFERROR(IF(BJ17=1,VLOOKUP(BJ$2,활동내용입력!$B$4:$F$63,5,FALSE),""),"")</f>
        <v/>
      </c>
      <c r="DS17" s="41" t="str">
        <f t="shared" si="7"/>
        <v xml:space="preserve">생명존중교육(2019.03.08., 2019.03.29., 2019.09.06., 2019.11.15.)을 통해 청소년들의 자살에 대한 심리적 상태를 이해하고 힘들어 하는 주변 친구들에게 따뜻한 배려와 도움이 절실히 필요함을 느꼈으며 생명의 소중함을 다시 한번 깨닫는 기회를 가지게 됨.
안전교육(2019.03.15., 2019.06.14., 2019.07.19., 2019.08.30., 2019.12.27., 2020.01.03., 2020.01.10.)을 통해 화재, 물놀이, 빙상 등 일상생활에서 일어날 수 있는 안전사고에 대한 예방법과 사고 시 대처방법을 확인하고 실천할 수 있게 됨.
학교폭력 예방교육(2019.03.15., 2019.05.31., 2019.10.18., 2019.12.13., 2020.01.03.)을 통해 학교폭력의 심각성을 알게 되었으며 자신의 인권이 소중한 것처럼 타인의 인권도 소중함을 깨닫고 실천하는 계기가 됨.
학급회의(2019.03.15, 2019.03.29., 2019.07.12.)를 통해 학급의 문제들을 해결하기위한 의사결정과정에 적극적으로 참여함.
다문화교육(2019.03.22., 2019.09.20.)을 통해 우리 나라와 다른 나라의 문화를 함께 나눔으로써 지구촌의 평화와 번영을 함께 누릴 수 있다는 사실을 새삼 깨달은 계기가 됨. 
흡연, 음주 등 약물 오남용 예방교육(2019.04.05., 2019.05.10, 2019.07.05., 2019.07.12., 2019.07.19., 2019.11.08., 2019.12.06., 2020.01.03.)을 통해 흡연과 음주 등 약물 오남용의 폐해를 인식하고 자신의 건강을 위해 흡연과 음주와 같은 행위를 하지 않겠다고 다짐함.
장애인이해교육(2019.04.19., 2019.11.29.)을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
안전교육(2019.05.10., 2019.05.24., 2019.07.22.)을 통해 교통안전사고를 예방할 수 있는 수칙에 대한 인식을 일깨우고 실천하고자 하는 마음을 다지게 됨.
518 광주민주화운동 교육(2019.05.17.)을 통해 민주화 운동이 일어나게 된 배경을 이해하고, 독재에 맞서 싸우다 억울하게 죽어간 수많은 시민들을 추모하는 시간을 가짐.
자기주도진로체험활동(2019.06.19.-2019.06.21.)에서 계획 수립부터 진행과정까지 적극적으로 참여함.
성폭력예방교육(2019.06.28., 2019.10.25., 2019.12.20.)을 통해 이성교제 시 지켜야 할 기본수칙을 배우고 성희롱 및 성폭력의 예방방법과 성적자기결정권의 중요성을 인식하게 됨.
인권교육(2019.12.24.)에 참여하여 인권을 침해 받은 사람들에 대해 마음 아파하고 함께 해결해 나가려 하는 마음을 갖게 됨.
</v>
      </c>
      <c r="DT17" s="42">
        <f t="shared" si="6"/>
        <v>12</v>
      </c>
      <c r="DU17" s="34"/>
    </row>
    <row r="18" spans="1:125" x14ac:dyDescent="0.3">
      <c r="A18" s="58">
        <v>14</v>
      </c>
      <c r="B18" s="57" t="s">
        <v>255</v>
      </c>
      <c r="C18" s="40"/>
      <c r="D18" s="40"/>
      <c r="E18" s="40"/>
      <c r="F18" s="40"/>
      <c r="G18" s="40">
        <v>1</v>
      </c>
      <c r="H18" s="40">
        <v>1</v>
      </c>
      <c r="I18" s="40">
        <v>1</v>
      </c>
      <c r="J18" s="40">
        <v>1</v>
      </c>
      <c r="K18" s="40">
        <v>1</v>
      </c>
      <c r="L18" s="40">
        <v>1</v>
      </c>
      <c r="M18" s="40">
        <v>1</v>
      </c>
      <c r="N18" s="40">
        <v>1</v>
      </c>
      <c r="O18" s="40">
        <v>1</v>
      </c>
      <c r="P18" s="40">
        <v>1</v>
      </c>
      <c r="Q18" s="40">
        <v>1</v>
      </c>
      <c r="R18" s="40">
        <v>1</v>
      </c>
      <c r="S18" s="40"/>
      <c r="T18" s="40"/>
      <c r="U18" s="40"/>
      <c r="V18" s="40"/>
      <c r="W18" s="40"/>
      <c r="X18" s="40"/>
      <c r="Y18" s="40"/>
      <c r="Z18" s="40"/>
      <c r="AA18" s="40"/>
      <c r="AB18" s="40"/>
      <c r="AC18" s="40"/>
      <c r="AD18" s="40"/>
      <c r="AE18" s="40"/>
      <c r="AF18" s="40"/>
      <c r="AG18" s="40"/>
      <c r="AH18" s="40"/>
      <c r="AI18" s="40"/>
      <c r="AJ18" s="40"/>
      <c r="AK18" s="40"/>
      <c r="AL18" s="40"/>
      <c r="AM18" s="40"/>
      <c r="AN18" s="40"/>
      <c r="AO18" s="40"/>
      <c r="AP18" s="40"/>
      <c r="AQ18" s="40"/>
      <c r="AR18" s="40"/>
      <c r="AS18" s="40"/>
      <c r="AT18" s="40"/>
      <c r="AU18" s="40"/>
      <c r="AV18" s="40"/>
      <c r="AW18" s="40"/>
      <c r="AX18" s="40"/>
      <c r="AY18" s="40"/>
      <c r="AZ18" s="40"/>
      <c r="BA18" s="40"/>
      <c r="BB18" s="40"/>
      <c r="BC18" s="40"/>
      <c r="BD18" s="40"/>
      <c r="BE18" s="40"/>
      <c r="BF18" s="40"/>
      <c r="BG18" s="40"/>
      <c r="BH18" s="40"/>
      <c r="BI18" s="40"/>
      <c r="BJ18" s="40"/>
      <c r="BK18" s="41" t="str">
        <f>IFERROR(IF(C18=1,VLOOKUP(C$2,활동내용입력!$B$4:$F$63,5,FALSE),""),"")</f>
        <v/>
      </c>
      <c r="BL18" s="41" t="str">
        <f>IFERROR(IF(D18=1,VLOOKUP(D$2,활동내용입력!$B$4:$F$63,5,FALSE),""),"")</f>
        <v/>
      </c>
      <c r="BM18" s="41" t="str">
        <f>IFERROR(IF(E18=1,VLOOKUP(E$2,활동내용입력!$B$4:$F$63,5,FALSE),""),"")</f>
        <v/>
      </c>
      <c r="BN18" s="41" t="str">
        <f>IFERROR(IF(F18=1,VLOOKUP(F$2,활동내용입력!$B$4:$F$63,5,FALSE),""),"")</f>
        <v/>
      </c>
      <c r="BO18" s="41" t="str">
        <f>IFERROR(IF(G18=1,VLOOKUP(G$2,활동내용입력!$B$4:$F$63,5,FALSE),""),"")</f>
        <v>생명존중교육(2019.03.08., 2019.03.29., 2019.09.06., 2019.11.15.)을 통해 청소년들의 자살에 대한 심리적 상태를 이해하고 힘들어 하는 주변 친구들에게 따뜻한 배려와 도움이 절실히 필요함을 느꼈으며 생명의 소중함을 다시 한번 깨닫는 기회를 가지게 됨.</v>
      </c>
      <c r="BP18" s="41" t="str">
        <f>IFERROR(IF(H18=1,VLOOKUP(H$2,활동내용입력!$B$4:$F$63,5,FALSE),""),"")</f>
        <v>안전교육(2019.03.15., 2019.06.14., 2019.07.19., 2019.08.30., 2019.12.27., 2020.01.03., 2020.01.10.)을 통해 화재, 물놀이, 빙상 등 일상생활에서 일어날 수 있는 안전사고에 대한 예방법과 사고 시 대처방법을 확인하고 실천할 수 있게 됨.</v>
      </c>
      <c r="BQ18" s="41" t="str">
        <f>IFERROR(IF(I18=1,VLOOKUP(I$2,활동내용입력!$B$4:$F$63,5,FALSE),""),"")</f>
        <v>학교폭력 예방교육(2019.03.15., 2019.05.31., 2019.10.18., 2019.12.13., 2020.01.03.)을 통해 학교폭력의 심각성을 알게 되었으며 자신의 인권이 소중한 것처럼 타인의 인권도 소중함을 깨닫고 실천하는 계기가 됨.</v>
      </c>
      <c r="BR18" s="41" t="str">
        <f>IFERROR(IF(J18=1,VLOOKUP(J$2,활동내용입력!$B$4:$F$63,5,FALSE),""),"")</f>
        <v>학급회의(2019.03.15, 2019.03.29., 2019.07.12.)를 통해 학급의 문제들을 해결하기위한 의사결정과정에 적극적으로 참여함.</v>
      </c>
      <c r="BS18" s="41" t="str">
        <f>IFERROR(IF(K18=1,VLOOKUP(K$2,활동내용입력!$B$4:$F$63,5,FALSE),""),"")</f>
        <v xml:space="preserve">다문화교육(2019.03.22., 2019.09.20.)을 통해 우리 나라와 다른 나라의 문화를 함께 나눔으로써 지구촌의 평화와 번영을 함께 누릴 수 있다는 사실을 새삼 깨달은 계기가 됨. </v>
      </c>
      <c r="BT18" s="41" t="str">
        <f>IFERROR(IF(L18=1,VLOOKUP(L$2,활동내용입력!$B$4:$F$63,5,FALSE),""),"")</f>
        <v>흡연, 음주 등 약물 오남용 예방교육(2019.04.05., 2019.05.10, 2019.07.05., 2019.07.12., 2019.07.19., 2019.11.08., 2019.12.06., 2020.01.03.)을 통해 흡연과 음주 등 약물 오남용의 폐해를 인식하고 자신의 건강을 위해 흡연과 음주와 같은 행위를 하지 않겠다고 다짐함.</v>
      </c>
      <c r="BU18" s="41" t="str">
        <f>IFERROR(IF(M18=1,VLOOKUP(M$2,활동내용입력!$B$4:$F$63,5,FALSE),""),"")</f>
        <v>장애인이해교육(2019.04.19., 2019.11.29.)을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v>
      </c>
      <c r="BV18" s="41" t="str">
        <f>IFERROR(IF(N18=1,VLOOKUP(N$2,활동내용입력!$B$4:$F$63,5,FALSE),""),"")</f>
        <v>안전교육(2019.05.10., 2019.05.24., 2019.07.22.)을 통해 교통안전사고를 예방할 수 있는 수칙에 대한 인식을 일깨우고 실천하고자 하는 마음을 다지게 됨.</v>
      </c>
      <c r="BW18" s="41" t="str">
        <f>IFERROR(IF(O18=1,VLOOKUP(O$2,활동내용입력!$B$4:$F$63,5,FALSE),""),"")</f>
        <v>518 광주민주화운동 교육(2019.05.17.)을 통해 민주화 운동이 일어나게 된 배경을 이해하고, 독재에 맞서 싸우다 억울하게 죽어간 수많은 시민들을 추모하는 시간을 가짐.</v>
      </c>
      <c r="BX18" s="41" t="str">
        <f>IFERROR(IF(P18=1,VLOOKUP(P$2,활동내용입력!$B$4:$F$63,5,FALSE),""),"")</f>
        <v>자기주도진로체험활동(2019.06.19.-2019.06.21.)에서 계획 수립부터 진행과정까지 적극적으로 참여함.</v>
      </c>
      <c r="BY18" s="41" t="str">
        <f>IFERROR(IF(Q18=1,VLOOKUP(Q$2,활동내용입력!$B$4:$F$63,5,FALSE),""),"")</f>
        <v>성폭력예방교육(2019.06.28., 2019.10.25., 2019.12.20.)을 통해 이성교제 시 지켜야 할 기본수칙을 배우고 성희롱 및 성폭력의 예방방법과 성적자기결정권의 중요성을 인식하게 됨.</v>
      </c>
      <c r="BZ18" s="41" t="str">
        <f>IFERROR(IF(R18=1,VLOOKUP(R$2,활동내용입력!$B$4:$F$63,5,FALSE),""),"")</f>
        <v>인권교육(2019.12.24.)에 참여하여 인권을 침해 받은 사람들에 대해 마음 아파하고 함께 해결해 나가려 하는 마음을 갖게 됨.</v>
      </c>
      <c r="CA18" s="41" t="str">
        <f>IFERROR(IF(S18=1,VLOOKUP(S$2,활동내용입력!$B$4:$F$63,5,FALSE),""),"")</f>
        <v/>
      </c>
      <c r="CB18" s="41" t="str">
        <f>IFERROR(IF(T18=1,VLOOKUP(T$2,활동내용입력!$B$4:$F$63,5,FALSE),""),"")</f>
        <v/>
      </c>
      <c r="CC18" s="41" t="str">
        <f>IFERROR(IF(U18=1,VLOOKUP(U$2,활동내용입력!$B$4:$F$63,5,FALSE),""),"")</f>
        <v/>
      </c>
      <c r="CD18" s="41" t="str">
        <f>IFERROR(IF(V18=1,VLOOKUP(V$2,활동내용입력!$B$4:$F$63,5,FALSE),""),"")</f>
        <v/>
      </c>
      <c r="CE18" s="41" t="str">
        <f>IFERROR(IF(W18=1,VLOOKUP(W$2,활동내용입력!$B$4:$F$63,5,FALSE),""),"")</f>
        <v/>
      </c>
      <c r="CF18" s="41" t="str">
        <f>IFERROR(IF(X18=1,VLOOKUP(X$2,활동내용입력!$B$4:$F$63,5,FALSE),""),"")</f>
        <v/>
      </c>
      <c r="CG18" s="41" t="str">
        <f>IFERROR(IF(Y18=1,VLOOKUP(Y$2,활동내용입력!$B$4:$F$63,5,FALSE),""),"")</f>
        <v/>
      </c>
      <c r="CH18" s="41" t="str">
        <f>IFERROR(IF(Z18=1,VLOOKUP(Z$2,활동내용입력!$B$4:$F$63,5,FALSE),""),"")</f>
        <v/>
      </c>
      <c r="CI18" s="41" t="str">
        <f>IFERROR(IF(AA18=1,VLOOKUP(AA$2,활동내용입력!$B$4:$F$63,5,FALSE),""),"")</f>
        <v/>
      </c>
      <c r="CJ18" s="41" t="str">
        <f>IFERROR(IF(AB18=1,VLOOKUP(AB$2,활동내용입력!$B$4:$F$63,5,FALSE),""),"")</f>
        <v/>
      </c>
      <c r="CK18" s="41" t="str">
        <f>IFERROR(IF(AC18=1,VLOOKUP(AC$2,활동내용입력!$B$4:$F$63,5,FALSE),""),"")</f>
        <v/>
      </c>
      <c r="CL18" s="41" t="str">
        <f>IFERROR(IF(AD18=1,VLOOKUP(AD$2,활동내용입력!$B$4:$F$63,5,FALSE),""),"")</f>
        <v/>
      </c>
      <c r="CM18" s="41" t="str">
        <f>IFERROR(IF(AE18=1,VLOOKUP(AE$2,활동내용입력!$B$4:$F$63,5,FALSE),""),"")</f>
        <v/>
      </c>
      <c r="CN18" s="41" t="str">
        <f>IFERROR(IF(AF18=1,VLOOKUP(AF$2,활동내용입력!$B$4:$F$63,5,FALSE),""),"")</f>
        <v/>
      </c>
      <c r="CO18" s="41" t="str">
        <f>IFERROR(IF(AG18=1,VLOOKUP(AG$2,활동내용입력!$B$4:$F$63,5,FALSE),""),"")</f>
        <v/>
      </c>
      <c r="CP18" s="41" t="str">
        <f>IFERROR(IF(AH18=1,VLOOKUP(AH$2,활동내용입력!$B$4:$F$63,5,FALSE),""),"")</f>
        <v/>
      </c>
      <c r="CQ18" s="41" t="str">
        <f>IFERROR(IF(AI18=1,VLOOKUP(AI$2,활동내용입력!$B$4:$F$63,5,FALSE),""),"")</f>
        <v/>
      </c>
      <c r="CR18" s="41" t="str">
        <f>IFERROR(IF(AJ18=1,VLOOKUP(AJ$2,활동내용입력!$B$4:$F$63,5,FALSE),""),"")</f>
        <v/>
      </c>
      <c r="CS18" s="41" t="str">
        <f>IFERROR(IF(AK18=1,VLOOKUP(AK$2,활동내용입력!$B$4:$F$63,5,FALSE),""),"")</f>
        <v/>
      </c>
      <c r="CT18" s="41" t="str">
        <f>IFERROR(IF(AL18=1,VLOOKUP(AL$2,활동내용입력!$B$4:$F$63,5,FALSE),""),"")</f>
        <v/>
      </c>
      <c r="CU18" s="41" t="str">
        <f>IFERROR(IF(AM18=1,VLOOKUP(AM$2,활동내용입력!$B$4:$F$63,5,FALSE),""),"")</f>
        <v/>
      </c>
      <c r="CV18" s="41" t="str">
        <f>IFERROR(IF(AN18=1,VLOOKUP(AN$2,활동내용입력!$B$4:$F$63,5,FALSE),""),"")</f>
        <v/>
      </c>
      <c r="CW18" s="41" t="str">
        <f>IFERROR(IF(AO18=1,VLOOKUP(AO$2,활동내용입력!$B$4:$F$63,5,FALSE),""),"")</f>
        <v/>
      </c>
      <c r="CX18" s="41" t="str">
        <f>IFERROR(IF(AP18=1,VLOOKUP(AP$2,활동내용입력!$B$4:$F$63,5,FALSE),""),"")</f>
        <v/>
      </c>
      <c r="CY18" s="41" t="str">
        <f>IFERROR(IF(AQ18=1,VLOOKUP(AQ$2,활동내용입력!$B$4:$F$63,5,FALSE),""),"")</f>
        <v/>
      </c>
      <c r="CZ18" s="41" t="str">
        <f>IFERROR(IF(AR18=1,VLOOKUP(AR$2,활동내용입력!$B$4:$F$63,5,FALSE),""),"")</f>
        <v/>
      </c>
      <c r="DA18" s="41" t="str">
        <f>IFERROR(IF(AS18=1,VLOOKUP(AS$2,활동내용입력!$B$4:$F$63,5,FALSE),""),"")</f>
        <v/>
      </c>
      <c r="DB18" s="41" t="str">
        <f>IFERROR(IF(AT18=1,VLOOKUP(AT$2,활동내용입력!$B$4:$F$63,5,FALSE),""),"")</f>
        <v/>
      </c>
      <c r="DC18" s="41" t="str">
        <f>IFERROR(IF(AU18=1,VLOOKUP(AU$2,활동내용입력!$B$4:$F$63,5,FALSE),""),"")</f>
        <v/>
      </c>
      <c r="DD18" s="41" t="str">
        <f>IFERROR(IF(AV18=1,VLOOKUP(AV$2,활동내용입력!$B$4:$F$63,5,FALSE),""),"")</f>
        <v/>
      </c>
      <c r="DE18" s="41" t="str">
        <f>IFERROR(IF(AW18=1,VLOOKUP(AW$2,활동내용입력!$B$4:$F$63,5,FALSE),""),"")</f>
        <v/>
      </c>
      <c r="DF18" s="41" t="str">
        <f>IFERROR(IF(AX18=1,VLOOKUP(AX$2,활동내용입력!$B$4:$F$63,5,FALSE),""),"")</f>
        <v/>
      </c>
      <c r="DG18" s="41" t="str">
        <f>IFERROR(IF(AY18=1,VLOOKUP(AY$2,활동내용입력!$B$4:$F$63,5,FALSE),""),"")</f>
        <v/>
      </c>
      <c r="DH18" s="41" t="str">
        <f>IFERROR(IF(AZ18=1,VLOOKUP(AZ$2,활동내용입력!$B$4:$F$63,5,FALSE),""),"")</f>
        <v/>
      </c>
      <c r="DI18" s="41" t="str">
        <f>IFERROR(IF(BA18=1,VLOOKUP(BA$2,활동내용입력!$B$4:$F$63,5,FALSE),""),"")</f>
        <v/>
      </c>
      <c r="DJ18" s="41" t="str">
        <f>IFERROR(IF(BB18=1,VLOOKUP(BB$2,활동내용입력!$B$4:$F$63,5,FALSE),""),"")</f>
        <v/>
      </c>
      <c r="DK18" s="41" t="str">
        <f>IFERROR(IF(BC18=1,VLOOKUP(BC$2,활동내용입력!$B$4:$F$63,5,FALSE),""),"")</f>
        <v/>
      </c>
      <c r="DL18" s="41" t="str">
        <f>IFERROR(IF(BD18=1,VLOOKUP(BD$2,활동내용입력!$B$4:$F$63,5,FALSE),""),"")</f>
        <v/>
      </c>
      <c r="DM18" s="41" t="str">
        <f>IFERROR(IF(BE18=1,VLOOKUP(BE$2,활동내용입력!$B$4:$F$63,5,FALSE),""),"")</f>
        <v/>
      </c>
      <c r="DN18" s="41" t="str">
        <f>IFERROR(IF(BF18=1,VLOOKUP(BF$2,활동내용입력!$B$4:$F$63,5,FALSE),""),"")</f>
        <v/>
      </c>
      <c r="DO18" s="41" t="str">
        <f>IFERROR(IF(BG18=1,VLOOKUP(BG$2,활동내용입력!$B$4:$F$63,5,FALSE),""),"")</f>
        <v/>
      </c>
      <c r="DP18" s="41" t="str">
        <f>IFERROR(IF(BH18=1,VLOOKUP(BH$2,활동내용입력!$B$4:$F$63,5,FALSE),""),"")</f>
        <v/>
      </c>
      <c r="DQ18" s="41" t="str">
        <f>IFERROR(IF(BI18=1,VLOOKUP(BI$2,활동내용입력!$B$4:$F$63,5,FALSE),""),"")</f>
        <v/>
      </c>
      <c r="DR18" s="41" t="str">
        <f>IFERROR(IF(BJ18=1,VLOOKUP(BJ$2,활동내용입력!$B$4:$F$63,5,FALSE),""),"")</f>
        <v/>
      </c>
      <c r="DS18" s="41" t="str">
        <f t="shared" si="7"/>
        <v xml:space="preserve">생명존중교육(2019.03.08., 2019.03.29., 2019.09.06., 2019.11.15.)을 통해 청소년들의 자살에 대한 심리적 상태를 이해하고 힘들어 하는 주변 친구들에게 따뜻한 배려와 도움이 절실히 필요함을 느꼈으며 생명의 소중함을 다시 한번 깨닫는 기회를 가지게 됨.
안전교육(2019.03.15., 2019.06.14., 2019.07.19., 2019.08.30., 2019.12.27., 2020.01.03., 2020.01.10.)을 통해 화재, 물놀이, 빙상 등 일상생활에서 일어날 수 있는 안전사고에 대한 예방법과 사고 시 대처방법을 확인하고 실천할 수 있게 됨.
학교폭력 예방교육(2019.03.15., 2019.05.31., 2019.10.18., 2019.12.13., 2020.01.03.)을 통해 학교폭력의 심각성을 알게 되었으며 자신의 인권이 소중한 것처럼 타인의 인권도 소중함을 깨닫고 실천하는 계기가 됨.
학급회의(2019.03.15, 2019.03.29., 2019.07.12.)를 통해 학급의 문제들을 해결하기위한 의사결정과정에 적극적으로 참여함.
다문화교육(2019.03.22., 2019.09.20.)을 통해 우리 나라와 다른 나라의 문화를 함께 나눔으로써 지구촌의 평화와 번영을 함께 누릴 수 있다는 사실을 새삼 깨달은 계기가 됨. 
흡연, 음주 등 약물 오남용 예방교육(2019.04.05., 2019.05.10, 2019.07.05., 2019.07.12., 2019.07.19., 2019.11.08., 2019.12.06., 2020.01.03.)을 통해 흡연과 음주 등 약물 오남용의 폐해를 인식하고 자신의 건강을 위해 흡연과 음주와 같은 행위를 하지 않겠다고 다짐함.
장애인이해교육(2019.04.19., 2019.11.29.)을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
안전교육(2019.05.10., 2019.05.24., 2019.07.22.)을 통해 교통안전사고를 예방할 수 있는 수칙에 대한 인식을 일깨우고 실천하고자 하는 마음을 다지게 됨.
518 광주민주화운동 교육(2019.05.17.)을 통해 민주화 운동이 일어나게 된 배경을 이해하고, 독재에 맞서 싸우다 억울하게 죽어간 수많은 시민들을 추모하는 시간을 가짐.
자기주도진로체험활동(2019.06.19.-2019.06.21.)에서 계획 수립부터 진행과정까지 적극적으로 참여함.
성폭력예방교육(2019.06.28., 2019.10.25., 2019.12.20.)을 통해 이성교제 시 지켜야 할 기본수칙을 배우고 성희롱 및 성폭력의 예방방법과 성적자기결정권의 중요성을 인식하게 됨.
인권교육(2019.12.24.)에 참여하여 인권을 침해 받은 사람들에 대해 마음 아파하고 함께 해결해 나가려 하는 마음을 갖게 됨.
</v>
      </c>
      <c r="DT18" s="42">
        <f t="shared" si="6"/>
        <v>12</v>
      </c>
      <c r="DU18" s="34"/>
    </row>
    <row r="19" spans="1:125" x14ac:dyDescent="0.3">
      <c r="A19" s="58">
        <v>15</v>
      </c>
      <c r="B19" s="57" t="s">
        <v>256</v>
      </c>
      <c r="C19" s="40"/>
      <c r="D19" s="40"/>
      <c r="E19" s="40"/>
      <c r="F19" s="40"/>
      <c r="G19" s="40">
        <v>1</v>
      </c>
      <c r="H19" s="40">
        <v>1</v>
      </c>
      <c r="I19" s="40">
        <v>1</v>
      </c>
      <c r="J19" s="40">
        <v>1</v>
      </c>
      <c r="K19" s="40">
        <v>1</v>
      </c>
      <c r="L19" s="40">
        <v>1</v>
      </c>
      <c r="M19" s="40">
        <v>1</v>
      </c>
      <c r="N19" s="40">
        <v>1</v>
      </c>
      <c r="O19" s="40">
        <v>1</v>
      </c>
      <c r="P19" s="40">
        <v>1</v>
      </c>
      <c r="Q19" s="40">
        <v>1</v>
      </c>
      <c r="R19" s="40">
        <v>1</v>
      </c>
      <c r="S19" s="40"/>
      <c r="T19" s="40"/>
      <c r="U19" s="40"/>
      <c r="V19" s="40"/>
      <c r="W19" s="40"/>
      <c r="X19" s="40"/>
      <c r="Y19" s="40"/>
      <c r="Z19" s="40"/>
      <c r="AA19" s="40"/>
      <c r="AB19" s="40"/>
      <c r="AC19" s="40"/>
      <c r="AD19" s="40"/>
      <c r="AE19" s="40"/>
      <c r="AF19" s="40"/>
      <c r="AG19" s="40"/>
      <c r="AH19" s="40"/>
      <c r="AI19" s="40"/>
      <c r="AJ19" s="40"/>
      <c r="AK19" s="40"/>
      <c r="AL19" s="40"/>
      <c r="AM19" s="40"/>
      <c r="AN19" s="40"/>
      <c r="AO19" s="40"/>
      <c r="AP19" s="40"/>
      <c r="AQ19" s="40"/>
      <c r="AR19" s="40"/>
      <c r="AS19" s="40"/>
      <c r="AT19" s="40"/>
      <c r="AU19" s="40"/>
      <c r="AV19" s="40"/>
      <c r="AW19" s="40"/>
      <c r="AX19" s="40"/>
      <c r="AY19" s="40"/>
      <c r="AZ19" s="40"/>
      <c r="BA19" s="40"/>
      <c r="BB19" s="40"/>
      <c r="BC19" s="40"/>
      <c r="BD19" s="40"/>
      <c r="BE19" s="40"/>
      <c r="BF19" s="40"/>
      <c r="BG19" s="40"/>
      <c r="BH19" s="40"/>
      <c r="BI19" s="40"/>
      <c r="BJ19" s="40"/>
      <c r="BK19" s="41" t="str">
        <f>IFERROR(IF(C19=1,VLOOKUP(C$2,활동내용입력!$B$4:$F$63,5,FALSE),""),"")</f>
        <v/>
      </c>
      <c r="BL19" s="41" t="str">
        <f>IFERROR(IF(D19=1,VLOOKUP(D$2,활동내용입력!$B$4:$F$63,5,FALSE),""),"")</f>
        <v/>
      </c>
      <c r="BM19" s="41" t="str">
        <f>IFERROR(IF(E19=1,VLOOKUP(E$2,활동내용입력!$B$4:$F$63,5,FALSE),""),"")</f>
        <v/>
      </c>
      <c r="BN19" s="41" t="str">
        <f>IFERROR(IF(F19=1,VLOOKUP(F$2,활동내용입력!$B$4:$F$63,5,FALSE),""),"")</f>
        <v/>
      </c>
      <c r="BO19" s="41" t="str">
        <f>IFERROR(IF(G19=1,VLOOKUP(G$2,활동내용입력!$B$4:$F$63,5,FALSE),""),"")</f>
        <v>생명존중교육(2019.03.08., 2019.03.29., 2019.09.06., 2019.11.15.)을 통해 청소년들의 자살에 대한 심리적 상태를 이해하고 힘들어 하는 주변 친구들에게 따뜻한 배려와 도움이 절실히 필요함을 느꼈으며 생명의 소중함을 다시 한번 깨닫는 기회를 가지게 됨.</v>
      </c>
      <c r="BP19" s="41" t="str">
        <f>IFERROR(IF(H19=1,VLOOKUP(H$2,활동내용입력!$B$4:$F$63,5,FALSE),""),"")</f>
        <v>안전교육(2019.03.15., 2019.06.14., 2019.07.19., 2019.08.30., 2019.12.27., 2020.01.03., 2020.01.10.)을 통해 화재, 물놀이, 빙상 등 일상생활에서 일어날 수 있는 안전사고에 대한 예방법과 사고 시 대처방법을 확인하고 실천할 수 있게 됨.</v>
      </c>
      <c r="BQ19" s="41" t="str">
        <f>IFERROR(IF(I19=1,VLOOKUP(I$2,활동내용입력!$B$4:$F$63,5,FALSE),""),"")</f>
        <v>학교폭력 예방교육(2019.03.15., 2019.05.31., 2019.10.18., 2019.12.13., 2020.01.03.)을 통해 학교폭력의 심각성을 알게 되었으며 자신의 인권이 소중한 것처럼 타인의 인권도 소중함을 깨닫고 실천하는 계기가 됨.</v>
      </c>
      <c r="BR19" s="41" t="str">
        <f>IFERROR(IF(J19=1,VLOOKUP(J$2,활동내용입력!$B$4:$F$63,5,FALSE),""),"")</f>
        <v>학급회의(2019.03.15, 2019.03.29., 2019.07.12.)를 통해 학급의 문제들을 해결하기위한 의사결정과정에 적극적으로 참여함.</v>
      </c>
      <c r="BS19" s="41" t="str">
        <f>IFERROR(IF(K19=1,VLOOKUP(K$2,활동내용입력!$B$4:$F$63,5,FALSE),""),"")</f>
        <v xml:space="preserve">다문화교육(2019.03.22., 2019.09.20.)을 통해 우리 나라와 다른 나라의 문화를 함께 나눔으로써 지구촌의 평화와 번영을 함께 누릴 수 있다는 사실을 새삼 깨달은 계기가 됨. </v>
      </c>
      <c r="BT19" s="41" t="str">
        <f>IFERROR(IF(L19=1,VLOOKUP(L$2,활동내용입력!$B$4:$F$63,5,FALSE),""),"")</f>
        <v>흡연, 음주 등 약물 오남용 예방교육(2019.04.05., 2019.05.10, 2019.07.05., 2019.07.12., 2019.07.19., 2019.11.08., 2019.12.06., 2020.01.03.)을 통해 흡연과 음주 등 약물 오남용의 폐해를 인식하고 자신의 건강을 위해 흡연과 음주와 같은 행위를 하지 않겠다고 다짐함.</v>
      </c>
      <c r="BU19" s="41" t="str">
        <f>IFERROR(IF(M19=1,VLOOKUP(M$2,활동내용입력!$B$4:$F$63,5,FALSE),""),"")</f>
        <v>장애인이해교육(2019.04.19., 2019.11.29.)을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v>
      </c>
      <c r="BV19" s="41" t="str">
        <f>IFERROR(IF(N19=1,VLOOKUP(N$2,활동내용입력!$B$4:$F$63,5,FALSE),""),"")</f>
        <v>안전교육(2019.05.10., 2019.05.24., 2019.07.22.)을 통해 교통안전사고를 예방할 수 있는 수칙에 대한 인식을 일깨우고 실천하고자 하는 마음을 다지게 됨.</v>
      </c>
      <c r="BW19" s="41" t="str">
        <f>IFERROR(IF(O19=1,VLOOKUP(O$2,활동내용입력!$B$4:$F$63,5,FALSE),""),"")</f>
        <v>518 광주민주화운동 교육(2019.05.17.)을 통해 민주화 운동이 일어나게 된 배경을 이해하고, 독재에 맞서 싸우다 억울하게 죽어간 수많은 시민들을 추모하는 시간을 가짐.</v>
      </c>
      <c r="BX19" s="41" t="str">
        <f>IFERROR(IF(P19=1,VLOOKUP(P$2,활동내용입력!$B$4:$F$63,5,FALSE),""),"")</f>
        <v>자기주도진로체험활동(2019.06.19.-2019.06.21.)에서 계획 수립부터 진행과정까지 적극적으로 참여함.</v>
      </c>
      <c r="BY19" s="41" t="str">
        <f>IFERROR(IF(Q19=1,VLOOKUP(Q$2,활동내용입력!$B$4:$F$63,5,FALSE),""),"")</f>
        <v>성폭력예방교육(2019.06.28., 2019.10.25., 2019.12.20.)을 통해 이성교제 시 지켜야 할 기본수칙을 배우고 성희롱 및 성폭력의 예방방법과 성적자기결정권의 중요성을 인식하게 됨.</v>
      </c>
      <c r="BZ19" s="41" t="str">
        <f>IFERROR(IF(R19=1,VLOOKUP(R$2,활동내용입력!$B$4:$F$63,5,FALSE),""),"")</f>
        <v>인권교육(2019.12.24.)에 참여하여 인권을 침해 받은 사람들에 대해 마음 아파하고 함께 해결해 나가려 하는 마음을 갖게 됨.</v>
      </c>
      <c r="CA19" s="41" t="str">
        <f>IFERROR(IF(S19=1,VLOOKUP(S$2,활동내용입력!$B$4:$F$63,5,FALSE),""),"")</f>
        <v/>
      </c>
      <c r="CB19" s="41" t="str">
        <f>IFERROR(IF(T19=1,VLOOKUP(T$2,활동내용입력!$B$4:$F$63,5,FALSE),""),"")</f>
        <v/>
      </c>
      <c r="CC19" s="41" t="str">
        <f>IFERROR(IF(U19=1,VLOOKUP(U$2,활동내용입력!$B$4:$F$63,5,FALSE),""),"")</f>
        <v/>
      </c>
      <c r="CD19" s="41" t="str">
        <f>IFERROR(IF(V19=1,VLOOKUP(V$2,활동내용입력!$B$4:$F$63,5,FALSE),""),"")</f>
        <v/>
      </c>
      <c r="CE19" s="41" t="str">
        <f>IFERROR(IF(W19=1,VLOOKUP(W$2,활동내용입력!$B$4:$F$63,5,FALSE),""),"")</f>
        <v/>
      </c>
      <c r="CF19" s="41" t="str">
        <f>IFERROR(IF(X19=1,VLOOKUP(X$2,활동내용입력!$B$4:$F$63,5,FALSE),""),"")</f>
        <v/>
      </c>
      <c r="CG19" s="41" t="str">
        <f>IFERROR(IF(Y19=1,VLOOKUP(Y$2,활동내용입력!$B$4:$F$63,5,FALSE),""),"")</f>
        <v/>
      </c>
      <c r="CH19" s="41" t="str">
        <f>IFERROR(IF(Z19=1,VLOOKUP(Z$2,활동내용입력!$B$4:$F$63,5,FALSE),""),"")</f>
        <v/>
      </c>
      <c r="CI19" s="41" t="str">
        <f>IFERROR(IF(AA19=1,VLOOKUP(AA$2,활동내용입력!$B$4:$F$63,5,FALSE),""),"")</f>
        <v/>
      </c>
      <c r="CJ19" s="41" t="str">
        <f>IFERROR(IF(AB19=1,VLOOKUP(AB$2,활동내용입력!$B$4:$F$63,5,FALSE),""),"")</f>
        <v/>
      </c>
      <c r="CK19" s="41" t="str">
        <f>IFERROR(IF(AC19=1,VLOOKUP(AC$2,활동내용입력!$B$4:$F$63,5,FALSE),""),"")</f>
        <v/>
      </c>
      <c r="CL19" s="41" t="str">
        <f>IFERROR(IF(AD19=1,VLOOKUP(AD$2,활동내용입력!$B$4:$F$63,5,FALSE),""),"")</f>
        <v/>
      </c>
      <c r="CM19" s="41" t="str">
        <f>IFERROR(IF(AE19=1,VLOOKUP(AE$2,활동내용입력!$B$4:$F$63,5,FALSE),""),"")</f>
        <v/>
      </c>
      <c r="CN19" s="41" t="str">
        <f>IFERROR(IF(AF19=1,VLOOKUP(AF$2,활동내용입력!$B$4:$F$63,5,FALSE),""),"")</f>
        <v/>
      </c>
      <c r="CO19" s="41" t="str">
        <f>IFERROR(IF(AG19=1,VLOOKUP(AG$2,활동내용입력!$B$4:$F$63,5,FALSE),""),"")</f>
        <v/>
      </c>
      <c r="CP19" s="41" t="str">
        <f>IFERROR(IF(AH19=1,VLOOKUP(AH$2,활동내용입력!$B$4:$F$63,5,FALSE),""),"")</f>
        <v/>
      </c>
      <c r="CQ19" s="41" t="str">
        <f>IFERROR(IF(AI19=1,VLOOKUP(AI$2,활동내용입력!$B$4:$F$63,5,FALSE),""),"")</f>
        <v/>
      </c>
      <c r="CR19" s="41" t="str">
        <f>IFERROR(IF(AJ19=1,VLOOKUP(AJ$2,활동내용입력!$B$4:$F$63,5,FALSE),""),"")</f>
        <v/>
      </c>
      <c r="CS19" s="41" t="str">
        <f>IFERROR(IF(AK19=1,VLOOKUP(AK$2,활동내용입력!$B$4:$F$63,5,FALSE),""),"")</f>
        <v/>
      </c>
      <c r="CT19" s="41" t="str">
        <f>IFERROR(IF(AL19=1,VLOOKUP(AL$2,활동내용입력!$B$4:$F$63,5,FALSE),""),"")</f>
        <v/>
      </c>
      <c r="CU19" s="41" t="str">
        <f>IFERROR(IF(AM19=1,VLOOKUP(AM$2,활동내용입력!$B$4:$F$63,5,FALSE),""),"")</f>
        <v/>
      </c>
      <c r="CV19" s="41" t="str">
        <f>IFERROR(IF(AN19=1,VLOOKUP(AN$2,활동내용입력!$B$4:$F$63,5,FALSE),""),"")</f>
        <v/>
      </c>
      <c r="CW19" s="41" t="str">
        <f>IFERROR(IF(AO19=1,VLOOKUP(AO$2,활동내용입력!$B$4:$F$63,5,FALSE),""),"")</f>
        <v/>
      </c>
      <c r="CX19" s="41" t="str">
        <f>IFERROR(IF(AP19=1,VLOOKUP(AP$2,활동내용입력!$B$4:$F$63,5,FALSE),""),"")</f>
        <v/>
      </c>
      <c r="CY19" s="41" t="str">
        <f>IFERROR(IF(AQ19=1,VLOOKUP(AQ$2,활동내용입력!$B$4:$F$63,5,FALSE),""),"")</f>
        <v/>
      </c>
      <c r="CZ19" s="41" t="str">
        <f>IFERROR(IF(AR19=1,VLOOKUP(AR$2,활동내용입력!$B$4:$F$63,5,FALSE),""),"")</f>
        <v/>
      </c>
      <c r="DA19" s="41" t="str">
        <f>IFERROR(IF(AS19=1,VLOOKUP(AS$2,활동내용입력!$B$4:$F$63,5,FALSE),""),"")</f>
        <v/>
      </c>
      <c r="DB19" s="41" t="str">
        <f>IFERROR(IF(AT19=1,VLOOKUP(AT$2,활동내용입력!$B$4:$F$63,5,FALSE),""),"")</f>
        <v/>
      </c>
      <c r="DC19" s="41" t="str">
        <f>IFERROR(IF(AU19=1,VLOOKUP(AU$2,활동내용입력!$B$4:$F$63,5,FALSE),""),"")</f>
        <v/>
      </c>
      <c r="DD19" s="41" t="str">
        <f>IFERROR(IF(AV19=1,VLOOKUP(AV$2,활동내용입력!$B$4:$F$63,5,FALSE),""),"")</f>
        <v/>
      </c>
      <c r="DE19" s="41" t="str">
        <f>IFERROR(IF(AW19=1,VLOOKUP(AW$2,활동내용입력!$B$4:$F$63,5,FALSE),""),"")</f>
        <v/>
      </c>
      <c r="DF19" s="41" t="str">
        <f>IFERROR(IF(AX19=1,VLOOKUP(AX$2,활동내용입력!$B$4:$F$63,5,FALSE),""),"")</f>
        <v/>
      </c>
      <c r="DG19" s="41" t="str">
        <f>IFERROR(IF(AY19=1,VLOOKUP(AY$2,활동내용입력!$B$4:$F$63,5,FALSE),""),"")</f>
        <v/>
      </c>
      <c r="DH19" s="41" t="str">
        <f>IFERROR(IF(AZ19=1,VLOOKUP(AZ$2,활동내용입력!$B$4:$F$63,5,FALSE),""),"")</f>
        <v/>
      </c>
      <c r="DI19" s="41" t="str">
        <f>IFERROR(IF(BA19=1,VLOOKUP(BA$2,활동내용입력!$B$4:$F$63,5,FALSE),""),"")</f>
        <v/>
      </c>
      <c r="DJ19" s="41" t="str">
        <f>IFERROR(IF(BB19=1,VLOOKUP(BB$2,활동내용입력!$B$4:$F$63,5,FALSE),""),"")</f>
        <v/>
      </c>
      <c r="DK19" s="41" t="str">
        <f>IFERROR(IF(BC19=1,VLOOKUP(BC$2,활동내용입력!$B$4:$F$63,5,FALSE),""),"")</f>
        <v/>
      </c>
      <c r="DL19" s="41" t="str">
        <f>IFERROR(IF(BD19=1,VLOOKUP(BD$2,활동내용입력!$B$4:$F$63,5,FALSE),""),"")</f>
        <v/>
      </c>
      <c r="DM19" s="41" t="str">
        <f>IFERROR(IF(BE19=1,VLOOKUP(BE$2,활동내용입력!$B$4:$F$63,5,FALSE),""),"")</f>
        <v/>
      </c>
      <c r="DN19" s="41" t="str">
        <f>IFERROR(IF(BF19=1,VLOOKUP(BF$2,활동내용입력!$B$4:$F$63,5,FALSE),""),"")</f>
        <v/>
      </c>
      <c r="DO19" s="41" t="str">
        <f>IFERROR(IF(BG19=1,VLOOKUP(BG$2,활동내용입력!$B$4:$F$63,5,FALSE),""),"")</f>
        <v/>
      </c>
      <c r="DP19" s="41" t="str">
        <f>IFERROR(IF(BH19=1,VLOOKUP(BH$2,활동내용입력!$B$4:$F$63,5,FALSE),""),"")</f>
        <v/>
      </c>
      <c r="DQ19" s="41" t="str">
        <f>IFERROR(IF(BI19=1,VLOOKUP(BI$2,활동내용입력!$B$4:$F$63,5,FALSE),""),"")</f>
        <v/>
      </c>
      <c r="DR19" s="41" t="str">
        <f>IFERROR(IF(BJ19=1,VLOOKUP(BJ$2,활동내용입력!$B$4:$F$63,5,FALSE),""),"")</f>
        <v/>
      </c>
      <c r="DS19" s="41" t="str">
        <f t="shared" si="7"/>
        <v xml:space="preserve">생명존중교육(2019.03.08., 2019.03.29., 2019.09.06., 2019.11.15.)을 통해 청소년들의 자살에 대한 심리적 상태를 이해하고 힘들어 하는 주변 친구들에게 따뜻한 배려와 도움이 절실히 필요함을 느꼈으며 생명의 소중함을 다시 한번 깨닫는 기회를 가지게 됨.
안전교육(2019.03.15., 2019.06.14., 2019.07.19., 2019.08.30., 2019.12.27., 2020.01.03., 2020.01.10.)을 통해 화재, 물놀이, 빙상 등 일상생활에서 일어날 수 있는 안전사고에 대한 예방법과 사고 시 대처방법을 확인하고 실천할 수 있게 됨.
학교폭력 예방교육(2019.03.15., 2019.05.31., 2019.10.18., 2019.12.13., 2020.01.03.)을 통해 학교폭력의 심각성을 알게 되었으며 자신의 인권이 소중한 것처럼 타인의 인권도 소중함을 깨닫고 실천하는 계기가 됨.
학급회의(2019.03.15, 2019.03.29., 2019.07.12.)를 통해 학급의 문제들을 해결하기위한 의사결정과정에 적극적으로 참여함.
다문화교육(2019.03.22., 2019.09.20.)을 통해 우리 나라와 다른 나라의 문화를 함께 나눔으로써 지구촌의 평화와 번영을 함께 누릴 수 있다는 사실을 새삼 깨달은 계기가 됨. 
흡연, 음주 등 약물 오남용 예방교육(2019.04.05., 2019.05.10, 2019.07.05., 2019.07.12., 2019.07.19., 2019.11.08., 2019.12.06., 2020.01.03.)을 통해 흡연과 음주 등 약물 오남용의 폐해를 인식하고 자신의 건강을 위해 흡연과 음주와 같은 행위를 하지 않겠다고 다짐함.
장애인이해교육(2019.04.19., 2019.11.29.)을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
안전교육(2019.05.10., 2019.05.24., 2019.07.22.)을 통해 교통안전사고를 예방할 수 있는 수칙에 대한 인식을 일깨우고 실천하고자 하는 마음을 다지게 됨.
518 광주민주화운동 교육(2019.05.17.)을 통해 민주화 운동이 일어나게 된 배경을 이해하고, 독재에 맞서 싸우다 억울하게 죽어간 수많은 시민들을 추모하는 시간을 가짐.
자기주도진로체험활동(2019.06.19.-2019.06.21.)에서 계획 수립부터 진행과정까지 적극적으로 참여함.
성폭력예방교육(2019.06.28., 2019.10.25., 2019.12.20.)을 통해 이성교제 시 지켜야 할 기본수칙을 배우고 성희롱 및 성폭력의 예방방법과 성적자기결정권의 중요성을 인식하게 됨.
인권교육(2019.12.24.)에 참여하여 인권을 침해 받은 사람들에 대해 마음 아파하고 함께 해결해 나가려 하는 마음을 갖게 됨.
</v>
      </c>
      <c r="DT19" s="42">
        <f t="shared" si="6"/>
        <v>12</v>
      </c>
      <c r="DU19" s="34"/>
    </row>
    <row r="20" spans="1:125" x14ac:dyDescent="0.3">
      <c r="A20" s="58">
        <v>16</v>
      </c>
      <c r="B20" s="57" t="s">
        <v>257</v>
      </c>
      <c r="C20" s="40"/>
      <c r="D20" s="40"/>
      <c r="E20" s="40"/>
      <c r="F20" s="40"/>
      <c r="G20" s="40">
        <v>1</v>
      </c>
      <c r="H20" s="40">
        <v>1</v>
      </c>
      <c r="I20" s="40">
        <v>1</v>
      </c>
      <c r="J20" s="40">
        <v>1</v>
      </c>
      <c r="K20" s="40">
        <v>1</v>
      </c>
      <c r="L20" s="40">
        <v>1</v>
      </c>
      <c r="M20" s="40">
        <v>1</v>
      </c>
      <c r="N20" s="40">
        <v>1</v>
      </c>
      <c r="O20" s="40">
        <v>1</v>
      </c>
      <c r="P20" s="40">
        <v>1</v>
      </c>
      <c r="Q20" s="40">
        <v>1</v>
      </c>
      <c r="R20" s="40">
        <v>1</v>
      </c>
      <c r="S20" s="40"/>
      <c r="T20" s="40"/>
      <c r="U20" s="40"/>
      <c r="V20" s="40"/>
      <c r="W20" s="40"/>
      <c r="X20" s="40"/>
      <c r="Y20" s="40"/>
      <c r="Z20" s="40"/>
      <c r="AA20" s="40"/>
      <c r="AB20" s="40"/>
      <c r="AC20" s="40"/>
      <c r="AD20" s="40"/>
      <c r="AE20" s="40"/>
      <c r="AF20" s="40"/>
      <c r="AG20" s="40"/>
      <c r="AH20" s="40"/>
      <c r="AI20" s="40"/>
      <c r="AJ20" s="40"/>
      <c r="AK20" s="40"/>
      <c r="AL20" s="40"/>
      <c r="AM20" s="40"/>
      <c r="AN20" s="40"/>
      <c r="AO20" s="40"/>
      <c r="AP20" s="40"/>
      <c r="AQ20" s="40"/>
      <c r="AR20" s="40"/>
      <c r="AS20" s="40"/>
      <c r="AT20" s="40"/>
      <c r="AU20" s="40"/>
      <c r="AV20" s="40"/>
      <c r="AW20" s="40"/>
      <c r="AX20" s="40"/>
      <c r="AY20" s="40"/>
      <c r="AZ20" s="40"/>
      <c r="BA20" s="40"/>
      <c r="BB20" s="40"/>
      <c r="BC20" s="40"/>
      <c r="BD20" s="40"/>
      <c r="BE20" s="40"/>
      <c r="BF20" s="40"/>
      <c r="BG20" s="40"/>
      <c r="BH20" s="40"/>
      <c r="BI20" s="40"/>
      <c r="BJ20" s="40"/>
      <c r="BK20" s="41" t="str">
        <f>IFERROR(IF(C20=1,VLOOKUP(C$2,활동내용입력!$B$4:$F$63,5,FALSE),""),"")</f>
        <v/>
      </c>
      <c r="BL20" s="41" t="str">
        <f>IFERROR(IF(D20=1,VLOOKUP(D$2,활동내용입력!$B$4:$F$63,5,FALSE),""),"")</f>
        <v/>
      </c>
      <c r="BM20" s="41" t="str">
        <f>IFERROR(IF(E20=1,VLOOKUP(E$2,활동내용입력!$B$4:$F$63,5,FALSE),""),"")</f>
        <v/>
      </c>
      <c r="BN20" s="41" t="str">
        <f>IFERROR(IF(F20=1,VLOOKUP(F$2,활동내용입력!$B$4:$F$63,5,FALSE),""),"")</f>
        <v/>
      </c>
      <c r="BO20" s="41" t="str">
        <f>IFERROR(IF(G20=1,VLOOKUP(G$2,활동내용입력!$B$4:$F$63,5,FALSE),""),"")</f>
        <v>생명존중교육(2019.03.08., 2019.03.29., 2019.09.06., 2019.11.15.)을 통해 청소년들의 자살에 대한 심리적 상태를 이해하고 힘들어 하는 주변 친구들에게 따뜻한 배려와 도움이 절실히 필요함을 느꼈으며 생명의 소중함을 다시 한번 깨닫는 기회를 가지게 됨.</v>
      </c>
      <c r="BP20" s="41" t="str">
        <f>IFERROR(IF(H20=1,VLOOKUP(H$2,활동내용입력!$B$4:$F$63,5,FALSE),""),"")</f>
        <v>안전교육(2019.03.15., 2019.06.14., 2019.07.19., 2019.08.30., 2019.12.27., 2020.01.03., 2020.01.10.)을 통해 화재, 물놀이, 빙상 등 일상생활에서 일어날 수 있는 안전사고에 대한 예방법과 사고 시 대처방법을 확인하고 실천할 수 있게 됨.</v>
      </c>
      <c r="BQ20" s="41" t="str">
        <f>IFERROR(IF(I20=1,VLOOKUP(I$2,활동내용입력!$B$4:$F$63,5,FALSE),""),"")</f>
        <v>학교폭력 예방교육(2019.03.15., 2019.05.31., 2019.10.18., 2019.12.13., 2020.01.03.)을 통해 학교폭력의 심각성을 알게 되었으며 자신의 인권이 소중한 것처럼 타인의 인권도 소중함을 깨닫고 실천하는 계기가 됨.</v>
      </c>
      <c r="BR20" s="41" t="str">
        <f>IFERROR(IF(J20=1,VLOOKUP(J$2,활동내용입력!$B$4:$F$63,5,FALSE),""),"")</f>
        <v>학급회의(2019.03.15, 2019.03.29., 2019.07.12.)를 통해 학급의 문제들을 해결하기위한 의사결정과정에 적극적으로 참여함.</v>
      </c>
      <c r="BS20" s="41" t="str">
        <f>IFERROR(IF(K20=1,VLOOKUP(K$2,활동내용입력!$B$4:$F$63,5,FALSE),""),"")</f>
        <v xml:space="preserve">다문화교육(2019.03.22., 2019.09.20.)을 통해 우리 나라와 다른 나라의 문화를 함께 나눔으로써 지구촌의 평화와 번영을 함께 누릴 수 있다는 사실을 새삼 깨달은 계기가 됨. </v>
      </c>
      <c r="BT20" s="41" t="str">
        <f>IFERROR(IF(L20=1,VLOOKUP(L$2,활동내용입력!$B$4:$F$63,5,FALSE),""),"")</f>
        <v>흡연, 음주 등 약물 오남용 예방교육(2019.04.05., 2019.05.10, 2019.07.05., 2019.07.12., 2019.07.19., 2019.11.08., 2019.12.06., 2020.01.03.)을 통해 흡연과 음주 등 약물 오남용의 폐해를 인식하고 자신의 건강을 위해 흡연과 음주와 같은 행위를 하지 않겠다고 다짐함.</v>
      </c>
      <c r="BU20" s="41" t="str">
        <f>IFERROR(IF(M20=1,VLOOKUP(M$2,활동내용입력!$B$4:$F$63,5,FALSE),""),"")</f>
        <v>장애인이해교육(2019.04.19., 2019.11.29.)을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v>
      </c>
      <c r="BV20" s="41" t="str">
        <f>IFERROR(IF(N20=1,VLOOKUP(N$2,활동내용입력!$B$4:$F$63,5,FALSE),""),"")</f>
        <v>안전교육(2019.05.10., 2019.05.24., 2019.07.22.)을 통해 교통안전사고를 예방할 수 있는 수칙에 대한 인식을 일깨우고 실천하고자 하는 마음을 다지게 됨.</v>
      </c>
      <c r="BW20" s="41" t="str">
        <f>IFERROR(IF(O20=1,VLOOKUP(O$2,활동내용입력!$B$4:$F$63,5,FALSE),""),"")</f>
        <v>518 광주민주화운동 교육(2019.05.17.)을 통해 민주화 운동이 일어나게 된 배경을 이해하고, 독재에 맞서 싸우다 억울하게 죽어간 수많은 시민들을 추모하는 시간을 가짐.</v>
      </c>
      <c r="BX20" s="41" t="str">
        <f>IFERROR(IF(P20=1,VLOOKUP(P$2,활동내용입력!$B$4:$F$63,5,FALSE),""),"")</f>
        <v>자기주도진로체험활동(2019.06.19.-2019.06.21.)에서 계획 수립부터 진행과정까지 적극적으로 참여함.</v>
      </c>
      <c r="BY20" s="41" t="str">
        <f>IFERROR(IF(Q20=1,VLOOKUP(Q$2,활동내용입력!$B$4:$F$63,5,FALSE),""),"")</f>
        <v>성폭력예방교육(2019.06.28., 2019.10.25., 2019.12.20.)을 통해 이성교제 시 지켜야 할 기본수칙을 배우고 성희롱 및 성폭력의 예방방법과 성적자기결정권의 중요성을 인식하게 됨.</v>
      </c>
      <c r="BZ20" s="41" t="str">
        <f>IFERROR(IF(R20=1,VLOOKUP(R$2,활동내용입력!$B$4:$F$63,5,FALSE),""),"")</f>
        <v>인권교육(2019.12.24.)에 참여하여 인권을 침해 받은 사람들에 대해 마음 아파하고 함께 해결해 나가려 하는 마음을 갖게 됨.</v>
      </c>
      <c r="CA20" s="41" t="str">
        <f>IFERROR(IF(S20=1,VLOOKUP(S$2,활동내용입력!$B$4:$F$63,5,FALSE),""),"")</f>
        <v/>
      </c>
      <c r="CB20" s="41" t="str">
        <f>IFERROR(IF(T20=1,VLOOKUP(T$2,활동내용입력!$B$4:$F$63,5,FALSE),""),"")</f>
        <v/>
      </c>
      <c r="CC20" s="41" t="str">
        <f>IFERROR(IF(U20=1,VLOOKUP(U$2,활동내용입력!$B$4:$F$63,5,FALSE),""),"")</f>
        <v/>
      </c>
      <c r="CD20" s="41" t="str">
        <f>IFERROR(IF(V20=1,VLOOKUP(V$2,활동내용입력!$B$4:$F$63,5,FALSE),""),"")</f>
        <v/>
      </c>
      <c r="CE20" s="41" t="str">
        <f>IFERROR(IF(W20=1,VLOOKUP(W$2,활동내용입력!$B$4:$F$63,5,FALSE),""),"")</f>
        <v/>
      </c>
      <c r="CF20" s="41" t="str">
        <f>IFERROR(IF(X20=1,VLOOKUP(X$2,활동내용입력!$B$4:$F$63,5,FALSE),""),"")</f>
        <v/>
      </c>
      <c r="CG20" s="41" t="str">
        <f>IFERROR(IF(Y20=1,VLOOKUP(Y$2,활동내용입력!$B$4:$F$63,5,FALSE),""),"")</f>
        <v/>
      </c>
      <c r="CH20" s="41" t="str">
        <f>IFERROR(IF(Z20=1,VLOOKUP(Z$2,활동내용입력!$B$4:$F$63,5,FALSE),""),"")</f>
        <v/>
      </c>
      <c r="CI20" s="41" t="str">
        <f>IFERROR(IF(AA20=1,VLOOKUP(AA$2,활동내용입력!$B$4:$F$63,5,FALSE),""),"")</f>
        <v/>
      </c>
      <c r="CJ20" s="41" t="str">
        <f>IFERROR(IF(AB20=1,VLOOKUP(AB$2,활동내용입력!$B$4:$F$63,5,FALSE),""),"")</f>
        <v/>
      </c>
      <c r="CK20" s="41" t="str">
        <f>IFERROR(IF(AC20=1,VLOOKUP(AC$2,활동내용입력!$B$4:$F$63,5,FALSE),""),"")</f>
        <v/>
      </c>
      <c r="CL20" s="41" t="str">
        <f>IFERROR(IF(AD20=1,VLOOKUP(AD$2,활동내용입력!$B$4:$F$63,5,FALSE),""),"")</f>
        <v/>
      </c>
      <c r="CM20" s="41" t="str">
        <f>IFERROR(IF(AE20=1,VLOOKUP(AE$2,활동내용입력!$B$4:$F$63,5,FALSE),""),"")</f>
        <v/>
      </c>
      <c r="CN20" s="41" t="str">
        <f>IFERROR(IF(AF20=1,VLOOKUP(AF$2,활동내용입력!$B$4:$F$63,5,FALSE),""),"")</f>
        <v/>
      </c>
      <c r="CO20" s="41" t="str">
        <f>IFERROR(IF(AG20=1,VLOOKUP(AG$2,활동내용입력!$B$4:$F$63,5,FALSE),""),"")</f>
        <v/>
      </c>
      <c r="CP20" s="41" t="str">
        <f>IFERROR(IF(AH20=1,VLOOKUP(AH$2,활동내용입력!$B$4:$F$63,5,FALSE),""),"")</f>
        <v/>
      </c>
      <c r="CQ20" s="41" t="str">
        <f>IFERROR(IF(AI20=1,VLOOKUP(AI$2,활동내용입력!$B$4:$F$63,5,FALSE),""),"")</f>
        <v/>
      </c>
      <c r="CR20" s="41" t="str">
        <f>IFERROR(IF(AJ20=1,VLOOKUP(AJ$2,활동내용입력!$B$4:$F$63,5,FALSE),""),"")</f>
        <v/>
      </c>
      <c r="CS20" s="41" t="str">
        <f>IFERROR(IF(AK20=1,VLOOKUP(AK$2,활동내용입력!$B$4:$F$63,5,FALSE),""),"")</f>
        <v/>
      </c>
      <c r="CT20" s="41" t="str">
        <f>IFERROR(IF(AL20=1,VLOOKUP(AL$2,활동내용입력!$B$4:$F$63,5,FALSE),""),"")</f>
        <v/>
      </c>
      <c r="CU20" s="41" t="str">
        <f>IFERROR(IF(AM20=1,VLOOKUP(AM$2,활동내용입력!$B$4:$F$63,5,FALSE),""),"")</f>
        <v/>
      </c>
      <c r="CV20" s="41" t="str">
        <f>IFERROR(IF(AN20=1,VLOOKUP(AN$2,활동내용입력!$B$4:$F$63,5,FALSE),""),"")</f>
        <v/>
      </c>
      <c r="CW20" s="41" t="str">
        <f>IFERROR(IF(AO20=1,VLOOKUP(AO$2,활동내용입력!$B$4:$F$63,5,FALSE),""),"")</f>
        <v/>
      </c>
      <c r="CX20" s="41" t="str">
        <f>IFERROR(IF(AP20=1,VLOOKUP(AP$2,활동내용입력!$B$4:$F$63,5,FALSE),""),"")</f>
        <v/>
      </c>
      <c r="CY20" s="41" t="str">
        <f>IFERROR(IF(AQ20=1,VLOOKUP(AQ$2,활동내용입력!$B$4:$F$63,5,FALSE),""),"")</f>
        <v/>
      </c>
      <c r="CZ20" s="41" t="str">
        <f>IFERROR(IF(AR20=1,VLOOKUP(AR$2,활동내용입력!$B$4:$F$63,5,FALSE),""),"")</f>
        <v/>
      </c>
      <c r="DA20" s="41" t="str">
        <f>IFERROR(IF(AS20=1,VLOOKUP(AS$2,활동내용입력!$B$4:$F$63,5,FALSE),""),"")</f>
        <v/>
      </c>
      <c r="DB20" s="41" t="str">
        <f>IFERROR(IF(AT20=1,VLOOKUP(AT$2,활동내용입력!$B$4:$F$63,5,FALSE),""),"")</f>
        <v/>
      </c>
      <c r="DC20" s="41" t="str">
        <f>IFERROR(IF(AU20=1,VLOOKUP(AU$2,활동내용입력!$B$4:$F$63,5,FALSE),""),"")</f>
        <v/>
      </c>
      <c r="DD20" s="41" t="str">
        <f>IFERROR(IF(AV20=1,VLOOKUP(AV$2,활동내용입력!$B$4:$F$63,5,FALSE),""),"")</f>
        <v/>
      </c>
      <c r="DE20" s="41" t="str">
        <f>IFERROR(IF(AW20=1,VLOOKUP(AW$2,활동내용입력!$B$4:$F$63,5,FALSE),""),"")</f>
        <v/>
      </c>
      <c r="DF20" s="41" t="str">
        <f>IFERROR(IF(AX20=1,VLOOKUP(AX$2,활동내용입력!$B$4:$F$63,5,FALSE),""),"")</f>
        <v/>
      </c>
      <c r="DG20" s="41" t="str">
        <f>IFERROR(IF(AY20=1,VLOOKUP(AY$2,활동내용입력!$B$4:$F$63,5,FALSE),""),"")</f>
        <v/>
      </c>
      <c r="DH20" s="41" t="str">
        <f>IFERROR(IF(AZ20=1,VLOOKUP(AZ$2,활동내용입력!$B$4:$F$63,5,FALSE),""),"")</f>
        <v/>
      </c>
      <c r="DI20" s="41" t="str">
        <f>IFERROR(IF(BA20=1,VLOOKUP(BA$2,활동내용입력!$B$4:$F$63,5,FALSE),""),"")</f>
        <v/>
      </c>
      <c r="DJ20" s="41" t="str">
        <f>IFERROR(IF(BB20=1,VLOOKUP(BB$2,활동내용입력!$B$4:$F$63,5,FALSE),""),"")</f>
        <v/>
      </c>
      <c r="DK20" s="41" t="str">
        <f>IFERROR(IF(BC20=1,VLOOKUP(BC$2,활동내용입력!$B$4:$F$63,5,FALSE),""),"")</f>
        <v/>
      </c>
      <c r="DL20" s="41" t="str">
        <f>IFERROR(IF(BD20=1,VLOOKUP(BD$2,활동내용입력!$B$4:$F$63,5,FALSE),""),"")</f>
        <v/>
      </c>
      <c r="DM20" s="41" t="str">
        <f>IFERROR(IF(BE20=1,VLOOKUP(BE$2,활동내용입력!$B$4:$F$63,5,FALSE),""),"")</f>
        <v/>
      </c>
      <c r="DN20" s="41" t="str">
        <f>IFERROR(IF(BF20=1,VLOOKUP(BF$2,활동내용입력!$B$4:$F$63,5,FALSE),""),"")</f>
        <v/>
      </c>
      <c r="DO20" s="41" t="str">
        <f>IFERROR(IF(BG20=1,VLOOKUP(BG$2,활동내용입력!$B$4:$F$63,5,FALSE),""),"")</f>
        <v/>
      </c>
      <c r="DP20" s="41" t="str">
        <f>IFERROR(IF(BH20=1,VLOOKUP(BH$2,활동내용입력!$B$4:$F$63,5,FALSE),""),"")</f>
        <v/>
      </c>
      <c r="DQ20" s="41" t="str">
        <f>IFERROR(IF(BI20=1,VLOOKUP(BI$2,활동내용입력!$B$4:$F$63,5,FALSE),""),"")</f>
        <v/>
      </c>
      <c r="DR20" s="41" t="str">
        <f>IFERROR(IF(BJ20=1,VLOOKUP(BJ$2,활동내용입력!$B$4:$F$63,5,FALSE),""),"")</f>
        <v/>
      </c>
      <c r="DS20" s="41" t="str">
        <f t="shared" si="7"/>
        <v xml:space="preserve">생명존중교육(2019.03.08., 2019.03.29., 2019.09.06., 2019.11.15.)을 통해 청소년들의 자살에 대한 심리적 상태를 이해하고 힘들어 하는 주변 친구들에게 따뜻한 배려와 도움이 절실히 필요함을 느꼈으며 생명의 소중함을 다시 한번 깨닫는 기회를 가지게 됨.
안전교육(2019.03.15., 2019.06.14., 2019.07.19., 2019.08.30., 2019.12.27., 2020.01.03., 2020.01.10.)을 통해 화재, 물놀이, 빙상 등 일상생활에서 일어날 수 있는 안전사고에 대한 예방법과 사고 시 대처방법을 확인하고 실천할 수 있게 됨.
학교폭력 예방교육(2019.03.15., 2019.05.31., 2019.10.18., 2019.12.13., 2020.01.03.)을 통해 학교폭력의 심각성을 알게 되었으며 자신의 인권이 소중한 것처럼 타인의 인권도 소중함을 깨닫고 실천하는 계기가 됨.
학급회의(2019.03.15, 2019.03.29., 2019.07.12.)를 통해 학급의 문제들을 해결하기위한 의사결정과정에 적극적으로 참여함.
다문화교육(2019.03.22., 2019.09.20.)을 통해 우리 나라와 다른 나라의 문화를 함께 나눔으로써 지구촌의 평화와 번영을 함께 누릴 수 있다는 사실을 새삼 깨달은 계기가 됨. 
흡연, 음주 등 약물 오남용 예방교육(2019.04.05., 2019.05.10, 2019.07.05., 2019.07.12., 2019.07.19., 2019.11.08., 2019.12.06., 2020.01.03.)을 통해 흡연과 음주 등 약물 오남용의 폐해를 인식하고 자신의 건강을 위해 흡연과 음주와 같은 행위를 하지 않겠다고 다짐함.
장애인이해교육(2019.04.19., 2019.11.29.)을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
안전교육(2019.05.10., 2019.05.24., 2019.07.22.)을 통해 교통안전사고를 예방할 수 있는 수칙에 대한 인식을 일깨우고 실천하고자 하는 마음을 다지게 됨.
518 광주민주화운동 교육(2019.05.17.)을 통해 민주화 운동이 일어나게 된 배경을 이해하고, 독재에 맞서 싸우다 억울하게 죽어간 수많은 시민들을 추모하는 시간을 가짐.
자기주도진로체험활동(2019.06.19.-2019.06.21.)에서 계획 수립부터 진행과정까지 적극적으로 참여함.
성폭력예방교육(2019.06.28., 2019.10.25., 2019.12.20.)을 통해 이성교제 시 지켜야 할 기본수칙을 배우고 성희롱 및 성폭력의 예방방법과 성적자기결정권의 중요성을 인식하게 됨.
인권교육(2019.12.24.)에 참여하여 인권을 침해 받은 사람들에 대해 마음 아파하고 함께 해결해 나가려 하는 마음을 갖게 됨.
</v>
      </c>
      <c r="DT20" s="42">
        <f t="shared" si="6"/>
        <v>12</v>
      </c>
      <c r="DU20" s="34"/>
    </row>
    <row r="21" spans="1:125" x14ac:dyDescent="0.3">
      <c r="A21" s="58">
        <v>17</v>
      </c>
      <c r="B21" s="57" t="s">
        <v>258</v>
      </c>
      <c r="C21" s="40"/>
      <c r="D21" s="40"/>
      <c r="E21" s="40">
        <v>1</v>
      </c>
      <c r="F21" s="40"/>
      <c r="G21" s="40">
        <v>1</v>
      </c>
      <c r="H21" s="40">
        <v>1</v>
      </c>
      <c r="I21" s="40">
        <v>1</v>
      </c>
      <c r="J21" s="40">
        <v>1</v>
      </c>
      <c r="K21" s="40">
        <v>1</v>
      </c>
      <c r="L21" s="40">
        <v>1</v>
      </c>
      <c r="M21" s="40">
        <v>1</v>
      </c>
      <c r="N21" s="40">
        <v>1</v>
      </c>
      <c r="O21" s="40">
        <v>1</v>
      </c>
      <c r="P21" s="40">
        <v>1</v>
      </c>
      <c r="Q21" s="40">
        <v>1</v>
      </c>
      <c r="R21" s="40">
        <v>1</v>
      </c>
      <c r="S21" s="40"/>
      <c r="T21" s="40"/>
      <c r="U21" s="40"/>
      <c r="V21" s="40"/>
      <c r="W21" s="40"/>
      <c r="X21" s="40"/>
      <c r="Y21" s="40"/>
      <c r="Z21" s="40"/>
      <c r="AA21" s="40"/>
      <c r="AB21" s="40"/>
      <c r="AC21" s="40"/>
      <c r="AD21" s="40"/>
      <c r="AE21" s="40"/>
      <c r="AF21" s="40"/>
      <c r="AG21" s="40"/>
      <c r="AH21" s="40"/>
      <c r="AI21" s="40"/>
      <c r="AJ21" s="40"/>
      <c r="AK21" s="40"/>
      <c r="AL21" s="40"/>
      <c r="AM21" s="40"/>
      <c r="AN21" s="40"/>
      <c r="AO21" s="40"/>
      <c r="AP21" s="40"/>
      <c r="AQ21" s="40"/>
      <c r="AR21" s="40"/>
      <c r="AS21" s="40"/>
      <c r="AT21" s="40"/>
      <c r="AU21" s="40"/>
      <c r="AV21" s="40"/>
      <c r="AW21" s="40"/>
      <c r="AX21" s="40"/>
      <c r="AY21" s="40"/>
      <c r="AZ21" s="40"/>
      <c r="BA21" s="40"/>
      <c r="BB21" s="40"/>
      <c r="BC21" s="40"/>
      <c r="BD21" s="40"/>
      <c r="BE21" s="40"/>
      <c r="BF21" s="40"/>
      <c r="BG21" s="40"/>
      <c r="BH21" s="40"/>
      <c r="BI21" s="40"/>
      <c r="BJ21" s="40"/>
      <c r="BK21" s="41" t="str">
        <f>IFERROR(IF(C21=1,VLOOKUP(C$2,활동내용입력!$B$4:$F$63,5,FALSE),""),"")</f>
        <v/>
      </c>
      <c r="BL21" s="41" t="str">
        <f>IFERROR(IF(D21=1,VLOOKUP(D$2,활동내용입력!$B$4:$F$63,5,FALSE),""),"")</f>
        <v/>
      </c>
      <c r="BM21" s="41" t="str">
        <f>IFERROR(IF(E21=1,VLOOKUP(E$2,활동내용입력!$B$4:$F$63,5,FALSE),""),"")</f>
        <v>학급 서기(2019.03.02.-2020.02.28.)로서 책임감을 가지고 맡은 임무를 성실하게 수행함.</v>
      </c>
      <c r="BN21" s="41" t="str">
        <f>IFERROR(IF(F21=1,VLOOKUP(F$2,활동내용입력!$B$4:$F$63,5,FALSE),""),"")</f>
        <v/>
      </c>
      <c r="BO21" s="41" t="str">
        <f>IFERROR(IF(G21=1,VLOOKUP(G$2,활동내용입력!$B$4:$F$63,5,FALSE),""),"")</f>
        <v>생명존중교육(2019.03.08., 2019.03.29., 2019.09.06., 2019.11.15.)을 통해 청소년들의 자살에 대한 심리적 상태를 이해하고 힘들어 하는 주변 친구들에게 따뜻한 배려와 도움이 절실히 필요함을 느꼈으며 생명의 소중함을 다시 한번 깨닫는 기회를 가지게 됨.</v>
      </c>
      <c r="BP21" s="41" t="str">
        <f>IFERROR(IF(H21=1,VLOOKUP(H$2,활동내용입력!$B$4:$F$63,5,FALSE),""),"")</f>
        <v>안전교육(2019.03.15., 2019.06.14., 2019.07.19., 2019.08.30., 2019.12.27., 2020.01.03., 2020.01.10.)을 통해 화재, 물놀이, 빙상 등 일상생활에서 일어날 수 있는 안전사고에 대한 예방법과 사고 시 대처방법을 확인하고 실천할 수 있게 됨.</v>
      </c>
      <c r="BQ21" s="41" t="str">
        <f>IFERROR(IF(I21=1,VLOOKUP(I$2,활동내용입력!$B$4:$F$63,5,FALSE),""),"")</f>
        <v>학교폭력 예방교육(2019.03.15., 2019.05.31., 2019.10.18., 2019.12.13., 2020.01.03.)을 통해 학교폭력의 심각성을 알게 되었으며 자신의 인권이 소중한 것처럼 타인의 인권도 소중함을 깨닫고 실천하는 계기가 됨.</v>
      </c>
      <c r="BR21" s="41" t="str">
        <f>IFERROR(IF(J21=1,VLOOKUP(J$2,활동내용입력!$B$4:$F$63,5,FALSE),""),"")</f>
        <v>학급회의(2019.03.15, 2019.03.29., 2019.07.12.)를 통해 학급의 문제들을 해결하기위한 의사결정과정에 적극적으로 참여함.</v>
      </c>
      <c r="BS21" s="41" t="str">
        <f>IFERROR(IF(K21=1,VLOOKUP(K$2,활동내용입력!$B$4:$F$63,5,FALSE),""),"")</f>
        <v xml:space="preserve">다문화교육(2019.03.22., 2019.09.20.)을 통해 우리 나라와 다른 나라의 문화를 함께 나눔으로써 지구촌의 평화와 번영을 함께 누릴 수 있다는 사실을 새삼 깨달은 계기가 됨. </v>
      </c>
      <c r="BT21" s="41" t="str">
        <f>IFERROR(IF(L21=1,VLOOKUP(L$2,활동내용입력!$B$4:$F$63,5,FALSE),""),"")</f>
        <v>흡연, 음주 등 약물 오남용 예방교육(2019.04.05., 2019.05.10, 2019.07.05., 2019.07.12., 2019.07.19., 2019.11.08., 2019.12.06., 2020.01.03.)을 통해 흡연과 음주 등 약물 오남용의 폐해를 인식하고 자신의 건강을 위해 흡연과 음주와 같은 행위를 하지 않겠다고 다짐함.</v>
      </c>
      <c r="BU21" s="41" t="str">
        <f>IFERROR(IF(M21=1,VLOOKUP(M$2,활동내용입력!$B$4:$F$63,5,FALSE),""),"")</f>
        <v>장애인이해교육(2019.04.19., 2019.11.29.)을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v>
      </c>
      <c r="BV21" s="41" t="str">
        <f>IFERROR(IF(N21=1,VLOOKUP(N$2,활동내용입력!$B$4:$F$63,5,FALSE),""),"")</f>
        <v>안전교육(2019.05.10., 2019.05.24., 2019.07.22.)을 통해 교통안전사고를 예방할 수 있는 수칙에 대한 인식을 일깨우고 실천하고자 하는 마음을 다지게 됨.</v>
      </c>
      <c r="BW21" s="41" t="str">
        <f>IFERROR(IF(O21=1,VLOOKUP(O$2,활동내용입력!$B$4:$F$63,5,FALSE),""),"")</f>
        <v>518 광주민주화운동 교육(2019.05.17.)을 통해 민주화 운동이 일어나게 된 배경을 이해하고, 독재에 맞서 싸우다 억울하게 죽어간 수많은 시민들을 추모하는 시간을 가짐.</v>
      </c>
      <c r="BX21" s="41" t="str">
        <f>IFERROR(IF(P21=1,VLOOKUP(P$2,활동내용입력!$B$4:$F$63,5,FALSE),""),"")</f>
        <v>자기주도진로체험활동(2019.06.19.-2019.06.21.)에서 계획 수립부터 진행과정까지 적극적으로 참여함.</v>
      </c>
      <c r="BY21" s="41" t="str">
        <f>IFERROR(IF(Q21=1,VLOOKUP(Q$2,활동내용입력!$B$4:$F$63,5,FALSE),""),"")</f>
        <v>성폭력예방교육(2019.06.28., 2019.10.25., 2019.12.20.)을 통해 이성교제 시 지켜야 할 기본수칙을 배우고 성희롱 및 성폭력의 예방방법과 성적자기결정권의 중요성을 인식하게 됨.</v>
      </c>
      <c r="BZ21" s="41" t="str">
        <f>IFERROR(IF(R21=1,VLOOKUP(R$2,활동내용입력!$B$4:$F$63,5,FALSE),""),"")</f>
        <v>인권교육(2019.12.24.)에 참여하여 인권을 침해 받은 사람들에 대해 마음 아파하고 함께 해결해 나가려 하는 마음을 갖게 됨.</v>
      </c>
      <c r="CA21" s="41" t="str">
        <f>IFERROR(IF(S21=1,VLOOKUP(S$2,활동내용입력!$B$4:$F$63,5,FALSE),""),"")</f>
        <v/>
      </c>
      <c r="CB21" s="41" t="str">
        <f>IFERROR(IF(T21=1,VLOOKUP(T$2,활동내용입력!$B$4:$F$63,5,FALSE),""),"")</f>
        <v/>
      </c>
      <c r="CC21" s="41" t="str">
        <f>IFERROR(IF(U21=1,VLOOKUP(U$2,활동내용입력!$B$4:$F$63,5,FALSE),""),"")</f>
        <v/>
      </c>
      <c r="CD21" s="41" t="str">
        <f>IFERROR(IF(V21=1,VLOOKUP(V$2,활동내용입력!$B$4:$F$63,5,FALSE),""),"")</f>
        <v/>
      </c>
      <c r="CE21" s="41" t="str">
        <f>IFERROR(IF(W21=1,VLOOKUP(W$2,활동내용입력!$B$4:$F$63,5,FALSE),""),"")</f>
        <v/>
      </c>
      <c r="CF21" s="41" t="str">
        <f>IFERROR(IF(X21=1,VLOOKUP(X$2,활동내용입력!$B$4:$F$63,5,FALSE),""),"")</f>
        <v/>
      </c>
      <c r="CG21" s="41" t="str">
        <f>IFERROR(IF(Y21=1,VLOOKUP(Y$2,활동내용입력!$B$4:$F$63,5,FALSE),""),"")</f>
        <v/>
      </c>
      <c r="CH21" s="41" t="str">
        <f>IFERROR(IF(Z21=1,VLOOKUP(Z$2,활동내용입력!$B$4:$F$63,5,FALSE),""),"")</f>
        <v/>
      </c>
      <c r="CI21" s="41" t="str">
        <f>IFERROR(IF(AA21=1,VLOOKUP(AA$2,활동내용입력!$B$4:$F$63,5,FALSE),""),"")</f>
        <v/>
      </c>
      <c r="CJ21" s="41" t="str">
        <f>IFERROR(IF(AB21=1,VLOOKUP(AB$2,활동내용입력!$B$4:$F$63,5,FALSE),""),"")</f>
        <v/>
      </c>
      <c r="CK21" s="41" t="str">
        <f>IFERROR(IF(AC21=1,VLOOKUP(AC$2,활동내용입력!$B$4:$F$63,5,FALSE),""),"")</f>
        <v/>
      </c>
      <c r="CL21" s="41" t="str">
        <f>IFERROR(IF(AD21=1,VLOOKUP(AD$2,활동내용입력!$B$4:$F$63,5,FALSE),""),"")</f>
        <v/>
      </c>
      <c r="CM21" s="41" t="str">
        <f>IFERROR(IF(AE21=1,VLOOKUP(AE$2,활동내용입력!$B$4:$F$63,5,FALSE),""),"")</f>
        <v/>
      </c>
      <c r="CN21" s="41" t="str">
        <f>IFERROR(IF(AF21=1,VLOOKUP(AF$2,활동내용입력!$B$4:$F$63,5,FALSE),""),"")</f>
        <v/>
      </c>
      <c r="CO21" s="41" t="str">
        <f>IFERROR(IF(AG21=1,VLOOKUP(AG$2,활동내용입력!$B$4:$F$63,5,FALSE),""),"")</f>
        <v/>
      </c>
      <c r="CP21" s="41" t="str">
        <f>IFERROR(IF(AH21=1,VLOOKUP(AH$2,활동내용입력!$B$4:$F$63,5,FALSE),""),"")</f>
        <v/>
      </c>
      <c r="CQ21" s="41" t="str">
        <f>IFERROR(IF(AI21=1,VLOOKUP(AI$2,활동내용입력!$B$4:$F$63,5,FALSE),""),"")</f>
        <v/>
      </c>
      <c r="CR21" s="41" t="str">
        <f>IFERROR(IF(AJ21=1,VLOOKUP(AJ$2,활동내용입력!$B$4:$F$63,5,FALSE),""),"")</f>
        <v/>
      </c>
      <c r="CS21" s="41" t="str">
        <f>IFERROR(IF(AK21=1,VLOOKUP(AK$2,활동내용입력!$B$4:$F$63,5,FALSE),""),"")</f>
        <v/>
      </c>
      <c r="CT21" s="41" t="str">
        <f>IFERROR(IF(AL21=1,VLOOKUP(AL$2,활동내용입력!$B$4:$F$63,5,FALSE),""),"")</f>
        <v/>
      </c>
      <c r="CU21" s="41" t="str">
        <f>IFERROR(IF(AM21=1,VLOOKUP(AM$2,활동내용입력!$B$4:$F$63,5,FALSE),""),"")</f>
        <v/>
      </c>
      <c r="CV21" s="41" t="str">
        <f>IFERROR(IF(AN21=1,VLOOKUP(AN$2,활동내용입력!$B$4:$F$63,5,FALSE),""),"")</f>
        <v/>
      </c>
      <c r="CW21" s="41" t="str">
        <f>IFERROR(IF(AO21=1,VLOOKUP(AO$2,활동내용입력!$B$4:$F$63,5,FALSE),""),"")</f>
        <v/>
      </c>
      <c r="CX21" s="41" t="str">
        <f>IFERROR(IF(AP21=1,VLOOKUP(AP$2,활동내용입력!$B$4:$F$63,5,FALSE),""),"")</f>
        <v/>
      </c>
      <c r="CY21" s="41" t="str">
        <f>IFERROR(IF(AQ21=1,VLOOKUP(AQ$2,활동내용입력!$B$4:$F$63,5,FALSE),""),"")</f>
        <v/>
      </c>
      <c r="CZ21" s="41" t="str">
        <f>IFERROR(IF(AR21=1,VLOOKUP(AR$2,활동내용입력!$B$4:$F$63,5,FALSE),""),"")</f>
        <v/>
      </c>
      <c r="DA21" s="41" t="str">
        <f>IFERROR(IF(AS21=1,VLOOKUP(AS$2,활동내용입력!$B$4:$F$63,5,FALSE),""),"")</f>
        <v/>
      </c>
      <c r="DB21" s="41" t="str">
        <f>IFERROR(IF(AT21=1,VLOOKUP(AT$2,활동내용입력!$B$4:$F$63,5,FALSE),""),"")</f>
        <v/>
      </c>
      <c r="DC21" s="41" t="str">
        <f>IFERROR(IF(AU21=1,VLOOKUP(AU$2,활동내용입력!$B$4:$F$63,5,FALSE),""),"")</f>
        <v/>
      </c>
      <c r="DD21" s="41" t="str">
        <f>IFERROR(IF(AV21=1,VLOOKUP(AV$2,활동내용입력!$B$4:$F$63,5,FALSE),""),"")</f>
        <v/>
      </c>
      <c r="DE21" s="41" t="str">
        <f>IFERROR(IF(AW21=1,VLOOKUP(AW$2,활동내용입력!$B$4:$F$63,5,FALSE),""),"")</f>
        <v/>
      </c>
      <c r="DF21" s="41" t="str">
        <f>IFERROR(IF(AX21=1,VLOOKUP(AX$2,활동내용입력!$B$4:$F$63,5,FALSE),""),"")</f>
        <v/>
      </c>
      <c r="DG21" s="41" t="str">
        <f>IFERROR(IF(AY21=1,VLOOKUP(AY$2,활동내용입력!$B$4:$F$63,5,FALSE),""),"")</f>
        <v/>
      </c>
      <c r="DH21" s="41" t="str">
        <f>IFERROR(IF(AZ21=1,VLOOKUP(AZ$2,활동내용입력!$B$4:$F$63,5,FALSE),""),"")</f>
        <v/>
      </c>
      <c r="DI21" s="41" t="str">
        <f>IFERROR(IF(BA21=1,VLOOKUP(BA$2,활동내용입력!$B$4:$F$63,5,FALSE),""),"")</f>
        <v/>
      </c>
      <c r="DJ21" s="41" t="str">
        <f>IFERROR(IF(BB21=1,VLOOKUP(BB$2,활동내용입력!$B$4:$F$63,5,FALSE),""),"")</f>
        <v/>
      </c>
      <c r="DK21" s="41" t="str">
        <f>IFERROR(IF(BC21=1,VLOOKUP(BC$2,활동내용입력!$B$4:$F$63,5,FALSE),""),"")</f>
        <v/>
      </c>
      <c r="DL21" s="41" t="str">
        <f>IFERROR(IF(BD21=1,VLOOKUP(BD$2,활동내용입력!$B$4:$F$63,5,FALSE),""),"")</f>
        <v/>
      </c>
      <c r="DM21" s="41" t="str">
        <f>IFERROR(IF(BE21=1,VLOOKUP(BE$2,활동내용입력!$B$4:$F$63,5,FALSE),""),"")</f>
        <v/>
      </c>
      <c r="DN21" s="41" t="str">
        <f>IFERROR(IF(BF21=1,VLOOKUP(BF$2,활동내용입력!$B$4:$F$63,5,FALSE),""),"")</f>
        <v/>
      </c>
      <c r="DO21" s="41" t="str">
        <f>IFERROR(IF(BG21=1,VLOOKUP(BG$2,활동내용입력!$B$4:$F$63,5,FALSE),""),"")</f>
        <v/>
      </c>
      <c r="DP21" s="41" t="str">
        <f>IFERROR(IF(BH21=1,VLOOKUP(BH$2,활동내용입력!$B$4:$F$63,5,FALSE),""),"")</f>
        <v/>
      </c>
      <c r="DQ21" s="41" t="str">
        <f>IFERROR(IF(BI21=1,VLOOKUP(BI$2,활동내용입력!$B$4:$F$63,5,FALSE),""),"")</f>
        <v/>
      </c>
      <c r="DR21" s="41" t="str">
        <f>IFERROR(IF(BJ21=1,VLOOKUP(BJ$2,활동내용입력!$B$4:$F$63,5,FALSE),""),"")</f>
        <v/>
      </c>
      <c r="DS21" s="41" t="str">
        <f t="shared" si="7"/>
        <v xml:space="preserve">학급 서기(2019.03.02.-2020.02.28.)로서 책임감을 가지고 맡은 임무를 성실하게 수행함.
생명존중교육(2019.03.08., 2019.03.29., 2019.09.06., 2019.11.15.)을 통해 청소년들의 자살에 대한 심리적 상태를 이해하고 힘들어 하는 주변 친구들에게 따뜻한 배려와 도움이 절실히 필요함을 느꼈으며 생명의 소중함을 다시 한번 깨닫는 기회를 가지게 됨.
안전교육(2019.03.15., 2019.06.14., 2019.07.19., 2019.08.30., 2019.12.27., 2020.01.03., 2020.01.10.)을 통해 화재, 물놀이, 빙상 등 일상생활에서 일어날 수 있는 안전사고에 대한 예방법과 사고 시 대처방법을 확인하고 실천할 수 있게 됨.
학교폭력 예방교육(2019.03.15., 2019.05.31., 2019.10.18., 2019.12.13., 2020.01.03.)을 통해 학교폭력의 심각성을 알게 되었으며 자신의 인권이 소중한 것처럼 타인의 인권도 소중함을 깨닫고 실천하는 계기가 됨.
학급회의(2019.03.15, 2019.03.29., 2019.07.12.)를 통해 학급의 문제들을 해결하기위한 의사결정과정에 적극적으로 참여함.
다문화교육(2019.03.22., 2019.09.20.)을 통해 우리 나라와 다른 나라의 문화를 함께 나눔으로써 지구촌의 평화와 번영을 함께 누릴 수 있다는 사실을 새삼 깨달은 계기가 됨. 
흡연, 음주 등 약물 오남용 예방교육(2019.04.05., 2019.05.10, 2019.07.05., 2019.07.12., 2019.07.19., 2019.11.08., 2019.12.06., 2020.01.03.)을 통해 흡연과 음주 등 약물 오남용의 폐해를 인식하고 자신의 건강을 위해 흡연과 음주와 같은 행위를 하지 않겠다고 다짐함.
장애인이해교육(2019.04.19., 2019.11.29.)을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
안전교육(2019.05.10., 2019.05.24., 2019.07.22.)을 통해 교통안전사고를 예방할 수 있는 수칙에 대한 인식을 일깨우고 실천하고자 하는 마음을 다지게 됨.
518 광주민주화운동 교육(2019.05.17.)을 통해 민주화 운동이 일어나게 된 배경을 이해하고, 독재에 맞서 싸우다 억울하게 죽어간 수많은 시민들을 추모하는 시간을 가짐.
자기주도진로체험활동(2019.06.19.-2019.06.21.)에서 계획 수립부터 진행과정까지 적극적으로 참여함.
성폭력예방교육(2019.06.28., 2019.10.25., 2019.12.20.)을 통해 이성교제 시 지켜야 할 기본수칙을 배우고 성희롱 및 성폭력의 예방방법과 성적자기결정권의 중요성을 인식하게 됨.
인권교육(2019.12.24.)에 참여하여 인권을 침해 받은 사람들에 대해 마음 아파하고 함께 해결해 나가려 하는 마음을 갖게 됨.
</v>
      </c>
      <c r="DT21" s="42">
        <f t="shared" si="6"/>
        <v>13</v>
      </c>
      <c r="DU21" s="34"/>
    </row>
    <row r="22" spans="1:125" x14ac:dyDescent="0.3">
      <c r="A22" s="58">
        <v>18</v>
      </c>
      <c r="B22" s="57" t="s">
        <v>259</v>
      </c>
      <c r="C22" s="40"/>
      <c r="D22" s="40">
        <v>1</v>
      </c>
      <c r="E22" s="40"/>
      <c r="F22" s="40"/>
      <c r="G22" s="40">
        <v>1</v>
      </c>
      <c r="H22" s="40">
        <v>1</v>
      </c>
      <c r="I22" s="40">
        <v>1</v>
      </c>
      <c r="J22" s="40">
        <v>1</v>
      </c>
      <c r="K22" s="40">
        <v>1</v>
      </c>
      <c r="L22" s="40">
        <v>1</v>
      </c>
      <c r="M22" s="40">
        <v>1</v>
      </c>
      <c r="N22" s="40">
        <v>1</v>
      </c>
      <c r="O22" s="40">
        <v>1</v>
      </c>
      <c r="P22" s="40">
        <v>1</v>
      </c>
      <c r="Q22" s="40">
        <v>1</v>
      </c>
      <c r="R22" s="40">
        <v>1</v>
      </c>
      <c r="S22" s="40"/>
      <c r="T22" s="40"/>
      <c r="U22" s="40"/>
      <c r="V22" s="40"/>
      <c r="W22" s="40"/>
      <c r="X22" s="40"/>
      <c r="Y22" s="40"/>
      <c r="Z22" s="40"/>
      <c r="AA22" s="40"/>
      <c r="AB22" s="40"/>
      <c r="AC22" s="40"/>
      <c r="AD22" s="40"/>
      <c r="AE22" s="40"/>
      <c r="AF22" s="40"/>
      <c r="AG22" s="40"/>
      <c r="AH22" s="40"/>
      <c r="AI22" s="40"/>
      <c r="AJ22" s="40"/>
      <c r="AK22" s="40"/>
      <c r="AL22" s="40"/>
      <c r="AM22" s="40"/>
      <c r="AN22" s="40"/>
      <c r="AO22" s="40"/>
      <c r="AP22" s="40"/>
      <c r="AQ22" s="40"/>
      <c r="AR22" s="40"/>
      <c r="AS22" s="40"/>
      <c r="AT22" s="40"/>
      <c r="AU22" s="40"/>
      <c r="AV22" s="40"/>
      <c r="AW22" s="40"/>
      <c r="AX22" s="40"/>
      <c r="AY22" s="40"/>
      <c r="AZ22" s="40"/>
      <c r="BA22" s="40"/>
      <c r="BB22" s="40"/>
      <c r="BC22" s="40"/>
      <c r="BD22" s="40"/>
      <c r="BE22" s="40"/>
      <c r="BF22" s="40"/>
      <c r="BG22" s="40"/>
      <c r="BH22" s="40"/>
      <c r="BI22" s="40"/>
      <c r="BJ22" s="40"/>
      <c r="BK22" s="41" t="str">
        <f>IFERROR(IF(C22=1,VLOOKUP(C$2,활동내용입력!$B$4:$F$63,5,FALSE),""),"")</f>
        <v/>
      </c>
      <c r="BL22" s="41" t="str">
        <f>IFERROR(IF(D22=1,VLOOKUP(D$2,활동내용입력!$B$4:$F$63,5,FALSE),""),"")</f>
        <v>학급 부반장(2019.03.02.-2020.02.28.)으로 책임감과 봉사정신을 가지고 학급의 문제를 해결하고 학급 전체의 인화를 위해 노력함.</v>
      </c>
      <c r="BM22" s="41" t="str">
        <f>IFERROR(IF(E22=1,VLOOKUP(E$2,활동내용입력!$B$4:$F$63,5,FALSE),""),"")</f>
        <v/>
      </c>
      <c r="BN22" s="41" t="str">
        <f>IFERROR(IF(F22=1,VLOOKUP(F$2,활동내용입력!$B$4:$F$63,5,FALSE),""),"")</f>
        <v/>
      </c>
      <c r="BO22" s="41" t="str">
        <f>IFERROR(IF(G22=1,VLOOKUP(G$2,활동내용입력!$B$4:$F$63,5,FALSE),""),"")</f>
        <v>생명존중교육(2019.03.08., 2019.03.29., 2019.09.06., 2019.11.15.)을 통해 청소년들의 자살에 대한 심리적 상태를 이해하고 힘들어 하는 주변 친구들에게 따뜻한 배려와 도움이 절실히 필요함을 느꼈으며 생명의 소중함을 다시 한번 깨닫는 기회를 가지게 됨.</v>
      </c>
      <c r="BP22" s="41" t="str">
        <f>IFERROR(IF(H22=1,VLOOKUP(H$2,활동내용입력!$B$4:$F$63,5,FALSE),""),"")</f>
        <v>안전교육(2019.03.15., 2019.06.14., 2019.07.19., 2019.08.30., 2019.12.27., 2020.01.03., 2020.01.10.)을 통해 화재, 물놀이, 빙상 등 일상생활에서 일어날 수 있는 안전사고에 대한 예방법과 사고 시 대처방법을 확인하고 실천할 수 있게 됨.</v>
      </c>
      <c r="BQ22" s="41" t="str">
        <f>IFERROR(IF(I22=1,VLOOKUP(I$2,활동내용입력!$B$4:$F$63,5,FALSE),""),"")</f>
        <v>학교폭력 예방교육(2019.03.15., 2019.05.31., 2019.10.18., 2019.12.13., 2020.01.03.)을 통해 학교폭력의 심각성을 알게 되었으며 자신의 인권이 소중한 것처럼 타인의 인권도 소중함을 깨닫고 실천하는 계기가 됨.</v>
      </c>
      <c r="BR22" s="41" t="str">
        <f>IFERROR(IF(J22=1,VLOOKUP(J$2,활동내용입력!$B$4:$F$63,5,FALSE),""),"")</f>
        <v>학급회의(2019.03.15, 2019.03.29., 2019.07.12.)를 통해 학급의 문제들을 해결하기위한 의사결정과정에 적극적으로 참여함.</v>
      </c>
      <c r="BS22" s="41" t="str">
        <f>IFERROR(IF(K22=1,VLOOKUP(K$2,활동내용입력!$B$4:$F$63,5,FALSE),""),"")</f>
        <v xml:space="preserve">다문화교육(2019.03.22., 2019.09.20.)을 통해 우리 나라와 다른 나라의 문화를 함께 나눔으로써 지구촌의 평화와 번영을 함께 누릴 수 있다는 사실을 새삼 깨달은 계기가 됨. </v>
      </c>
      <c r="BT22" s="41" t="str">
        <f>IFERROR(IF(L22=1,VLOOKUP(L$2,활동내용입력!$B$4:$F$63,5,FALSE),""),"")</f>
        <v>흡연, 음주 등 약물 오남용 예방교육(2019.04.05., 2019.05.10, 2019.07.05., 2019.07.12., 2019.07.19., 2019.11.08., 2019.12.06., 2020.01.03.)을 통해 흡연과 음주 등 약물 오남용의 폐해를 인식하고 자신의 건강을 위해 흡연과 음주와 같은 행위를 하지 않겠다고 다짐함.</v>
      </c>
      <c r="BU22" s="41" t="str">
        <f>IFERROR(IF(M22=1,VLOOKUP(M$2,활동내용입력!$B$4:$F$63,5,FALSE),""),"")</f>
        <v>장애인이해교육(2019.04.19., 2019.11.29.)을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v>
      </c>
      <c r="BV22" s="41" t="str">
        <f>IFERROR(IF(N22=1,VLOOKUP(N$2,활동내용입력!$B$4:$F$63,5,FALSE),""),"")</f>
        <v>안전교육(2019.05.10., 2019.05.24., 2019.07.22.)을 통해 교통안전사고를 예방할 수 있는 수칙에 대한 인식을 일깨우고 실천하고자 하는 마음을 다지게 됨.</v>
      </c>
      <c r="BW22" s="41" t="str">
        <f>IFERROR(IF(O22=1,VLOOKUP(O$2,활동내용입력!$B$4:$F$63,5,FALSE),""),"")</f>
        <v>518 광주민주화운동 교육(2019.05.17.)을 통해 민주화 운동이 일어나게 된 배경을 이해하고, 독재에 맞서 싸우다 억울하게 죽어간 수많은 시민들을 추모하는 시간을 가짐.</v>
      </c>
      <c r="BX22" s="41" t="str">
        <f>IFERROR(IF(P22=1,VLOOKUP(P$2,활동내용입력!$B$4:$F$63,5,FALSE),""),"")</f>
        <v>자기주도진로체험활동(2019.06.19.-2019.06.21.)에서 계획 수립부터 진행과정까지 적극적으로 참여함.</v>
      </c>
      <c r="BY22" s="41" t="str">
        <f>IFERROR(IF(Q22=1,VLOOKUP(Q$2,활동내용입력!$B$4:$F$63,5,FALSE),""),"")</f>
        <v>성폭력예방교육(2019.06.28., 2019.10.25., 2019.12.20.)을 통해 이성교제 시 지켜야 할 기본수칙을 배우고 성희롱 및 성폭력의 예방방법과 성적자기결정권의 중요성을 인식하게 됨.</v>
      </c>
      <c r="BZ22" s="41" t="str">
        <f>IFERROR(IF(R22=1,VLOOKUP(R$2,활동내용입력!$B$4:$F$63,5,FALSE),""),"")</f>
        <v>인권교육(2019.12.24.)에 참여하여 인권을 침해 받은 사람들에 대해 마음 아파하고 함께 해결해 나가려 하는 마음을 갖게 됨.</v>
      </c>
      <c r="CA22" s="41" t="str">
        <f>IFERROR(IF(S22=1,VLOOKUP(S$2,활동내용입력!$B$4:$F$63,5,FALSE),""),"")</f>
        <v/>
      </c>
      <c r="CB22" s="41" t="str">
        <f>IFERROR(IF(T22=1,VLOOKUP(T$2,활동내용입력!$B$4:$F$63,5,FALSE),""),"")</f>
        <v/>
      </c>
      <c r="CC22" s="41" t="str">
        <f>IFERROR(IF(U22=1,VLOOKUP(U$2,활동내용입력!$B$4:$F$63,5,FALSE),""),"")</f>
        <v/>
      </c>
      <c r="CD22" s="41" t="str">
        <f>IFERROR(IF(V22=1,VLOOKUP(V$2,활동내용입력!$B$4:$F$63,5,FALSE),""),"")</f>
        <v/>
      </c>
      <c r="CE22" s="41" t="str">
        <f>IFERROR(IF(W22=1,VLOOKUP(W$2,활동내용입력!$B$4:$F$63,5,FALSE),""),"")</f>
        <v/>
      </c>
      <c r="CF22" s="41" t="str">
        <f>IFERROR(IF(X22=1,VLOOKUP(X$2,활동내용입력!$B$4:$F$63,5,FALSE),""),"")</f>
        <v/>
      </c>
      <c r="CG22" s="41" t="str">
        <f>IFERROR(IF(Y22=1,VLOOKUP(Y$2,활동내용입력!$B$4:$F$63,5,FALSE),""),"")</f>
        <v/>
      </c>
      <c r="CH22" s="41" t="str">
        <f>IFERROR(IF(Z22=1,VLOOKUP(Z$2,활동내용입력!$B$4:$F$63,5,FALSE),""),"")</f>
        <v/>
      </c>
      <c r="CI22" s="41" t="str">
        <f>IFERROR(IF(AA22=1,VLOOKUP(AA$2,활동내용입력!$B$4:$F$63,5,FALSE),""),"")</f>
        <v/>
      </c>
      <c r="CJ22" s="41" t="str">
        <f>IFERROR(IF(AB22=1,VLOOKUP(AB$2,활동내용입력!$B$4:$F$63,5,FALSE),""),"")</f>
        <v/>
      </c>
      <c r="CK22" s="41" t="str">
        <f>IFERROR(IF(AC22=1,VLOOKUP(AC$2,활동내용입력!$B$4:$F$63,5,FALSE),""),"")</f>
        <v/>
      </c>
      <c r="CL22" s="41" t="str">
        <f>IFERROR(IF(AD22=1,VLOOKUP(AD$2,활동내용입력!$B$4:$F$63,5,FALSE),""),"")</f>
        <v/>
      </c>
      <c r="CM22" s="41" t="str">
        <f>IFERROR(IF(AE22=1,VLOOKUP(AE$2,활동내용입력!$B$4:$F$63,5,FALSE),""),"")</f>
        <v/>
      </c>
      <c r="CN22" s="41" t="str">
        <f>IFERROR(IF(AF22=1,VLOOKUP(AF$2,활동내용입력!$B$4:$F$63,5,FALSE),""),"")</f>
        <v/>
      </c>
      <c r="CO22" s="41" t="str">
        <f>IFERROR(IF(AG22=1,VLOOKUP(AG$2,활동내용입력!$B$4:$F$63,5,FALSE),""),"")</f>
        <v/>
      </c>
      <c r="CP22" s="41" t="str">
        <f>IFERROR(IF(AH22=1,VLOOKUP(AH$2,활동내용입력!$B$4:$F$63,5,FALSE),""),"")</f>
        <v/>
      </c>
      <c r="CQ22" s="41" t="str">
        <f>IFERROR(IF(AI22=1,VLOOKUP(AI$2,활동내용입력!$B$4:$F$63,5,FALSE),""),"")</f>
        <v/>
      </c>
      <c r="CR22" s="41" t="str">
        <f>IFERROR(IF(AJ22=1,VLOOKUP(AJ$2,활동내용입력!$B$4:$F$63,5,FALSE),""),"")</f>
        <v/>
      </c>
      <c r="CS22" s="41" t="str">
        <f>IFERROR(IF(AK22=1,VLOOKUP(AK$2,활동내용입력!$B$4:$F$63,5,FALSE),""),"")</f>
        <v/>
      </c>
      <c r="CT22" s="41" t="str">
        <f>IFERROR(IF(AL22=1,VLOOKUP(AL$2,활동내용입력!$B$4:$F$63,5,FALSE),""),"")</f>
        <v/>
      </c>
      <c r="CU22" s="41" t="str">
        <f>IFERROR(IF(AM22=1,VLOOKUP(AM$2,활동내용입력!$B$4:$F$63,5,FALSE),""),"")</f>
        <v/>
      </c>
      <c r="CV22" s="41" t="str">
        <f>IFERROR(IF(AN22=1,VLOOKUP(AN$2,활동내용입력!$B$4:$F$63,5,FALSE),""),"")</f>
        <v/>
      </c>
      <c r="CW22" s="41" t="str">
        <f>IFERROR(IF(AO22=1,VLOOKUP(AO$2,활동내용입력!$B$4:$F$63,5,FALSE),""),"")</f>
        <v/>
      </c>
      <c r="CX22" s="41" t="str">
        <f>IFERROR(IF(AP22=1,VLOOKUP(AP$2,활동내용입력!$B$4:$F$63,5,FALSE),""),"")</f>
        <v/>
      </c>
      <c r="CY22" s="41" t="str">
        <f>IFERROR(IF(AQ22=1,VLOOKUP(AQ$2,활동내용입력!$B$4:$F$63,5,FALSE),""),"")</f>
        <v/>
      </c>
      <c r="CZ22" s="41" t="str">
        <f>IFERROR(IF(AR22=1,VLOOKUP(AR$2,활동내용입력!$B$4:$F$63,5,FALSE),""),"")</f>
        <v/>
      </c>
      <c r="DA22" s="41" t="str">
        <f>IFERROR(IF(AS22=1,VLOOKUP(AS$2,활동내용입력!$B$4:$F$63,5,FALSE),""),"")</f>
        <v/>
      </c>
      <c r="DB22" s="41" t="str">
        <f>IFERROR(IF(AT22=1,VLOOKUP(AT$2,활동내용입력!$B$4:$F$63,5,FALSE),""),"")</f>
        <v/>
      </c>
      <c r="DC22" s="41" t="str">
        <f>IFERROR(IF(AU22=1,VLOOKUP(AU$2,활동내용입력!$B$4:$F$63,5,FALSE),""),"")</f>
        <v/>
      </c>
      <c r="DD22" s="41" t="str">
        <f>IFERROR(IF(AV22=1,VLOOKUP(AV$2,활동내용입력!$B$4:$F$63,5,FALSE),""),"")</f>
        <v/>
      </c>
      <c r="DE22" s="41" t="str">
        <f>IFERROR(IF(AW22=1,VLOOKUP(AW$2,활동내용입력!$B$4:$F$63,5,FALSE),""),"")</f>
        <v/>
      </c>
      <c r="DF22" s="41" t="str">
        <f>IFERROR(IF(AX22=1,VLOOKUP(AX$2,활동내용입력!$B$4:$F$63,5,FALSE),""),"")</f>
        <v/>
      </c>
      <c r="DG22" s="41" t="str">
        <f>IFERROR(IF(AY22=1,VLOOKUP(AY$2,활동내용입력!$B$4:$F$63,5,FALSE),""),"")</f>
        <v/>
      </c>
      <c r="DH22" s="41" t="str">
        <f>IFERROR(IF(AZ22=1,VLOOKUP(AZ$2,활동내용입력!$B$4:$F$63,5,FALSE),""),"")</f>
        <v/>
      </c>
      <c r="DI22" s="41" t="str">
        <f>IFERROR(IF(BA22=1,VLOOKUP(BA$2,활동내용입력!$B$4:$F$63,5,FALSE),""),"")</f>
        <v/>
      </c>
      <c r="DJ22" s="41" t="str">
        <f>IFERROR(IF(BB22=1,VLOOKUP(BB$2,활동내용입력!$B$4:$F$63,5,FALSE),""),"")</f>
        <v/>
      </c>
      <c r="DK22" s="41" t="str">
        <f>IFERROR(IF(BC22=1,VLOOKUP(BC$2,활동내용입력!$B$4:$F$63,5,FALSE),""),"")</f>
        <v/>
      </c>
      <c r="DL22" s="41" t="str">
        <f>IFERROR(IF(BD22=1,VLOOKUP(BD$2,활동내용입력!$B$4:$F$63,5,FALSE),""),"")</f>
        <v/>
      </c>
      <c r="DM22" s="41" t="str">
        <f>IFERROR(IF(BE22=1,VLOOKUP(BE$2,활동내용입력!$B$4:$F$63,5,FALSE),""),"")</f>
        <v/>
      </c>
      <c r="DN22" s="41" t="str">
        <f>IFERROR(IF(BF22=1,VLOOKUP(BF$2,활동내용입력!$B$4:$F$63,5,FALSE),""),"")</f>
        <v/>
      </c>
      <c r="DO22" s="41" t="str">
        <f>IFERROR(IF(BG22=1,VLOOKUP(BG$2,활동내용입력!$B$4:$F$63,5,FALSE),""),"")</f>
        <v/>
      </c>
      <c r="DP22" s="41" t="str">
        <f>IFERROR(IF(BH22=1,VLOOKUP(BH$2,활동내용입력!$B$4:$F$63,5,FALSE),""),"")</f>
        <v/>
      </c>
      <c r="DQ22" s="41" t="str">
        <f>IFERROR(IF(BI22=1,VLOOKUP(BI$2,활동내용입력!$B$4:$F$63,5,FALSE),""),"")</f>
        <v/>
      </c>
      <c r="DR22" s="41" t="str">
        <f>IFERROR(IF(BJ22=1,VLOOKUP(BJ$2,활동내용입력!$B$4:$F$63,5,FALSE),""),"")</f>
        <v/>
      </c>
      <c r="DS22" s="41" t="str">
        <f t="shared" si="7"/>
        <v xml:space="preserve">학급 부반장(2019.03.02.-2020.02.28.)으로 책임감과 봉사정신을 가지고 학급의 문제를 해결하고 학급 전체의 인화를 위해 노력함.
생명존중교육(2019.03.08., 2019.03.29., 2019.09.06., 2019.11.15.)을 통해 청소년들의 자살에 대한 심리적 상태를 이해하고 힘들어 하는 주변 친구들에게 따뜻한 배려와 도움이 절실히 필요함을 느꼈으며 생명의 소중함을 다시 한번 깨닫는 기회를 가지게 됨.
안전교육(2019.03.15., 2019.06.14., 2019.07.19., 2019.08.30., 2019.12.27., 2020.01.03., 2020.01.10.)을 통해 화재, 물놀이, 빙상 등 일상생활에서 일어날 수 있는 안전사고에 대한 예방법과 사고 시 대처방법을 확인하고 실천할 수 있게 됨.
학교폭력 예방교육(2019.03.15., 2019.05.31., 2019.10.18., 2019.12.13., 2020.01.03.)을 통해 학교폭력의 심각성을 알게 되었으며 자신의 인권이 소중한 것처럼 타인의 인권도 소중함을 깨닫고 실천하는 계기가 됨.
학급회의(2019.03.15, 2019.03.29., 2019.07.12.)를 통해 학급의 문제들을 해결하기위한 의사결정과정에 적극적으로 참여함.
다문화교육(2019.03.22., 2019.09.20.)을 통해 우리 나라와 다른 나라의 문화를 함께 나눔으로써 지구촌의 평화와 번영을 함께 누릴 수 있다는 사실을 새삼 깨달은 계기가 됨. 
흡연, 음주 등 약물 오남용 예방교육(2019.04.05., 2019.05.10, 2019.07.05., 2019.07.12., 2019.07.19., 2019.11.08., 2019.12.06., 2020.01.03.)을 통해 흡연과 음주 등 약물 오남용의 폐해를 인식하고 자신의 건강을 위해 흡연과 음주와 같은 행위를 하지 않겠다고 다짐함.
장애인이해교육(2019.04.19., 2019.11.29.)을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
안전교육(2019.05.10., 2019.05.24., 2019.07.22.)을 통해 교통안전사고를 예방할 수 있는 수칙에 대한 인식을 일깨우고 실천하고자 하는 마음을 다지게 됨.
518 광주민주화운동 교육(2019.05.17.)을 통해 민주화 운동이 일어나게 된 배경을 이해하고, 독재에 맞서 싸우다 억울하게 죽어간 수많은 시민들을 추모하는 시간을 가짐.
자기주도진로체험활동(2019.06.19.-2019.06.21.)에서 계획 수립부터 진행과정까지 적극적으로 참여함.
성폭력예방교육(2019.06.28., 2019.10.25., 2019.12.20.)을 통해 이성교제 시 지켜야 할 기본수칙을 배우고 성희롱 및 성폭력의 예방방법과 성적자기결정권의 중요성을 인식하게 됨.
인권교육(2019.12.24.)에 참여하여 인권을 침해 받은 사람들에 대해 마음 아파하고 함께 해결해 나가려 하는 마음을 갖게 됨.
</v>
      </c>
      <c r="DT22" s="42">
        <f t="shared" si="6"/>
        <v>13</v>
      </c>
      <c r="DU22" s="34"/>
    </row>
    <row r="23" spans="1:125" x14ac:dyDescent="0.3">
      <c r="A23" s="58">
        <v>19</v>
      </c>
      <c r="B23" s="57" t="s">
        <v>260</v>
      </c>
      <c r="C23" s="40"/>
      <c r="D23" s="40"/>
      <c r="E23" s="40"/>
      <c r="F23" s="40"/>
      <c r="G23" s="40">
        <v>1</v>
      </c>
      <c r="H23" s="40">
        <v>1</v>
      </c>
      <c r="I23" s="40">
        <v>1</v>
      </c>
      <c r="J23" s="40">
        <v>1</v>
      </c>
      <c r="K23" s="40">
        <v>1</v>
      </c>
      <c r="L23" s="40">
        <v>1</v>
      </c>
      <c r="M23" s="40">
        <v>1</v>
      </c>
      <c r="N23" s="40">
        <v>1</v>
      </c>
      <c r="O23" s="40">
        <v>1</v>
      </c>
      <c r="P23" s="40">
        <v>1</v>
      </c>
      <c r="Q23" s="40">
        <v>1</v>
      </c>
      <c r="R23" s="40">
        <v>1</v>
      </c>
      <c r="S23" s="40"/>
      <c r="T23" s="40"/>
      <c r="U23" s="40"/>
      <c r="V23" s="40"/>
      <c r="W23" s="40"/>
      <c r="X23" s="40"/>
      <c r="Y23" s="40"/>
      <c r="Z23" s="40"/>
      <c r="AA23" s="40"/>
      <c r="AB23" s="40"/>
      <c r="AC23" s="40"/>
      <c r="AD23" s="40"/>
      <c r="AE23" s="40"/>
      <c r="AF23" s="40"/>
      <c r="AG23" s="40"/>
      <c r="AH23" s="40"/>
      <c r="AI23" s="40"/>
      <c r="AJ23" s="40"/>
      <c r="AK23" s="40"/>
      <c r="AL23" s="40"/>
      <c r="AM23" s="40"/>
      <c r="AN23" s="40"/>
      <c r="AO23" s="40"/>
      <c r="AP23" s="40"/>
      <c r="AQ23" s="40"/>
      <c r="AR23" s="40"/>
      <c r="AS23" s="40"/>
      <c r="AT23" s="40"/>
      <c r="AU23" s="40"/>
      <c r="AV23" s="40"/>
      <c r="AW23" s="40"/>
      <c r="AX23" s="40"/>
      <c r="AY23" s="40"/>
      <c r="AZ23" s="40"/>
      <c r="BA23" s="40"/>
      <c r="BB23" s="40"/>
      <c r="BC23" s="40"/>
      <c r="BD23" s="40"/>
      <c r="BE23" s="40"/>
      <c r="BF23" s="40"/>
      <c r="BG23" s="40"/>
      <c r="BH23" s="40"/>
      <c r="BI23" s="40"/>
      <c r="BJ23" s="40"/>
      <c r="BK23" s="41" t="str">
        <f>IFERROR(IF(C23=1,VLOOKUP(C$2,활동내용입력!$B$4:$F$63,5,FALSE),""),"")</f>
        <v/>
      </c>
      <c r="BL23" s="41" t="str">
        <f>IFERROR(IF(D23=1,VLOOKUP(D$2,활동내용입력!$B$4:$F$63,5,FALSE),""),"")</f>
        <v/>
      </c>
      <c r="BM23" s="41" t="str">
        <f>IFERROR(IF(E23=1,VLOOKUP(E$2,활동내용입력!$B$4:$F$63,5,FALSE),""),"")</f>
        <v/>
      </c>
      <c r="BN23" s="41" t="str">
        <f>IFERROR(IF(F23=1,VLOOKUP(F$2,활동내용입력!$B$4:$F$63,5,FALSE),""),"")</f>
        <v/>
      </c>
      <c r="BO23" s="41" t="str">
        <f>IFERROR(IF(G23=1,VLOOKUP(G$2,활동내용입력!$B$4:$F$63,5,FALSE),""),"")</f>
        <v>생명존중교육(2019.03.08., 2019.03.29., 2019.09.06., 2019.11.15.)을 통해 청소년들의 자살에 대한 심리적 상태를 이해하고 힘들어 하는 주변 친구들에게 따뜻한 배려와 도움이 절실히 필요함을 느꼈으며 생명의 소중함을 다시 한번 깨닫는 기회를 가지게 됨.</v>
      </c>
      <c r="BP23" s="41" t="str">
        <f>IFERROR(IF(H23=1,VLOOKUP(H$2,활동내용입력!$B$4:$F$63,5,FALSE),""),"")</f>
        <v>안전교육(2019.03.15., 2019.06.14., 2019.07.19., 2019.08.30., 2019.12.27., 2020.01.03., 2020.01.10.)을 통해 화재, 물놀이, 빙상 등 일상생활에서 일어날 수 있는 안전사고에 대한 예방법과 사고 시 대처방법을 확인하고 실천할 수 있게 됨.</v>
      </c>
      <c r="BQ23" s="41" t="str">
        <f>IFERROR(IF(I23=1,VLOOKUP(I$2,활동내용입력!$B$4:$F$63,5,FALSE),""),"")</f>
        <v>학교폭력 예방교육(2019.03.15., 2019.05.31., 2019.10.18., 2019.12.13., 2020.01.03.)을 통해 학교폭력의 심각성을 알게 되었으며 자신의 인권이 소중한 것처럼 타인의 인권도 소중함을 깨닫고 실천하는 계기가 됨.</v>
      </c>
      <c r="BR23" s="41" t="str">
        <f>IFERROR(IF(J23=1,VLOOKUP(J$2,활동내용입력!$B$4:$F$63,5,FALSE),""),"")</f>
        <v>학급회의(2019.03.15, 2019.03.29., 2019.07.12.)를 통해 학급의 문제들을 해결하기위한 의사결정과정에 적극적으로 참여함.</v>
      </c>
      <c r="BS23" s="41" t="str">
        <f>IFERROR(IF(K23=1,VLOOKUP(K$2,활동내용입력!$B$4:$F$63,5,FALSE),""),"")</f>
        <v xml:space="preserve">다문화교육(2019.03.22., 2019.09.20.)을 통해 우리 나라와 다른 나라의 문화를 함께 나눔으로써 지구촌의 평화와 번영을 함께 누릴 수 있다는 사실을 새삼 깨달은 계기가 됨. </v>
      </c>
      <c r="BT23" s="41" t="str">
        <f>IFERROR(IF(L23=1,VLOOKUP(L$2,활동내용입력!$B$4:$F$63,5,FALSE),""),"")</f>
        <v>흡연, 음주 등 약물 오남용 예방교육(2019.04.05., 2019.05.10, 2019.07.05., 2019.07.12., 2019.07.19., 2019.11.08., 2019.12.06., 2020.01.03.)을 통해 흡연과 음주 등 약물 오남용의 폐해를 인식하고 자신의 건강을 위해 흡연과 음주와 같은 행위를 하지 않겠다고 다짐함.</v>
      </c>
      <c r="BU23" s="41" t="str">
        <f>IFERROR(IF(M23=1,VLOOKUP(M$2,활동내용입력!$B$4:$F$63,5,FALSE),""),"")</f>
        <v>장애인이해교육(2019.04.19., 2019.11.29.)을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v>
      </c>
      <c r="BV23" s="41" t="str">
        <f>IFERROR(IF(N23=1,VLOOKUP(N$2,활동내용입력!$B$4:$F$63,5,FALSE),""),"")</f>
        <v>안전교육(2019.05.10., 2019.05.24., 2019.07.22.)을 통해 교통안전사고를 예방할 수 있는 수칙에 대한 인식을 일깨우고 실천하고자 하는 마음을 다지게 됨.</v>
      </c>
      <c r="BW23" s="41" t="str">
        <f>IFERROR(IF(O23=1,VLOOKUP(O$2,활동내용입력!$B$4:$F$63,5,FALSE),""),"")</f>
        <v>518 광주민주화운동 교육(2019.05.17.)을 통해 민주화 운동이 일어나게 된 배경을 이해하고, 독재에 맞서 싸우다 억울하게 죽어간 수많은 시민들을 추모하는 시간을 가짐.</v>
      </c>
      <c r="BX23" s="41" t="str">
        <f>IFERROR(IF(P23=1,VLOOKUP(P$2,활동내용입력!$B$4:$F$63,5,FALSE),""),"")</f>
        <v>자기주도진로체험활동(2019.06.19.-2019.06.21.)에서 계획 수립부터 진행과정까지 적극적으로 참여함.</v>
      </c>
      <c r="BY23" s="41" t="str">
        <f>IFERROR(IF(Q23=1,VLOOKUP(Q$2,활동내용입력!$B$4:$F$63,5,FALSE),""),"")</f>
        <v>성폭력예방교육(2019.06.28., 2019.10.25., 2019.12.20.)을 통해 이성교제 시 지켜야 할 기본수칙을 배우고 성희롱 및 성폭력의 예방방법과 성적자기결정권의 중요성을 인식하게 됨.</v>
      </c>
      <c r="BZ23" s="41" t="str">
        <f>IFERROR(IF(R23=1,VLOOKUP(R$2,활동내용입력!$B$4:$F$63,5,FALSE),""),"")</f>
        <v>인권교육(2019.12.24.)에 참여하여 인권을 침해 받은 사람들에 대해 마음 아파하고 함께 해결해 나가려 하는 마음을 갖게 됨.</v>
      </c>
      <c r="CA23" s="41" t="str">
        <f>IFERROR(IF(S23=1,VLOOKUP(S$2,활동내용입력!$B$4:$F$63,5,FALSE),""),"")</f>
        <v/>
      </c>
      <c r="CB23" s="41" t="str">
        <f>IFERROR(IF(T23=1,VLOOKUP(T$2,활동내용입력!$B$4:$F$63,5,FALSE),""),"")</f>
        <v/>
      </c>
      <c r="CC23" s="41" t="str">
        <f>IFERROR(IF(U23=1,VLOOKUP(U$2,활동내용입력!$B$4:$F$63,5,FALSE),""),"")</f>
        <v/>
      </c>
      <c r="CD23" s="41" t="str">
        <f>IFERROR(IF(V23=1,VLOOKUP(V$2,활동내용입력!$B$4:$F$63,5,FALSE),""),"")</f>
        <v/>
      </c>
      <c r="CE23" s="41" t="str">
        <f>IFERROR(IF(W23=1,VLOOKUP(W$2,활동내용입력!$B$4:$F$63,5,FALSE),""),"")</f>
        <v/>
      </c>
      <c r="CF23" s="41" t="str">
        <f>IFERROR(IF(X23=1,VLOOKUP(X$2,활동내용입력!$B$4:$F$63,5,FALSE),""),"")</f>
        <v/>
      </c>
      <c r="CG23" s="41" t="str">
        <f>IFERROR(IF(Y23=1,VLOOKUP(Y$2,활동내용입력!$B$4:$F$63,5,FALSE),""),"")</f>
        <v/>
      </c>
      <c r="CH23" s="41" t="str">
        <f>IFERROR(IF(Z23=1,VLOOKUP(Z$2,활동내용입력!$B$4:$F$63,5,FALSE),""),"")</f>
        <v/>
      </c>
      <c r="CI23" s="41" t="str">
        <f>IFERROR(IF(AA23=1,VLOOKUP(AA$2,활동내용입력!$B$4:$F$63,5,FALSE),""),"")</f>
        <v/>
      </c>
      <c r="CJ23" s="41" t="str">
        <f>IFERROR(IF(AB23=1,VLOOKUP(AB$2,활동내용입력!$B$4:$F$63,5,FALSE),""),"")</f>
        <v/>
      </c>
      <c r="CK23" s="41" t="str">
        <f>IFERROR(IF(AC23=1,VLOOKUP(AC$2,활동내용입력!$B$4:$F$63,5,FALSE),""),"")</f>
        <v/>
      </c>
      <c r="CL23" s="41" t="str">
        <f>IFERROR(IF(AD23=1,VLOOKUP(AD$2,활동내용입력!$B$4:$F$63,5,FALSE),""),"")</f>
        <v/>
      </c>
      <c r="CM23" s="41" t="str">
        <f>IFERROR(IF(AE23=1,VLOOKUP(AE$2,활동내용입력!$B$4:$F$63,5,FALSE),""),"")</f>
        <v/>
      </c>
      <c r="CN23" s="41" t="str">
        <f>IFERROR(IF(AF23=1,VLOOKUP(AF$2,활동내용입력!$B$4:$F$63,5,FALSE),""),"")</f>
        <v/>
      </c>
      <c r="CO23" s="41" t="str">
        <f>IFERROR(IF(AG23=1,VLOOKUP(AG$2,활동내용입력!$B$4:$F$63,5,FALSE),""),"")</f>
        <v/>
      </c>
      <c r="CP23" s="41" t="str">
        <f>IFERROR(IF(AH23=1,VLOOKUP(AH$2,활동내용입력!$B$4:$F$63,5,FALSE),""),"")</f>
        <v/>
      </c>
      <c r="CQ23" s="41" t="str">
        <f>IFERROR(IF(AI23=1,VLOOKUP(AI$2,활동내용입력!$B$4:$F$63,5,FALSE),""),"")</f>
        <v/>
      </c>
      <c r="CR23" s="41" t="str">
        <f>IFERROR(IF(AJ23=1,VLOOKUP(AJ$2,활동내용입력!$B$4:$F$63,5,FALSE),""),"")</f>
        <v/>
      </c>
      <c r="CS23" s="41" t="str">
        <f>IFERROR(IF(AK23=1,VLOOKUP(AK$2,활동내용입력!$B$4:$F$63,5,FALSE),""),"")</f>
        <v/>
      </c>
      <c r="CT23" s="41" t="str">
        <f>IFERROR(IF(AL23=1,VLOOKUP(AL$2,활동내용입력!$B$4:$F$63,5,FALSE),""),"")</f>
        <v/>
      </c>
      <c r="CU23" s="41" t="str">
        <f>IFERROR(IF(AM23=1,VLOOKUP(AM$2,활동내용입력!$B$4:$F$63,5,FALSE),""),"")</f>
        <v/>
      </c>
      <c r="CV23" s="41" t="str">
        <f>IFERROR(IF(AN23=1,VLOOKUP(AN$2,활동내용입력!$B$4:$F$63,5,FALSE),""),"")</f>
        <v/>
      </c>
      <c r="CW23" s="41" t="str">
        <f>IFERROR(IF(AO23=1,VLOOKUP(AO$2,활동내용입력!$B$4:$F$63,5,FALSE),""),"")</f>
        <v/>
      </c>
      <c r="CX23" s="41" t="str">
        <f>IFERROR(IF(AP23=1,VLOOKUP(AP$2,활동내용입력!$B$4:$F$63,5,FALSE),""),"")</f>
        <v/>
      </c>
      <c r="CY23" s="41" t="str">
        <f>IFERROR(IF(AQ23=1,VLOOKUP(AQ$2,활동내용입력!$B$4:$F$63,5,FALSE),""),"")</f>
        <v/>
      </c>
      <c r="CZ23" s="41" t="str">
        <f>IFERROR(IF(AR23=1,VLOOKUP(AR$2,활동내용입력!$B$4:$F$63,5,FALSE),""),"")</f>
        <v/>
      </c>
      <c r="DA23" s="41" t="str">
        <f>IFERROR(IF(AS23=1,VLOOKUP(AS$2,활동내용입력!$B$4:$F$63,5,FALSE),""),"")</f>
        <v/>
      </c>
      <c r="DB23" s="41" t="str">
        <f>IFERROR(IF(AT23=1,VLOOKUP(AT$2,활동내용입력!$B$4:$F$63,5,FALSE),""),"")</f>
        <v/>
      </c>
      <c r="DC23" s="41" t="str">
        <f>IFERROR(IF(AU23=1,VLOOKUP(AU$2,활동내용입력!$B$4:$F$63,5,FALSE),""),"")</f>
        <v/>
      </c>
      <c r="DD23" s="41" t="str">
        <f>IFERROR(IF(AV23=1,VLOOKUP(AV$2,활동내용입력!$B$4:$F$63,5,FALSE),""),"")</f>
        <v/>
      </c>
      <c r="DE23" s="41" t="str">
        <f>IFERROR(IF(AW23=1,VLOOKUP(AW$2,활동내용입력!$B$4:$F$63,5,FALSE),""),"")</f>
        <v/>
      </c>
      <c r="DF23" s="41" t="str">
        <f>IFERROR(IF(AX23=1,VLOOKUP(AX$2,활동내용입력!$B$4:$F$63,5,FALSE),""),"")</f>
        <v/>
      </c>
      <c r="DG23" s="41" t="str">
        <f>IFERROR(IF(AY23=1,VLOOKUP(AY$2,활동내용입력!$B$4:$F$63,5,FALSE),""),"")</f>
        <v/>
      </c>
      <c r="DH23" s="41" t="str">
        <f>IFERROR(IF(AZ23=1,VLOOKUP(AZ$2,활동내용입력!$B$4:$F$63,5,FALSE),""),"")</f>
        <v/>
      </c>
      <c r="DI23" s="41" t="str">
        <f>IFERROR(IF(BA23=1,VLOOKUP(BA$2,활동내용입력!$B$4:$F$63,5,FALSE),""),"")</f>
        <v/>
      </c>
      <c r="DJ23" s="41" t="str">
        <f>IFERROR(IF(BB23=1,VLOOKUP(BB$2,활동내용입력!$B$4:$F$63,5,FALSE),""),"")</f>
        <v/>
      </c>
      <c r="DK23" s="41" t="str">
        <f>IFERROR(IF(BC23=1,VLOOKUP(BC$2,활동내용입력!$B$4:$F$63,5,FALSE),""),"")</f>
        <v/>
      </c>
      <c r="DL23" s="41" t="str">
        <f>IFERROR(IF(BD23=1,VLOOKUP(BD$2,활동내용입력!$B$4:$F$63,5,FALSE),""),"")</f>
        <v/>
      </c>
      <c r="DM23" s="41" t="str">
        <f>IFERROR(IF(BE23=1,VLOOKUP(BE$2,활동내용입력!$B$4:$F$63,5,FALSE),""),"")</f>
        <v/>
      </c>
      <c r="DN23" s="41" t="str">
        <f>IFERROR(IF(BF23=1,VLOOKUP(BF$2,활동내용입력!$B$4:$F$63,5,FALSE),""),"")</f>
        <v/>
      </c>
      <c r="DO23" s="41" t="str">
        <f>IFERROR(IF(BG23=1,VLOOKUP(BG$2,활동내용입력!$B$4:$F$63,5,FALSE),""),"")</f>
        <v/>
      </c>
      <c r="DP23" s="41" t="str">
        <f>IFERROR(IF(BH23=1,VLOOKUP(BH$2,활동내용입력!$B$4:$F$63,5,FALSE),""),"")</f>
        <v/>
      </c>
      <c r="DQ23" s="41" t="str">
        <f>IFERROR(IF(BI23=1,VLOOKUP(BI$2,활동내용입력!$B$4:$F$63,5,FALSE),""),"")</f>
        <v/>
      </c>
      <c r="DR23" s="41" t="str">
        <f>IFERROR(IF(BJ23=1,VLOOKUP(BJ$2,활동내용입력!$B$4:$F$63,5,FALSE),""),"")</f>
        <v/>
      </c>
      <c r="DS23" s="41" t="str">
        <f t="shared" si="7"/>
        <v xml:space="preserve">생명존중교육(2019.03.08., 2019.03.29., 2019.09.06., 2019.11.15.)을 통해 청소년들의 자살에 대한 심리적 상태를 이해하고 힘들어 하는 주변 친구들에게 따뜻한 배려와 도움이 절실히 필요함을 느꼈으며 생명의 소중함을 다시 한번 깨닫는 기회를 가지게 됨.
안전교육(2019.03.15., 2019.06.14., 2019.07.19., 2019.08.30., 2019.12.27., 2020.01.03., 2020.01.10.)을 통해 화재, 물놀이, 빙상 등 일상생활에서 일어날 수 있는 안전사고에 대한 예방법과 사고 시 대처방법을 확인하고 실천할 수 있게 됨.
학교폭력 예방교육(2019.03.15., 2019.05.31., 2019.10.18., 2019.12.13., 2020.01.03.)을 통해 학교폭력의 심각성을 알게 되었으며 자신의 인권이 소중한 것처럼 타인의 인권도 소중함을 깨닫고 실천하는 계기가 됨.
학급회의(2019.03.15, 2019.03.29., 2019.07.12.)를 통해 학급의 문제들을 해결하기위한 의사결정과정에 적극적으로 참여함.
다문화교육(2019.03.22., 2019.09.20.)을 통해 우리 나라와 다른 나라의 문화를 함께 나눔으로써 지구촌의 평화와 번영을 함께 누릴 수 있다는 사실을 새삼 깨달은 계기가 됨. 
흡연, 음주 등 약물 오남용 예방교육(2019.04.05., 2019.05.10, 2019.07.05., 2019.07.12., 2019.07.19., 2019.11.08., 2019.12.06., 2020.01.03.)을 통해 흡연과 음주 등 약물 오남용의 폐해를 인식하고 자신의 건강을 위해 흡연과 음주와 같은 행위를 하지 않겠다고 다짐함.
장애인이해교육(2019.04.19., 2019.11.29.)을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
안전교육(2019.05.10., 2019.05.24., 2019.07.22.)을 통해 교통안전사고를 예방할 수 있는 수칙에 대한 인식을 일깨우고 실천하고자 하는 마음을 다지게 됨.
518 광주민주화운동 교육(2019.05.17.)을 통해 민주화 운동이 일어나게 된 배경을 이해하고, 독재에 맞서 싸우다 억울하게 죽어간 수많은 시민들을 추모하는 시간을 가짐.
자기주도진로체험활동(2019.06.19.-2019.06.21.)에서 계획 수립부터 진행과정까지 적극적으로 참여함.
성폭력예방교육(2019.06.28., 2019.10.25., 2019.12.20.)을 통해 이성교제 시 지켜야 할 기본수칙을 배우고 성희롱 및 성폭력의 예방방법과 성적자기결정권의 중요성을 인식하게 됨.
인권교육(2019.12.24.)에 참여하여 인권을 침해 받은 사람들에 대해 마음 아파하고 함께 해결해 나가려 하는 마음을 갖게 됨.
</v>
      </c>
      <c r="DT23" s="42">
        <f t="shared" si="6"/>
        <v>12</v>
      </c>
      <c r="DU23" s="34"/>
    </row>
    <row r="24" spans="1:125" x14ac:dyDescent="0.3">
      <c r="A24" s="58">
        <v>20</v>
      </c>
      <c r="B24" s="57" t="s">
        <v>261</v>
      </c>
      <c r="C24" s="40">
        <v>1</v>
      </c>
      <c r="D24" s="40"/>
      <c r="E24" s="40"/>
      <c r="F24" s="40"/>
      <c r="G24" s="40">
        <v>1</v>
      </c>
      <c r="H24" s="40">
        <v>1</v>
      </c>
      <c r="I24" s="40">
        <v>1</v>
      </c>
      <c r="J24" s="40">
        <v>1</v>
      </c>
      <c r="K24" s="40">
        <v>1</v>
      </c>
      <c r="L24" s="40">
        <v>1</v>
      </c>
      <c r="M24" s="40">
        <v>1</v>
      </c>
      <c r="N24" s="40">
        <v>1</v>
      </c>
      <c r="O24" s="40">
        <v>1</v>
      </c>
      <c r="P24" s="40">
        <v>1</v>
      </c>
      <c r="Q24" s="40">
        <v>1</v>
      </c>
      <c r="R24" s="40">
        <v>1</v>
      </c>
      <c r="S24" s="40"/>
      <c r="T24" s="40"/>
      <c r="U24" s="40"/>
      <c r="V24" s="40"/>
      <c r="W24" s="40"/>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40"/>
      <c r="AW24" s="40"/>
      <c r="AX24" s="40"/>
      <c r="AY24" s="40"/>
      <c r="AZ24" s="40"/>
      <c r="BA24" s="40"/>
      <c r="BB24" s="40"/>
      <c r="BC24" s="40"/>
      <c r="BD24" s="40"/>
      <c r="BE24" s="40"/>
      <c r="BF24" s="40"/>
      <c r="BG24" s="40"/>
      <c r="BH24" s="40"/>
      <c r="BI24" s="40"/>
      <c r="BJ24" s="40"/>
      <c r="BK24" s="41" t="str">
        <f>IFERROR(IF(C24=1,VLOOKUP(C$2,활동내용입력!$B$4:$F$63,5,FALSE),""),"")</f>
        <v>학급 반장(2019.03.02.-2020.02.28.)으로 리더십을 발휘하여 학급의 문제를 해결하고 학급 전체의 인화를 위해 노력함.</v>
      </c>
      <c r="BL24" s="41" t="str">
        <f>IFERROR(IF(D24=1,VLOOKUP(D$2,활동내용입력!$B$4:$F$63,5,FALSE),""),"")</f>
        <v/>
      </c>
      <c r="BM24" s="41" t="str">
        <f>IFERROR(IF(E24=1,VLOOKUP(E$2,활동내용입력!$B$4:$F$63,5,FALSE),""),"")</f>
        <v/>
      </c>
      <c r="BN24" s="41" t="str">
        <f>IFERROR(IF(F24=1,VLOOKUP(F$2,활동내용입력!$B$4:$F$63,5,FALSE),""),"")</f>
        <v/>
      </c>
      <c r="BO24" s="41" t="str">
        <f>IFERROR(IF(G24=1,VLOOKUP(G$2,활동내용입력!$B$4:$F$63,5,FALSE),""),"")</f>
        <v>생명존중교육(2019.03.08., 2019.03.29., 2019.09.06., 2019.11.15.)을 통해 청소년들의 자살에 대한 심리적 상태를 이해하고 힘들어 하는 주변 친구들에게 따뜻한 배려와 도움이 절실히 필요함을 느꼈으며 생명의 소중함을 다시 한번 깨닫는 기회를 가지게 됨.</v>
      </c>
      <c r="BP24" s="41" t="str">
        <f>IFERROR(IF(H24=1,VLOOKUP(H$2,활동내용입력!$B$4:$F$63,5,FALSE),""),"")</f>
        <v>안전교육(2019.03.15., 2019.06.14., 2019.07.19., 2019.08.30., 2019.12.27., 2020.01.03., 2020.01.10.)을 통해 화재, 물놀이, 빙상 등 일상생활에서 일어날 수 있는 안전사고에 대한 예방법과 사고 시 대처방법을 확인하고 실천할 수 있게 됨.</v>
      </c>
      <c r="BQ24" s="41" t="str">
        <f>IFERROR(IF(I24=1,VLOOKUP(I$2,활동내용입력!$B$4:$F$63,5,FALSE),""),"")</f>
        <v>학교폭력 예방교육(2019.03.15., 2019.05.31., 2019.10.18., 2019.12.13., 2020.01.03.)을 통해 학교폭력의 심각성을 알게 되었으며 자신의 인권이 소중한 것처럼 타인의 인권도 소중함을 깨닫고 실천하는 계기가 됨.</v>
      </c>
      <c r="BR24" s="41" t="str">
        <f>IFERROR(IF(J24=1,VLOOKUP(J$2,활동내용입력!$B$4:$F$63,5,FALSE),""),"")</f>
        <v>학급회의(2019.03.15, 2019.03.29., 2019.07.12.)를 통해 학급의 문제들을 해결하기위한 의사결정과정에 적극적으로 참여함.</v>
      </c>
      <c r="BS24" s="41" t="str">
        <f>IFERROR(IF(K24=1,VLOOKUP(K$2,활동내용입력!$B$4:$F$63,5,FALSE),""),"")</f>
        <v xml:space="preserve">다문화교육(2019.03.22., 2019.09.20.)을 통해 우리 나라와 다른 나라의 문화를 함께 나눔으로써 지구촌의 평화와 번영을 함께 누릴 수 있다는 사실을 새삼 깨달은 계기가 됨. </v>
      </c>
      <c r="BT24" s="41" t="str">
        <f>IFERROR(IF(L24=1,VLOOKUP(L$2,활동내용입력!$B$4:$F$63,5,FALSE),""),"")</f>
        <v>흡연, 음주 등 약물 오남용 예방교육(2019.04.05., 2019.05.10, 2019.07.05., 2019.07.12., 2019.07.19., 2019.11.08., 2019.12.06., 2020.01.03.)을 통해 흡연과 음주 등 약물 오남용의 폐해를 인식하고 자신의 건강을 위해 흡연과 음주와 같은 행위를 하지 않겠다고 다짐함.</v>
      </c>
      <c r="BU24" s="41" t="str">
        <f>IFERROR(IF(M24=1,VLOOKUP(M$2,활동내용입력!$B$4:$F$63,5,FALSE),""),"")</f>
        <v>장애인이해교육(2019.04.19., 2019.11.29.)을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v>
      </c>
      <c r="BV24" s="41" t="str">
        <f>IFERROR(IF(N24=1,VLOOKUP(N$2,활동내용입력!$B$4:$F$63,5,FALSE),""),"")</f>
        <v>안전교육(2019.05.10., 2019.05.24., 2019.07.22.)을 통해 교통안전사고를 예방할 수 있는 수칙에 대한 인식을 일깨우고 실천하고자 하는 마음을 다지게 됨.</v>
      </c>
      <c r="BW24" s="41" t="str">
        <f>IFERROR(IF(O24=1,VLOOKUP(O$2,활동내용입력!$B$4:$F$63,5,FALSE),""),"")</f>
        <v>518 광주민주화운동 교육(2019.05.17.)을 통해 민주화 운동이 일어나게 된 배경을 이해하고, 독재에 맞서 싸우다 억울하게 죽어간 수많은 시민들을 추모하는 시간을 가짐.</v>
      </c>
      <c r="BX24" s="41" t="str">
        <f>IFERROR(IF(P24=1,VLOOKUP(P$2,활동내용입력!$B$4:$F$63,5,FALSE),""),"")</f>
        <v>자기주도진로체험활동(2019.06.19.-2019.06.21.)에서 계획 수립부터 진행과정까지 적극적으로 참여함.</v>
      </c>
      <c r="BY24" s="41" t="str">
        <f>IFERROR(IF(Q24=1,VLOOKUP(Q$2,활동내용입력!$B$4:$F$63,5,FALSE),""),"")</f>
        <v>성폭력예방교육(2019.06.28., 2019.10.25., 2019.12.20.)을 통해 이성교제 시 지켜야 할 기본수칙을 배우고 성희롱 및 성폭력의 예방방법과 성적자기결정권의 중요성을 인식하게 됨.</v>
      </c>
      <c r="BZ24" s="41" t="str">
        <f>IFERROR(IF(R24=1,VLOOKUP(R$2,활동내용입력!$B$4:$F$63,5,FALSE),""),"")</f>
        <v>인권교육(2019.12.24.)에 참여하여 인권을 침해 받은 사람들에 대해 마음 아파하고 함께 해결해 나가려 하는 마음을 갖게 됨.</v>
      </c>
      <c r="CA24" s="41" t="str">
        <f>IFERROR(IF(S24=1,VLOOKUP(S$2,활동내용입력!$B$4:$F$63,5,FALSE),""),"")</f>
        <v/>
      </c>
      <c r="CB24" s="41" t="str">
        <f>IFERROR(IF(T24=1,VLOOKUP(T$2,활동내용입력!$B$4:$F$63,5,FALSE),""),"")</f>
        <v/>
      </c>
      <c r="CC24" s="41" t="str">
        <f>IFERROR(IF(U24=1,VLOOKUP(U$2,활동내용입력!$B$4:$F$63,5,FALSE),""),"")</f>
        <v/>
      </c>
      <c r="CD24" s="41" t="str">
        <f>IFERROR(IF(V24=1,VLOOKUP(V$2,활동내용입력!$B$4:$F$63,5,FALSE),""),"")</f>
        <v/>
      </c>
      <c r="CE24" s="41" t="str">
        <f>IFERROR(IF(W24=1,VLOOKUP(W$2,활동내용입력!$B$4:$F$63,5,FALSE),""),"")</f>
        <v/>
      </c>
      <c r="CF24" s="41" t="str">
        <f>IFERROR(IF(X24=1,VLOOKUP(X$2,활동내용입력!$B$4:$F$63,5,FALSE),""),"")</f>
        <v/>
      </c>
      <c r="CG24" s="41" t="str">
        <f>IFERROR(IF(Y24=1,VLOOKUP(Y$2,활동내용입력!$B$4:$F$63,5,FALSE),""),"")</f>
        <v/>
      </c>
      <c r="CH24" s="41" t="str">
        <f>IFERROR(IF(Z24=1,VLOOKUP(Z$2,활동내용입력!$B$4:$F$63,5,FALSE),""),"")</f>
        <v/>
      </c>
      <c r="CI24" s="41" t="str">
        <f>IFERROR(IF(AA24=1,VLOOKUP(AA$2,활동내용입력!$B$4:$F$63,5,FALSE),""),"")</f>
        <v/>
      </c>
      <c r="CJ24" s="41" t="str">
        <f>IFERROR(IF(AB24=1,VLOOKUP(AB$2,활동내용입력!$B$4:$F$63,5,FALSE),""),"")</f>
        <v/>
      </c>
      <c r="CK24" s="41" t="str">
        <f>IFERROR(IF(AC24=1,VLOOKUP(AC$2,활동내용입력!$B$4:$F$63,5,FALSE),""),"")</f>
        <v/>
      </c>
      <c r="CL24" s="41" t="str">
        <f>IFERROR(IF(AD24=1,VLOOKUP(AD$2,활동내용입력!$B$4:$F$63,5,FALSE),""),"")</f>
        <v/>
      </c>
      <c r="CM24" s="41" t="str">
        <f>IFERROR(IF(AE24=1,VLOOKUP(AE$2,활동내용입력!$B$4:$F$63,5,FALSE),""),"")</f>
        <v/>
      </c>
      <c r="CN24" s="41" t="str">
        <f>IFERROR(IF(AF24=1,VLOOKUP(AF$2,활동내용입력!$B$4:$F$63,5,FALSE),""),"")</f>
        <v/>
      </c>
      <c r="CO24" s="41" t="str">
        <f>IFERROR(IF(AG24=1,VLOOKUP(AG$2,활동내용입력!$B$4:$F$63,5,FALSE),""),"")</f>
        <v/>
      </c>
      <c r="CP24" s="41" t="str">
        <f>IFERROR(IF(AH24=1,VLOOKUP(AH$2,활동내용입력!$B$4:$F$63,5,FALSE),""),"")</f>
        <v/>
      </c>
      <c r="CQ24" s="41" t="str">
        <f>IFERROR(IF(AI24=1,VLOOKUP(AI$2,활동내용입력!$B$4:$F$63,5,FALSE),""),"")</f>
        <v/>
      </c>
      <c r="CR24" s="41" t="str">
        <f>IFERROR(IF(AJ24=1,VLOOKUP(AJ$2,활동내용입력!$B$4:$F$63,5,FALSE),""),"")</f>
        <v/>
      </c>
      <c r="CS24" s="41" t="str">
        <f>IFERROR(IF(AK24=1,VLOOKUP(AK$2,활동내용입력!$B$4:$F$63,5,FALSE),""),"")</f>
        <v/>
      </c>
      <c r="CT24" s="41" t="str">
        <f>IFERROR(IF(AL24=1,VLOOKUP(AL$2,활동내용입력!$B$4:$F$63,5,FALSE),""),"")</f>
        <v/>
      </c>
      <c r="CU24" s="41" t="str">
        <f>IFERROR(IF(AM24=1,VLOOKUP(AM$2,활동내용입력!$B$4:$F$63,5,FALSE),""),"")</f>
        <v/>
      </c>
      <c r="CV24" s="41" t="str">
        <f>IFERROR(IF(AN24=1,VLOOKUP(AN$2,활동내용입력!$B$4:$F$63,5,FALSE),""),"")</f>
        <v/>
      </c>
      <c r="CW24" s="41" t="str">
        <f>IFERROR(IF(AO24=1,VLOOKUP(AO$2,활동내용입력!$B$4:$F$63,5,FALSE),""),"")</f>
        <v/>
      </c>
      <c r="CX24" s="41" t="str">
        <f>IFERROR(IF(AP24=1,VLOOKUP(AP$2,활동내용입력!$B$4:$F$63,5,FALSE),""),"")</f>
        <v/>
      </c>
      <c r="CY24" s="41" t="str">
        <f>IFERROR(IF(AQ24=1,VLOOKUP(AQ$2,활동내용입력!$B$4:$F$63,5,FALSE),""),"")</f>
        <v/>
      </c>
      <c r="CZ24" s="41" t="str">
        <f>IFERROR(IF(AR24=1,VLOOKUP(AR$2,활동내용입력!$B$4:$F$63,5,FALSE),""),"")</f>
        <v/>
      </c>
      <c r="DA24" s="41" t="str">
        <f>IFERROR(IF(AS24=1,VLOOKUP(AS$2,활동내용입력!$B$4:$F$63,5,FALSE),""),"")</f>
        <v/>
      </c>
      <c r="DB24" s="41" t="str">
        <f>IFERROR(IF(AT24=1,VLOOKUP(AT$2,활동내용입력!$B$4:$F$63,5,FALSE),""),"")</f>
        <v/>
      </c>
      <c r="DC24" s="41" t="str">
        <f>IFERROR(IF(AU24=1,VLOOKUP(AU$2,활동내용입력!$B$4:$F$63,5,FALSE),""),"")</f>
        <v/>
      </c>
      <c r="DD24" s="41" t="str">
        <f>IFERROR(IF(AV24=1,VLOOKUP(AV$2,활동내용입력!$B$4:$F$63,5,FALSE),""),"")</f>
        <v/>
      </c>
      <c r="DE24" s="41" t="str">
        <f>IFERROR(IF(AW24=1,VLOOKUP(AW$2,활동내용입력!$B$4:$F$63,5,FALSE),""),"")</f>
        <v/>
      </c>
      <c r="DF24" s="41" t="str">
        <f>IFERROR(IF(AX24=1,VLOOKUP(AX$2,활동내용입력!$B$4:$F$63,5,FALSE),""),"")</f>
        <v/>
      </c>
      <c r="DG24" s="41" t="str">
        <f>IFERROR(IF(AY24=1,VLOOKUP(AY$2,활동내용입력!$B$4:$F$63,5,FALSE),""),"")</f>
        <v/>
      </c>
      <c r="DH24" s="41" t="str">
        <f>IFERROR(IF(AZ24=1,VLOOKUP(AZ$2,활동내용입력!$B$4:$F$63,5,FALSE),""),"")</f>
        <v/>
      </c>
      <c r="DI24" s="41" t="str">
        <f>IFERROR(IF(BA24=1,VLOOKUP(BA$2,활동내용입력!$B$4:$F$63,5,FALSE),""),"")</f>
        <v/>
      </c>
      <c r="DJ24" s="41" t="str">
        <f>IFERROR(IF(BB24=1,VLOOKUP(BB$2,활동내용입력!$B$4:$F$63,5,FALSE),""),"")</f>
        <v/>
      </c>
      <c r="DK24" s="41" t="str">
        <f>IFERROR(IF(BC24=1,VLOOKUP(BC$2,활동내용입력!$B$4:$F$63,5,FALSE),""),"")</f>
        <v/>
      </c>
      <c r="DL24" s="41" t="str">
        <f>IFERROR(IF(BD24=1,VLOOKUP(BD$2,활동내용입력!$B$4:$F$63,5,FALSE),""),"")</f>
        <v/>
      </c>
      <c r="DM24" s="41" t="str">
        <f>IFERROR(IF(BE24=1,VLOOKUP(BE$2,활동내용입력!$B$4:$F$63,5,FALSE),""),"")</f>
        <v/>
      </c>
      <c r="DN24" s="41" t="str">
        <f>IFERROR(IF(BF24=1,VLOOKUP(BF$2,활동내용입력!$B$4:$F$63,5,FALSE),""),"")</f>
        <v/>
      </c>
      <c r="DO24" s="41" t="str">
        <f>IFERROR(IF(BG24=1,VLOOKUP(BG$2,활동내용입력!$B$4:$F$63,5,FALSE),""),"")</f>
        <v/>
      </c>
      <c r="DP24" s="41" t="str">
        <f>IFERROR(IF(BH24=1,VLOOKUP(BH$2,활동내용입력!$B$4:$F$63,5,FALSE),""),"")</f>
        <v/>
      </c>
      <c r="DQ24" s="41" t="str">
        <f>IFERROR(IF(BI24=1,VLOOKUP(BI$2,활동내용입력!$B$4:$F$63,5,FALSE),""),"")</f>
        <v/>
      </c>
      <c r="DR24" s="41" t="str">
        <f>IFERROR(IF(BJ24=1,VLOOKUP(BJ$2,활동내용입력!$B$4:$F$63,5,FALSE),""),"")</f>
        <v/>
      </c>
      <c r="DS24" s="41" t="str">
        <f t="shared" si="7"/>
        <v xml:space="preserve">학급 반장(2019.03.02.-2020.02.28.)으로 리더십을 발휘하여 학급의 문제를 해결하고 학급 전체의 인화를 위해 노력함.
생명존중교육(2019.03.08., 2019.03.29., 2019.09.06., 2019.11.15.)을 통해 청소년들의 자살에 대한 심리적 상태를 이해하고 힘들어 하는 주변 친구들에게 따뜻한 배려와 도움이 절실히 필요함을 느꼈으며 생명의 소중함을 다시 한번 깨닫는 기회를 가지게 됨.
안전교육(2019.03.15., 2019.06.14., 2019.07.19., 2019.08.30., 2019.12.27., 2020.01.03., 2020.01.10.)을 통해 화재, 물놀이, 빙상 등 일상생활에서 일어날 수 있는 안전사고에 대한 예방법과 사고 시 대처방법을 확인하고 실천할 수 있게 됨.
학교폭력 예방교육(2019.03.15., 2019.05.31., 2019.10.18., 2019.12.13., 2020.01.03.)을 통해 학교폭력의 심각성을 알게 되었으며 자신의 인권이 소중한 것처럼 타인의 인권도 소중함을 깨닫고 실천하는 계기가 됨.
학급회의(2019.03.15, 2019.03.29., 2019.07.12.)를 통해 학급의 문제들을 해결하기위한 의사결정과정에 적극적으로 참여함.
다문화교육(2019.03.22., 2019.09.20.)을 통해 우리 나라와 다른 나라의 문화를 함께 나눔으로써 지구촌의 평화와 번영을 함께 누릴 수 있다는 사실을 새삼 깨달은 계기가 됨. 
흡연, 음주 등 약물 오남용 예방교육(2019.04.05., 2019.05.10, 2019.07.05., 2019.07.12., 2019.07.19., 2019.11.08., 2019.12.06., 2020.01.03.)을 통해 흡연과 음주 등 약물 오남용의 폐해를 인식하고 자신의 건강을 위해 흡연과 음주와 같은 행위를 하지 않겠다고 다짐함.
장애인이해교육(2019.04.19., 2019.11.29.)을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
안전교육(2019.05.10., 2019.05.24., 2019.07.22.)을 통해 교통안전사고를 예방할 수 있는 수칙에 대한 인식을 일깨우고 실천하고자 하는 마음을 다지게 됨.
518 광주민주화운동 교육(2019.05.17.)을 통해 민주화 운동이 일어나게 된 배경을 이해하고, 독재에 맞서 싸우다 억울하게 죽어간 수많은 시민들을 추모하는 시간을 가짐.
자기주도진로체험활동(2019.06.19.-2019.06.21.)에서 계획 수립부터 진행과정까지 적극적으로 참여함.
성폭력예방교육(2019.06.28., 2019.10.25., 2019.12.20.)을 통해 이성교제 시 지켜야 할 기본수칙을 배우고 성희롱 및 성폭력의 예방방법과 성적자기결정권의 중요성을 인식하게 됨.
인권교육(2019.12.24.)에 참여하여 인권을 침해 받은 사람들에 대해 마음 아파하고 함께 해결해 나가려 하는 마음을 갖게 됨.
</v>
      </c>
      <c r="DT24" s="42">
        <f t="shared" si="6"/>
        <v>13</v>
      </c>
      <c r="DU24" s="34"/>
    </row>
    <row r="25" spans="1:125" x14ac:dyDescent="0.3">
      <c r="A25" s="58">
        <v>21</v>
      </c>
      <c r="B25" s="57"/>
      <c r="C25" s="40"/>
      <c r="D25" s="40"/>
      <c r="E25" s="40"/>
      <c r="F25" s="40"/>
      <c r="G25" s="40"/>
      <c r="H25" s="40"/>
      <c r="I25" s="40"/>
      <c r="J25" s="40"/>
      <c r="K25" s="40"/>
      <c r="L25" s="40"/>
      <c r="M25" s="40"/>
      <c r="N25" s="40"/>
      <c r="O25" s="40"/>
      <c r="P25" s="40"/>
      <c r="Q25" s="40"/>
      <c r="R25" s="40"/>
      <c r="S25" s="40"/>
      <c r="T25" s="40"/>
      <c r="U25" s="40"/>
      <c r="V25" s="40"/>
      <c r="W25" s="40"/>
      <c r="X25" s="40"/>
      <c r="Y25" s="40"/>
      <c r="Z25" s="40"/>
      <c r="AA25" s="40"/>
      <c r="AB25" s="40"/>
      <c r="AC25" s="40"/>
      <c r="AD25" s="40"/>
      <c r="AE25" s="40"/>
      <c r="AF25" s="40"/>
      <c r="AG25" s="40"/>
      <c r="AH25" s="40"/>
      <c r="AI25" s="40"/>
      <c r="AJ25" s="40"/>
      <c r="AK25" s="40"/>
      <c r="AL25" s="40"/>
      <c r="AM25" s="40"/>
      <c r="AN25" s="40"/>
      <c r="AO25" s="40"/>
      <c r="AP25" s="40"/>
      <c r="AQ25" s="40"/>
      <c r="AR25" s="40"/>
      <c r="AS25" s="40"/>
      <c r="AT25" s="40"/>
      <c r="AU25" s="40"/>
      <c r="AV25" s="40"/>
      <c r="AW25" s="40"/>
      <c r="AX25" s="40"/>
      <c r="AY25" s="40"/>
      <c r="AZ25" s="40"/>
      <c r="BA25" s="40"/>
      <c r="BB25" s="40"/>
      <c r="BC25" s="40"/>
      <c r="BD25" s="40"/>
      <c r="BE25" s="40"/>
      <c r="BF25" s="40"/>
      <c r="BG25" s="40"/>
      <c r="BH25" s="40"/>
      <c r="BI25" s="40"/>
      <c r="BJ25" s="40"/>
      <c r="BK25" s="41" t="str">
        <f>IFERROR(IF(C25=1,VLOOKUP(C$2,활동내용입력!$B$4:$F$63,5,FALSE),""),"")</f>
        <v/>
      </c>
      <c r="BL25" s="41" t="str">
        <f>IFERROR(IF(D25=1,VLOOKUP(D$2,활동내용입력!$B$4:$F$63,5,FALSE),""),"")</f>
        <v/>
      </c>
      <c r="BM25" s="41" t="str">
        <f>IFERROR(IF(E25=1,VLOOKUP(E$2,활동내용입력!$B$4:$F$63,5,FALSE),""),"")</f>
        <v/>
      </c>
      <c r="BN25" s="41" t="str">
        <f>IFERROR(IF(F25=1,VLOOKUP(F$2,활동내용입력!$B$4:$F$63,5,FALSE),""),"")</f>
        <v/>
      </c>
      <c r="BO25" s="41" t="str">
        <f>IFERROR(IF(G25=1,VLOOKUP(G$2,활동내용입력!$B$4:$F$63,5,FALSE),""),"")</f>
        <v/>
      </c>
      <c r="BP25" s="41" t="str">
        <f>IFERROR(IF(H25=1,VLOOKUP(H$2,활동내용입력!$B$4:$F$63,5,FALSE),""),"")</f>
        <v/>
      </c>
      <c r="BQ25" s="41" t="str">
        <f>IFERROR(IF(I25=1,VLOOKUP(I$2,활동내용입력!$B$4:$F$63,5,FALSE),""),"")</f>
        <v/>
      </c>
      <c r="BR25" s="41" t="str">
        <f>IFERROR(IF(J25=1,VLOOKUP(J$2,활동내용입력!$B$4:$F$63,5,FALSE),""),"")</f>
        <v/>
      </c>
      <c r="BS25" s="41" t="str">
        <f>IFERROR(IF(K25=1,VLOOKUP(K$2,활동내용입력!$B$4:$F$63,5,FALSE),""),"")</f>
        <v/>
      </c>
      <c r="BT25" s="41" t="str">
        <f>IFERROR(IF(L25=1,VLOOKUP(L$2,활동내용입력!$B$4:$F$63,5,FALSE),""),"")</f>
        <v/>
      </c>
      <c r="BU25" s="41" t="str">
        <f>IFERROR(IF(M25=1,VLOOKUP(M$2,활동내용입력!$B$4:$F$63,5,FALSE),""),"")</f>
        <v/>
      </c>
      <c r="BV25" s="41" t="str">
        <f>IFERROR(IF(N25=1,VLOOKUP(N$2,활동내용입력!$B$4:$F$63,5,FALSE),""),"")</f>
        <v/>
      </c>
      <c r="BW25" s="41" t="str">
        <f>IFERROR(IF(O25=1,VLOOKUP(O$2,활동내용입력!$B$4:$F$63,5,FALSE),""),"")</f>
        <v/>
      </c>
      <c r="BX25" s="41" t="str">
        <f>IFERROR(IF(P25=1,VLOOKUP(P$2,활동내용입력!$B$4:$F$63,5,FALSE),""),"")</f>
        <v/>
      </c>
      <c r="BY25" s="41" t="str">
        <f>IFERROR(IF(Q25=1,VLOOKUP(Q$2,활동내용입력!$B$4:$F$63,5,FALSE),""),"")</f>
        <v/>
      </c>
      <c r="BZ25" s="41" t="str">
        <f>IFERROR(IF(R25=1,VLOOKUP(R$2,활동내용입력!$B$4:$F$63,5,FALSE),""),"")</f>
        <v/>
      </c>
      <c r="CA25" s="41" t="str">
        <f>IFERROR(IF(S25=1,VLOOKUP(S$2,활동내용입력!$B$4:$F$63,5,FALSE),""),"")</f>
        <v/>
      </c>
      <c r="CB25" s="41" t="str">
        <f>IFERROR(IF(T25=1,VLOOKUP(T$2,활동내용입력!$B$4:$F$63,5,FALSE),""),"")</f>
        <v/>
      </c>
      <c r="CC25" s="41" t="str">
        <f>IFERROR(IF(U25=1,VLOOKUP(U$2,활동내용입력!$B$4:$F$63,5,FALSE),""),"")</f>
        <v/>
      </c>
      <c r="CD25" s="41" t="str">
        <f>IFERROR(IF(V25=1,VLOOKUP(V$2,활동내용입력!$B$4:$F$63,5,FALSE),""),"")</f>
        <v/>
      </c>
      <c r="CE25" s="41" t="str">
        <f>IFERROR(IF(W25=1,VLOOKUP(W$2,활동내용입력!$B$4:$F$63,5,FALSE),""),"")</f>
        <v/>
      </c>
      <c r="CF25" s="41" t="str">
        <f>IFERROR(IF(X25=1,VLOOKUP(X$2,활동내용입력!$B$4:$F$63,5,FALSE),""),"")</f>
        <v/>
      </c>
      <c r="CG25" s="41" t="str">
        <f>IFERROR(IF(Y25=1,VLOOKUP(Y$2,활동내용입력!$B$4:$F$63,5,FALSE),""),"")</f>
        <v/>
      </c>
      <c r="CH25" s="41" t="str">
        <f>IFERROR(IF(Z25=1,VLOOKUP(Z$2,활동내용입력!$B$4:$F$63,5,FALSE),""),"")</f>
        <v/>
      </c>
      <c r="CI25" s="41" t="str">
        <f>IFERROR(IF(AA25=1,VLOOKUP(AA$2,활동내용입력!$B$4:$F$63,5,FALSE),""),"")</f>
        <v/>
      </c>
      <c r="CJ25" s="41" t="str">
        <f>IFERROR(IF(AB25=1,VLOOKUP(AB$2,활동내용입력!$B$4:$F$63,5,FALSE),""),"")</f>
        <v/>
      </c>
      <c r="CK25" s="41" t="str">
        <f>IFERROR(IF(AC25=1,VLOOKUP(AC$2,활동내용입력!$B$4:$F$63,5,FALSE),""),"")</f>
        <v/>
      </c>
      <c r="CL25" s="41" t="str">
        <f>IFERROR(IF(AD25=1,VLOOKUP(AD$2,활동내용입력!$B$4:$F$63,5,FALSE),""),"")</f>
        <v/>
      </c>
      <c r="CM25" s="41" t="str">
        <f>IFERROR(IF(AE25=1,VLOOKUP(AE$2,활동내용입력!$B$4:$F$63,5,FALSE),""),"")</f>
        <v/>
      </c>
      <c r="CN25" s="41" t="str">
        <f>IFERROR(IF(AF25=1,VLOOKUP(AF$2,활동내용입력!$B$4:$F$63,5,FALSE),""),"")</f>
        <v/>
      </c>
      <c r="CO25" s="41" t="str">
        <f>IFERROR(IF(AG25=1,VLOOKUP(AG$2,활동내용입력!$B$4:$F$63,5,FALSE),""),"")</f>
        <v/>
      </c>
      <c r="CP25" s="41" t="str">
        <f>IFERROR(IF(AH25=1,VLOOKUP(AH$2,활동내용입력!$B$4:$F$63,5,FALSE),""),"")</f>
        <v/>
      </c>
      <c r="CQ25" s="41" t="str">
        <f>IFERROR(IF(AI25=1,VLOOKUP(AI$2,활동내용입력!$B$4:$F$63,5,FALSE),""),"")</f>
        <v/>
      </c>
      <c r="CR25" s="41" t="str">
        <f>IFERROR(IF(AJ25=1,VLOOKUP(AJ$2,활동내용입력!$B$4:$F$63,5,FALSE),""),"")</f>
        <v/>
      </c>
      <c r="CS25" s="41" t="str">
        <f>IFERROR(IF(AK25=1,VLOOKUP(AK$2,활동내용입력!$B$4:$F$63,5,FALSE),""),"")</f>
        <v/>
      </c>
      <c r="CT25" s="41" t="str">
        <f>IFERROR(IF(AL25=1,VLOOKUP(AL$2,활동내용입력!$B$4:$F$63,5,FALSE),""),"")</f>
        <v/>
      </c>
      <c r="CU25" s="41" t="str">
        <f>IFERROR(IF(AM25=1,VLOOKUP(AM$2,활동내용입력!$B$4:$F$63,5,FALSE),""),"")</f>
        <v/>
      </c>
      <c r="CV25" s="41" t="str">
        <f>IFERROR(IF(AN25=1,VLOOKUP(AN$2,활동내용입력!$B$4:$F$63,5,FALSE),""),"")</f>
        <v/>
      </c>
      <c r="CW25" s="41" t="str">
        <f>IFERROR(IF(AO25=1,VLOOKUP(AO$2,활동내용입력!$B$4:$F$63,5,FALSE),""),"")</f>
        <v/>
      </c>
      <c r="CX25" s="41" t="str">
        <f>IFERROR(IF(AP25=1,VLOOKUP(AP$2,활동내용입력!$B$4:$F$63,5,FALSE),""),"")</f>
        <v/>
      </c>
      <c r="CY25" s="41" t="str">
        <f>IFERROR(IF(AQ25=1,VLOOKUP(AQ$2,활동내용입력!$B$4:$F$63,5,FALSE),""),"")</f>
        <v/>
      </c>
      <c r="CZ25" s="41" t="str">
        <f>IFERROR(IF(AR25=1,VLOOKUP(AR$2,활동내용입력!$B$4:$F$63,5,FALSE),""),"")</f>
        <v/>
      </c>
      <c r="DA25" s="41" t="str">
        <f>IFERROR(IF(AS25=1,VLOOKUP(AS$2,활동내용입력!$B$4:$F$63,5,FALSE),""),"")</f>
        <v/>
      </c>
      <c r="DB25" s="41" t="str">
        <f>IFERROR(IF(AT25=1,VLOOKUP(AT$2,활동내용입력!$B$4:$F$63,5,FALSE),""),"")</f>
        <v/>
      </c>
      <c r="DC25" s="41" t="str">
        <f>IFERROR(IF(AU25=1,VLOOKUP(AU$2,활동내용입력!$B$4:$F$63,5,FALSE),""),"")</f>
        <v/>
      </c>
      <c r="DD25" s="41" t="str">
        <f>IFERROR(IF(AV25=1,VLOOKUP(AV$2,활동내용입력!$B$4:$F$63,5,FALSE),""),"")</f>
        <v/>
      </c>
      <c r="DE25" s="41" t="str">
        <f>IFERROR(IF(AW25=1,VLOOKUP(AW$2,활동내용입력!$B$4:$F$63,5,FALSE),""),"")</f>
        <v/>
      </c>
      <c r="DF25" s="41" t="str">
        <f>IFERROR(IF(AX25=1,VLOOKUP(AX$2,활동내용입력!$B$4:$F$63,5,FALSE),""),"")</f>
        <v/>
      </c>
      <c r="DG25" s="41" t="str">
        <f>IFERROR(IF(AY25=1,VLOOKUP(AY$2,활동내용입력!$B$4:$F$63,5,FALSE),""),"")</f>
        <v/>
      </c>
      <c r="DH25" s="41" t="str">
        <f>IFERROR(IF(AZ25=1,VLOOKUP(AZ$2,활동내용입력!$B$4:$F$63,5,FALSE),""),"")</f>
        <v/>
      </c>
      <c r="DI25" s="41" t="str">
        <f>IFERROR(IF(BA25=1,VLOOKUP(BA$2,활동내용입력!$B$4:$F$63,5,FALSE),""),"")</f>
        <v/>
      </c>
      <c r="DJ25" s="41" t="str">
        <f>IFERROR(IF(BB25=1,VLOOKUP(BB$2,활동내용입력!$B$4:$F$63,5,FALSE),""),"")</f>
        <v/>
      </c>
      <c r="DK25" s="41" t="str">
        <f>IFERROR(IF(BC25=1,VLOOKUP(BC$2,활동내용입력!$B$4:$F$63,5,FALSE),""),"")</f>
        <v/>
      </c>
      <c r="DL25" s="41" t="str">
        <f>IFERROR(IF(BD25=1,VLOOKUP(BD$2,활동내용입력!$B$4:$F$63,5,FALSE),""),"")</f>
        <v/>
      </c>
      <c r="DM25" s="41" t="str">
        <f>IFERROR(IF(BE25=1,VLOOKUP(BE$2,활동내용입력!$B$4:$F$63,5,FALSE),""),"")</f>
        <v/>
      </c>
      <c r="DN25" s="41" t="str">
        <f>IFERROR(IF(BF25=1,VLOOKUP(BF$2,활동내용입력!$B$4:$F$63,5,FALSE),""),"")</f>
        <v/>
      </c>
      <c r="DO25" s="41" t="str">
        <f>IFERROR(IF(BG25=1,VLOOKUP(BG$2,활동내용입력!$B$4:$F$63,5,FALSE),""),"")</f>
        <v/>
      </c>
      <c r="DP25" s="41" t="str">
        <f>IFERROR(IF(BH25=1,VLOOKUP(BH$2,활동내용입력!$B$4:$F$63,5,FALSE),""),"")</f>
        <v/>
      </c>
      <c r="DQ25" s="41" t="str">
        <f>IFERROR(IF(BI25=1,VLOOKUP(BI$2,활동내용입력!$B$4:$F$63,5,FALSE),""),"")</f>
        <v/>
      </c>
      <c r="DR25" s="41" t="str">
        <f>IFERROR(IF(BJ25=1,VLOOKUP(BJ$2,활동내용입력!$B$4:$F$63,5,FALSE),""),"")</f>
        <v/>
      </c>
      <c r="DS25" s="41" t="str">
        <f t="shared" si="7"/>
        <v/>
      </c>
      <c r="DT25" s="42">
        <f t="shared" si="6"/>
        <v>0</v>
      </c>
      <c r="DU25" s="34"/>
    </row>
    <row r="26" spans="1:125" x14ac:dyDescent="0.3">
      <c r="A26" s="58">
        <v>22</v>
      </c>
      <c r="B26" s="57"/>
      <c r="C26" s="40"/>
      <c r="D26" s="40"/>
      <c r="E26" s="40"/>
      <c r="F26" s="40"/>
      <c r="G26" s="40"/>
      <c r="H26" s="40"/>
      <c r="I26" s="40"/>
      <c r="J26" s="40"/>
      <c r="K26" s="40"/>
      <c r="L26" s="40"/>
      <c r="M26" s="40"/>
      <c r="N26" s="40"/>
      <c r="O26" s="40"/>
      <c r="P26" s="40"/>
      <c r="Q26" s="40"/>
      <c r="R26" s="40"/>
      <c r="S26" s="40"/>
      <c r="T26" s="40"/>
      <c r="U26" s="40"/>
      <c r="V26" s="40"/>
      <c r="W26" s="40"/>
      <c r="X26" s="40"/>
      <c r="Y26" s="40"/>
      <c r="Z26" s="40"/>
      <c r="AA26" s="40"/>
      <c r="AB26" s="40"/>
      <c r="AC26" s="40"/>
      <c r="AD26" s="40"/>
      <c r="AE26" s="40"/>
      <c r="AF26" s="40"/>
      <c r="AG26" s="40"/>
      <c r="AH26" s="40"/>
      <c r="AI26" s="40"/>
      <c r="AJ26" s="40"/>
      <c r="AK26" s="40"/>
      <c r="AL26" s="40"/>
      <c r="AM26" s="40"/>
      <c r="AN26" s="40"/>
      <c r="AO26" s="40"/>
      <c r="AP26" s="40"/>
      <c r="AQ26" s="40"/>
      <c r="AR26" s="40"/>
      <c r="AS26" s="40"/>
      <c r="AT26" s="40"/>
      <c r="AU26" s="40"/>
      <c r="AV26" s="40"/>
      <c r="AW26" s="40"/>
      <c r="AX26" s="40"/>
      <c r="AY26" s="40"/>
      <c r="AZ26" s="40"/>
      <c r="BA26" s="40"/>
      <c r="BB26" s="40"/>
      <c r="BC26" s="40"/>
      <c r="BD26" s="40"/>
      <c r="BE26" s="40"/>
      <c r="BF26" s="40"/>
      <c r="BG26" s="40"/>
      <c r="BH26" s="40"/>
      <c r="BI26" s="40"/>
      <c r="BJ26" s="40"/>
      <c r="BK26" s="41" t="str">
        <f>IFERROR(IF(C26=1,VLOOKUP(C$2,활동내용입력!$B$4:$F$63,5,FALSE),""),"")</f>
        <v/>
      </c>
      <c r="BL26" s="41" t="str">
        <f>IFERROR(IF(D26=1,VLOOKUP(D$2,활동내용입력!$B$4:$F$63,5,FALSE),""),"")</f>
        <v/>
      </c>
      <c r="BM26" s="41" t="str">
        <f>IFERROR(IF(E26=1,VLOOKUP(E$2,활동내용입력!$B$4:$F$63,5,FALSE),""),"")</f>
        <v/>
      </c>
      <c r="BN26" s="41" t="str">
        <f>IFERROR(IF(F26=1,VLOOKUP(F$2,활동내용입력!$B$4:$F$63,5,FALSE),""),"")</f>
        <v/>
      </c>
      <c r="BO26" s="41" t="str">
        <f>IFERROR(IF(G26=1,VLOOKUP(G$2,활동내용입력!$B$4:$F$63,5,FALSE),""),"")</f>
        <v/>
      </c>
      <c r="BP26" s="41" t="str">
        <f>IFERROR(IF(H26=1,VLOOKUP(H$2,활동내용입력!$B$4:$F$63,5,FALSE),""),"")</f>
        <v/>
      </c>
      <c r="BQ26" s="41" t="str">
        <f>IFERROR(IF(I26=1,VLOOKUP(I$2,활동내용입력!$B$4:$F$63,5,FALSE),""),"")</f>
        <v/>
      </c>
      <c r="BR26" s="41" t="str">
        <f>IFERROR(IF(J26=1,VLOOKUP(J$2,활동내용입력!$B$4:$F$63,5,FALSE),""),"")</f>
        <v/>
      </c>
      <c r="BS26" s="41" t="str">
        <f>IFERROR(IF(K26=1,VLOOKUP(K$2,활동내용입력!$B$4:$F$63,5,FALSE),""),"")</f>
        <v/>
      </c>
      <c r="BT26" s="41" t="str">
        <f>IFERROR(IF(L26=1,VLOOKUP(L$2,활동내용입력!$B$4:$F$63,5,FALSE),""),"")</f>
        <v/>
      </c>
      <c r="BU26" s="41" t="str">
        <f>IFERROR(IF(M26=1,VLOOKUP(M$2,활동내용입력!$B$4:$F$63,5,FALSE),""),"")</f>
        <v/>
      </c>
      <c r="BV26" s="41" t="str">
        <f>IFERROR(IF(N26=1,VLOOKUP(N$2,활동내용입력!$B$4:$F$63,5,FALSE),""),"")</f>
        <v/>
      </c>
      <c r="BW26" s="41" t="str">
        <f>IFERROR(IF(O26=1,VLOOKUP(O$2,활동내용입력!$B$4:$F$63,5,FALSE),""),"")</f>
        <v/>
      </c>
      <c r="BX26" s="41" t="str">
        <f>IFERROR(IF(P26=1,VLOOKUP(P$2,활동내용입력!$B$4:$F$63,5,FALSE),""),"")</f>
        <v/>
      </c>
      <c r="BY26" s="41" t="str">
        <f>IFERROR(IF(Q26=1,VLOOKUP(Q$2,활동내용입력!$B$4:$F$63,5,FALSE),""),"")</f>
        <v/>
      </c>
      <c r="BZ26" s="41" t="str">
        <f>IFERROR(IF(R26=1,VLOOKUP(R$2,활동내용입력!$B$4:$F$63,5,FALSE),""),"")</f>
        <v/>
      </c>
      <c r="CA26" s="41" t="str">
        <f>IFERROR(IF(S26=1,VLOOKUP(S$2,활동내용입력!$B$4:$F$63,5,FALSE),""),"")</f>
        <v/>
      </c>
      <c r="CB26" s="41" t="str">
        <f>IFERROR(IF(T26=1,VLOOKUP(T$2,활동내용입력!$B$4:$F$63,5,FALSE),""),"")</f>
        <v/>
      </c>
      <c r="CC26" s="41" t="str">
        <f>IFERROR(IF(U26=1,VLOOKUP(U$2,활동내용입력!$B$4:$F$63,5,FALSE),""),"")</f>
        <v/>
      </c>
      <c r="CD26" s="41" t="str">
        <f>IFERROR(IF(V26=1,VLOOKUP(V$2,활동내용입력!$B$4:$F$63,5,FALSE),""),"")</f>
        <v/>
      </c>
      <c r="CE26" s="41" t="str">
        <f>IFERROR(IF(W26=1,VLOOKUP(W$2,활동내용입력!$B$4:$F$63,5,FALSE),""),"")</f>
        <v/>
      </c>
      <c r="CF26" s="41" t="str">
        <f>IFERROR(IF(X26=1,VLOOKUP(X$2,활동내용입력!$B$4:$F$63,5,FALSE),""),"")</f>
        <v/>
      </c>
      <c r="CG26" s="41" t="str">
        <f>IFERROR(IF(Y26=1,VLOOKUP(Y$2,활동내용입력!$B$4:$F$63,5,FALSE),""),"")</f>
        <v/>
      </c>
      <c r="CH26" s="41" t="str">
        <f>IFERROR(IF(Z26=1,VLOOKUP(Z$2,활동내용입력!$B$4:$F$63,5,FALSE),""),"")</f>
        <v/>
      </c>
      <c r="CI26" s="41" t="str">
        <f>IFERROR(IF(AA26=1,VLOOKUP(AA$2,활동내용입력!$B$4:$F$63,5,FALSE),""),"")</f>
        <v/>
      </c>
      <c r="CJ26" s="41" t="str">
        <f>IFERROR(IF(AB26=1,VLOOKUP(AB$2,활동내용입력!$B$4:$F$63,5,FALSE),""),"")</f>
        <v/>
      </c>
      <c r="CK26" s="41" t="str">
        <f>IFERROR(IF(AC26=1,VLOOKUP(AC$2,활동내용입력!$B$4:$F$63,5,FALSE),""),"")</f>
        <v/>
      </c>
      <c r="CL26" s="41" t="str">
        <f>IFERROR(IF(AD26=1,VLOOKUP(AD$2,활동내용입력!$B$4:$F$63,5,FALSE),""),"")</f>
        <v/>
      </c>
      <c r="CM26" s="41" t="str">
        <f>IFERROR(IF(AE26=1,VLOOKUP(AE$2,활동내용입력!$B$4:$F$63,5,FALSE),""),"")</f>
        <v/>
      </c>
      <c r="CN26" s="41" t="str">
        <f>IFERROR(IF(AF26=1,VLOOKUP(AF$2,활동내용입력!$B$4:$F$63,5,FALSE),""),"")</f>
        <v/>
      </c>
      <c r="CO26" s="41" t="str">
        <f>IFERROR(IF(AG26=1,VLOOKUP(AG$2,활동내용입력!$B$4:$F$63,5,FALSE),""),"")</f>
        <v/>
      </c>
      <c r="CP26" s="41" t="str">
        <f>IFERROR(IF(AH26=1,VLOOKUP(AH$2,활동내용입력!$B$4:$F$63,5,FALSE),""),"")</f>
        <v/>
      </c>
      <c r="CQ26" s="41" t="str">
        <f>IFERROR(IF(AI26=1,VLOOKUP(AI$2,활동내용입력!$B$4:$F$63,5,FALSE),""),"")</f>
        <v/>
      </c>
      <c r="CR26" s="41" t="str">
        <f>IFERROR(IF(AJ26=1,VLOOKUP(AJ$2,활동내용입력!$B$4:$F$63,5,FALSE),""),"")</f>
        <v/>
      </c>
      <c r="CS26" s="41" t="str">
        <f>IFERROR(IF(AK26=1,VLOOKUP(AK$2,활동내용입력!$B$4:$F$63,5,FALSE),""),"")</f>
        <v/>
      </c>
      <c r="CT26" s="41" t="str">
        <f>IFERROR(IF(AL26=1,VLOOKUP(AL$2,활동내용입력!$B$4:$F$63,5,FALSE),""),"")</f>
        <v/>
      </c>
      <c r="CU26" s="41" t="str">
        <f>IFERROR(IF(AM26=1,VLOOKUP(AM$2,활동내용입력!$B$4:$F$63,5,FALSE),""),"")</f>
        <v/>
      </c>
      <c r="CV26" s="41" t="str">
        <f>IFERROR(IF(AN26=1,VLOOKUP(AN$2,활동내용입력!$B$4:$F$63,5,FALSE),""),"")</f>
        <v/>
      </c>
      <c r="CW26" s="41" t="str">
        <f>IFERROR(IF(AO26=1,VLOOKUP(AO$2,활동내용입력!$B$4:$F$63,5,FALSE),""),"")</f>
        <v/>
      </c>
      <c r="CX26" s="41" t="str">
        <f>IFERROR(IF(AP26=1,VLOOKUP(AP$2,활동내용입력!$B$4:$F$63,5,FALSE),""),"")</f>
        <v/>
      </c>
      <c r="CY26" s="41" t="str">
        <f>IFERROR(IF(AQ26=1,VLOOKUP(AQ$2,활동내용입력!$B$4:$F$63,5,FALSE),""),"")</f>
        <v/>
      </c>
      <c r="CZ26" s="41" t="str">
        <f>IFERROR(IF(AR26=1,VLOOKUP(AR$2,활동내용입력!$B$4:$F$63,5,FALSE),""),"")</f>
        <v/>
      </c>
      <c r="DA26" s="41" t="str">
        <f>IFERROR(IF(AS26=1,VLOOKUP(AS$2,활동내용입력!$B$4:$F$63,5,FALSE),""),"")</f>
        <v/>
      </c>
      <c r="DB26" s="41" t="str">
        <f>IFERROR(IF(AT26=1,VLOOKUP(AT$2,활동내용입력!$B$4:$F$63,5,FALSE),""),"")</f>
        <v/>
      </c>
      <c r="DC26" s="41" t="str">
        <f>IFERROR(IF(AU26=1,VLOOKUP(AU$2,활동내용입력!$B$4:$F$63,5,FALSE),""),"")</f>
        <v/>
      </c>
      <c r="DD26" s="41" t="str">
        <f>IFERROR(IF(AV26=1,VLOOKUP(AV$2,활동내용입력!$B$4:$F$63,5,FALSE),""),"")</f>
        <v/>
      </c>
      <c r="DE26" s="41" t="str">
        <f>IFERROR(IF(AW26=1,VLOOKUP(AW$2,활동내용입력!$B$4:$F$63,5,FALSE),""),"")</f>
        <v/>
      </c>
      <c r="DF26" s="41" t="str">
        <f>IFERROR(IF(AX26=1,VLOOKUP(AX$2,활동내용입력!$B$4:$F$63,5,FALSE),""),"")</f>
        <v/>
      </c>
      <c r="DG26" s="41" t="str">
        <f>IFERROR(IF(AY26=1,VLOOKUP(AY$2,활동내용입력!$B$4:$F$63,5,FALSE),""),"")</f>
        <v/>
      </c>
      <c r="DH26" s="41" t="str">
        <f>IFERROR(IF(AZ26=1,VLOOKUP(AZ$2,활동내용입력!$B$4:$F$63,5,FALSE),""),"")</f>
        <v/>
      </c>
      <c r="DI26" s="41" t="str">
        <f>IFERROR(IF(BA26=1,VLOOKUP(BA$2,활동내용입력!$B$4:$F$63,5,FALSE),""),"")</f>
        <v/>
      </c>
      <c r="DJ26" s="41" t="str">
        <f>IFERROR(IF(BB26=1,VLOOKUP(BB$2,활동내용입력!$B$4:$F$63,5,FALSE),""),"")</f>
        <v/>
      </c>
      <c r="DK26" s="41" t="str">
        <f>IFERROR(IF(BC26=1,VLOOKUP(BC$2,활동내용입력!$B$4:$F$63,5,FALSE),""),"")</f>
        <v/>
      </c>
      <c r="DL26" s="41" t="str">
        <f>IFERROR(IF(BD26=1,VLOOKUP(BD$2,활동내용입력!$B$4:$F$63,5,FALSE),""),"")</f>
        <v/>
      </c>
      <c r="DM26" s="41" t="str">
        <f>IFERROR(IF(BE26=1,VLOOKUP(BE$2,활동내용입력!$B$4:$F$63,5,FALSE),""),"")</f>
        <v/>
      </c>
      <c r="DN26" s="41" t="str">
        <f>IFERROR(IF(BF26=1,VLOOKUP(BF$2,활동내용입력!$B$4:$F$63,5,FALSE),""),"")</f>
        <v/>
      </c>
      <c r="DO26" s="41" t="str">
        <f>IFERROR(IF(BG26=1,VLOOKUP(BG$2,활동내용입력!$B$4:$F$63,5,FALSE),""),"")</f>
        <v/>
      </c>
      <c r="DP26" s="41" t="str">
        <f>IFERROR(IF(BH26=1,VLOOKUP(BH$2,활동내용입력!$B$4:$F$63,5,FALSE),""),"")</f>
        <v/>
      </c>
      <c r="DQ26" s="41" t="str">
        <f>IFERROR(IF(BI26=1,VLOOKUP(BI$2,활동내용입력!$B$4:$F$63,5,FALSE),""),"")</f>
        <v/>
      </c>
      <c r="DR26" s="41" t="str">
        <f>IFERROR(IF(BJ26=1,VLOOKUP(BJ$2,활동내용입력!$B$4:$F$63,5,FALSE),""),"")</f>
        <v/>
      </c>
      <c r="DS26" s="41" t="str">
        <f t="shared" si="7"/>
        <v/>
      </c>
      <c r="DT26" s="42">
        <f t="shared" si="6"/>
        <v>0</v>
      </c>
      <c r="DU26" s="34"/>
    </row>
    <row r="27" spans="1:125" x14ac:dyDescent="0.3">
      <c r="A27" s="58">
        <v>23</v>
      </c>
      <c r="B27" s="57"/>
      <c r="C27" s="40"/>
      <c r="D27" s="40"/>
      <c r="E27" s="40"/>
      <c r="F27" s="40"/>
      <c r="G27" s="40"/>
      <c r="H27" s="40"/>
      <c r="I27" s="40"/>
      <c r="J27" s="40"/>
      <c r="K27" s="40"/>
      <c r="L27" s="40"/>
      <c r="M27" s="40"/>
      <c r="N27" s="40"/>
      <c r="O27" s="40"/>
      <c r="P27" s="40"/>
      <c r="Q27" s="40"/>
      <c r="R27" s="40"/>
      <c r="S27" s="40"/>
      <c r="T27" s="40"/>
      <c r="U27" s="40"/>
      <c r="V27" s="40"/>
      <c r="W27" s="40"/>
      <c r="X27" s="40"/>
      <c r="Y27" s="40"/>
      <c r="Z27" s="40"/>
      <c r="AA27" s="40"/>
      <c r="AB27" s="40"/>
      <c r="AC27" s="40"/>
      <c r="AD27" s="40"/>
      <c r="AE27" s="40"/>
      <c r="AF27" s="40"/>
      <c r="AG27" s="40"/>
      <c r="AH27" s="40"/>
      <c r="AI27" s="40"/>
      <c r="AJ27" s="40"/>
      <c r="AK27" s="40"/>
      <c r="AL27" s="40"/>
      <c r="AM27" s="40"/>
      <c r="AN27" s="40"/>
      <c r="AO27" s="40"/>
      <c r="AP27" s="40"/>
      <c r="AQ27" s="40"/>
      <c r="AR27" s="40"/>
      <c r="AS27" s="40"/>
      <c r="AT27" s="40"/>
      <c r="AU27" s="40"/>
      <c r="AV27" s="40"/>
      <c r="AW27" s="40"/>
      <c r="AX27" s="40"/>
      <c r="AY27" s="40"/>
      <c r="AZ27" s="40"/>
      <c r="BA27" s="40"/>
      <c r="BB27" s="40"/>
      <c r="BC27" s="40"/>
      <c r="BD27" s="40"/>
      <c r="BE27" s="40"/>
      <c r="BF27" s="40"/>
      <c r="BG27" s="40"/>
      <c r="BH27" s="40"/>
      <c r="BI27" s="40"/>
      <c r="BJ27" s="40"/>
      <c r="BK27" s="41" t="str">
        <f>IFERROR(IF(C27=1,VLOOKUP(C$2,활동내용입력!$B$4:$F$63,5,FALSE),""),"")</f>
        <v/>
      </c>
      <c r="BL27" s="41" t="str">
        <f>IFERROR(IF(D27=1,VLOOKUP(D$2,활동내용입력!$B$4:$F$63,5,FALSE),""),"")</f>
        <v/>
      </c>
      <c r="BM27" s="41" t="str">
        <f>IFERROR(IF(E27=1,VLOOKUP(E$2,활동내용입력!$B$4:$F$63,5,FALSE),""),"")</f>
        <v/>
      </c>
      <c r="BN27" s="41" t="str">
        <f>IFERROR(IF(F27=1,VLOOKUP(F$2,활동내용입력!$B$4:$F$63,5,FALSE),""),"")</f>
        <v/>
      </c>
      <c r="BO27" s="41" t="str">
        <f>IFERROR(IF(G27=1,VLOOKUP(G$2,활동내용입력!$B$4:$F$63,5,FALSE),""),"")</f>
        <v/>
      </c>
      <c r="BP27" s="41" t="str">
        <f>IFERROR(IF(H27=1,VLOOKUP(H$2,활동내용입력!$B$4:$F$63,5,FALSE),""),"")</f>
        <v/>
      </c>
      <c r="BQ27" s="41" t="str">
        <f>IFERROR(IF(I27=1,VLOOKUP(I$2,활동내용입력!$B$4:$F$63,5,FALSE),""),"")</f>
        <v/>
      </c>
      <c r="BR27" s="41" t="str">
        <f>IFERROR(IF(J27=1,VLOOKUP(J$2,활동내용입력!$B$4:$F$63,5,FALSE),""),"")</f>
        <v/>
      </c>
      <c r="BS27" s="41" t="str">
        <f>IFERROR(IF(K27=1,VLOOKUP(K$2,활동내용입력!$B$4:$F$63,5,FALSE),""),"")</f>
        <v/>
      </c>
      <c r="BT27" s="41" t="str">
        <f>IFERROR(IF(L27=1,VLOOKUP(L$2,활동내용입력!$B$4:$F$63,5,FALSE),""),"")</f>
        <v/>
      </c>
      <c r="BU27" s="41" t="str">
        <f>IFERROR(IF(M27=1,VLOOKUP(M$2,활동내용입력!$B$4:$F$63,5,FALSE),""),"")</f>
        <v/>
      </c>
      <c r="BV27" s="41" t="str">
        <f>IFERROR(IF(N27=1,VLOOKUP(N$2,활동내용입력!$B$4:$F$63,5,FALSE),""),"")</f>
        <v/>
      </c>
      <c r="BW27" s="41" t="str">
        <f>IFERROR(IF(O27=1,VLOOKUP(O$2,활동내용입력!$B$4:$F$63,5,FALSE),""),"")</f>
        <v/>
      </c>
      <c r="BX27" s="41" t="str">
        <f>IFERROR(IF(P27=1,VLOOKUP(P$2,활동내용입력!$B$4:$F$63,5,FALSE),""),"")</f>
        <v/>
      </c>
      <c r="BY27" s="41" t="str">
        <f>IFERROR(IF(Q27=1,VLOOKUP(Q$2,활동내용입력!$B$4:$F$63,5,FALSE),""),"")</f>
        <v/>
      </c>
      <c r="BZ27" s="41" t="str">
        <f>IFERROR(IF(R27=1,VLOOKUP(R$2,활동내용입력!$B$4:$F$63,5,FALSE),""),"")</f>
        <v/>
      </c>
      <c r="CA27" s="41" t="str">
        <f>IFERROR(IF(S27=1,VLOOKUP(S$2,활동내용입력!$B$4:$F$63,5,FALSE),""),"")</f>
        <v/>
      </c>
      <c r="CB27" s="41" t="str">
        <f>IFERROR(IF(T27=1,VLOOKUP(T$2,활동내용입력!$B$4:$F$63,5,FALSE),""),"")</f>
        <v/>
      </c>
      <c r="CC27" s="41" t="str">
        <f>IFERROR(IF(U27=1,VLOOKUP(U$2,활동내용입력!$B$4:$F$63,5,FALSE),""),"")</f>
        <v/>
      </c>
      <c r="CD27" s="41" t="str">
        <f>IFERROR(IF(V27=1,VLOOKUP(V$2,활동내용입력!$B$4:$F$63,5,FALSE),""),"")</f>
        <v/>
      </c>
      <c r="CE27" s="41" t="str">
        <f>IFERROR(IF(W27=1,VLOOKUP(W$2,활동내용입력!$B$4:$F$63,5,FALSE),""),"")</f>
        <v/>
      </c>
      <c r="CF27" s="41" t="str">
        <f>IFERROR(IF(X27=1,VLOOKUP(X$2,활동내용입력!$B$4:$F$63,5,FALSE),""),"")</f>
        <v/>
      </c>
      <c r="CG27" s="41" t="str">
        <f>IFERROR(IF(Y27=1,VLOOKUP(Y$2,활동내용입력!$B$4:$F$63,5,FALSE),""),"")</f>
        <v/>
      </c>
      <c r="CH27" s="41" t="str">
        <f>IFERROR(IF(Z27=1,VLOOKUP(Z$2,활동내용입력!$B$4:$F$63,5,FALSE),""),"")</f>
        <v/>
      </c>
      <c r="CI27" s="41" t="str">
        <f>IFERROR(IF(AA27=1,VLOOKUP(AA$2,활동내용입력!$B$4:$F$63,5,FALSE),""),"")</f>
        <v/>
      </c>
      <c r="CJ27" s="41" t="str">
        <f>IFERROR(IF(AB27=1,VLOOKUP(AB$2,활동내용입력!$B$4:$F$63,5,FALSE),""),"")</f>
        <v/>
      </c>
      <c r="CK27" s="41" t="str">
        <f>IFERROR(IF(AC27=1,VLOOKUP(AC$2,활동내용입력!$B$4:$F$63,5,FALSE),""),"")</f>
        <v/>
      </c>
      <c r="CL27" s="41" t="str">
        <f>IFERROR(IF(AD27=1,VLOOKUP(AD$2,활동내용입력!$B$4:$F$63,5,FALSE),""),"")</f>
        <v/>
      </c>
      <c r="CM27" s="41" t="str">
        <f>IFERROR(IF(AE27=1,VLOOKUP(AE$2,활동내용입력!$B$4:$F$63,5,FALSE),""),"")</f>
        <v/>
      </c>
      <c r="CN27" s="41" t="str">
        <f>IFERROR(IF(AF27=1,VLOOKUP(AF$2,활동내용입력!$B$4:$F$63,5,FALSE),""),"")</f>
        <v/>
      </c>
      <c r="CO27" s="41" t="str">
        <f>IFERROR(IF(AG27=1,VLOOKUP(AG$2,활동내용입력!$B$4:$F$63,5,FALSE),""),"")</f>
        <v/>
      </c>
      <c r="CP27" s="41" t="str">
        <f>IFERROR(IF(AH27=1,VLOOKUP(AH$2,활동내용입력!$B$4:$F$63,5,FALSE),""),"")</f>
        <v/>
      </c>
      <c r="CQ27" s="41" t="str">
        <f>IFERROR(IF(AI27=1,VLOOKUP(AI$2,활동내용입력!$B$4:$F$63,5,FALSE),""),"")</f>
        <v/>
      </c>
      <c r="CR27" s="41" t="str">
        <f>IFERROR(IF(AJ27=1,VLOOKUP(AJ$2,활동내용입력!$B$4:$F$63,5,FALSE),""),"")</f>
        <v/>
      </c>
      <c r="CS27" s="41" t="str">
        <f>IFERROR(IF(AK27=1,VLOOKUP(AK$2,활동내용입력!$B$4:$F$63,5,FALSE),""),"")</f>
        <v/>
      </c>
      <c r="CT27" s="41" t="str">
        <f>IFERROR(IF(AL27=1,VLOOKUP(AL$2,활동내용입력!$B$4:$F$63,5,FALSE),""),"")</f>
        <v/>
      </c>
      <c r="CU27" s="41" t="str">
        <f>IFERROR(IF(AM27=1,VLOOKUP(AM$2,활동내용입력!$B$4:$F$63,5,FALSE),""),"")</f>
        <v/>
      </c>
      <c r="CV27" s="41" t="str">
        <f>IFERROR(IF(AN27=1,VLOOKUP(AN$2,활동내용입력!$B$4:$F$63,5,FALSE),""),"")</f>
        <v/>
      </c>
      <c r="CW27" s="41" t="str">
        <f>IFERROR(IF(AO27=1,VLOOKUP(AO$2,활동내용입력!$B$4:$F$63,5,FALSE),""),"")</f>
        <v/>
      </c>
      <c r="CX27" s="41" t="str">
        <f>IFERROR(IF(AP27=1,VLOOKUP(AP$2,활동내용입력!$B$4:$F$63,5,FALSE),""),"")</f>
        <v/>
      </c>
      <c r="CY27" s="41" t="str">
        <f>IFERROR(IF(AQ27=1,VLOOKUP(AQ$2,활동내용입력!$B$4:$F$63,5,FALSE),""),"")</f>
        <v/>
      </c>
      <c r="CZ27" s="41" t="str">
        <f>IFERROR(IF(AR27=1,VLOOKUP(AR$2,활동내용입력!$B$4:$F$63,5,FALSE),""),"")</f>
        <v/>
      </c>
      <c r="DA27" s="41" t="str">
        <f>IFERROR(IF(AS27=1,VLOOKUP(AS$2,활동내용입력!$B$4:$F$63,5,FALSE),""),"")</f>
        <v/>
      </c>
      <c r="DB27" s="41" t="str">
        <f>IFERROR(IF(AT27=1,VLOOKUP(AT$2,활동내용입력!$B$4:$F$63,5,FALSE),""),"")</f>
        <v/>
      </c>
      <c r="DC27" s="41" t="str">
        <f>IFERROR(IF(AU27=1,VLOOKUP(AU$2,활동내용입력!$B$4:$F$63,5,FALSE),""),"")</f>
        <v/>
      </c>
      <c r="DD27" s="41" t="str">
        <f>IFERROR(IF(AV27=1,VLOOKUP(AV$2,활동내용입력!$B$4:$F$63,5,FALSE),""),"")</f>
        <v/>
      </c>
      <c r="DE27" s="41" t="str">
        <f>IFERROR(IF(AW27=1,VLOOKUP(AW$2,활동내용입력!$B$4:$F$63,5,FALSE),""),"")</f>
        <v/>
      </c>
      <c r="DF27" s="41" t="str">
        <f>IFERROR(IF(AX27=1,VLOOKUP(AX$2,활동내용입력!$B$4:$F$63,5,FALSE),""),"")</f>
        <v/>
      </c>
      <c r="DG27" s="41" t="str">
        <f>IFERROR(IF(AY27=1,VLOOKUP(AY$2,활동내용입력!$B$4:$F$63,5,FALSE),""),"")</f>
        <v/>
      </c>
      <c r="DH27" s="41" t="str">
        <f>IFERROR(IF(AZ27=1,VLOOKUP(AZ$2,활동내용입력!$B$4:$F$63,5,FALSE),""),"")</f>
        <v/>
      </c>
      <c r="DI27" s="41" t="str">
        <f>IFERROR(IF(BA27=1,VLOOKUP(BA$2,활동내용입력!$B$4:$F$63,5,FALSE),""),"")</f>
        <v/>
      </c>
      <c r="DJ27" s="41" t="str">
        <f>IFERROR(IF(BB27=1,VLOOKUP(BB$2,활동내용입력!$B$4:$F$63,5,FALSE),""),"")</f>
        <v/>
      </c>
      <c r="DK27" s="41" t="str">
        <f>IFERROR(IF(BC27=1,VLOOKUP(BC$2,활동내용입력!$B$4:$F$63,5,FALSE),""),"")</f>
        <v/>
      </c>
      <c r="DL27" s="41" t="str">
        <f>IFERROR(IF(BD27=1,VLOOKUP(BD$2,활동내용입력!$B$4:$F$63,5,FALSE),""),"")</f>
        <v/>
      </c>
      <c r="DM27" s="41" t="str">
        <f>IFERROR(IF(BE27=1,VLOOKUP(BE$2,활동내용입력!$B$4:$F$63,5,FALSE),""),"")</f>
        <v/>
      </c>
      <c r="DN27" s="41" t="str">
        <f>IFERROR(IF(BF27=1,VLOOKUP(BF$2,활동내용입력!$B$4:$F$63,5,FALSE),""),"")</f>
        <v/>
      </c>
      <c r="DO27" s="41" t="str">
        <f>IFERROR(IF(BG27=1,VLOOKUP(BG$2,활동내용입력!$B$4:$F$63,5,FALSE),""),"")</f>
        <v/>
      </c>
      <c r="DP27" s="41" t="str">
        <f>IFERROR(IF(BH27=1,VLOOKUP(BH$2,활동내용입력!$B$4:$F$63,5,FALSE),""),"")</f>
        <v/>
      </c>
      <c r="DQ27" s="41" t="str">
        <f>IFERROR(IF(BI27=1,VLOOKUP(BI$2,활동내용입력!$B$4:$F$63,5,FALSE),""),"")</f>
        <v/>
      </c>
      <c r="DR27" s="41" t="str">
        <f>IFERROR(IF(BJ27=1,VLOOKUP(BJ$2,활동내용입력!$B$4:$F$63,5,FALSE),""),"")</f>
        <v/>
      </c>
      <c r="DS27" s="41" t="str">
        <f t="shared" si="7"/>
        <v/>
      </c>
      <c r="DT27" s="42">
        <f t="shared" si="6"/>
        <v>0</v>
      </c>
      <c r="DU27" s="34"/>
    </row>
    <row r="28" spans="1:125" x14ac:dyDescent="0.3">
      <c r="A28" s="58">
        <v>24</v>
      </c>
      <c r="B28" s="57"/>
      <c r="C28" s="40"/>
      <c r="D28" s="40"/>
      <c r="E28" s="40"/>
      <c r="F28" s="40"/>
      <c r="G28" s="40"/>
      <c r="H28" s="40"/>
      <c r="I28" s="40"/>
      <c r="J28" s="40"/>
      <c r="K28" s="40"/>
      <c r="L28" s="40"/>
      <c r="M28" s="40"/>
      <c r="N28" s="40"/>
      <c r="O28" s="40"/>
      <c r="P28" s="40"/>
      <c r="Q28" s="40"/>
      <c r="R28" s="40"/>
      <c r="S28" s="40"/>
      <c r="T28" s="40"/>
      <c r="U28" s="40"/>
      <c r="V28" s="40"/>
      <c r="W28" s="40"/>
      <c r="X28" s="40"/>
      <c r="Y28" s="40"/>
      <c r="Z28" s="40"/>
      <c r="AA28" s="40"/>
      <c r="AB28" s="40"/>
      <c r="AC28" s="40"/>
      <c r="AD28" s="40"/>
      <c r="AE28" s="40"/>
      <c r="AF28" s="40"/>
      <c r="AG28" s="40"/>
      <c r="AH28" s="40"/>
      <c r="AI28" s="40"/>
      <c r="AJ28" s="40"/>
      <c r="AK28" s="40"/>
      <c r="AL28" s="40"/>
      <c r="AM28" s="40"/>
      <c r="AN28" s="40"/>
      <c r="AO28" s="40"/>
      <c r="AP28" s="40"/>
      <c r="AQ28" s="40"/>
      <c r="AR28" s="40"/>
      <c r="AS28" s="40"/>
      <c r="AT28" s="40"/>
      <c r="AU28" s="40"/>
      <c r="AV28" s="40"/>
      <c r="AW28" s="40"/>
      <c r="AX28" s="40"/>
      <c r="AY28" s="40"/>
      <c r="AZ28" s="40"/>
      <c r="BA28" s="40"/>
      <c r="BB28" s="40"/>
      <c r="BC28" s="40"/>
      <c r="BD28" s="40"/>
      <c r="BE28" s="40"/>
      <c r="BF28" s="40"/>
      <c r="BG28" s="40"/>
      <c r="BH28" s="40"/>
      <c r="BI28" s="40"/>
      <c r="BJ28" s="40"/>
      <c r="BK28" s="41" t="str">
        <f>IFERROR(IF(C28=1,VLOOKUP(C$2,활동내용입력!$B$4:$F$63,5,FALSE),""),"")</f>
        <v/>
      </c>
      <c r="BL28" s="41" t="str">
        <f>IFERROR(IF(D28=1,VLOOKUP(D$2,활동내용입력!$B$4:$F$63,5,FALSE),""),"")</f>
        <v/>
      </c>
      <c r="BM28" s="41" t="str">
        <f>IFERROR(IF(E28=1,VLOOKUP(E$2,활동내용입력!$B$4:$F$63,5,FALSE),""),"")</f>
        <v/>
      </c>
      <c r="BN28" s="41" t="str">
        <f>IFERROR(IF(F28=1,VLOOKUP(F$2,활동내용입력!$B$4:$F$63,5,FALSE),""),"")</f>
        <v/>
      </c>
      <c r="BO28" s="41" t="str">
        <f>IFERROR(IF(G28=1,VLOOKUP(G$2,활동내용입력!$B$4:$F$63,5,FALSE),""),"")</f>
        <v/>
      </c>
      <c r="BP28" s="41" t="str">
        <f>IFERROR(IF(H28=1,VLOOKUP(H$2,활동내용입력!$B$4:$F$63,5,FALSE),""),"")</f>
        <v/>
      </c>
      <c r="BQ28" s="41" t="str">
        <f>IFERROR(IF(I28=1,VLOOKUP(I$2,활동내용입력!$B$4:$F$63,5,FALSE),""),"")</f>
        <v/>
      </c>
      <c r="BR28" s="41" t="str">
        <f>IFERROR(IF(J28=1,VLOOKUP(J$2,활동내용입력!$B$4:$F$63,5,FALSE),""),"")</f>
        <v/>
      </c>
      <c r="BS28" s="41" t="str">
        <f>IFERROR(IF(K28=1,VLOOKUP(K$2,활동내용입력!$B$4:$F$63,5,FALSE),""),"")</f>
        <v/>
      </c>
      <c r="BT28" s="41" t="str">
        <f>IFERROR(IF(L28=1,VLOOKUP(L$2,활동내용입력!$B$4:$F$63,5,FALSE),""),"")</f>
        <v/>
      </c>
      <c r="BU28" s="41" t="str">
        <f>IFERROR(IF(M28=1,VLOOKUP(M$2,활동내용입력!$B$4:$F$63,5,FALSE),""),"")</f>
        <v/>
      </c>
      <c r="BV28" s="41" t="str">
        <f>IFERROR(IF(N28=1,VLOOKUP(N$2,활동내용입력!$B$4:$F$63,5,FALSE),""),"")</f>
        <v/>
      </c>
      <c r="BW28" s="41" t="str">
        <f>IFERROR(IF(O28=1,VLOOKUP(O$2,활동내용입력!$B$4:$F$63,5,FALSE),""),"")</f>
        <v/>
      </c>
      <c r="BX28" s="41" t="str">
        <f>IFERROR(IF(P28=1,VLOOKUP(P$2,활동내용입력!$B$4:$F$63,5,FALSE),""),"")</f>
        <v/>
      </c>
      <c r="BY28" s="41" t="str">
        <f>IFERROR(IF(Q28=1,VLOOKUP(Q$2,활동내용입력!$B$4:$F$63,5,FALSE),""),"")</f>
        <v/>
      </c>
      <c r="BZ28" s="41" t="str">
        <f>IFERROR(IF(R28=1,VLOOKUP(R$2,활동내용입력!$B$4:$F$63,5,FALSE),""),"")</f>
        <v/>
      </c>
      <c r="CA28" s="41" t="str">
        <f>IFERROR(IF(S28=1,VLOOKUP(S$2,활동내용입력!$B$4:$F$63,5,FALSE),""),"")</f>
        <v/>
      </c>
      <c r="CB28" s="41" t="str">
        <f>IFERROR(IF(T28=1,VLOOKUP(T$2,활동내용입력!$B$4:$F$63,5,FALSE),""),"")</f>
        <v/>
      </c>
      <c r="CC28" s="41" t="str">
        <f>IFERROR(IF(U28=1,VLOOKUP(U$2,활동내용입력!$B$4:$F$63,5,FALSE),""),"")</f>
        <v/>
      </c>
      <c r="CD28" s="41" t="str">
        <f>IFERROR(IF(V28=1,VLOOKUP(V$2,활동내용입력!$B$4:$F$63,5,FALSE),""),"")</f>
        <v/>
      </c>
      <c r="CE28" s="41" t="str">
        <f>IFERROR(IF(W28=1,VLOOKUP(W$2,활동내용입력!$B$4:$F$63,5,FALSE),""),"")</f>
        <v/>
      </c>
      <c r="CF28" s="41" t="str">
        <f>IFERROR(IF(X28=1,VLOOKUP(X$2,활동내용입력!$B$4:$F$63,5,FALSE),""),"")</f>
        <v/>
      </c>
      <c r="CG28" s="41" t="str">
        <f>IFERROR(IF(Y28=1,VLOOKUP(Y$2,활동내용입력!$B$4:$F$63,5,FALSE),""),"")</f>
        <v/>
      </c>
      <c r="CH28" s="41" t="str">
        <f>IFERROR(IF(Z28=1,VLOOKUP(Z$2,활동내용입력!$B$4:$F$63,5,FALSE),""),"")</f>
        <v/>
      </c>
      <c r="CI28" s="41" t="str">
        <f>IFERROR(IF(AA28=1,VLOOKUP(AA$2,활동내용입력!$B$4:$F$63,5,FALSE),""),"")</f>
        <v/>
      </c>
      <c r="CJ28" s="41" t="str">
        <f>IFERROR(IF(AB28=1,VLOOKUP(AB$2,활동내용입력!$B$4:$F$63,5,FALSE),""),"")</f>
        <v/>
      </c>
      <c r="CK28" s="41" t="str">
        <f>IFERROR(IF(AC28=1,VLOOKUP(AC$2,활동내용입력!$B$4:$F$63,5,FALSE),""),"")</f>
        <v/>
      </c>
      <c r="CL28" s="41" t="str">
        <f>IFERROR(IF(AD28=1,VLOOKUP(AD$2,활동내용입력!$B$4:$F$63,5,FALSE),""),"")</f>
        <v/>
      </c>
      <c r="CM28" s="41" t="str">
        <f>IFERROR(IF(AE28=1,VLOOKUP(AE$2,활동내용입력!$B$4:$F$63,5,FALSE),""),"")</f>
        <v/>
      </c>
      <c r="CN28" s="41" t="str">
        <f>IFERROR(IF(AF28=1,VLOOKUP(AF$2,활동내용입력!$B$4:$F$63,5,FALSE),""),"")</f>
        <v/>
      </c>
      <c r="CO28" s="41" t="str">
        <f>IFERROR(IF(AG28=1,VLOOKUP(AG$2,활동내용입력!$B$4:$F$63,5,FALSE),""),"")</f>
        <v/>
      </c>
      <c r="CP28" s="41" t="str">
        <f>IFERROR(IF(AH28=1,VLOOKUP(AH$2,활동내용입력!$B$4:$F$63,5,FALSE),""),"")</f>
        <v/>
      </c>
      <c r="CQ28" s="41" t="str">
        <f>IFERROR(IF(AI28=1,VLOOKUP(AI$2,활동내용입력!$B$4:$F$63,5,FALSE),""),"")</f>
        <v/>
      </c>
      <c r="CR28" s="41" t="str">
        <f>IFERROR(IF(AJ28=1,VLOOKUP(AJ$2,활동내용입력!$B$4:$F$63,5,FALSE),""),"")</f>
        <v/>
      </c>
      <c r="CS28" s="41" t="str">
        <f>IFERROR(IF(AK28=1,VLOOKUP(AK$2,활동내용입력!$B$4:$F$63,5,FALSE),""),"")</f>
        <v/>
      </c>
      <c r="CT28" s="41" t="str">
        <f>IFERROR(IF(AL28=1,VLOOKUP(AL$2,활동내용입력!$B$4:$F$63,5,FALSE),""),"")</f>
        <v/>
      </c>
      <c r="CU28" s="41" t="str">
        <f>IFERROR(IF(AM28=1,VLOOKUP(AM$2,활동내용입력!$B$4:$F$63,5,FALSE),""),"")</f>
        <v/>
      </c>
      <c r="CV28" s="41" t="str">
        <f>IFERROR(IF(AN28=1,VLOOKUP(AN$2,활동내용입력!$B$4:$F$63,5,FALSE),""),"")</f>
        <v/>
      </c>
      <c r="CW28" s="41" t="str">
        <f>IFERROR(IF(AO28=1,VLOOKUP(AO$2,활동내용입력!$B$4:$F$63,5,FALSE),""),"")</f>
        <v/>
      </c>
      <c r="CX28" s="41" t="str">
        <f>IFERROR(IF(AP28=1,VLOOKUP(AP$2,활동내용입력!$B$4:$F$63,5,FALSE),""),"")</f>
        <v/>
      </c>
      <c r="CY28" s="41" t="str">
        <f>IFERROR(IF(AQ28=1,VLOOKUP(AQ$2,활동내용입력!$B$4:$F$63,5,FALSE),""),"")</f>
        <v/>
      </c>
      <c r="CZ28" s="41" t="str">
        <f>IFERROR(IF(AR28=1,VLOOKUP(AR$2,활동내용입력!$B$4:$F$63,5,FALSE),""),"")</f>
        <v/>
      </c>
      <c r="DA28" s="41" t="str">
        <f>IFERROR(IF(AS28=1,VLOOKUP(AS$2,활동내용입력!$B$4:$F$63,5,FALSE),""),"")</f>
        <v/>
      </c>
      <c r="DB28" s="41" t="str">
        <f>IFERROR(IF(AT28=1,VLOOKUP(AT$2,활동내용입력!$B$4:$F$63,5,FALSE),""),"")</f>
        <v/>
      </c>
      <c r="DC28" s="41" t="str">
        <f>IFERROR(IF(AU28=1,VLOOKUP(AU$2,활동내용입력!$B$4:$F$63,5,FALSE),""),"")</f>
        <v/>
      </c>
      <c r="DD28" s="41" t="str">
        <f>IFERROR(IF(AV28=1,VLOOKUP(AV$2,활동내용입력!$B$4:$F$63,5,FALSE),""),"")</f>
        <v/>
      </c>
      <c r="DE28" s="41" t="str">
        <f>IFERROR(IF(AW28=1,VLOOKUP(AW$2,활동내용입력!$B$4:$F$63,5,FALSE),""),"")</f>
        <v/>
      </c>
      <c r="DF28" s="41" t="str">
        <f>IFERROR(IF(AX28=1,VLOOKUP(AX$2,활동내용입력!$B$4:$F$63,5,FALSE),""),"")</f>
        <v/>
      </c>
      <c r="DG28" s="41" t="str">
        <f>IFERROR(IF(AY28=1,VLOOKUP(AY$2,활동내용입력!$B$4:$F$63,5,FALSE),""),"")</f>
        <v/>
      </c>
      <c r="DH28" s="41" t="str">
        <f>IFERROR(IF(AZ28=1,VLOOKUP(AZ$2,활동내용입력!$B$4:$F$63,5,FALSE),""),"")</f>
        <v/>
      </c>
      <c r="DI28" s="41" t="str">
        <f>IFERROR(IF(BA28=1,VLOOKUP(BA$2,활동내용입력!$B$4:$F$63,5,FALSE),""),"")</f>
        <v/>
      </c>
      <c r="DJ28" s="41" t="str">
        <f>IFERROR(IF(BB28=1,VLOOKUP(BB$2,활동내용입력!$B$4:$F$63,5,FALSE),""),"")</f>
        <v/>
      </c>
      <c r="DK28" s="41" t="str">
        <f>IFERROR(IF(BC28=1,VLOOKUP(BC$2,활동내용입력!$B$4:$F$63,5,FALSE),""),"")</f>
        <v/>
      </c>
      <c r="DL28" s="41" t="str">
        <f>IFERROR(IF(BD28=1,VLOOKUP(BD$2,활동내용입력!$B$4:$F$63,5,FALSE),""),"")</f>
        <v/>
      </c>
      <c r="DM28" s="41" t="str">
        <f>IFERROR(IF(BE28=1,VLOOKUP(BE$2,활동내용입력!$B$4:$F$63,5,FALSE),""),"")</f>
        <v/>
      </c>
      <c r="DN28" s="41" t="str">
        <f>IFERROR(IF(BF28=1,VLOOKUP(BF$2,활동내용입력!$B$4:$F$63,5,FALSE),""),"")</f>
        <v/>
      </c>
      <c r="DO28" s="41" t="str">
        <f>IFERROR(IF(BG28=1,VLOOKUP(BG$2,활동내용입력!$B$4:$F$63,5,FALSE),""),"")</f>
        <v/>
      </c>
      <c r="DP28" s="41" t="str">
        <f>IFERROR(IF(BH28=1,VLOOKUP(BH$2,활동내용입력!$B$4:$F$63,5,FALSE),""),"")</f>
        <v/>
      </c>
      <c r="DQ28" s="41" t="str">
        <f>IFERROR(IF(BI28=1,VLOOKUP(BI$2,활동내용입력!$B$4:$F$63,5,FALSE),""),"")</f>
        <v/>
      </c>
      <c r="DR28" s="41" t="str">
        <f>IFERROR(IF(BJ28=1,VLOOKUP(BJ$2,활동내용입력!$B$4:$F$63,5,FALSE),""),"")</f>
        <v/>
      </c>
      <c r="DS28" s="41" t="str">
        <f t="shared" si="7"/>
        <v/>
      </c>
      <c r="DT28" s="42">
        <f t="shared" si="6"/>
        <v>0</v>
      </c>
      <c r="DU28" s="34"/>
    </row>
    <row r="29" spans="1:125" x14ac:dyDescent="0.3">
      <c r="A29" s="58">
        <v>25</v>
      </c>
      <c r="B29" s="57"/>
      <c r="C29" s="40"/>
      <c r="D29" s="40"/>
      <c r="E29" s="40"/>
      <c r="F29" s="40"/>
      <c r="G29" s="40"/>
      <c r="H29" s="40"/>
      <c r="I29" s="40"/>
      <c r="J29" s="40"/>
      <c r="K29" s="40"/>
      <c r="L29" s="40"/>
      <c r="M29" s="40"/>
      <c r="N29" s="40"/>
      <c r="O29" s="40"/>
      <c r="P29" s="40"/>
      <c r="Q29" s="40"/>
      <c r="R29" s="40"/>
      <c r="S29" s="40"/>
      <c r="T29" s="40"/>
      <c r="U29" s="40"/>
      <c r="V29" s="40"/>
      <c r="W29" s="40"/>
      <c r="X29" s="40"/>
      <c r="Y29" s="40"/>
      <c r="Z29" s="40"/>
      <c r="AA29" s="40"/>
      <c r="AB29" s="40"/>
      <c r="AC29" s="40"/>
      <c r="AD29" s="40"/>
      <c r="AE29" s="40"/>
      <c r="AF29" s="40"/>
      <c r="AG29" s="40"/>
      <c r="AH29" s="40"/>
      <c r="AI29" s="40"/>
      <c r="AJ29" s="40"/>
      <c r="AK29" s="40"/>
      <c r="AL29" s="40"/>
      <c r="AM29" s="40"/>
      <c r="AN29" s="40"/>
      <c r="AO29" s="40"/>
      <c r="AP29" s="40"/>
      <c r="AQ29" s="40"/>
      <c r="AR29" s="40"/>
      <c r="AS29" s="40"/>
      <c r="AT29" s="40"/>
      <c r="AU29" s="40"/>
      <c r="AV29" s="40"/>
      <c r="AW29" s="40"/>
      <c r="AX29" s="40"/>
      <c r="AY29" s="40"/>
      <c r="AZ29" s="40"/>
      <c r="BA29" s="40"/>
      <c r="BB29" s="40"/>
      <c r="BC29" s="40"/>
      <c r="BD29" s="40"/>
      <c r="BE29" s="40"/>
      <c r="BF29" s="40"/>
      <c r="BG29" s="40"/>
      <c r="BH29" s="40"/>
      <c r="BI29" s="40"/>
      <c r="BJ29" s="40"/>
      <c r="BK29" s="41" t="str">
        <f>IFERROR(IF(C29=1,VLOOKUP(C$2,활동내용입력!$B$4:$F$63,5,FALSE),""),"")</f>
        <v/>
      </c>
      <c r="BL29" s="41" t="str">
        <f>IFERROR(IF(D29=1,VLOOKUP(D$2,활동내용입력!$B$4:$F$63,5,FALSE),""),"")</f>
        <v/>
      </c>
      <c r="BM29" s="41" t="str">
        <f>IFERROR(IF(E29=1,VLOOKUP(E$2,활동내용입력!$B$4:$F$63,5,FALSE),""),"")</f>
        <v/>
      </c>
      <c r="BN29" s="41" t="str">
        <f>IFERROR(IF(F29=1,VLOOKUP(F$2,활동내용입력!$B$4:$F$63,5,FALSE),""),"")</f>
        <v/>
      </c>
      <c r="BO29" s="41" t="str">
        <f>IFERROR(IF(G29=1,VLOOKUP(G$2,활동내용입력!$B$4:$F$63,5,FALSE),""),"")</f>
        <v/>
      </c>
      <c r="BP29" s="41" t="str">
        <f>IFERROR(IF(H29=1,VLOOKUP(H$2,활동내용입력!$B$4:$F$63,5,FALSE),""),"")</f>
        <v/>
      </c>
      <c r="BQ29" s="41" t="str">
        <f>IFERROR(IF(I29=1,VLOOKUP(I$2,활동내용입력!$B$4:$F$63,5,FALSE),""),"")</f>
        <v/>
      </c>
      <c r="BR29" s="41" t="str">
        <f>IFERROR(IF(J29=1,VLOOKUP(J$2,활동내용입력!$B$4:$F$63,5,FALSE),""),"")</f>
        <v/>
      </c>
      <c r="BS29" s="41" t="str">
        <f>IFERROR(IF(K29=1,VLOOKUP(K$2,활동내용입력!$B$4:$F$63,5,FALSE),""),"")</f>
        <v/>
      </c>
      <c r="BT29" s="41" t="str">
        <f>IFERROR(IF(L29=1,VLOOKUP(L$2,활동내용입력!$B$4:$F$63,5,FALSE),""),"")</f>
        <v/>
      </c>
      <c r="BU29" s="41" t="str">
        <f>IFERROR(IF(M29=1,VLOOKUP(M$2,활동내용입력!$B$4:$F$63,5,FALSE),""),"")</f>
        <v/>
      </c>
      <c r="BV29" s="41" t="str">
        <f>IFERROR(IF(N29=1,VLOOKUP(N$2,활동내용입력!$B$4:$F$63,5,FALSE),""),"")</f>
        <v/>
      </c>
      <c r="BW29" s="41" t="str">
        <f>IFERROR(IF(O29=1,VLOOKUP(O$2,활동내용입력!$B$4:$F$63,5,FALSE),""),"")</f>
        <v/>
      </c>
      <c r="BX29" s="41" t="str">
        <f>IFERROR(IF(P29=1,VLOOKUP(P$2,활동내용입력!$B$4:$F$63,5,FALSE),""),"")</f>
        <v/>
      </c>
      <c r="BY29" s="41" t="str">
        <f>IFERROR(IF(Q29=1,VLOOKUP(Q$2,활동내용입력!$B$4:$F$63,5,FALSE),""),"")</f>
        <v/>
      </c>
      <c r="BZ29" s="41" t="str">
        <f>IFERROR(IF(R29=1,VLOOKUP(R$2,활동내용입력!$B$4:$F$63,5,FALSE),""),"")</f>
        <v/>
      </c>
      <c r="CA29" s="41" t="str">
        <f>IFERROR(IF(S29=1,VLOOKUP(S$2,활동내용입력!$B$4:$F$63,5,FALSE),""),"")</f>
        <v/>
      </c>
      <c r="CB29" s="41" t="str">
        <f>IFERROR(IF(T29=1,VLOOKUP(T$2,활동내용입력!$B$4:$F$63,5,FALSE),""),"")</f>
        <v/>
      </c>
      <c r="CC29" s="41" t="str">
        <f>IFERROR(IF(U29=1,VLOOKUP(U$2,활동내용입력!$B$4:$F$63,5,FALSE),""),"")</f>
        <v/>
      </c>
      <c r="CD29" s="41" t="str">
        <f>IFERROR(IF(V29=1,VLOOKUP(V$2,활동내용입력!$B$4:$F$63,5,FALSE),""),"")</f>
        <v/>
      </c>
      <c r="CE29" s="41" t="str">
        <f>IFERROR(IF(W29=1,VLOOKUP(W$2,활동내용입력!$B$4:$F$63,5,FALSE),""),"")</f>
        <v/>
      </c>
      <c r="CF29" s="41" t="str">
        <f>IFERROR(IF(X29=1,VLOOKUP(X$2,활동내용입력!$B$4:$F$63,5,FALSE),""),"")</f>
        <v/>
      </c>
      <c r="CG29" s="41" t="str">
        <f>IFERROR(IF(Y29=1,VLOOKUP(Y$2,활동내용입력!$B$4:$F$63,5,FALSE),""),"")</f>
        <v/>
      </c>
      <c r="CH29" s="41" t="str">
        <f>IFERROR(IF(Z29=1,VLOOKUP(Z$2,활동내용입력!$B$4:$F$63,5,FALSE),""),"")</f>
        <v/>
      </c>
      <c r="CI29" s="41" t="str">
        <f>IFERROR(IF(AA29=1,VLOOKUP(AA$2,활동내용입력!$B$4:$F$63,5,FALSE),""),"")</f>
        <v/>
      </c>
      <c r="CJ29" s="41" t="str">
        <f>IFERROR(IF(AB29=1,VLOOKUP(AB$2,활동내용입력!$B$4:$F$63,5,FALSE),""),"")</f>
        <v/>
      </c>
      <c r="CK29" s="41" t="str">
        <f>IFERROR(IF(AC29=1,VLOOKUP(AC$2,활동내용입력!$B$4:$F$63,5,FALSE),""),"")</f>
        <v/>
      </c>
      <c r="CL29" s="41" t="str">
        <f>IFERROR(IF(AD29=1,VLOOKUP(AD$2,활동내용입력!$B$4:$F$63,5,FALSE),""),"")</f>
        <v/>
      </c>
      <c r="CM29" s="41" t="str">
        <f>IFERROR(IF(AE29=1,VLOOKUP(AE$2,활동내용입력!$B$4:$F$63,5,FALSE),""),"")</f>
        <v/>
      </c>
      <c r="CN29" s="41" t="str">
        <f>IFERROR(IF(AF29=1,VLOOKUP(AF$2,활동내용입력!$B$4:$F$63,5,FALSE),""),"")</f>
        <v/>
      </c>
      <c r="CO29" s="41" t="str">
        <f>IFERROR(IF(AG29=1,VLOOKUP(AG$2,활동내용입력!$B$4:$F$63,5,FALSE),""),"")</f>
        <v/>
      </c>
      <c r="CP29" s="41" t="str">
        <f>IFERROR(IF(AH29=1,VLOOKUP(AH$2,활동내용입력!$B$4:$F$63,5,FALSE),""),"")</f>
        <v/>
      </c>
      <c r="CQ29" s="41" t="str">
        <f>IFERROR(IF(AI29=1,VLOOKUP(AI$2,활동내용입력!$B$4:$F$63,5,FALSE),""),"")</f>
        <v/>
      </c>
      <c r="CR29" s="41" t="str">
        <f>IFERROR(IF(AJ29=1,VLOOKUP(AJ$2,활동내용입력!$B$4:$F$63,5,FALSE),""),"")</f>
        <v/>
      </c>
      <c r="CS29" s="41" t="str">
        <f>IFERROR(IF(AK29=1,VLOOKUP(AK$2,활동내용입력!$B$4:$F$63,5,FALSE),""),"")</f>
        <v/>
      </c>
      <c r="CT29" s="41" t="str">
        <f>IFERROR(IF(AL29=1,VLOOKUP(AL$2,활동내용입력!$B$4:$F$63,5,FALSE),""),"")</f>
        <v/>
      </c>
      <c r="CU29" s="41" t="str">
        <f>IFERROR(IF(AM29=1,VLOOKUP(AM$2,활동내용입력!$B$4:$F$63,5,FALSE),""),"")</f>
        <v/>
      </c>
      <c r="CV29" s="41" t="str">
        <f>IFERROR(IF(AN29=1,VLOOKUP(AN$2,활동내용입력!$B$4:$F$63,5,FALSE),""),"")</f>
        <v/>
      </c>
      <c r="CW29" s="41" t="str">
        <f>IFERROR(IF(AO29=1,VLOOKUP(AO$2,활동내용입력!$B$4:$F$63,5,FALSE),""),"")</f>
        <v/>
      </c>
      <c r="CX29" s="41" t="str">
        <f>IFERROR(IF(AP29=1,VLOOKUP(AP$2,활동내용입력!$B$4:$F$63,5,FALSE),""),"")</f>
        <v/>
      </c>
      <c r="CY29" s="41" t="str">
        <f>IFERROR(IF(AQ29=1,VLOOKUP(AQ$2,활동내용입력!$B$4:$F$63,5,FALSE),""),"")</f>
        <v/>
      </c>
      <c r="CZ29" s="41" t="str">
        <f>IFERROR(IF(AR29=1,VLOOKUP(AR$2,활동내용입력!$B$4:$F$63,5,FALSE),""),"")</f>
        <v/>
      </c>
      <c r="DA29" s="41" t="str">
        <f>IFERROR(IF(AS29=1,VLOOKUP(AS$2,활동내용입력!$B$4:$F$63,5,FALSE),""),"")</f>
        <v/>
      </c>
      <c r="DB29" s="41" t="str">
        <f>IFERROR(IF(AT29=1,VLOOKUP(AT$2,활동내용입력!$B$4:$F$63,5,FALSE),""),"")</f>
        <v/>
      </c>
      <c r="DC29" s="41" t="str">
        <f>IFERROR(IF(AU29=1,VLOOKUP(AU$2,활동내용입력!$B$4:$F$63,5,FALSE),""),"")</f>
        <v/>
      </c>
      <c r="DD29" s="41" t="str">
        <f>IFERROR(IF(AV29=1,VLOOKUP(AV$2,활동내용입력!$B$4:$F$63,5,FALSE),""),"")</f>
        <v/>
      </c>
      <c r="DE29" s="41" t="str">
        <f>IFERROR(IF(AW29=1,VLOOKUP(AW$2,활동내용입력!$B$4:$F$63,5,FALSE),""),"")</f>
        <v/>
      </c>
      <c r="DF29" s="41" t="str">
        <f>IFERROR(IF(AX29=1,VLOOKUP(AX$2,활동내용입력!$B$4:$F$63,5,FALSE),""),"")</f>
        <v/>
      </c>
      <c r="DG29" s="41" t="str">
        <f>IFERROR(IF(AY29=1,VLOOKUP(AY$2,활동내용입력!$B$4:$F$63,5,FALSE),""),"")</f>
        <v/>
      </c>
      <c r="DH29" s="41" t="str">
        <f>IFERROR(IF(AZ29=1,VLOOKUP(AZ$2,활동내용입력!$B$4:$F$63,5,FALSE),""),"")</f>
        <v/>
      </c>
      <c r="DI29" s="41" t="str">
        <f>IFERROR(IF(BA29=1,VLOOKUP(BA$2,활동내용입력!$B$4:$F$63,5,FALSE),""),"")</f>
        <v/>
      </c>
      <c r="DJ29" s="41" t="str">
        <f>IFERROR(IF(BB29=1,VLOOKUP(BB$2,활동내용입력!$B$4:$F$63,5,FALSE),""),"")</f>
        <v/>
      </c>
      <c r="DK29" s="41" t="str">
        <f>IFERROR(IF(BC29=1,VLOOKUP(BC$2,활동내용입력!$B$4:$F$63,5,FALSE),""),"")</f>
        <v/>
      </c>
      <c r="DL29" s="41" t="str">
        <f>IFERROR(IF(BD29=1,VLOOKUP(BD$2,활동내용입력!$B$4:$F$63,5,FALSE),""),"")</f>
        <v/>
      </c>
      <c r="DM29" s="41" t="str">
        <f>IFERROR(IF(BE29=1,VLOOKUP(BE$2,활동내용입력!$B$4:$F$63,5,FALSE),""),"")</f>
        <v/>
      </c>
      <c r="DN29" s="41" t="str">
        <f>IFERROR(IF(BF29=1,VLOOKUP(BF$2,활동내용입력!$B$4:$F$63,5,FALSE),""),"")</f>
        <v/>
      </c>
      <c r="DO29" s="41" t="str">
        <f>IFERROR(IF(BG29=1,VLOOKUP(BG$2,활동내용입력!$B$4:$F$63,5,FALSE),""),"")</f>
        <v/>
      </c>
      <c r="DP29" s="41" t="str">
        <f>IFERROR(IF(BH29=1,VLOOKUP(BH$2,활동내용입력!$B$4:$F$63,5,FALSE),""),"")</f>
        <v/>
      </c>
      <c r="DQ29" s="41" t="str">
        <f>IFERROR(IF(BI29=1,VLOOKUP(BI$2,활동내용입력!$B$4:$F$63,5,FALSE),""),"")</f>
        <v/>
      </c>
      <c r="DR29" s="41" t="str">
        <f>IFERROR(IF(BJ29=1,VLOOKUP(BJ$2,활동내용입력!$B$4:$F$63,5,FALSE),""),"")</f>
        <v/>
      </c>
      <c r="DS29" s="41" t="str">
        <f t="shared" si="7"/>
        <v/>
      </c>
      <c r="DT29" s="42">
        <f t="shared" si="6"/>
        <v>0</v>
      </c>
      <c r="DU29" s="34"/>
    </row>
    <row r="30" spans="1:125" x14ac:dyDescent="0.3">
      <c r="A30" s="58">
        <v>26</v>
      </c>
      <c r="B30" s="57"/>
      <c r="C30" s="40"/>
      <c r="D30" s="40"/>
      <c r="E30" s="40"/>
      <c r="F30" s="40"/>
      <c r="G30" s="40"/>
      <c r="H30" s="40"/>
      <c r="I30" s="40"/>
      <c r="J30" s="40"/>
      <c r="K30" s="40"/>
      <c r="L30" s="40"/>
      <c r="M30" s="40"/>
      <c r="N30" s="40"/>
      <c r="O30" s="40"/>
      <c r="P30" s="40"/>
      <c r="Q30" s="40"/>
      <c r="R30" s="40"/>
      <c r="S30" s="40"/>
      <c r="T30" s="40"/>
      <c r="U30" s="40"/>
      <c r="V30" s="40"/>
      <c r="W30" s="40"/>
      <c r="X30" s="40"/>
      <c r="Y30" s="40"/>
      <c r="Z30" s="40"/>
      <c r="AA30" s="40"/>
      <c r="AB30" s="40"/>
      <c r="AC30" s="40"/>
      <c r="AD30" s="40"/>
      <c r="AE30" s="40"/>
      <c r="AF30" s="40"/>
      <c r="AG30" s="40"/>
      <c r="AH30" s="40"/>
      <c r="AI30" s="40"/>
      <c r="AJ30" s="40"/>
      <c r="AK30" s="40"/>
      <c r="AL30" s="40"/>
      <c r="AM30" s="40"/>
      <c r="AN30" s="40"/>
      <c r="AO30" s="40"/>
      <c r="AP30" s="40"/>
      <c r="AQ30" s="40"/>
      <c r="AR30" s="40"/>
      <c r="AS30" s="40"/>
      <c r="AT30" s="40"/>
      <c r="AU30" s="40"/>
      <c r="AV30" s="40"/>
      <c r="AW30" s="40"/>
      <c r="AX30" s="40"/>
      <c r="AY30" s="40"/>
      <c r="AZ30" s="40"/>
      <c r="BA30" s="40"/>
      <c r="BB30" s="40"/>
      <c r="BC30" s="40"/>
      <c r="BD30" s="40"/>
      <c r="BE30" s="40"/>
      <c r="BF30" s="40"/>
      <c r="BG30" s="40"/>
      <c r="BH30" s="40"/>
      <c r="BI30" s="40"/>
      <c r="BJ30" s="40"/>
      <c r="BK30" s="41" t="str">
        <f>IFERROR(IF(C30=1,VLOOKUP(C$2,활동내용입력!$B$4:$F$63,5,FALSE),""),"")</f>
        <v/>
      </c>
      <c r="BL30" s="41" t="str">
        <f>IFERROR(IF(D30=1,VLOOKUP(D$2,활동내용입력!$B$4:$F$63,5,FALSE),""),"")</f>
        <v/>
      </c>
      <c r="BM30" s="41" t="str">
        <f>IFERROR(IF(E30=1,VLOOKUP(E$2,활동내용입력!$B$4:$F$63,5,FALSE),""),"")</f>
        <v/>
      </c>
      <c r="BN30" s="41" t="str">
        <f>IFERROR(IF(F30=1,VLOOKUP(F$2,활동내용입력!$B$4:$F$63,5,FALSE),""),"")</f>
        <v/>
      </c>
      <c r="BO30" s="41" t="str">
        <f>IFERROR(IF(G30=1,VLOOKUP(G$2,활동내용입력!$B$4:$F$63,5,FALSE),""),"")</f>
        <v/>
      </c>
      <c r="BP30" s="41" t="str">
        <f>IFERROR(IF(H30=1,VLOOKUP(H$2,활동내용입력!$B$4:$F$63,5,FALSE),""),"")</f>
        <v/>
      </c>
      <c r="BQ30" s="41" t="str">
        <f>IFERROR(IF(I30=1,VLOOKUP(I$2,활동내용입력!$B$4:$F$63,5,FALSE),""),"")</f>
        <v/>
      </c>
      <c r="BR30" s="41" t="str">
        <f>IFERROR(IF(J30=1,VLOOKUP(J$2,활동내용입력!$B$4:$F$63,5,FALSE),""),"")</f>
        <v/>
      </c>
      <c r="BS30" s="41" t="str">
        <f>IFERROR(IF(K30=1,VLOOKUP(K$2,활동내용입력!$B$4:$F$63,5,FALSE),""),"")</f>
        <v/>
      </c>
      <c r="BT30" s="41" t="str">
        <f>IFERROR(IF(L30=1,VLOOKUP(L$2,활동내용입력!$B$4:$F$63,5,FALSE),""),"")</f>
        <v/>
      </c>
      <c r="BU30" s="41" t="str">
        <f>IFERROR(IF(M30=1,VLOOKUP(M$2,활동내용입력!$B$4:$F$63,5,FALSE),""),"")</f>
        <v/>
      </c>
      <c r="BV30" s="41" t="str">
        <f>IFERROR(IF(N30=1,VLOOKUP(N$2,활동내용입력!$B$4:$F$63,5,FALSE),""),"")</f>
        <v/>
      </c>
      <c r="BW30" s="41" t="str">
        <f>IFERROR(IF(O30=1,VLOOKUP(O$2,활동내용입력!$B$4:$F$63,5,FALSE),""),"")</f>
        <v/>
      </c>
      <c r="BX30" s="41" t="str">
        <f>IFERROR(IF(P30=1,VLOOKUP(P$2,활동내용입력!$B$4:$F$63,5,FALSE),""),"")</f>
        <v/>
      </c>
      <c r="BY30" s="41" t="str">
        <f>IFERROR(IF(Q30=1,VLOOKUP(Q$2,활동내용입력!$B$4:$F$63,5,FALSE),""),"")</f>
        <v/>
      </c>
      <c r="BZ30" s="41" t="str">
        <f>IFERROR(IF(R30=1,VLOOKUP(R$2,활동내용입력!$B$4:$F$63,5,FALSE),""),"")</f>
        <v/>
      </c>
      <c r="CA30" s="41" t="str">
        <f>IFERROR(IF(S30=1,VLOOKUP(S$2,활동내용입력!$B$4:$F$63,5,FALSE),""),"")</f>
        <v/>
      </c>
      <c r="CB30" s="41" t="str">
        <f>IFERROR(IF(T30=1,VLOOKUP(T$2,활동내용입력!$B$4:$F$63,5,FALSE),""),"")</f>
        <v/>
      </c>
      <c r="CC30" s="41" t="str">
        <f>IFERROR(IF(U30=1,VLOOKUP(U$2,활동내용입력!$B$4:$F$63,5,FALSE),""),"")</f>
        <v/>
      </c>
      <c r="CD30" s="41" t="str">
        <f>IFERROR(IF(V30=1,VLOOKUP(V$2,활동내용입력!$B$4:$F$63,5,FALSE),""),"")</f>
        <v/>
      </c>
      <c r="CE30" s="41" t="str">
        <f>IFERROR(IF(W30=1,VLOOKUP(W$2,활동내용입력!$B$4:$F$63,5,FALSE),""),"")</f>
        <v/>
      </c>
      <c r="CF30" s="41" t="str">
        <f>IFERROR(IF(X30=1,VLOOKUP(X$2,활동내용입력!$B$4:$F$63,5,FALSE),""),"")</f>
        <v/>
      </c>
      <c r="CG30" s="41" t="str">
        <f>IFERROR(IF(Y30=1,VLOOKUP(Y$2,활동내용입력!$B$4:$F$63,5,FALSE),""),"")</f>
        <v/>
      </c>
      <c r="CH30" s="41" t="str">
        <f>IFERROR(IF(Z30=1,VLOOKUP(Z$2,활동내용입력!$B$4:$F$63,5,FALSE),""),"")</f>
        <v/>
      </c>
      <c r="CI30" s="41" t="str">
        <f>IFERROR(IF(AA30=1,VLOOKUP(AA$2,활동내용입력!$B$4:$F$63,5,FALSE),""),"")</f>
        <v/>
      </c>
      <c r="CJ30" s="41" t="str">
        <f>IFERROR(IF(AB30=1,VLOOKUP(AB$2,활동내용입력!$B$4:$F$63,5,FALSE),""),"")</f>
        <v/>
      </c>
      <c r="CK30" s="41" t="str">
        <f>IFERROR(IF(AC30=1,VLOOKUP(AC$2,활동내용입력!$B$4:$F$63,5,FALSE),""),"")</f>
        <v/>
      </c>
      <c r="CL30" s="41" t="str">
        <f>IFERROR(IF(AD30=1,VLOOKUP(AD$2,활동내용입력!$B$4:$F$63,5,FALSE),""),"")</f>
        <v/>
      </c>
      <c r="CM30" s="41" t="str">
        <f>IFERROR(IF(AE30=1,VLOOKUP(AE$2,활동내용입력!$B$4:$F$63,5,FALSE),""),"")</f>
        <v/>
      </c>
      <c r="CN30" s="41" t="str">
        <f>IFERROR(IF(AF30=1,VLOOKUP(AF$2,활동내용입력!$B$4:$F$63,5,FALSE),""),"")</f>
        <v/>
      </c>
      <c r="CO30" s="41" t="str">
        <f>IFERROR(IF(AG30=1,VLOOKUP(AG$2,활동내용입력!$B$4:$F$63,5,FALSE),""),"")</f>
        <v/>
      </c>
      <c r="CP30" s="41" t="str">
        <f>IFERROR(IF(AH30=1,VLOOKUP(AH$2,활동내용입력!$B$4:$F$63,5,FALSE),""),"")</f>
        <v/>
      </c>
      <c r="CQ30" s="41" t="str">
        <f>IFERROR(IF(AI30=1,VLOOKUP(AI$2,활동내용입력!$B$4:$F$63,5,FALSE),""),"")</f>
        <v/>
      </c>
      <c r="CR30" s="41" t="str">
        <f>IFERROR(IF(AJ30=1,VLOOKUP(AJ$2,활동내용입력!$B$4:$F$63,5,FALSE),""),"")</f>
        <v/>
      </c>
      <c r="CS30" s="41" t="str">
        <f>IFERROR(IF(AK30=1,VLOOKUP(AK$2,활동내용입력!$B$4:$F$63,5,FALSE),""),"")</f>
        <v/>
      </c>
      <c r="CT30" s="41" t="str">
        <f>IFERROR(IF(AL30=1,VLOOKUP(AL$2,활동내용입력!$B$4:$F$63,5,FALSE),""),"")</f>
        <v/>
      </c>
      <c r="CU30" s="41" t="str">
        <f>IFERROR(IF(AM30=1,VLOOKUP(AM$2,활동내용입력!$B$4:$F$63,5,FALSE),""),"")</f>
        <v/>
      </c>
      <c r="CV30" s="41" t="str">
        <f>IFERROR(IF(AN30=1,VLOOKUP(AN$2,활동내용입력!$B$4:$F$63,5,FALSE),""),"")</f>
        <v/>
      </c>
      <c r="CW30" s="41" t="str">
        <f>IFERROR(IF(AO30=1,VLOOKUP(AO$2,활동내용입력!$B$4:$F$63,5,FALSE),""),"")</f>
        <v/>
      </c>
      <c r="CX30" s="41" t="str">
        <f>IFERROR(IF(AP30=1,VLOOKUP(AP$2,활동내용입력!$B$4:$F$63,5,FALSE),""),"")</f>
        <v/>
      </c>
      <c r="CY30" s="41" t="str">
        <f>IFERROR(IF(AQ30=1,VLOOKUP(AQ$2,활동내용입력!$B$4:$F$63,5,FALSE),""),"")</f>
        <v/>
      </c>
      <c r="CZ30" s="41" t="str">
        <f>IFERROR(IF(AR30=1,VLOOKUP(AR$2,활동내용입력!$B$4:$F$63,5,FALSE),""),"")</f>
        <v/>
      </c>
      <c r="DA30" s="41" t="str">
        <f>IFERROR(IF(AS30=1,VLOOKUP(AS$2,활동내용입력!$B$4:$F$63,5,FALSE),""),"")</f>
        <v/>
      </c>
      <c r="DB30" s="41" t="str">
        <f>IFERROR(IF(AT30=1,VLOOKUP(AT$2,활동내용입력!$B$4:$F$63,5,FALSE),""),"")</f>
        <v/>
      </c>
      <c r="DC30" s="41" t="str">
        <f>IFERROR(IF(AU30=1,VLOOKUP(AU$2,활동내용입력!$B$4:$F$63,5,FALSE),""),"")</f>
        <v/>
      </c>
      <c r="DD30" s="41" t="str">
        <f>IFERROR(IF(AV30=1,VLOOKUP(AV$2,활동내용입력!$B$4:$F$63,5,FALSE),""),"")</f>
        <v/>
      </c>
      <c r="DE30" s="41" t="str">
        <f>IFERROR(IF(AW30=1,VLOOKUP(AW$2,활동내용입력!$B$4:$F$63,5,FALSE),""),"")</f>
        <v/>
      </c>
      <c r="DF30" s="41" t="str">
        <f>IFERROR(IF(AX30=1,VLOOKUP(AX$2,활동내용입력!$B$4:$F$63,5,FALSE),""),"")</f>
        <v/>
      </c>
      <c r="DG30" s="41" t="str">
        <f>IFERROR(IF(AY30=1,VLOOKUP(AY$2,활동내용입력!$B$4:$F$63,5,FALSE),""),"")</f>
        <v/>
      </c>
      <c r="DH30" s="41" t="str">
        <f>IFERROR(IF(AZ30=1,VLOOKUP(AZ$2,활동내용입력!$B$4:$F$63,5,FALSE),""),"")</f>
        <v/>
      </c>
      <c r="DI30" s="41" t="str">
        <f>IFERROR(IF(BA30=1,VLOOKUP(BA$2,활동내용입력!$B$4:$F$63,5,FALSE),""),"")</f>
        <v/>
      </c>
      <c r="DJ30" s="41" t="str">
        <f>IFERROR(IF(BB30=1,VLOOKUP(BB$2,활동내용입력!$B$4:$F$63,5,FALSE),""),"")</f>
        <v/>
      </c>
      <c r="DK30" s="41" t="str">
        <f>IFERROR(IF(BC30=1,VLOOKUP(BC$2,활동내용입력!$B$4:$F$63,5,FALSE),""),"")</f>
        <v/>
      </c>
      <c r="DL30" s="41" t="str">
        <f>IFERROR(IF(BD30=1,VLOOKUP(BD$2,활동내용입력!$B$4:$F$63,5,FALSE),""),"")</f>
        <v/>
      </c>
      <c r="DM30" s="41" t="str">
        <f>IFERROR(IF(BE30=1,VLOOKUP(BE$2,활동내용입력!$B$4:$F$63,5,FALSE),""),"")</f>
        <v/>
      </c>
      <c r="DN30" s="41" t="str">
        <f>IFERROR(IF(BF30=1,VLOOKUP(BF$2,활동내용입력!$B$4:$F$63,5,FALSE),""),"")</f>
        <v/>
      </c>
      <c r="DO30" s="41" t="str">
        <f>IFERROR(IF(BG30=1,VLOOKUP(BG$2,활동내용입력!$B$4:$F$63,5,FALSE),""),"")</f>
        <v/>
      </c>
      <c r="DP30" s="41" t="str">
        <f>IFERROR(IF(BH30=1,VLOOKUP(BH$2,활동내용입력!$B$4:$F$63,5,FALSE),""),"")</f>
        <v/>
      </c>
      <c r="DQ30" s="41" t="str">
        <f>IFERROR(IF(BI30=1,VLOOKUP(BI$2,활동내용입력!$B$4:$F$63,5,FALSE),""),"")</f>
        <v/>
      </c>
      <c r="DR30" s="41" t="str">
        <f>IFERROR(IF(BJ30=1,VLOOKUP(BJ$2,활동내용입력!$B$4:$F$63,5,FALSE),""),"")</f>
        <v/>
      </c>
      <c r="DS30" s="41" t="str">
        <f t="shared" si="7"/>
        <v/>
      </c>
      <c r="DT30" s="42">
        <f t="shared" si="6"/>
        <v>0</v>
      </c>
      <c r="DU30" s="34"/>
    </row>
    <row r="31" spans="1:125" x14ac:dyDescent="0.3">
      <c r="A31" s="58">
        <v>27</v>
      </c>
      <c r="B31" s="57"/>
      <c r="C31" s="40"/>
      <c r="D31" s="40"/>
      <c r="E31" s="40"/>
      <c r="F31" s="40"/>
      <c r="G31" s="40"/>
      <c r="H31" s="40"/>
      <c r="I31" s="40"/>
      <c r="J31" s="40"/>
      <c r="K31" s="40"/>
      <c r="L31" s="40"/>
      <c r="M31" s="40"/>
      <c r="N31" s="40"/>
      <c r="O31" s="40"/>
      <c r="P31" s="40"/>
      <c r="Q31" s="40"/>
      <c r="R31" s="40"/>
      <c r="S31" s="40"/>
      <c r="T31" s="40"/>
      <c r="U31" s="40"/>
      <c r="V31" s="40"/>
      <c r="W31" s="40"/>
      <c r="X31" s="40"/>
      <c r="Y31" s="40"/>
      <c r="Z31" s="40"/>
      <c r="AA31" s="40"/>
      <c r="AB31" s="40"/>
      <c r="AC31" s="40"/>
      <c r="AD31" s="40"/>
      <c r="AE31" s="40"/>
      <c r="AF31" s="40"/>
      <c r="AG31" s="40"/>
      <c r="AH31" s="40"/>
      <c r="AI31" s="40"/>
      <c r="AJ31" s="40"/>
      <c r="AK31" s="40"/>
      <c r="AL31" s="40"/>
      <c r="AM31" s="40"/>
      <c r="AN31" s="40"/>
      <c r="AO31" s="40"/>
      <c r="AP31" s="40"/>
      <c r="AQ31" s="40"/>
      <c r="AR31" s="40"/>
      <c r="AS31" s="40"/>
      <c r="AT31" s="40"/>
      <c r="AU31" s="40"/>
      <c r="AV31" s="40"/>
      <c r="AW31" s="40"/>
      <c r="AX31" s="40"/>
      <c r="AY31" s="40"/>
      <c r="AZ31" s="40"/>
      <c r="BA31" s="40"/>
      <c r="BB31" s="40"/>
      <c r="BC31" s="40"/>
      <c r="BD31" s="40"/>
      <c r="BE31" s="40"/>
      <c r="BF31" s="40"/>
      <c r="BG31" s="40"/>
      <c r="BH31" s="40"/>
      <c r="BI31" s="40"/>
      <c r="BJ31" s="40"/>
      <c r="BK31" s="41" t="str">
        <f>IFERROR(IF(C31=1,VLOOKUP(C$2,활동내용입력!$B$4:$F$63,5,FALSE),""),"")</f>
        <v/>
      </c>
      <c r="BL31" s="41" t="str">
        <f>IFERROR(IF(D31=1,VLOOKUP(D$2,활동내용입력!$B$4:$F$63,5,FALSE),""),"")</f>
        <v/>
      </c>
      <c r="BM31" s="41" t="str">
        <f>IFERROR(IF(E31=1,VLOOKUP(E$2,활동내용입력!$B$4:$F$63,5,FALSE),""),"")</f>
        <v/>
      </c>
      <c r="BN31" s="41" t="str">
        <f>IFERROR(IF(F31=1,VLOOKUP(F$2,활동내용입력!$B$4:$F$63,5,FALSE),""),"")</f>
        <v/>
      </c>
      <c r="BO31" s="41" t="str">
        <f>IFERROR(IF(G31=1,VLOOKUP(G$2,활동내용입력!$B$4:$F$63,5,FALSE),""),"")</f>
        <v/>
      </c>
      <c r="BP31" s="41" t="str">
        <f>IFERROR(IF(H31=1,VLOOKUP(H$2,활동내용입력!$B$4:$F$63,5,FALSE),""),"")</f>
        <v/>
      </c>
      <c r="BQ31" s="41" t="str">
        <f>IFERROR(IF(I31=1,VLOOKUP(I$2,활동내용입력!$B$4:$F$63,5,FALSE),""),"")</f>
        <v/>
      </c>
      <c r="BR31" s="41" t="str">
        <f>IFERROR(IF(J31=1,VLOOKUP(J$2,활동내용입력!$B$4:$F$63,5,FALSE),""),"")</f>
        <v/>
      </c>
      <c r="BS31" s="41" t="str">
        <f>IFERROR(IF(K31=1,VLOOKUP(K$2,활동내용입력!$B$4:$F$63,5,FALSE),""),"")</f>
        <v/>
      </c>
      <c r="BT31" s="41" t="str">
        <f>IFERROR(IF(L31=1,VLOOKUP(L$2,활동내용입력!$B$4:$F$63,5,FALSE),""),"")</f>
        <v/>
      </c>
      <c r="BU31" s="41" t="str">
        <f>IFERROR(IF(M31=1,VLOOKUP(M$2,활동내용입력!$B$4:$F$63,5,FALSE),""),"")</f>
        <v/>
      </c>
      <c r="BV31" s="41" t="str">
        <f>IFERROR(IF(N31=1,VLOOKUP(N$2,활동내용입력!$B$4:$F$63,5,FALSE),""),"")</f>
        <v/>
      </c>
      <c r="BW31" s="41" t="str">
        <f>IFERROR(IF(O31=1,VLOOKUP(O$2,활동내용입력!$B$4:$F$63,5,FALSE),""),"")</f>
        <v/>
      </c>
      <c r="BX31" s="41" t="str">
        <f>IFERROR(IF(P31=1,VLOOKUP(P$2,활동내용입력!$B$4:$F$63,5,FALSE),""),"")</f>
        <v/>
      </c>
      <c r="BY31" s="41" t="str">
        <f>IFERROR(IF(Q31=1,VLOOKUP(Q$2,활동내용입력!$B$4:$F$63,5,FALSE),""),"")</f>
        <v/>
      </c>
      <c r="BZ31" s="41" t="str">
        <f>IFERROR(IF(R31=1,VLOOKUP(R$2,활동내용입력!$B$4:$F$63,5,FALSE),""),"")</f>
        <v/>
      </c>
      <c r="CA31" s="41" t="str">
        <f>IFERROR(IF(S31=1,VLOOKUP(S$2,활동내용입력!$B$4:$F$63,5,FALSE),""),"")</f>
        <v/>
      </c>
      <c r="CB31" s="41" t="str">
        <f>IFERROR(IF(T31=1,VLOOKUP(T$2,활동내용입력!$B$4:$F$63,5,FALSE),""),"")</f>
        <v/>
      </c>
      <c r="CC31" s="41" t="str">
        <f>IFERROR(IF(U31=1,VLOOKUP(U$2,활동내용입력!$B$4:$F$63,5,FALSE),""),"")</f>
        <v/>
      </c>
      <c r="CD31" s="41" t="str">
        <f>IFERROR(IF(V31=1,VLOOKUP(V$2,활동내용입력!$B$4:$F$63,5,FALSE),""),"")</f>
        <v/>
      </c>
      <c r="CE31" s="41" t="str">
        <f>IFERROR(IF(W31=1,VLOOKUP(W$2,활동내용입력!$B$4:$F$63,5,FALSE),""),"")</f>
        <v/>
      </c>
      <c r="CF31" s="41" t="str">
        <f>IFERROR(IF(X31=1,VLOOKUP(X$2,활동내용입력!$B$4:$F$63,5,FALSE),""),"")</f>
        <v/>
      </c>
      <c r="CG31" s="41" t="str">
        <f>IFERROR(IF(Y31=1,VLOOKUP(Y$2,활동내용입력!$B$4:$F$63,5,FALSE),""),"")</f>
        <v/>
      </c>
      <c r="CH31" s="41" t="str">
        <f>IFERROR(IF(Z31=1,VLOOKUP(Z$2,활동내용입력!$B$4:$F$63,5,FALSE),""),"")</f>
        <v/>
      </c>
      <c r="CI31" s="41" t="str">
        <f>IFERROR(IF(AA31=1,VLOOKUP(AA$2,활동내용입력!$B$4:$F$63,5,FALSE),""),"")</f>
        <v/>
      </c>
      <c r="CJ31" s="41" t="str">
        <f>IFERROR(IF(AB31=1,VLOOKUP(AB$2,활동내용입력!$B$4:$F$63,5,FALSE),""),"")</f>
        <v/>
      </c>
      <c r="CK31" s="41" t="str">
        <f>IFERROR(IF(AC31=1,VLOOKUP(AC$2,활동내용입력!$B$4:$F$63,5,FALSE),""),"")</f>
        <v/>
      </c>
      <c r="CL31" s="41" t="str">
        <f>IFERROR(IF(AD31=1,VLOOKUP(AD$2,활동내용입력!$B$4:$F$63,5,FALSE),""),"")</f>
        <v/>
      </c>
      <c r="CM31" s="41" t="str">
        <f>IFERROR(IF(AE31=1,VLOOKUP(AE$2,활동내용입력!$B$4:$F$63,5,FALSE),""),"")</f>
        <v/>
      </c>
      <c r="CN31" s="41" t="str">
        <f>IFERROR(IF(AF31=1,VLOOKUP(AF$2,활동내용입력!$B$4:$F$63,5,FALSE),""),"")</f>
        <v/>
      </c>
      <c r="CO31" s="41" t="str">
        <f>IFERROR(IF(AG31=1,VLOOKUP(AG$2,활동내용입력!$B$4:$F$63,5,FALSE),""),"")</f>
        <v/>
      </c>
      <c r="CP31" s="41" t="str">
        <f>IFERROR(IF(AH31=1,VLOOKUP(AH$2,활동내용입력!$B$4:$F$63,5,FALSE),""),"")</f>
        <v/>
      </c>
      <c r="CQ31" s="41" t="str">
        <f>IFERROR(IF(AI31=1,VLOOKUP(AI$2,활동내용입력!$B$4:$F$63,5,FALSE),""),"")</f>
        <v/>
      </c>
      <c r="CR31" s="41" t="str">
        <f>IFERROR(IF(AJ31=1,VLOOKUP(AJ$2,활동내용입력!$B$4:$F$63,5,FALSE),""),"")</f>
        <v/>
      </c>
      <c r="CS31" s="41" t="str">
        <f>IFERROR(IF(AK31=1,VLOOKUP(AK$2,활동내용입력!$B$4:$F$63,5,FALSE),""),"")</f>
        <v/>
      </c>
      <c r="CT31" s="41" t="str">
        <f>IFERROR(IF(AL31=1,VLOOKUP(AL$2,활동내용입력!$B$4:$F$63,5,FALSE),""),"")</f>
        <v/>
      </c>
      <c r="CU31" s="41" t="str">
        <f>IFERROR(IF(AM31=1,VLOOKUP(AM$2,활동내용입력!$B$4:$F$63,5,FALSE),""),"")</f>
        <v/>
      </c>
      <c r="CV31" s="41" t="str">
        <f>IFERROR(IF(AN31=1,VLOOKUP(AN$2,활동내용입력!$B$4:$F$63,5,FALSE),""),"")</f>
        <v/>
      </c>
      <c r="CW31" s="41" t="str">
        <f>IFERROR(IF(AO31=1,VLOOKUP(AO$2,활동내용입력!$B$4:$F$63,5,FALSE),""),"")</f>
        <v/>
      </c>
      <c r="CX31" s="41" t="str">
        <f>IFERROR(IF(AP31=1,VLOOKUP(AP$2,활동내용입력!$B$4:$F$63,5,FALSE),""),"")</f>
        <v/>
      </c>
      <c r="CY31" s="41" t="str">
        <f>IFERROR(IF(AQ31=1,VLOOKUP(AQ$2,활동내용입력!$B$4:$F$63,5,FALSE),""),"")</f>
        <v/>
      </c>
      <c r="CZ31" s="41" t="str">
        <f>IFERROR(IF(AR31=1,VLOOKUP(AR$2,활동내용입력!$B$4:$F$63,5,FALSE),""),"")</f>
        <v/>
      </c>
      <c r="DA31" s="41" t="str">
        <f>IFERROR(IF(AS31=1,VLOOKUP(AS$2,활동내용입력!$B$4:$F$63,5,FALSE),""),"")</f>
        <v/>
      </c>
      <c r="DB31" s="41" t="str">
        <f>IFERROR(IF(AT31=1,VLOOKUP(AT$2,활동내용입력!$B$4:$F$63,5,FALSE),""),"")</f>
        <v/>
      </c>
      <c r="DC31" s="41" t="str">
        <f>IFERROR(IF(AU31=1,VLOOKUP(AU$2,활동내용입력!$B$4:$F$63,5,FALSE),""),"")</f>
        <v/>
      </c>
      <c r="DD31" s="41" t="str">
        <f>IFERROR(IF(AV31=1,VLOOKUP(AV$2,활동내용입력!$B$4:$F$63,5,FALSE),""),"")</f>
        <v/>
      </c>
      <c r="DE31" s="41" t="str">
        <f>IFERROR(IF(AW31=1,VLOOKUP(AW$2,활동내용입력!$B$4:$F$63,5,FALSE),""),"")</f>
        <v/>
      </c>
      <c r="DF31" s="41" t="str">
        <f>IFERROR(IF(AX31=1,VLOOKUP(AX$2,활동내용입력!$B$4:$F$63,5,FALSE),""),"")</f>
        <v/>
      </c>
      <c r="DG31" s="41" t="str">
        <f>IFERROR(IF(AY31=1,VLOOKUP(AY$2,활동내용입력!$B$4:$F$63,5,FALSE),""),"")</f>
        <v/>
      </c>
      <c r="DH31" s="41" t="str">
        <f>IFERROR(IF(AZ31=1,VLOOKUP(AZ$2,활동내용입력!$B$4:$F$63,5,FALSE),""),"")</f>
        <v/>
      </c>
      <c r="DI31" s="41" t="str">
        <f>IFERROR(IF(BA31=1,VLOOKUP(BA$2,활동내용입력!$B$4:$F$63,5,FALSE),""),"")</f>
        <v/>
      </c>
      <c r="DJ31" s="41" t="str">
        <f>IFERROR(IF(BB31=1,VLOOKUP(BB$2,활동내용입력!$B$4:$F$63,5,FALSE),""),"")</f>
        <v/>
      </c>
      <c r="DK31" s="41" t="str">
        <f>IFERROR(IF(BC31=1,VLOOKUP(BC$2,활동내용입력!$B$4:$F$63,5,FALSE),""),"")</f>
        <v/>
      </c>
      <c r="DL31" s="41" t="str">
        <f>IFERROR(IF(BD31=1,VLOOKUP(BD$2,활동내용입력!$B$4:$F$63,5,FALSE),""),"")</f>
        <v/>
      </c>
      <c r="DM31" s="41" t="str">
        <f>IFERROR(IF(BE31=1,VLOOKUP(BE$2,활동내용입력!$B$4:$F$63,5,FALSE),""),"")</f>
        <v/>
      </c>
      <c r="DN31" s="41" t="str">
        <f>IFERROR(IF(BF31=1,VLOOKUP(BF$2,활동내용입력!$B$4:$F$63,5,FALSE),""),"")</f>
        <v/>
      </c>
      <c r="DO31" s="41" t="str">
        <f>IFERROR(IF(BG31=1,VLOOKUP(BG$2,활동내용입력!$B$4:$F$63,5,FALSE),""),"")</f>
        <v/>
      </c>
      <c r="DP31" s="41" t="str">
        <f>IFERROR(IF(BH31=1,VLOOKUP(BH$2,활동내용입력!$B$4:$F$63,5,FALSE),""),"")</f>
        <v/>
      </c>
      <c r="DQ31" s="41" t="str">
        <f>IFERROR(IF(BI31=1,VLOOKUP(BI$2,활동내용입력!$B$4:$F$63,5,FALSE),""),"")</f>
        <v/>
      </c>
      <c r="DR31" s="41" t="str">
        <f>IFERROR(IF(BJ31=1,VLOOKUP(BJ$2,활동내용입력!$B$4:$F$63,5,FALSE),""),"")</f>
        <v/>
      </c>
      <c r="DS31" s="41" t="str">
        <f t="shared" si="7"/>
        <v/>
      </c>
      <c r="DT31" s="42">
        <f t="shared" si="6"/>
        <v>0</v>
      </c>
      <c r="DU31" s="34"/>
    </row>
    <row r="32" spans="1:125" x14ac:dyDescent="0.3">
      <c r="A32" s="58">
        <v>28</v>
      </c>
      <c r="B32" s="57"/>
      <c r="C32" s="40"/>
      <c r="D32" s="40"/>
      <c r="E32" s="40"/>
      <c r="F32" s="40"/>
      <c r="G32" s="40"/>
      <c r="H32" s="40"/>
      <c r="I32" s="40"/>
      <c r="J32" s="40"/>
      <c r="K32" s="40"/>
      <c r="L32" s="40"/>
      <c r="M32" s="40"/>
      <c r="N32" s="40"/>
      <c r="O32" s="40"/>
      <c r="P32" s="40"/>
      <c r="Q32" s="40"/>
      <c r="R32" s="40"/>
      <c r="S32" s="40"/>
      <c r="T32" s="40"/>
      <c r="U32" s="40"/>
      <c r="V32" s="40"/>
      <c r="W32" s="40"/>
      <c r="X32" s="40"/>
      <c r="Y32" s="40"/>
      <c r="Z32" s="40"/>
      <c r="AA32" s="40"/>
      <c r="AB32" s="40"/>
      <c r="AC32" s="40"/>
      <c r="AD32" s="40"/>
      <c r="AE32" s="40"/>
      <c r="AF32" s="40"/>
      <c r="AG32" s="40"/>
      <c r="AH32" s="40"/>
      <c r="AI32" s="40"/>
      <c r="AJ32" s="40"/>
      <c r="AK32" s="40"/>
      <c r="AL32" s="40"/>
      <c r="AM32" s="40"/>
      <c r="AN32" s="40"/>
      <c r="AO32" s="40"/>
      <c r="AP32" s="40"/>
      <c r="AQ32" s="40"/>
      <c r="AR32" s="40"/>
      <c r="AS32" s="40"/>
      <c r="AT32" s="40"/>
      <c r="AU32" s="40"/>
      <c r="AV32" s="40"/>
      <c r="AW32" s="40"/>
      <c r="AX32" s="40"/>
      <c r="AY32" s="40"/>
      <c r="AZ32" s="40"/>
      <c r="BA32" s="40"/>
      <c r="BB32" s="40"/>
      <c r="BC32" s="40"/>
      <c r="BD32" s="40"/>
      <c r="BE32" s="40"/>
      <c r="BF32" s="40"/>
      <c r="BG32" s="40"/>
      <c r="BH32" s="40"/>
      <c r="BI32" s="40"/>
      <c r="BJ32" s="40"/>
      <c r="BK32" s="41" t="str">
        <f>IFERROR(IF(C32=1,VLOOKUP(C$2,활동내용입력!$B$4:$F$63,5,FALSE),""),"")</f>
        <v/>
      </c>
      <c r="BL32" s="41" t="str">
        <f>IFERROR(IF(D32=1,VLOOKUP(D$2,활동내용입력!$B$4:$F$63,5,FALSE),""),"")</f>
        <v/>
      </c>
      <c r="BM32" s="41" t="str">
        <f>IFERROR(IF(E32=1,VLOOKUP(E$2,활동내용입력!$B$4:$F$63,5,FALSE),""),"")</f>
        <v/>
      </c>
      <c r="BN32" s="41" t="str">
        <f>IFERROR(IF(F32=1,VLOOKUP(F$2,활동내용입력!$B$4:$F$63,5,FALSE),""),"")</f>
        <v/>
      </c>
      <c r="BO32" s="41" t="str">
        <f>IFERROR(IF(G32=1,VLOOKUP(G$2,활동내용입력!$B$4:$F$63,5,FALSE),""),"")</f>
        <v/>
      </c>
      <c r="BP32" s="41" t="str">
        <f>IFERROR(IF(H32=1,VLOOKUP(H$2,활동내용입력!$B$4:$F$63,5,FALSE),""),"")</f>
        <v/>
      </c>
      <c r="BQ32" s="41" t="str">
        <f>IFERROR(IF(I32=1,VLOOKUP(I$2,활동내용입력!$B$4:$F$63,5,FALSE),""),"")</f>
        <v/>
      </c>
      <c r="BR32" s="41" t="str">
        <f>IFERROR(IF(J32=1,VLOOKUP(J$2,활동내용입력!$B$4:$F$63,5,FALSE),""),"")</f>
        <v/>
      </c>
      <c r="BS32" s="41" t="str">
        <f>IFERROR(IF(K32=1,VLOOKUP(K$2,활동내용입력!$B$4:$F$63,5,FALSE),""),"")</f>
        <v/>
      </c>
      <c r="BT32" s="41" t="str">
        <f>IFERROR(IF(L32=1,VLOOKUP(L$2,활동내용입력!$B$4:$F$63,5,FALSE),""),"")</f>
        <v/>
      </c>
      <c r="BU32" s="41" t="str">
        <f>IFERROR(IF(M32=1,VLOOKUP(M$2,활동내용입력!$B$4:$F$63,5,FALSE),""),"")</f>
        <v/>
      </c>
      <c r="BV32" s="41" t="str">
        <f>IFERROR(IF(N32=1,VLOOKUP(N$2,활동내용입력!$B$4:$F$63,5,FALSE),""),"")</f>
        <v/>
      </c>
      <c r="BW32" s="41" t="str">
        <f>IFERROR(IF(O32=1,VLOOKUP(O$2,활동내용입력!$B$4:$F$63,5,FALSE),""),"")</f>
        <v/>
      </c>
      <c r="BX32" s="41" t="str">
        <f>IFERROR(IF(P32=1,VLOOKUP(P$2,활동내용입력!$B$4:$F$63,5,FALSE),""),"")</f>
        <v/>
      </c>
      <c r="BY32" s="41" t="str">
        <f>IFERROR(IF(Q32=1,VLOOKUP(Q$2,활동내용입력!$B$4:$F$63,5,FALSE),""),"")</f>
        <v/>
      </c>
      <c r="BZ32" s="41" t="str">
        <f>IFERROR(IF(R32=1,VLOOKUP(R$2,활동내용입력!$B$4:$F$63,5,FALSE),""),"")</f>
        <v/>
      </c>
      <c r="CA32" s="41" t="str">
        <f>IFERROR(IF(S32=1,VLOOKUP(S$2,활동내용입력!$B$4:$F$63,5,FALSE),""),"")</f>
        <v/>
      </c>
      <c r="CB32" s="41" t="str">
        <f>IFERROR(IF(T32=1,VLOOKUP(T$2,활동내용입력!$B$4:$F$63,5,FALSE),""),"")</f>
        <v/>
      </c>
      <c r="CC32" s="41" t="str">
        <f>IFERROR(IF(U32=1,VLOOKUP(U$2,활동내용입력!$B$4:$F$63,5,FALSE),""),"")</f>
        <v/>
      </c>
      <c r="CD32" s="41" t="str">
        <f>IFERROR(IF(V32=1,VLOOKUP(V$2,활동내용입력!$B$4:$F$63,5,FALSE),""),"")</f>
        <v/>
      </c>
      <c r="CE32" s="41" t="str">
        <f>IFERROR(IF(W32=1,VLOOKUP(W$2,활동내용입력!$B$4:$F$63,5,FALSE),""),"")</f>
        <v/>
      </c>
      <c r="CF32" s="41" t="str">
        <f>IFERROR(IF(X32=1,VLOOKUP(X$2,활동내용입력!$B$4:$F$63,5,FALSE),""),"")</f>
        <v/>
      </c>
      <c r="CG32" s="41" t="str">
        <f>IFERROR(IF(Y32=1,VLOOKUP(Y$2,활동내용입력!$B$4:$F$63,5,FALSE),""),"")</f>
        <v/>
      </c>
      <c r="CH32" s="41" t="str">
        <f>IFERROR(IF(Z32=1,VLOOKUP(Z$2,활동내용입력!$B$4:$F$63,5,FALSE),""),"")</f>
        <v/>
      </c>
      <c r="CI32" s="41" t="str">
        <f>IFERROR(IF(AA32=1,VLOOKUP(AA$2,활동내용입력!$B$4:$F$63,5,FALSE),""),"")</f>
        <v/>
      </c>
      <c r="CJ32" s="41" t="str">
        <f>IFERROR(IF(AB32=1,VLOOKUP(AB$2,활동내용입력!$B$4:$F$63,5,FALSE),""),"")</f>
        <v/>
      </c>
      <c r="CK32" s="41" t="str">
        <f>IFERROR(IF(AC32=1,VLOOKUP(AC$2,활동내용입력!$B$4:$F$63,5,FALSE),""),"")</f>
        <v/>
      </c>
      <c r="CL32" s="41" t="str">
        <f>IFERROR(IF(AD32=1,VLOOKUP(AD$2,활동내용입력!$B$4:$F$63,5,FALSE),""),"")</f>
        <v/>
      </c>
      <c r="CM32" s="41" t="str">
        <f>IFERROR(IF(AE32=1,VLOOKUP(AE$2,활동내용입력!$B$4:$F$63,5,FALSE),""),"")</f>
        <v/>
      </c>
      <c r="CN32" s="41" t="str">
        <f>IFERROR(IF(AF32=1,VLOOKUP(AF$2,활동내용입력!$B$4:$F$63,5,FALSE),""),"")</f>
        <v/>
      </c>
      <c r="CO32" s="41" t="str">
        <f>IFERROR(IF(AG32=1,VLOOKUP(AG$2,활동내용입력!$B$4:$F$63,5,FALSE),""),"")</f>
        <v/>
      </c>
      <c r="CP32" s="41" t="str">
        <f>IFERROR(IF(AH32=1,VLOOKUP(AH$2,활동내용입력!$B$4:$F$63,5,FALSE),""),"")</f>
        <v/>
      </c>
      <c r="CQ32" s="41" t="str">
        <f>IFERROR(IF(AI32=1,VLOOKUP(AI$2,활동내용입력!$B$4:$F$63,5,FALSE),""),"")</f>
        <v/>
      </c>
      <c r="CR32" s="41" t="str">
        <f>IFERROR(IF(AJ32=1,VLOOKUP(AJ$2,활동내용입력!$B$4:$F$63,5,FALSE),""),"")</f>
        <v/>
      </c>
      <c r="CS32" s="41" t="str">
        <f>IFERROR(IF(AK32=1,VLOOKUP(AK$2,활동내용입력!$B$4:$F$63,5,FALSE),""),"")</f>
        <v/>
      </c>
      <c r="CT32" s="41" t="str">
        <f>IFERROR(IF(AL32=1,VLOOKUP(AL$2,활동내용입력!$B$4:$F$63,5,FALSE),""),"")</f>
        <v/>
      </c>
      <c r="CU32" s="41" t="str">
        <f>IFERROR(IF(AM32=1,VLOOKUP(AM$2,활동내용입력!$B$4:$F$63,5,FALSE),""),"")</f>
        <v/>
      </c>
      <c r="CV32" s="41" t="str">
        <f>IFERROR(IF(AN32=1,VLOOKUP(AN$2,활동내용입력!$B$4:$F$63,5,FALSE),""),"")</f>
        <v/>
      </c>
      <c r="CW32" s="41" t="str">
        <f>IFERROR(IF(AO32=1,VLOOKUP(AO$2,활동내용입력!$B$4:$F$63,5,FALSE),""),"")</f>
        <v/>
      </c>
      <c r="CX32" s="41" t="str">
        <f>IFERROR(IF(AP32=1,VLOOKUP(AP$2,활동내용입력!$B$4:$F$63,5,FALSE),""),"")</f>
        <v/>
      </c>
      <c r="CY32" s="41" t="str">
        <f>IFERROR(IF(AQ32=1,VLOOKUP(AQ$2,활동내용입력!$B$4:$F$63,5,FALSE),""),"")</f>
        <v/>
      </c>
      <c r="CZ32" s="41" t="str">
        <f>IFERROR(IF(AR32=1,VLOOKUP(AR$2,활동내용입력!$B$4:$F$63,5,FALSE),""),"")</f>
        <v/>
      </c>
      <c r="DA32" s="41" t="str">
        <f>IFERROR(IF(AS32=1,VLOOKUP(AS$2,활동내용입력!$B$4:$F$63,5,FALSE),""),"")</f>
        <v/>
      </c>
      <c r="DB32" s="41" t="str">
        <f>IFERROR(IF(AT32=1,VLOOKUP(AT$2,활동내용입력!$B$4:$F$63,5,FALSE),""),"")</f>
        <v/>
      </c>
      <c r="DC32" s="41" t="str">
        <f>IFERROR(IF(AU32=1,VLOOKUP(AU$2,활동내용입력!$B$4:$F$63,5,FALSE),""),"")</f>
        <v/>
      </c>
      <c r="DD32" s="41" t="str">
        <f>IFERROR(IF(AV32=1,VLOOKUP(AV$2,활동내용입력!$B$4:$F$63,5,FALSE),""),"")</f>
        <v/>
      </c>
      <c r="DE32" s="41" t="str">
        <f>IFERROR(IF(AW32=1,VLOOKUP(AW$2,활동내용입력!$B$4:$F$63,5,FALSE),""),"")</f>
        <v/>
      </c>
      <c r="DF32" s="41" t="str">
        <f>IFERROR(IF(AX32=1,VLOOKUP(AX$2,활동내용입력!$B$4:$F$63,5,FALSE),""),"")</f>
        <v/>
      </c>
      <c r="DG32" s="41" t="str">
        <f>IFERROR(IF(AY32=1,VLOOKUP(AY$2,활동내용입력!$B$4:$F$63,5,FALSE),""),"")</f>
        <v/>
      </c>
      <c r="DH32" s="41" t="str">
        <f>IFERROR(IF(AZ32=1,VLOOKUP(AZ$2,활동내용입력!$B$4:$F$63,5,FALSE),""),"")</f>
        <v/>
      </c>
      <c r="DI32" s="41" t="str">
        <f>IFERROR(IF(BA32=1,VLOOKUP(BA$2,활동내용입력!$B$4:$F$63,5,FALSE),""),"")</f>
        <v/>
      </c>
      <c r="DJ32" s="41" t="str">
        <f>IFERROR(IF(BB32=1,VLOOKUP(BB$2,활동내용입력!$B$4:$F$63,5,FALSE),""),"")</f>
        <v/>
      </c>
      <c r="DK32" s="41" t="str">
        <f>IFERROR(IF(BC32=1,VLOOKUP(BC$2,활동내용입력!$B$4:$F$63,5,FALSE),""),"")</f>
        <v/>
      </c>
      <c r="DL32" s="41" t="str">
        <f>IFERROR(IF(BD32=1,VLOOKUP(BD$2,활동내용입력!$B$4:$F$63,5,FALSE),""),"")</f>
        <v/>
      </c>
      <c r="DM32" s="41" t="str">
        <f>IFERROR(IF(BE32=1,VLOOKUP(BE$2,활동내용입력!$B$4:$F$63,5,FALSE),""),"")</f>
        <v/>
      </c>
      <c r="DN32" s="41" t="str">
        <f>IFERROR(IF(BF32=1,VLOOKUP(BF$2,활동내용입력!$B$4:$F$63,5,FALSE),""),"")</f>
        <v/>
      </c>
      <c r="DO32" s="41" t="str">
        <f>IFERROR(IF(BG32=1,VLOOKUP(BG$2,활동내용입력!$B$4:$F$63,5,FALSE),""),"")</f>
        <v/>
      </c>
      <c r="DP32" s="41" t="str">
        <f>IFERROR(IF(BH32=1,VLOOKUP(BH$2,활동내용입력!$B$4:$F$63,5,FALSE),""),"")</f>
        <v/>
      </c>
      <c r="DQ32" s="41" t="str">
        <f>IFERROR(IF(BI32=1,VLOOKUP(BI$2,활동내용입력!$B$4:$F$63,5,FALSE),""),"")</f>
        <v/>
      </c>
      <c r="DR32" s="41" t="str">
        <f>IFERROR(IF(BJ32=1,VLOOKUP(BJ$2,활동내용입력!$B$4:$F$63,5,FALSE),""),"")</f>
        <v/>
      </c>
      <c r="DS32" s="41" t="str">
        <f t="shared" si="7"/>
        <v/>
      </c>
      <c r="DT32" s="42">
        <f t="shared" si="6"/>
        <v>0</v>
      </c>
      <c r="DU32" s="34"/>
    </row>
    <row r="33" spans="1:125" x14ac:dyDescent="0.3">
      <c r="A33" s="58">
        <v>29</v>
      </c>
      <c r="B33" s="57"/>
      <c r="C33" s="40"/>
      <c r="D33" s="40"/>
      <c r="E33" s="40"/>
      <c r="F33" s="40"/>
      <c r="G33" s="40"/>
      <c r="H33" s="40"/>
      <c r="I33" s="40"/>
      <c r="J33" s="40"/>
      <c r="K33" s="40"/>
      <c r="L33" s="40"/>
      <c r="M33" s="40"/>
      <c r="N33" s="40"/>
      <c r="O33" s="40"/>
      <c r="P33" s="40"/>
      <c r="Q33" s="40"/>
      <c r="R33" s="40"/>
      <c r="S33" s="40"/>
      <c r="T33" s="40"/>
      <c r="U33" s="40"/>
      <c r="V33" s="40"/>
      <c r="W33" s="40"/>
      <c r="X33" s="40"/>
      <c r="Y33" s="40"/>
      <c r="Z33" s="40"/>
      <c r="AA33" s="40"/>
      <c r="AB33" s="40"/>
      <c r="AC33" s="40"/>
      <c r="AD33" s="40"/>
      <c r="AE33" s="40"/>
      <c r="AF33" s="40"/>
      <c r="AG33" s="40"/>
      <c r="AH33" s="40"/>
      <c r="AI33" s="40"/>
      <c r="AJ33" s="40"/>
      <c r="AK33" s="40"/>
      <c r="AL33" s="40"/>
      <c r="AM33" s="40"/>
      <c r="AN33" s="40"/>
      <c r="AO33" s="40"/>
      <c r="AP33" s="40"/>
      <c r="AQ33" s="40"/>
      <c r="AR33" s="40"/>
      <c r="AS33" s="40"/>
      <c r="AT33" s="40"/>
      <c r="AU33" s="40"/>
      <c r="AV33" s="40"/>
      <c r="AW33" s="40"/>
      <c r="AX33" s="40"/>
      <c r="AY33" s="40"/>
      <c r="AZ33" s="40"/>
      <c r="BA33" s="40"/>
      <c r="BB33" s="40"/>
      <c r="BC33" s="40"/>
      <c r="BD33" s="40"/>
      <c r="BE33" s="40"/>
      <c r="BF33" s="40"/>
      <c r="BG33" s="40"/>
      <c r="BH33" s="40"/>
      <c r="BI33" s="40"/>
      <c r="BJ33" s="40"/>
      <c r="BK33" s="41" t="str">
        <f>IFERROR(IF(C33=1,VLOOKUP(C$2,활동내용입력!$B$4:$F$63,5,FALSE),""),"")</f>
        <v/>
      </c>
      <c r="BL33" s="41" t="str">
        <f>IFERROR(IF(D33=1,VLOOKUP(D$2,활동내용입력!$B$4:$F$63,5,FALSE),""),"")</f>
        <v/>
      </c>
      <c r="BM33" s="41" t="str">
        <f>IFERROR(IF(E33=1,VLOOKUP(E$2,활동내용입력!$B$4:$F$63,5,FALSE),""),"")</f>
        <v/>
      </c>
      <c r="BN33" s="41" t="str">
        <f>IFERROR(IF(F33=1,VLOOKUP(F$2,활동내용입력!$B$4:$F$63,5,FALSE),""),"")</f>
        <v/>
      </c>
      <c r="BO33" s="41" t="str">
        <f>IFERROR(IF(G33=1,VLOOKUP(G$2,활동내용입력!$B$4:$F$63,5,FALSE),""),"")</f>
        <v/>
      </c>
      <c r="BP33" s="41" t="str">
        <f>IFERROR(IF(H33=1,VLOOKUP(H$2,활동내용입력!$B$4:$F$63,5,FALSE),""),"")</f>
        <v/>
      </c>
      <c r="BQ33" s="41" t="str">
        <f>IFERROR(IF(I33=1,VLOOKUP(I$2,활동내용입력!$B$4:$F$63,5,FALSE),""),"")</f>
        <v/>
      </c>
      <c r="BR33" s="41" t="str">
        <f>IFERROR(IF(J33=1,VLOOKUP(J$2,활동내용입력!$B$4:$F$63,5,FALSE),""),"")</f>
        <v/>
      </c>
      <c r="BS33" s="41" t="str">
        <f>IFERROR(IF(K33=1,VLOOKUP(K$2,활동내용입력!$B$4:$F$63,5,FALSE),""),"")</f>
        <v/>
      </c>
      <c r="BT33" s="41" t="str">
        <f>IFERROR(IF(L33=1,VLOOKUP(L$2,활동내용입력!$B$4:$F$63,5,FALSE),""),"")</f>
        <v/>
      </c>
      <c r="BU33" s="41" t="str">
        <f>IFERROR(IF(M33=1,VLOOKUP(M$2,활동내용입력!$B$4:$F$63,5,FALSE),""),"")</f>
        <v/>
      </c>
      <c r="BV33" s="41" t="str">
        <f>IFERROR(IF(N33=1,VLOOKUP(N$2,활동내용입력!$B$4:$F$63,5,FALSE),""),"")</f>
        <v/>
      </c>
      <c r="BW33" s="41" t="str">
        <f>IFERROR(IF(O33=1,VLOOKUP(O$2,활동내용입력!$B$4:$F$63,5,FALSE),""),"")</f>
        <v/>
      </c>
      <c r="BX33" s="41" t="str">
        <f>IFERROR(IF(P33=1,VLOOKUP(P$2,활동내용입력!$B$4:$F$63,5,FALSE),""),"")</f>
        <v/>
      </c>
      <c r="BY33" s="41" t="str">
        <f>IFERROR(IF(Q33=1,VLOOKUP(Q$2,활동내용입력!$B$4:$F$63,5,FALSE),""),"")</f>
        <v/>
      </c>
      <c r="BZ33" s="41" t="str">
        <f>IFERROR(IF(R33=1,VLOOKUP(R$2,활동내용입력!$B$4:$F$63,5,FALSE),""),"")</f>
        <v/>
      </c>
      <c r="CA33" s="41" t="str">
        <f>IFERROR(IF(S33=1,VLOOKUP(S$2,활동내용입력!$B$4:$F$63,5,FALSE),""),"")</f>
        <v/>
      </c>
      <c r="CB33" s="41" t="str">
        <f>IFERROR(IF(T33=1,VLOOKUP(T$2,활동내용입력!$B$4:$F$63,5,FALSE),""),"")</f>
        <v/>
      </c>
      <c r="CC33" s="41" t="str">
        <f>IFERROR(IF(U33=1,VLOOKUP(U$2,활동내용입력!$B$4:$F$63,5,FALSE),""),"")</f>
        <v/>
      </c>
      <c r="CD33" s="41" t="str">
        <f>IFERROR(IF(V33=1,VLOOKUP(V$2,활동내용입력!$B$4:$F$63,5,FALSE),""),"")</f>
        <v/>
      </c>
      <c r="CE33" s="41" t="str">
        <f>IFERROR(IF(W33=1,VLOOKUP(W$2,활동내용입력!$B$4:$F$63,5,FALSE),""),"")</f>
        <v/>
      </c>
      <c r="CF33" s="41" t="str">
        <f>IFERROR(IF(X33=1,VLOOKUP(X$2,활동내용입력!$B$4:$F$63,5,FALSE),""),"")</f>
        <v/>
      </c>
      <c r="CG33" s="41" t="str">
        <f>IFERROR(IF(Y33=1,VLOOKUP(Y$2,활동내용입력!$B$4:$F$63,5,FALSE),""),"")</f>
        <v/>
      </c>
      <c r="CH33" s="41" t="str">
        <f>IFERROR(IF(Z33=1,VLOOKUP(Z$2,활동내용입력!$B$4:$F$63,5,FALSE),""),"")</f>
        <v/>
      </c>
      <c r="CI33" s="41" t="str">
        <f>IFERROR(IF(AA33=1,VLOOKUP(AA$2,활동내용입력!$B$4:$F$63,5,FALSE),""),"")</f>
        <v/>
      </c>
      <c r="CJ33" s="41" t="str">
        <f>IFERROR(IF(AB33=1,VLOOKUP(AB$2,활동내용입력!$B$4:$F$63,5,FALSE),""),"")</f>
        <v/>
      </c>
      <c r="CK33" s="41" t="str">
        <f>IFERROR(IF(AC33=1,VLOOKUP(AC$2,활동내용입력!$B$4:$F$63,5,FALSE),""),"")</f>
        <v/>
      </c>
      <c r="CL33" s="41" t="str">
        <f>IFERROR(IF(AD33=1,VLOOKUP(AD$2,활동내용입력!$B$4:$F$63,5,FALSE),""),"")</f>
        <v/>
      </c>
      <c r="CM33" s="41" t="str">
        <f>IFERROR(IF(AE33=1,VLOOKUP(AE$2,활동내용입력!$B$4:$F$63,5,FALSE),""),"")</f>
        <v/>
      </c>
      <c r="CN33" s="41" t="str">
        <f>IFERROR(IF(AF33=1,VLOOKUP(AF$2,활동내용입력!$B$4:$F$63,5,FALSE),""),"")</f>
        <v/>
      </c>
      <c r="CO33" s="41" t="str">
        <f>IFERROR(IF(AG33=1,VLOOKUP(AG$2,활동내용입력!$B$4:$F$63,5,FALSE),""),"")</f>
        <v/>
      </c>
      <c r="CP33" s="41" t="str">
        <f>IFERROR(IF(AH33=1,VLOOKUP(AH$2,활동내용입력!$B$4:$F$63,5,FALSE),""),"")</f>
        <v/>
      </c>
      <c r="CQ33" s="41" t="str">
        <f>IFERROR(IF(AI33=1,VLOOKUP(AI$2,활동내용입력!$B$4:$F$63,5,FALSE),""),"")</f>
        <v/>
      </c>
      <c r="CR33" s="41" t="str">
        <f>IFERROR(IF(AJ33=1,VLOOKUP(AJ$2,활동내용입력!$B$4:$F$63,5,FALSE),""),"")</f>
        <v/>
      </c>
      <c r="CS33" s="41" t="str">
        <f>IFERROR(IF(AK33=1,VLOOKUP(AK$2,활동내용입력!$B$4:$F$63,5,FALSE),""),"")</f>
        <v/>
      </c>
      <c r="CT33" s="41" t="str">
        <f>IFERROR(IF(AL33=1,VLOOKUP(AL$2,활동내용입력!$B$4:$F$63,5,FALSE),""),"")</f>
        <v/>
      </c>
      <c r="CU33" s="41" t="str">
        <f>IFERROR(IF(AM33=1,VLOOKUP(AM$2,활동내용입력!$B$4:$F$63,5,FALSE),""),"")</f>
        <v/>
      </c>
      <c r="CV33" s="41" t="str">
        <f>IFERROR(IF(AN33=1,VLOOKUP(AN$2,활동내용입력!$B$4:$F$63,5,FALSE),""),"")</f>
        <v/>
      </c>
      <c r="CW33" s="41" t="str">
        <f>IFERROR(IF(AO33=1,VLOOKUP(AO$2,활동내용입력!$B$4:$F$63,5,FALSE),""),"")</f>
        <v/>
      </c>
      <c r="CX33" s="41" t="str">
        <f>IFERROR(IF(AP33=1,VLOOKUP(AP$2,활동내용입력!$B$4:$F$63,5,FALSE),""),"")</f>
        <v/>
      </c>
      <c r="CY33" s="41" t="str">
        <f>IFERROR(IF(AQ33=1,VLOOKUP(AQ$2,활동내용입력!$B$4:$F$63,5,FALSE),""),"")</f>
        <v/>
      </c>
      <c r="CZ33" s="41" t="str">
        <f>IFERROR(IF(AR33=1,VLOOKUP(AR$2,활동내용입력!$B$4:$F$63,5,FALSE),""),"")</f>
        <v/>
      </c>
      <c r="DA33" s="41" t="str">
        <f>IFERROR(IF(AS33=1,VLOOKUP(AS$2,활동내용입력!$B$4:$F$63,5,FALSE),""),"")</f>
        <v/>
      </c>
      <c r="DB33" s="41" t="str">
        <f>IFERROR(IF(AT33=1,VLOOKUP(AT$2,활동내용입력!$B$4:$F$63,5,FALSE),""),"")</f>
        <v/>
      </c>
      <c r="DC33" s="41" t="str">
        <f>IFERROR(IF(AU33=1,VLOOKUP(AU$2,활동내용입력!$B$4:$F$63,5,FALSE),""),"")</f>
        <v/>
      </c>
      <c r="DD33" s="41" t="str">
        <f>IFERROR(IF(AV33=1,VLOOKUP(AV$2,활동내용입력!$B$4:$F$63,5,FALSE),""),"")</f>
        <v/>
      </c>
      <c r="DE33" s="41" t="str">
        <f>IFERROR(IF(AW33=1,VLOOKUP(AW$2,활동내용입력!$B$4:$F$63,5,FALSE),""),"")</f>
        <v/>
      </c>
      <c r="DF33" s="41" t="str">
        <f>IFERROR(IF(AX33=1,VLOOKUP(AX$2,활동내용입력!$B$4:$F$63,5,FALSE),""),"")</f>
        <v/>
      </c>
      <c r="DG33" s="41" t="str">
        <f>IFERROR(IF(AY33=1,VLOOKUP(AY$2,활동내용입력!$B$4:$F$63,5,FALSE),""),"")</f>
        <v/>
      </c>
      <c r="DH33" s="41" t="str">
        <f>IFERROR(IF(AZ33=1,VLOOKUP(AZ$2,활동내용입력!$B$4:$F$63,5,FALSE),""),"")</f>
        <v/>
      </c>
      <c r="DI33" s="41" t="str">
        <f>IFERROR(IF(BA33=1,VLOOKUP(BA$2,활동내용입력!$B$4:$F$63,5,FALSE),""),"")</f>
        <v/>
      </c>
      <c r="DJ33" s="41" t="str">
        <f>IFERROR(IF(BB33=1,VLOOKUP(BB$2,활동내용입력!$B$4:$F$63,5,FALSE),""),"")</f>
        <v/>
      </c>
      <c r="DK33" s="41" t="str">
        <f>IFERROR(IF(BC33=1,VLOOKUP(BC$2,활동내용입력!$B$4:$F$63,5,FALSE),""),"")</f>
        <v/>
      </c>
      <c r="DL33" s="41" t="str">
        <f>IFERROR(IF(BD33=1,VLOOKUP(BD$2,활동내용입력!$B$4:$F$63,5,FALSE),""),"")</f>
        <v/>
      </c>
      <c r="DM33" s="41" t="str">
        <f>IFERROR(IF(BE33=1,VLOOKUP(BE$2,활동내용입력!$B$4:$F$63,5,FALSE),""),"")</f>
        <v/>
      </c>
      <c r="DN33" s="41" t="str">
        <f>IFERROR(IF(BF33=1,VLOOKUP(BF$2,활동내용입력!$B$4:$F$63,5,FALSE),""),"")</f>
        <v/>
      </c>
      <c r="DO33" s="41" t="str">
        <f>IFERROR(IF(BG33=1,VLOOKUP(BG$2,활동내용입력!$B$4:$F$63,5,FALSE),""),"")</f>
        <v/>
      </c>
      <c r="DP33" s="41" t="str">
        <f>IFERROR(IF(BH33=1,VLOOKUP(BH$2,활동내용입력!$B$4:$F$63,5,FALSE),""),"")</f>
        <v/>
      </c>
      <c r="DQ33" s="41" t="str">
        <f>IFERROR(IF(BI33=1,VLOOKUP(BI$2,활동내용입력!$B$4:$F$63,5,FALSE),""),"")</f>
        <v/>
      </c>
      <c r="DR33" s="41" t="str">
        <f>IFERROR(IF(BJ33=1,VLOOKUP(BJ$2,활동내용입력!$B$4:$F$63,5,FALSE),""),"")</f>
        <v/>
      </c>
      <c r="DS33" s="41" t="str">
        <f t="shared" si="7"/>
        <v/>
      </c>
      <c r="DT33" s="42">
        <f t="shared" si="6"/>
        <v>0</v>
      </c>
      <c r="DU33" s="34"/>
    </row>
    <row r="34" spans="1:125" x14ac:dyDescent="0.3">
      <c r="A34" s="58">
        <v>30</v>
      </c>
      <c r="B34" s="57"/>
      <c r="C34" s="40"/>
      <c r="D34" s="40"/>
      <c r="E34" s="40"/>
      <c r="F34" s="40"/>
      <c r="G34" s="40"/>
      <c r="H34" s="40"/>
      <c r="I34" s="40"/>
      <c r="J34" s="40"/>
      <c r="K34" s="40"/>
      <c r="L34" s="40"/>
      <c r="M34" s="40"/>
      <c r="N34" s="40"/>
      <c r="O34" s="40"/>
      <c r="P34" s="40"/>
      <c r="Q34" s="40"/>
      <c r="R34" s="40"/>
      <c r="S34" s="40"/>
      <c r="T34" s="40"/>
      <c r="U34" s="40"/>
      <c r="V34" s="40"/>
      <c r="W34" s="40"/>
      <c r="X34" s="40"/>
      <c r="Y34" s="40"/>
      <c r="Z34" s="40"/>
      <c r="AA34" s="40"/>
      <c r="AB34" s="40"/>
      <c r="AC34" s="40"/>
      <c r="AD34" s="40"/>
      <c r="AE34" s="40"/>
      <c r="AF34" s="40"/>
      <c r="AG34" s="40"/>
      <c r="AH34" s="40"/>
      <c r="AI34" s="40"/>
      <c r="AJ34" s="40"/>
      <c r="AK34" s="40"/>
      <c r="AL34" s="40"/>
      <c r="AM34" s="40"/>
      <c r="AN34" s="40"/>
      <c r="AO34" s="40"/>
      <c r="AP34" s="40"/>
      <c r="AQ34" s="40"/>
      <c r="AR34" s="40"/>
      <c r="AS34" s="40"/>
      <c r="AT34" s="40"/>
      <c r="AU34" s="40"/>
      <c r="AV34" s="40"/>
      <c r="AW34" s="40"/>
      <c r="AX34" s="40"/>
      <c r="AY34" s="40"/>
      <c r="AZ34" s="40"/>
      <c r="BA34" s="40"/>
      <c r="BB34" s="40"/>
      <c r="BC34" s="40"/>
      <c r="BD34" s="40"/>
      <c r="BE34" s="40"/>
      <c r="BF34" s="40"/>
      <c r="BG34" s="40"/>
      <c r="BH34" s="40"/>
      <c r="BI34" s="40"/>
      <c r="BJ34" s="40"/>
      <c r="BK34" s="41" t="str">
        <f>IFERROR(IF(C34=1,VLOOKUP(C$2,활동내용입력!$B$4:$F$63,5,FALSE),""),"")</f>
        <v/>
      </c>
      <c r="BL34" s="41" t="str">
        <f>IFERROR(IF(D34=1,VLOOKUP(D$2,활동내용입력!$B$4:$F$63,5,FALSE),""),"")</f>
        <v/>
      </c>
      <c r="BM34" s="41" t="str">
        <f>IFERROR(IF(E34=1,VLOOKUP(E$2,활동내용입력!$B$4:$F$63,5,FALSE),""),"")</f>
        <v/>
      </c>
      <c r="BN34" s="41" t="str">
        <f>IFERROR(IF(F34=1,VLOOKUP(F$2,활동내용입력!$B$4:$F$63,5,FALSE),""),"")</f>
        <v/>
      </c>
      <c r="BO34" s="41" t="str">
        <f>IFERROR(IF(G34=1,VLOOKUP(G$2,활동내용입력!$B$4:$F$63,5,FALSE),""),"")</f>
        <v/>
      </c>
      <c r="BP34" s="41" t="str">
        <f>IFERROR(IF(H34=1,VLOOKUP(H$2,활동내용입력!$B$4:$F$63,5,FALSE),""),"")</f>
        <v/>
      </c>
      <c r="BQ34" s="41" t="str">
        <f>IFERROR(IF(I34=1,VLOOKUP(I$2,활동내용입력!$B$4:$F$63,5,FALSE),""),"")</f>
        <v/>
      </c>
      <c r="BR34" s="41" t="str">
        <f>IFERROR(IF(J34=1,VLOOKUP(J$2,활동내용입력!$B$4:$F$63,5,FALSE),""),"")</f>
        <v/>
      </c>
      <c r="BS34" s="41" t="str">
        <f>IFERROR(IF(K34=1,VLOOKUP(K$2,활동내용입력!$B$4:$F$63,5,FALSE),""),"")</f>
        <v/>
      </c>
      <c r="BT34" s="41" t="str">
        <f>IFERROR(IF(L34=1,VLOOKUP(L$2,활동내용입력!$B$4:$F$63,5,FALSE),""),"")</f>
        <v/>
      </c>
      <c r="BU34" s="41" t="str">
        <f>IFERROR(IF(M34=1,VLOOKUP(M$2,활동내용입력!$B$4:$F$63,5,FALSE),""),"")</f>
        <v/>
      </c>
      <c r="BV34" s="41" t="str">
        <f>IFERROR(IF(N34=1,VLOOKUP(N$2,활동내용입력!$B$4:$F$63,5,FALSE),""),"")</f>
        <v/>
      </c>
      <c r="BW34" s="41" t="str">
        <f>IFERROR(IF(O34=1,VLOOKUP(O$2,활동내용입력!$B$4:$F$63,5,FALSE),""),"")</f>
        <v/>
      </c>
      <c r="BX34" s="41" t="str">
        <f>IFERROR(IF(P34=1,VLOOKUP(P$2,활동내용입력!$B$4:$F$63,5,FALSE),""),"")</f>
        <v/>
      </c>
      <c r="BY34" s="41" t="str">
        <f>IFERROR(IF(Q34=1,VLOOKUP(Q$2,활동내용입력!$B$4:$F$63,5,FALSE),""),"")</f>
        <v/>
      </c>
      <c r="BZ34" s="41" t="str">
        <f>IFERROR(IF(R34=1,VLOOKUP(R$2,활동내용입력!$B$4:$F$63,5,FALSE),""),"")</f>
        <v/>
      </c>
      <c r="CA34" s="41" t="str">
        <f>IFERROR(IF(S34=1,VLOOKUP(S$2,활동내용입력!$B$4:$F$63,5,FALSE),""),"")</f>
        <v/>
      </c>
      <c r="CB34" s="41" t="str">
        <f>IFERROR(IF(T34=1,VLOOKUP(T$2,활동내용입력!$B$4:$F$63,5,FALSE),""),"")</f>
        <v/>
      </c>
      <c r="CC34" s="41" t="str">
        <f>IFERROR(IF(U34=1,VLOOKUP(U$2,활동내용입력!$B$4:$F$63,5,FALSE),""),"")</f>
        <v/>
      </c>
      <c r="CD34" s="41" t="str">
        <f>IFERROR(IF(V34=1,VLOOKUP(V$2,활동내용입력!$B$4:$F$63,5,FALSE),""),"")</f>
        <v/>
      </c>
      <c r="CE34" s="41" t="str">
        <f>IFERROR(IF(W34=1,VLOOKUP(W$2,활동내용입력!$B$4:$F$63,5,FALSE),""),"")</f>
        <v/>
      </c>
      <c r="CF34" s="41" t="str">
        <f>IFERROR(IF(X34=1,VLOOKUP(X$2,활동내용입력!$B$4:$F$63,5,FALSE),""),"")</f>
        <v/>
      </c>
      <c r="CG34" s="41" t="str">
        <f>IFERROR(IF(Y34=1,VLOOKUP(Y$2,활동내용입력!$B$4:$F$63,5,FALSE),""),"")</f>
        <v/>
      </c>
      <c r="CH34" s="41" t="str">
        <f>IFERROR(IF(Z34=1,VLOOKUP(Z$2,활동내용입력!$B$4:$F$63,5,FALSE),""),"")</f>
        <v/>
      </c>
      <c r="CI34" s="41" t="str">
        <f>IFERROR(IF(AA34=1,VLOOKUP(AA$2,활동내용입력!$B$4:$F$63,5,FALSE),""),"")</f>
        <v/>
      </c>
      <c r="CJ34" s="41" t="str">
        <f>IFERROR(IF(AB34=1,VLOOKUP(AB$2,활동내용입력!$B$4:$F$63,5,FALSE),""),"")</f>
        <v/>
      </c>
      <c r="CK34" s="41" t="str">
        <f>IFERROR(IF(AC34=1,VLOOKUP(AC$2,활동내용입력!$B$4:$F$63,5,FALSE),""),"")</f>
        <v/>
      </c>
      <c r="CL34" s="41" t="str">
        <f>IFERROR(IF(AD34=1,VLOOKUP(AD$2,활동내용입력!$B$4:$F$63,5,FALSE),""),"")</f>
        <v/>
      </c>
      <c r="CM34" s="41" t="str">
        <f>IFERROR(IF(AE34=1,VLOOKUP(AE$2,활동내용입력!$B$4:$F$63,5,FALSE),""),"")</f>
        <v/>
      </c>
      <c r="CN34" s="41" t="str">
        <f>IFERROR(IF(AF34=1,VLOOKUP(AF$2,활동내용입력!$B$4:$F$63,5,FALSE),""),"")</f>
        <v/>
      </c>
      <c r="CO34" s="41" t="str">
        <f>IFERROR(IF(AG34=1,VLOOKUP(AG$2,활동내용입력!$B$4:$F$63,5,FALSE),""),"")</f>
        <v/>
      </c>
      <c r="CP34" s="41" t="str">
        <f>IFERROR(IF(AH34=1,VLOOKUP(AH$2,활동내용입력!$B$4:$F$63,5,FALSE),""),"")</f>
        <v/>
      </c>
      <c r="CQ34" s="41" t="str">
        <f>IFERROR(IF(AI34=1,VLOOKUP(AI$2,활동내용입력!$B$4:$F$63,5,FALSE),""),"")</f>
        <v/>
      </c>
      <c r="CR34" s="41" t="str">
        <f>IFERROR(IF(AJ34=1,VLOOKUP(AJ$2,활동내용입력!$B$4:$F$63,5,FALSE),""),"")</f>
        <v/>
      </c>
      <c r="CS34" s="41" t="str">
        <f>IFERROR(IF(AK34=1,VLOOKUP(AK$2,활동내용입력!$B$4:$F$63,5,FALSE),""),"")</f>
        <v/>
      </c>
      <c r="CT34" s="41" t="str">
        <f>IFERROR(IF(AL34=1,VLOOKUP(AL$2,활동내용입력!$B$4:$F$63,5,FALSE),""),"")</f>
        <v/>
      </c>
      <c r="CU34" s="41" t="str">
        <f>IFERROR(IF(AM34=1,VLOOKUP(AM$2,활동내용입력!$B$4:$F$63,5,FALSE),""),"")</f>
        <v/>
      </c>
      <c r="CV34" s="41" t="str">
        <f>IFERROR(IF(AN34=1,VLOOKUP(AN$2,활동내용입력!$B$4:$F$63,5,FALSE),""),"")</f>
        <v/>
      </c>
      <c r="CW34" s="41" t="str">
        <f>IFERROR(IF(AO34=1,VLOOKUP(AO$2,활동내용입력!$B$4:$F$63,5,FALSE),""),"")</f>
        <v/>
      </c>
      <c r="CX34" s="41" t="str">
        <f>IFERROR(IF(AP34=1,VLOOKUP(AP$2,활동내용입력!$B$4:$F$63,5,FALSE),""),"")</f>
        <v/>
      </c>
      <c r="CY34" s="41" t="str">
        <f>IFERROR(IF(AQ34=1,VLOOKUP(AQ$2,활동내용입력!$B$4:$F$63,5,FALSE),""),"")</f>
        <v/>
      </c>
      <c r="CZ34" s="41" t="str">
        <f>IFERROR(IF(AR34=1,VLOOKUP(AR$2,활동내용입력!$B$4:$F$63,5,FALSE),""),"")</f>
        <v/>
      </c>
      <c r="DA34" s="41" t="str">
        <f>IFERROR(IF(AS34=1,VLOOKUP(AS$2,활동내용입력!$B$4:$F$63,5,FALSE),""),"")</f>
        <v/>
      </c>
      <c r="DB34" s="41" t="str">
        <f>IFERROR(IF(AT34=1,VLOOKUP(AT$2,활동내용입력!$B$4:$F$63,5,FALSE),""),"")</f>
        <v/>
      </c>
      <c r="DC34" s="41" t="str">
        <f>IFERROR(IF(AU34=1,VLOOKUP(AU$2,활동내용입력!$B$4:$F$63,5,FALSE),""),"")</f>
        <v/>
      </c>
      <c r="DD34" s="41" t="str">
        <f>IFERROR(IF(AV34=1,VLOOKUP(AV$2,활동내용입력!$B$4:$F$63,5,FALSE),""),"")</f>
        <v/>
      </c>
      <c r="DE34" s="41" t="str">
        <f>IFERROR(IF(AW34=1,VLOOKUP(AW$2,활동내용입력!$B$4:$F$63,5,FALSE),""),"")</f>
        <v/>
      </c>
      <c r="DF34" s="41" t="str">
        <f>IFERROR(IF(AX34=1,VLOOKUP(AX$2,활동내용입력!$B$4:$F$63,5,FALSE),""),"")</f>
        <v/>
      </c>
      <c r="DG34" s="41" t="str">
        <f>IFERROR(IF(AY34=1,VLOOKUP(AY$2,활동내용입력!$B$4:$F$63,5,FALSE),""),"")</f>
        <v/>
      </c>
      <c r="DH34" s="41" t="str">
        <f>IFERROR(IF(AZ34=1,VLOOKUP(AZ$2,활동내용입력!$B$4:$F$63,5,FALSE),""),"")</f>
        <v/>
      </c>
      <c r="DI34" s="41" t="str">
        <f>IFERROR(IF(BA34=1,VLOOKUP(BA$2,활동내용입력!$B$4:$F$63,5,FALSE),""),"")</f>
        <v/>
      </c>
      <c r="DJ34" s="41" t="str">
        <f>IFERROR(IF(BB34=1,VLOOKUP(BB$2,활동내용입력!$B$4:$F$63,5,FALSE),""),"")</f>
        <v/>
      </c>
      <c r="DK34" s="41" t="str">
        <f>IFERROR(IF(BC34=1,VLOOKUP(BC$2,활동내용입력!$B$4:$F$63,5,FALSE),""),"")</f>
        <v/>
      </c>
      <c r="DL34" s="41" t="str">
        <f>IFERROR(IF(BD34=1,VLOOKUP(BD$2,활동내용입력!$B$4:$F$63,5,FALSE),""),"")</f>
        <v/>
      </c>
      <c r="DM34" s="41" t="str">
        <f>IFERROR(IF(BE34=1,VLOOKUP(BE$2,활동내용입력!$B$4:$F$63,5,FALSE),""),"")</f>
        <v/>
      </c>
      <c r="DN34" s="41" t="str">
        <f>IFERROR(IF(BF34=1,VLOOKUP(BF$2,활동내용입력!$B$4:$F$63,5,FALSE),""),"")</f>
        <v/>
      </c>
      <c r="DO34" s="41" t="str">
        <f>IFERROR(IF(BG34=1,VLOOKUP(BG$2,활동내용입력!$B$4:$F$63,5,FALSE),""),"")</f>
        <v/>
      </c>
      <c r="DP34" s="41" t="str">
        <f>IFERROR(IF(BH34=1,VLOOKUP(BH$2,활동내용입력!$B$4:$F$63,5,FALSE),""),"")</f>
        <v/>
      </c>
      <c r="DQ34" s="41" t="str">
        <f>IFERROR(IF(BI34=1,VLOOKUP(BI$2,활동내용입력!$B$4:$F$63,5,FALSE),""),"")</f>
        <v/>
      </c>
      <c r="DR34" s="41" t="str">
        <f>IFERROR(IF(BJ34=1,VLOOKUP(BJ$2,활동내용입력!$B$4:$F$63,5,FALSE),""),"")</f>
        <v/>
      </c>
      <c r="DS34" s="41" t="str">
        <f t="shared" si="7"/>
        <v/>
      </c>
      <c r="DT34" s="42">
        <f t="shared" si="6"/>
        <v>0</v>
      </c>
      <c r="DU34" s="34"/>
    </row>
    <row r="35" spans="1:125" x14ac:dyDescent="0.3">
      <c r="A35" s="58">
        <v>31</v>
      </c>
      <c r="B35" s="57"/>
      <c r="C35" s="40"/>
      <c r="D35" s="40"/>
      <c r="E35" s="40"/>
      <c r="F35" s="40"/>
      <c r="G35" s="40"/>
      <c r="H35" s="40"/>
      <c r="I35" s="40"/>
      <c r="J35" s="40"/>
      <c r="K35" s="40"/>
      <c r="L35" s="40"/>
      <c r="M35" s="40"/>
      <c r="N35" s="40"/>
      <c r="O35" s="40"/>
      <c r="P35" s="40"/>
      <c r="Q35" s="40"/>
      <c r="R35" s="40"/>
      <c r="S35" s="40"/>
      <c r="T35" s="40"/>
      <c r="U35" s="40"/>
      <c r="V35" s="40"/>
      <c r="W35" s="40"/>
      <c r="X35" s="40"/>
      <c r="Y35" s="40"/>
      <c r="Z35" s="40"/>
      <c r="AA35" s="40"/>
      <c r="AB35" s="40"/>
      <c r="AC35" s="40"/>
      <c r="AD35" s="40"/>
      <c r="AE35" s="40"/>
      <c r="AF35" s="40"/>
      <c r="AG35" s="40"/>
      <c r="AH35" s="40"/>
      <c r="AI35" s="40"/>
      <c r="AJ35" s="40"/>
      <c r="AK35" s="40"/>
      <c r="AL35" s="40"/>
      <c r="AM35" s="40"/>
      <c r="AN35" s="40"/>
      <c r="AO35" s="40"/>
      <c r="AP35" s="40"/>
      <c r="AQ35" s="40"/>
      <c r="AR35" s="40"/>
      <c r="AS35" s="40"/>
      <c r="AT35" s="40"/>
      <c r="AU35" s="40"/>
      <c r="AV35" s="40"/>
      <c r="AW35" s="40"/>
      <c r="AX35" s="40"/>
      <c r="AY35" s="40"/>
      <c r="AZ35" s="40"/>
      <c r="BA35" s="40"/>
      <c r="BB35" s="40"/>
      <c r="BC35" s="40"/>
      <c r="BD35" s="40"/>
      <c r="BE35" s="40"/>
      <c r="BF35" s="40"/>
      <c r="BG35" s="40"/>
      <c r="BH35" s="40"/>
      <c r="BI35" s="40"/>
      <c r="BJ35" s="40"/>
      <c r="BK35" s="41" t="str">
        <f>IFERROR(IF(C35=1,VLOOKUP(C$2,활동내용입력!$B$4:$F$63,5,FALSE),""),"")</f>
        <v/>
      </c>
      <c r="BL35" s="41" t="str">
        <f>IFERROR(IF(D35=1,VLOOKUP(D$2,활동내용입력!$B$4:$F$63,5,FALSE),""),"")</f>
        <v/>
      </c>
      <c r="BM35" s="41" t="str">
        <f>IFERROR(IF(E35=1,VLOOKUP(E$2,활동내용입력!$B$4:$F$63,5,FALSE),""),"")</f>
        <v/>
      </c>
      <c r="BN35" s="41" t="str">
        <f>IFERROR(IF(F35=1,VLOOKUP(F$2,활동내용입력!$B$4:$F$63,5,FALSE),""),"")</f>
        <v/>
      </c>
      <c r="BO35" s="41" t="str">
        <f>IFERROR(IF(G35=1,VLOOKUP(G$2,활동내용입력!$B$4:$F$63,5,FALSE),""),"")</f>
        <v/>
      </c>
      <c r="BP35" s="41" t="str">
        <f>IFERROR(IF(H35=1,VLOOKUP(H$2,활동내용입력!$B$4:$F$63,5,FALSE),""),"")</f>
        <v/>
      </c>
      <c r="BQ35" s="41" t="str">
        <f>IFERROR(IF(I35=1,VLOOKUP(I$2,활동내용입력!$B$4:$F$63,5,FALSE),""),"")</f>
        <v/>
      </c>
      <c r="BR35" s="41" t="str">
        <f>IFERROR(IF(J35=1,VLOOKUP(J$2,활동내용입력!$B$4:$F$63,5,FALSE),""),"")</f>
        <v/>
      </c>
      <c r="BS35" s="41" t="str">
        <f>IFERROR(IF(K35=1,VLOOKUP(K$2,활동내용입력!$B$4:$F$63,5,FALSE),""),"")</f>
        <v/>
      </c>
      <c r="BT35" s="41" t="str">
        <f>IFERROR(IF(L35=1,VLOOKUP(L$2,활동내용입력!$B$4:$F$63,5,FALSE),""),"")</f>
        <v/>
      </c>
      <c r="BU35" s="41" t="str">
        <f>IFERROR(IF(M35=1,VLOOKUP(M$2,활동내용입력!$B$4:$F$63,5,FALSE),""),"")</f>
        <v/>
      </c>
      <c r="BV35" s="41" t="str">
        <f>IFERROR(IF(N35=1,VLOOKUP(N$2,활동내용입력!$B$4:$F$63,5,FALSE),""),"")</f>
        <v/>
      </c>
      <c r="BW35" s="41" t="str">
        <f>IFERROR(IF(O35=1,VLOOKUP(O$2,활동내용입력!$B$4:$F$63,5,FALSE),""),"")</f>
        <v/>
      </c>
      <c r="BX35" s="41" t="str">
        <f>IFERROR(IF(P35=1,VLOOKUP(P$2,활동내용입력!$B$4:$F$63,5,FALSE),""),"")</f>
        <v/>
      </c>
      <c r="BY35" s="41" t="str">
        <f>IFERROR(IF(Q35=1,VLOOKUP(Q$2,활동내용입력!$B$4:$F$63,5,FALSE),""),"")</f>
        <v/>
      </c>
      <c r="BZ35" s="41" t="str">
        <f>IFERROR(IF(R35=1,VLOOKUP(R$2,활동내용입력!$B$4:$F$63,5,FALSE),""),"")</f>
        <v/>
      </c>
      <c r="CA35" s="41" t="str">
        <f>IFERROR(IF(S35=1,VLOOKUP(S$2,활동내용입력!$B$4:$F$63,5,FALSE),""),"")</f>
        <v/>
      </c>
      <c r="CB35" s="41" t="str">
        <f>IFERROR(IF(T35=1,VLOOKUP(T$2,활동내용입력!$B$4:$F$63,5,FALSE),""),"")</f>
        <v/>
      </c>
      <c r="CC35" s="41" t="str">
        <f>IFERROR(IF(U35=1,VLOOKUP(U$2,활동내용입력!$B$4:$F$63,5,FALSE),""),"")</f>
        <v/>
      </c>
      <c r="CD35" s="41" t="str">
        <f>IFERROR(IF(V35=1,VLOOKUP(V$2,활동내용입력!$B$4:$F$63,5,FALSE),""),"")</f>
        <v/>
      </c>
      <c r="CE35" s="41" t="str">
        <f>IFERROR(IF(W35=1,VLOOKUP(W$2,활동내용입력!$B$4:$F$63,5,FALSE),""),"")</f>
        <v/>
      </c>
      <c r="CF35" s="41" t="str">
        <f>IFERROR(IF(X35=1,VLOOKUP(X$2,활동내용입력!$B$4:$F$63,5,FALSE),""),"")</f>
        <v/>
      </c>
      <c r="CG35" s="41" t="str">
        <f>IFERROR(IF(Y35=1,VLOOKUP(Y$2,활동내용입력!$B$4:$F$63,5,FALSE),""),"")</f>
        <v/>
      </c>
      <c r="CH35" s="41" t="str">
        <f>IFERROR(IF(Z35=1,VLOOKUP(Z$2,활동내용입력!$B$4:$F$63,5,FALSE),""),"")</f>
        <v/>
      </c>
      <c r="CI35" s="41" t="str">
        <f>IFERROR(IF(AA35=1,VLOOKUP(AA$2,활동내용입력!$B$4:$F$63,5,FALSE),""),"")</f>
        <v/>
      </c>
      <c r="CJ35" s="41" t="str">
        <f>IFERROR(IF(AB35=1,VLOOKUP(AB$2,활동내용입력!$B$4:$F$63,5,FALSE),""),"")</f>
        <v/>
      </c>
      <c r="CK35" s="41" t="str">
        <f>IFERROR(IF(AC35=1,VLOOKUP(AC$2,활동내용입력!$B$4:$F$63,5,FALSE),""),"")</f>
        <v/>
      </c>
      <c r="CL35" s="41" t="str">
        <f>IFERROR(IF(AD35=1,VLOOKUP(AD$2,활동내용입력!$B$4:$F$63,5,FALSE),""),"")</f>
        <v/>
      </c>
      <c r="CM35" s="41" t="str">
        <f>IFERROR(IF(AE35=1,VLOOKUP(AE$2,활동내용입력!$B$4:$F$63,5,FALSE),""),"")</f>
        <v/>
      </c>
      <c r="CN35" s="41" t="str">
        <f>IFERROR(IF(AF35=1,VLOOKUP(AF$2,활동내용입력!$B$4:$F$63,5,FALSE),""),"")</f>
        <v/>
      </c>
      <c r="CO35" s="41" t="str">
        <f>IFERROR(IF(AG35=1,VLOOKUP(AG$2,활동내용입력!$B$4:$F$63,5,FALSE),""),"")</f>
        <v/>
      </c>
      <c r="CP35" s="41" t="str">
        <f>IFERROR(IF(AH35=1,VLOOKUP(AH$2,활동내용입력!$B$4:$F$63,5,FALSE),""),"")</f>
        <v/>
      </c>
      <c r="CQ35" s="41" t="str">
        <f>IFERROR(IF(AI35=1,VLOOKUP(AI$2,활동내용입력!$B$4:$F$63,5,FALSE),""),"")</f>
        <v/>
      </c>
      <c r="CR35" s="41" t="str">
        <f>IFERROR(IF(AJ35=1,VLOOKUP(AJ$2,활동내용입력!$B$4:$F$63,5,FALSE),""),"")</f>
        <v/>
      </c>
      <c r="CS35" s="41" t="str">
        <f>IFERROR(IF(AK35=1,VLOOKUP(AK$2,활동내용입력!$B$4:$F$63,5,FALSE),""),"")</f>
        <v/>
      </c>
      <c r="CT35" s="41" t="str">
        <f>IFERROR(IF(AL35=1,VLOOKUP(AL$2,활동내용입력!$B$4:$F$63,5,FALSE),""),"")</f>
        <v/>
      </c>
      <c r="CU35" s="41" t="str">
        <f>IFERROR(IF(AM35=1,VLOOKUP(AM$2,활동내용입력!$B$4:$F$63,5,FALSE),""),"")</f>
        <v/>
      </c>
      <c r="CV35" s="41" t="str">
        <f>IFERROR(IF(AN35=1,VLOOKUP(AN$2,활동내용입력!$B$4:$F$63,5,FALSE),""),"")</f>
        <v/>
      </c>
      <c r="CW35" s="41" t="str">
        <f>IFERROR(IF(AO35=1,VLOOKUP(AO$2,활동내용입력!$B$4:$F$63,5,FALSE),""),"")</f>
        <v/>
      </c>
      <c r="CX35" s="41" t="str">
        <f>IFERROR(IF(AP35=1,VLOOKUP(AP$2,활동내용입력!$B$4:$F$63,5,FALSE),""),"")</f>
        <v/>
      </c>
      <c r="CY35" s="41" t="str">
        <f>IFERROR(IF(AQ35=1,VLOOKUP(AQ$2,활동내용입력!$B$4:$F$63,5,FALSE),""),"")</f>
        <v/>
      </c>
      <c r="CZ35" s="41" t="str">
        <f>IFERROR(IF(AR35=1,VLOOKUP(AR$2,활동내용입력!$B$4:$F$63,5,FALSE),""),"")</f>
        <v/>
      </c>
      <c r="DA35" s="41" t="str">
        <f>IFERROR(IF(AS35=1,VLOOKUP(AS$2,활동내용입력!$B$4:$F$63,5,FALSE),""),"")</f>
        <v/>
      </c>
      <c r="DB35" s="41" t="str">
        <f>IFERROR(IF(AT35=1,VLOOKUP(AT$2,활동내용입력!$B$4:$F$63,5,FALSE),""),"")</f>
        <v/>
      </c>
      <c r="DC35" s="41" t="str">
        <f>IFERROR(IF(AU35=1,VLOOKUP(AU$2,활동내용입력!$B$4:$F$63,5,FALSE),""),"")</f>
        <v/>
      </c>
      <c r="DD35" s="41" t="str">
        <f>IFERROR(IF(AV35=1,VLOOKUP(AV$2,활동내용입력!$B$4:$F$63,5,FALSE),""),"")</f>
        <v/>
      </c>
      <c r="DE35" s="41" t="str">
        <f>IFERROR(IF(AW35=1,VLOOKUP(AW$2,활동내용입력!$B$4:$F$63,5,FALSE),""),"")</f>
        <v/>
      </c>
      <c r="DF35" s="41" t="str">
        <f>IFERROR(IF(AX35=1,VLOOKUP(AX$2,활동내용입력!$B$4:$F$63,5,FALSE),""),"")</f>
        <v/>
      </c>
      <c r="DG35" s="41" t="str">
        <f>IFERROR(IF(AY35=1,VLOOKUP(AY$2,활동내용입력!$B$4:$F$63,5,FALSE),""),"")</f>
        <v/>
      </c>
      <c r="DH35" s="41" t="str">
        <f>IFERROR(IF(AZ35=1,VLOOKUP(AZ$2,활동내용입력!$B$4:$F$63,5,FALSE),""),"")</f>
        <v/>
      </c>
      <c r="DI35" s="41" t="str">
        <f>IFERROR(IF(BA35=1,VLOOKUP(BA$2,활동내용입력!$B$4:$F$63,5,FALSE),""),"")</f>
        <v/>
      </c>
      <c r="DJ35" s="41" t="str">
        <f>IFERROR(IF(BB35=1,VLOOKUP(BB$2,활동내용입력!$B$4:$F$63,5,FALSE),""),"")</f>
        <v/>
      </c>
      <c r="DK35" s="41" t="str">
        <f>IFERROR(IF(BC35=1,VLOOKUP(BC$2,활동내용입력!$B$4:$F$63,5,FALSE),""),"")</f>
        <v/>
      </c>
      <c r="DL35" s="41" t="str">
        <f>IFERROR(IF(BD35=1,VLOOKUP(BD$2,활동내용입력!$B$4:$F$63,5,FALSE),""),"")</f>
        <v/>
      </c>
      <c r="DM35" s="41" t="str">
        <f>IFERROR(IF(BE35=1,VLOOKUP(BE$2,활동내용입력!$B$4:$F$63,5,FALSE),""),"")</f>
        <v/>
      </c>
      <c r="DN35" s="41" t="str">
        <f>IFERROR(IF(BF35=1,VLOOKUP(BF$2,활동내용입력!$B$4:$F$63,5,FALSE),""),"")</f>
        <v/>
      </c>
      <c r="DO35" s="41" t="str">
        <f>IFERROR(IF(BG35=1,VLOOKUP(BG$2,활동내용입력!$B$4:$F$63,5,FALSE),""),"")</f>
        <v/>
      </c>
      <c r="DP35" s="41" t="str">
        <f>IFERROR(IF(BH35=1,VLOOKUP(BH$2,활동내용입력!$B$4:$F$63,5,FALSE),""),"")</f>
        <v/>
      </c>
      <c r="DQ35" s="41" t="str">
        <f>IFERROR(IF(BI35=1,VLOOKUP(BI$2,활동내용입력!$B$4:$F$63,5,FALSE),""),"")</f>
        <v/>
      </c>
      <c r="DR35" s="41" t="str">
        <f>IFERROR(IF(BJ35=1,VLOOKUP(BJ$2,활동내용입력!$B$4:$F$63,5,FALSE),""),"")</f>
        <v/>
      </c>
      <c r="DS35" s="41" t="str">
        <f t="shared" si="7"/>
        <v/>
      </c>
      <c r="DT35" s="42">
        <f t="shared" si="6"/>
        <v>0</v>
      </c>
      <c r="DU35" s="34"/>
    </row>
    <row r="36" spans="1:125" x14ac:dyDescent="0.3">
      <c r="A36" s="58">
        <v>32</v>
      </c>
      <c r="B36" s="57"/>
      <c r="C36" s="40"/>
      <c r="D36" s="40"/>
      <c r="E36" s="40"/>
      <c r="F36" s="40"/>
      <c r="G36" s="40"/>
      <c r="H36" s="40"/>
      <c r="I36" s="40"/>
      <c r="J36" s="40"/>
      <c r="K36" s="40"/>
      <c r="L36" s="40"/>
      <c r="M36" s="40"/>
      <c r="N36" s="40"/>
      <c r="O36" s="40"/>
      <c r="P36" s="40"/>
      <c r="Q36" s="40"/>
      <c r="R36" s="40"/>
      <c r="S36" s="40"/>
      <c r="T36" s="40"/>
      <c r="U36" s="40"/>
      <c r="V36" s="40"/>
      <c r="W36" s="40"/>
      <c r="X36" s="40"/>
      <c r="Y36" s="40"/>
      <c r="Z36" s="40"/>
      <c r="AA36" s="40"/>
      <c r="AB36" s="40"/>
      <c r="AC36" s="40"/>
      <c r="AD36" s="40"/>
      <c r="AE36" s="40"/>
      <c r="AF36" s="40"/>
      <c r="AG36" s="40"/>
      <c r="AH36" s="40"/>
      <c r="AI36" s="40"/>
      <c r="AJ36" s="40"/>
      <c r="AK36" s="40"/>
      <c r="AL36" s="40"/>
      <c r="AM36" s="40"/>
      <c r="AN36" s="40"/>
      <c r="AO36" s="40"/>
      <c r="AP36" s="40"/>
      <c r="AQ36" s="40"/>
      <c r="AR36" s="40"/>
      <c r="AS36" s="40"/>
      <c r="AT36" s="40"/>
      <c r="AU36" s="40"/>
      <c r="AV36" s="40"/>
      <c r="AW36" s="40"/>
      <c r="AX36" s="40"/>
      <c r="AY36" s="40"/>
      <c r="AZ36" s="40"/>
      <c r="BA36" s="40"/>
      <c r="BB36" s="40"/>
      <c r="BC36" s="40"/>
      <c r="BD36" s="40"/>
      <c r="BE36" s="40"/>
      <c r="BF36" s="40"/>
      <c r="BG36" s="40"/>
      <c r="BH36" s="40"/>
      <c r="BI36" s="40"/>
      <c r="BJ36" s="40"/>
      <c r="BK36" s="41" t="str">
        <f>IFERROR(IF(C36=1,VLOOKUP(C$2,활동내용입력!$B$4:$F$63,5,FALSE),""),"")</f>
        <v/>
      </c>
      <c r="BL36" s="41" t="str">
        <f>IFERROR(IF(D36=1,VLOOKUP(D$2,활동내용입력!$B$4:$F$63,5,FALSE),""),"")</f>
        <v/>
      </c>
      <c r="BM36" s="41" t="str">
        <f>IFERROR(IF(E36=1,VLOOKUP(E$2,활동내용입력!$B$4:$F$63,5,FALSE),""),"")</f>
        <v/>
      </c>
      <c r="BN36" s="41" t="str">
        <f>IFERROR(IF(F36=1,VLOOKUP(F$2,활동내용입력!$B$4:$F$63,5,FALSE),""),"")</f>
        <v/>
      </c>
      <c r="BO36" s="41" t="str">
        <f>IFERROR(IF(G36=1,VLOOKUP(G$2,활동내용입력!$B$4:$F$63,5,FALSE),""),"")</f>
        <v/>
      </c>
      <c r="BP36" s="41" t="str">
        <f>IFERROR(IF(H36=1,VLOOKUP(H$2,활동내용입력!$B$4:$F$63,5,FALSE),""),"")</f>
        <v/>
      </c>
      <c r="BQ36" s="41" t="str">
        <f>IFERROR(IF(I36=1,VLOOKUP(I$2,활동내용입력!$B$4:$F$63,5,FALSE),""),"")</f>
        <v/>
      </c>
      <c r="BR36" s="41" t="str">
        <f>IFERROR(IF(J36=1,VLOOKUP(J$2,활동내용입력!$B$4:$F$63,5,FALSE),""),"")</f>
        <v/>
      </c>
      <c r="BS36" s="41" t="str">
        <f>IFERROR(IF(K36=1,VLOOKUP(K$2,활동내용입력!$B$4:$F$63,5,FALSE),""),"")</f>
        <v/>
      </c>
      <c r="BT36" s="41" t="str">
        <f>IFERROR(IF(L36=1,VLOOKUP(L$2,활동내용입력!$B$4:$F$63,5,FALSE),""),"")</f>
        <v/>
      </c>
      <c r="BU36" s="41" t="str">
        <f>IFERROR(IF(M36=1,VLOOKUP(M$2,활동내용입력!$B$4:$F$63,5,FALSE),""),"")</f>
        <v/>
      </c>
      <c r="BV36" s="41" t="str">
        <f>IFERROR(IF(N36=1,VLOOKUP(N$2,활동내용입력!$B$4:$F$63,5,FALSE),""),"")</f>
        <v/>
      </c>
      <c r="BW36" s="41" t="str">
        <f>IFERROR(IF(O36=1,VLOOKUP(O$2,활동내용입력!$B$4:$F$63,5,FALSE),""),"")</f>
        <v/>
      </c>
      <c r="BX36" s="41" t="str">
        <f>IFERROR(IF(P36=1,VLOOKUP(P$2,활동내용입력!$B$4:$F$63,5,FALSE),""),"")</f>
        <v/>
      </c>
      <c r="BY36" s="41" t="str">
        <f>IFERROR(IF(Q36=1,VLOOKUP(Q$2,활동내용입력!$B$4:$F$63,5,FALSE),""),"")</f>
        <v/>
      </c>
      <c r="BZ36" s="41" t="str">
        <f>IFERROR(IF(R36=1,VLOOKUP(R$2,활동내용입력!$B$4:$F$63,5,FALSE),""),"")</f>
        <v/>
      </c>
      <c r="CA36" s="41" t="str">
        <f>IFERROR(IF(S36=1,VLOOKUP(S$2,활동내용입력!$B$4:$F$63,5,FALSE),""),"")</f>
        <v/>
      </c>
      <c r="CB36" s="41" t="str">
        <f>IFERROR(IF(T36=1,VLOOKUP(T$2,활동내용입력!$B$4:$F$63,5,FALSE),""),"")</f>
        <v/>
      </c>
      <c r="CC36" s="41" t="str">
        <f>IFERROR(IF(U36=1,VLOOKUP(U$2,활동내용입력!$B$4:$F$63,5,FALSE),""),"")</f>
        <v/>
      </c>
      <c r="CD36" s="41" t="str">
        <f>IFERROR(IF(V36=1,VLOOKUP(V$2,활동내용입력!$B$4:$F$63,5,FALSE),""),"")</f>
        <v/>
      </c>
      <c r="CE36" s="41" t="str">
        <f>IFERROR(IF(W36=1,VLOOKUP(W$2,활동내용입력!$B$4:$F$63,5,FALSE),""),"")</f>
        <v/>
      </c>
      <c r="CF36" s="41" t="str">
        <f>IFERROR(IF(X36=1,VLOOKUP(X$2,활동내용입력!$B$4:$F$63,5,FALSE),""),"")</f>
        <v/>
      </c>
      <c r="CG36" s="41" t="str">
        <f>IFERROR(IF(Y36=1,VLOOKUP(Y$2,활동내용입력!$B$4:$F$63,5,FALSE),""),"")</f>
        <v/>
      </c>
      <c r="CH36" s="41" t="str">
        <f>IFERROR(IF(Z36=1,VLOOKUP(Z$2,활동내용입력!$B$4:$F$63,5,FALSE),""),"")</f>
        <v/>
      </c>
      <c r="CI36" s="41" t="str">
        <f>IFERROR(IF(AA36=1,VLOOKUP(AA$2,활동내용입력!$B$4:$F$63,5,FALSE),""),"")</f>
        <v/>
      </c>
      <c r="CJ36" s="41" t="str">
        <f>IFERROR(IF(AB36=1,VLOOKUP(AB$2,활동내용입력!$B$4:$F$63,5,FALSE),""),"")</f>
        <v/>
      </c>
      <c r="CK36" s="41" t="str">
        <f>IFERROR(IF(AC36=1,VLOOKUP(AC$2,활동내용입력!$B$4:$F$63,5,FALSE),""),"")</f>
        <v/>
      </c>
      <c r="CL36" s="41" t="str">
        <f>IFERROR(IF(AD36=1,VLOOKUP(AD$2,활동내용입력!$B$4:$F$63,5,FALSE),""),"")</f>
        <v/>
      </c>
      <c r="CM36" s="41" t="str">
        <f>IFERROR(IF(AE36=1,VLOOKUP(AE$2,활동내용입력!$B$4:$F$63,5,FALSE),""),"")</f>
        <v/>
      </c>
      <c r="CN36" s="41" t="str">
        <f>IFERROR(IF(AF36=1,VLOOKUP(AF$2,활동내용입력!$B$4:$F$63,5,FALSE),""),"")</f>
        <v/>
      </c>
      <c r="CO36" s="41" t="str">
        <f>IFERROR(IF(AG36=1,VLOOKUP(AG$2,활동내용입력!$B$4:$F$63,5,FALSE),""),"")</f>
        <v/>
      </c>
      <c r="CP36" s="41" t="str">
        <f>IFERROR(IF(AH36=1,VLOOKUP(AH$2,활동내용입력!$B$4:$F$63,5,FALSE),""),"")</f>
        <v/>
      </c>
      <c r="CQ36" s="41" t="str">
        <f>IFERROR(IF(AI36=1,VLOOKUP(AI$2,활동내용입력!$B$4:$F$63,5,FALSE),""),"")</f>
        <v/>
      </c>
      <c r="CR36" s="41" t="str">
        <f>IFERROR(IF(AJ36=1,VLOOKUP(AJ$2,활동내용입력!$B$4:$F$63,5,FALSE),""),"")</f>
        <v/>
      </c>
      <c r="CS36" s="41" t="str">
        <f>IFERROR(IF(AK36=1,VLOOKUP(AK$2,활동내용입력!$B$4:$F$63,5,FALSE),""),"")</f>
        <v/>
      </c>
      <c r="CT36" s="41" t="str">
        <f>IFERROR(IF(AL36=1,VLOOKUP(AL$2,활동내용입력!$B$4:$F$63,5,FALSE),""),"")</f>
        <v/>
      </c>
      <c r="CU36" s="41" t="str">
        <f>IFERROR(IF(AM36=1,VLOOKUP(AM$2,활동내용입력!$B$4:$F$63,5,FALSE),""),"")</f>
        <v/>
      </c>
      <c r="CV36" s="41" t="str">
        <f>IFERROR(IF(AN36=1,VLOOKUP(AN$2,활동내용입력!$B$4:$F$63,5,FALSE),""),"")</f>
        <v/>
      </c>
      <c r="CW36" s="41" t="str">
        <f>IFERROR(IF(AO36=1,VLOOKUP(AO$2,활동내용입력!$B$4:$F$63,5,FALSE),""),"")</f>
        <v/>
      </c>
      <c r="CX36" s="41" t="str">
        <f>IFERROR(IF(AP36=1,VLOOKUP(AP$2,활동내용입력!$B$4:$F$63,5,FALSE),""),"")</f>
        <v/>
      </c>
      <c r="CY36" s="41" t="str">
        <f>IFERROR(IF(AQ36=1,VLOOKUP(AQ$2,활동내용입력!$B$4:$F$63,5,FALSE),""),"")</f>
        <v/>
      </c>
      <c r="CZ36" s="41" t="str">
        <f>IFERROR(IF(AR36=1,VLOOKUP(AR$2,활동내용입력!$B$4:$F$63,5,FALSE),""),"")</f>
        <v/>
      </c>
      <c r="DA36" s="41" t="str">
        <f>IFERROR(IF(AS36=1,VLOOKUP(AS$2,활동내용입력!$B$4:$F$63,5,FALSE),""),"")</f>
        <v/>
      </c>
      <c r="DB36" s="41" t="str">
        <f>IFERROR(IF(AT36=1,VLOOKUP(AT$2,활동내용입력!$B$4:$F$63,5,FALSE),""),"")</f>
        <v/>
      </c>
      <c r="DC36" s="41" t="str">
        <f>IFERROR(IF(AU36=1,VLOOKUP(AU$2,활동내용입력!$B$4:$F$63,5,FALSE),""),"")</f>
        <v/>
      </c>
      <c r="DD36" s="41" t="str">
        <f>IFERROR(IF(AV36=1,VLOOKUP(AV$2,활동내용입력!$B$4:$F$63,5,FALSE),""),"")</f>
        <v/>
      </c>
      <c r="DE36" s="41" t="str">
        <f>IFERROR(IF(AW36=1,VLOOKUP(AW$2,활동내용입력!$B$4:$F$63,5,FALSE),""),"")</f>
        <v/>
      </c>
      <c r="DF36" s="41" t="str">
        <f>IFERROR(IF(AX36=1,VLOOKUP(AX$2,활동내용입력!$B$4:$F$63,5,FALSE),""),"")</f>
        <v/>
      </c>
      <c r="DG36" s="41" t="str">
        <f>IFERROR(IF(AY36=1,VLOOKUP(AY$2,활동내용입력!$B$4:$F$63,5,FALSE),""),"")</f>
        <v/>
      </c>
      <c r="DH36" s="41" t="str">
        <f>IFERROR(IF(AZ36=1,VLOOKUP(AZ$2,활동내용입력!$B$4:$F$63,5,FALSE),""),"")</f>
        <v/>
      </c>
      <c r="DI36" s="41" t="str">
        <f>IFERROR(IF(BA36=1,VLOOKUP(BA$2,활동내용입력!$B$4:$F$63,5,FALSE),""),"")</f>
        <v/>
      </c>
      <c r="DJ36" s="41" t="str">
        <f>IFERROR(IF(BB36=1,VLOOKUP(BB$2,활동내용입력!$B$4:$F$63,5,FALSE),""),"")</f>
        <v/>
      </c>
      <c r="DK36" s="41" t="str">
        <f>IFERROR(IF(BC36=1,VLOOKUP(BC$2,활동내용입력!$B$4:$F$63,5,FALSE),""),"")</f>
        <v/>
      </c>
      <c r="DL36" s="41" t="str">
        <f>IFERROR(IF(BD36=1,VLOOKUP(BD$2,활동내용입력!$B$4:$F$63,5,FALSE),""),"")</f>
        <v/>
      </c>
      <c r="DM36" s="41" t="str">
        <f>IFERROR(IF(BE36=1,VLOOKUP(BE$2,활동내용입력!$B$4:$F$63,5,FALSE),""),"")</f>
        <v/>
      </c>
      <c r="DN36" s="41" t="str">
        <f>IFERROR(IF(BF36=1,VLOOKUP(BF$2,활동내용입력!$B$4:$F$63,5,FALSE),""),"")</f>
        <v/>
      </c>
      <c r="DO36" s="41" t="str">
        <f>IFERROR(IF(BG36=1,VLOOKUP(BG$2,활동내용입력!$B$4:$F$63,5,FALSE),""),"")</f>
        <v/>
      </c>
      <c r="DP36" s="41" t="str">
        <f>IFERROR(IF(BH36=1,VLOOKUP(BH$2,활동내용입력!$B$4:$F$63,5,FALSE),""),"")</f>
        <v/>
      </c>
      <c r="DQ36" s="41" t="str">
        <f>IFERROR(IF(BI36=1,VLOOKUP(BI$2,활동내용입력!$B$4:$F$63,5,FALSE),""),"")</f>
        <v/>
      </c>
      <c r="DR36" s="41" t="str">
        <f>IFERROR(IF(BJ36=1,VLOOKUP(BJ$2,활동내용입력!$B$4:$F$63,5,FALSE),""),"")</f>
        <v/>
      </c>
      <c r="DS36" s="41" t="str">
        <f t="shared" si="7"/>
        <v/>
      </c>
      <c r="DT36" s="42">
        <f t="shared" si="6"/>
        <v>0</v>
      </c>
      <c r="DU36" s="34"/>
    </row>
    <row r="37" spans="1:125" x14ac:dyDescent="0.3">
      <c r="A37" s="58">
        <v>33</v>
      </c>
      <c r="B37" s="57"/>
      <c r="C37" s="40"/>
      <c r="D37" s="40"/>
      <c r="E37" s="40"/>
      <c r="F37" s="40"/>
      <c r="G37" s="40"/>
      <c r="H37" s="40"/>
      <c r="I37" s="40"/>
      <c r="J37" s="40"/>
      <c r="K37" s="40"/>
      <c r="L37" s="40"/>
      <c r="M37" s="40"/>
      <c r="N37" s="40"/>
      <c r="O37" s="40"/>
      <c r="P37" s="40"/>
      <c r="Q37" s="40"/>
      <c r="R37" s="40"/>
      <c r="S37" s="40"/>
      <c r="T37" s="40"/>
      <c r="U37" s="40"/>
      <c r="V37" s="40"/>
      <c r="W37" s="40"/>
      <c r="X37" s="40"/>
      <c r="Y37" s="40"/>
      <c r="Z37" s="40"/>
      <c r="AA37" s="40"/>
      <c r="AB37" s="40"/>
      <c r="AC37" s="40"/>
      <c r="AD37" s="40"/>
      <c r="AE37" s="40"/>
      <c r="AF37" s="40"/>
      <c r="AG37" s="40"/>
      <c r="AH37" s="40"/>
      <c r="AI37" s="40"/>
      <c r="AJ37" s="40"/>
      <c r="AK37" s="40"/>
      <c r="AL37" s="40"/>
      <c r="AM37" s="40"/>
      <c r="AN37" s="40"/>
      <c r="AO37" s="40"/>
      <c r="AP37" s="40"/>
      <c r="AQ37" s="40"/>
      <c r="AR37" s="40"/>
      <c r="AS37" s="40"/>
      <c r="AT37" s="40"/>
      <c r="AU37" s="40"/>
      <c r="AV37" s="40"/>
      <c r="AW37" s="40"/>
      <c r="AX37" s="40"/>
      <c r="AY37" s="40"/>
      <c r="AZ37" s="40"/>
      <c r="BA37" s="40"/>
      <c r="BB37" s="40"/>
      <c r="BC37" s="40"/>
      <c r="BD37" s="40"/>
      <c r="BE37" s="40"/>
      <c r="BF37" s="40"/>
      <c r="BG37" s="40"/>
      <c r="BH37" s="40"/>
      <c r="BI37" s="40"/>
      <c r="BJ37" s="40"/>
      <c r="BK37" s="41" t="str">
        <f>IFERROR(IF(C37=1,VLOOKUP(C$2,활동내용입력!$B$4:$F$63,5,FALSE),""),"")</f>
        <v/>
      </c>
      <c r="BL37" s="41" t="str">
        <f>IFERROR(IF(D37=1,VLOOKUP(D$2,활동내용입력!$B$4:$F$63,5,FALSE),""),"")</f>
        <v/>
      </c>
      <c r="BM37" s="41" t="str">
        <f>IFERROR(IF(E37=1,VLOOKUP(E$2,활동내용입력!$B$4:$F$63,5,FALSE),""),"")</f>
        <v/>
      </c>
      <c r="BN37" s="41" t="str">
        <f>IFERROR(IF(F37=1,VLOOKUP(F$2,활동내용입력!$B$4:$F$63,5,FALSE),""),"")</f>
        <v/>
      </c>
      <c r="BO37" s="41" t="str">
        <f>IFERROR(IF(G37=1,VLOOKUP(G$2,활동내용입력!$B$4:$F$63,5,FALSE),""),"")</f>
        <v/>
      </c>
      <c r="BP37" s="41" t="str">
        <f>IFERROR(IF(H37=1,VLOOKUP(H$2,활동내용입력!$B$4:$F$63,5,FALSE),""),"")</f>
        <v/>
      </c>
      <c r="BQ37" s="41" t="str">
        <f>IFERROR(IF(I37=1,VLOOKUP(I$2,활동내용입력!$B$4:$F$63,5,FALSE),""),"")</f>
        <v/>
      </c>
      <c r="BR37" s="41" t="str">
        <f>IFERROR(IF(J37=1,VLOOKUP(J$2,활동내용입력!$B$4:$F$63,5,FALSE),""),"")</f>
        <v/>
      </c>
      <c r="BS37" s="41" t="str">
        <f>IFERROR(IF(K37=1,VLOOKUP(K$2,활동내용입력!$B$4:$F$63,5,FALSE),""),"")</f>
        <v/>
      </c>
      <c r="BT37" s="41" t="str">
        <f>IFERROR(IF(L37=1,VLOOKUP(L$2,활동내용입력!$B$4:$F$63,5,FALSE),""),"")</f>
        <v/>
      </c>
      <c r="BU37" s="41" t="str">
        <f>IFERROR(IF(M37=1,VLOOKUP(M$2,활동내용입력!$B$4:$F$63,5,FALSE),""),"")</f>
        <v/>
      </c>
      <c r="BV37" s="41" t="str">
        <f>IFERROR(IF(N37=1,VLOOKUP(N$2,활동내용입력!$B$4:$F$63,5,FALSE),""),"")</f>
        <v/>
      </c>
      <c r="BW37" s="41" t="str">
        <f>IFERROR(IF(O37=1,VLOOKUP(O$2,활동내용입력!$B$4:$F$63,5,FALSE),""),"")</f>
        <v/>
      </c>
      <c r="BX37" s="41" t="str">
        <f>IFERROR(IF(P37=1,VLOOKUP(P$2,활동내용입력!$B$4:$F$63,5,FALSE),""),"")</f>
        <v/>
      </c>
      <c r="BY37" s="41" t="str">
        <f>IFERROR(IF(Q37=1,VLOOKUP(Q$2,활동내용입력!$B$4:$F$63,5,FALSE),""),"")</f>
        <v/>
      </c>
      <c r="BZ37" s="41" t="str">
        <f>IFERROR(IF(R37=1,VLOOKUP(R$2,활동내용입력!$B$4:$F$63,5,FALSE),""),"")</f>
        <v/>
      </c>
      <c r="CA37" s="41" t="str">
        <f>IFERROR(IF(S37=1,VLOOKUP(S$2,활동내용입력!$B$4:$F$63,5,FALSE),""),"")</f>
        <v/>
      </c>
      <c r="CB37" s="41" t="str">
        <f>IFERROR(IF(T37=1,VLOOKUP(T$2,활동내용입력!$B$4:$F$63,5,FALSE),""),"")</f>
        <v/>
      </c>
      <c r="CC37" s="41" t="str">
        <f>IFERROR(IF(U37=1,VLOOKUP(U$2,활동내용입력!$B$4:$F$63,5,FALSE),""),"")</f>
        <v/>
      </c>
      <c r="CD37" s="41" t="str">
        <f>IFERROR(IF(V37=1,VLOOKUP(V$2,활동내용입력!$B$4:$F$63,5,FALSE),""),"")</f>
        <v/>
      </c>
      <c r="CE37" s="41" t="str">
        <f>IFERROR(IF(W37=1,VLOOKUP(W$2,활동내용입력!$B$4:$F$63,5,FALSE),""),"")</f>
        <v/>
      </c>
      <c r="CF37" s="41" t="str">
        <f>IFERROR(IF(X37=1,VLOOKUP(X$2,활동내용입력!$B$4:$F$63,5,FALSE),""),"")</f>
        <v/>
      </c>
      <c r="CG37" s="41" t="str">
        <f>IFERROR(IF(Y37=1,VLOOKUP(Y$2,활동내용입력!$B$4:$F$63,5,FALSE),""),"")</f>
        <v/>
      </c>
      <c r="CH37" s="41" t="str">
        <f>IFERROR(IF(Z37=1,VLOOKUP(Z$2,활동내용입력!$B$4:$F$63,5,FALSE),""),"")</f>
        <v/>
      </c>
      <c r="CI37" s="41" t="str">
        <f>IFERROR(IF(AA37=1,VLOOKUP(AA$2,활동내용입력!$B$4:$F$63,5,FALSE),""),"")</f>
        <v/>
      </c>
      <c r="CJ37" s="41" t="str">
        <f>IFERROR(IF(AB37=1,VLOOKUP(AB$2,활동내용입력!$B$4:$F$63,5,FALSE),""),"")</f>
        <v/>
      </c>
      <c r="CK37" s="41" t="str">
        <f>IFERROR(IF(AC37=1,VLOOKUP(AC$2,활동내용입력!$B$4:$F$63,5,FALSE),""),"")</f>
        <v/>
      </c>
      <c r="CL37" s="41" t="str">
        <f>IFERROR(IF(AD37=1,VLOOKUP(AD$2,활동내용입력!$B$4:$F$63,5,FALSE),""),"")</f>
        <v/>
      </c>
      <c r="CM37" s="41" t="str">
        <f>IFERROR(IF(AE37=1,VLOOKUP(AE$2,활동내용입력!$B$4:$F$63,5,FALSE),""),"")</f>
        <v/>
      </c>
      <c r="CN37" s="41" t="str">
        <f>IFERROR(IF(AF37=1,VLOOKUP(AF$2,활동내용입력!$B$4:$F$63,5,FALSE),""),"")</f>
        <v/>
      </c>
      <c r="CO37" s="41" t="str">
        <f>IFERROR(IF(AG37=1,VLOOKUP(AG$2,활동내용입력!$B$4:$F$63,5,FALSE),""),"")</f>
        <v/>
      </c>
      <c r="CP37" s="41" t="str">
        <f>IFERROR(IF(AH37=1,VLOOKUP(AH$2,활동내용입력!$B$4:$F$63,5,FALSE),""),"")</f>
        <v/>
      </c>
      <c r="CQ37" s="41" t="str">
        <f>IFERROR(IF(AI37=1,VLOOKUP(AI$2,활동내용입력!$B$4:$F$63,5,FALSE),""),"")</f>
        <v/>
      </c>
      <c r="CR37" s="41" t="str">
        <f>IFERROR(IF(AJ37=1,VLOOKUP(AJ$2,활동내용입력!$B$4:$F$63,5,FALSE),""),"")</f>
        <v/>
      </c>
      <c r="CS37" s="41" t="str">
        <f>IFERROR(IF(AK37=1,VLOOKUP(AK$2,활동내용입력!$B$4:$F$63,5,FALSE),""),"")</f>
        <v/>
      </c>
      <c r="CT37" s="41" t="str">
        <f>IFERROR(IF(AL37=1,VLOOKUP(AL$2,활동내용입력!$B$4:$F$63,5,FALSE),""),"")</f>
        <v/>
      </c>
      <c r="CU37" s="41" t="str">
        <f>IFERROR(IF(AM37=1,VLOOKUP(AM$2,활동내용입력!$B$4:$F$63,5,FALSE),""),"")</f>
        <v/>
      </c>
      <c r="CV37" s="41" t="str">
        <f>IFERROR(IF(AN37=1,VLOOKUP(AN$2,활동내용입력!$B$4:$F$63,5,FALSE),""),"")</f>
        <v/>
      </c>
      <c r="CW37" s="41" t="str">
        <f>IFERROR(IF(AO37=1,VLOOKUP(AO$2,활동내용입력!$B$4:$F$63,5,FALSE),""),"")</f>
        <v/>
      </c>
      <c r="CX37" s="41" t="str">
        <f>IFERROR(IF(AP37=1,VLOOKUP(AP$2,활동내용입력!$B$4:$F$63,5,FALSE),""),"")</f>
        <v/>
      </c>
      <c r="CY37" s="41" t="str">
        <f>IFERROR(IF(AQ37=1,VLOOKUP(AQ$2,활동내용입력!$B$4:$F$63,5,FALSE),""),"")</f>
        <v/>
      </c>
      <c r="CZ37" s="41" t="str">
        <f>IFERROR(IF(AR37=1,VLOOKUP(AR$2,활동내용입력!$B$4:$F$63,5,FALSE),""),"")</f>
        <v/>
      </c>
      <c r="DA37" s="41" t="str">
        <f>IFERROR(IF(AS37=1,VLOOKUP(AS$2,활동내용입력!$B$4:$F$63,5,FALSE),""),"")</f>
        <v/>
      </c>
      <c r="DB37" s="41" t="str">
        <f>IFERROR(IF(AT37=1,VLOOKUP(AT$2,활동내용입력!$B$4:$F$63,5,FALSE),""),"")</f>
        <v/>
      </c>
      <c r="DC37" s="41" t="str">
        <f>IFERROR(IF(AU37=1,VLOOKUP(AU$2,활동내용입력!$B$4:$F$63,5,FALSE),""),"")</f>
        <v/>
      </c>
      <c r="DD37" s="41" t="str">
        <f>IFERROR(IF(AV37=1,VLOOKUP(AV$2,활동내용입력!$B$4:$F$63,5,FALSE),""),"")</f>
        <v/>
      </c>
      <c r="DE37" s="41" t="str">
        <f>IFERROR(IF(AW37=1,VLOOKUP(AW$2,활동내용입력!$B$4:$F$63,5,FALSE),""),"")</f>
        <v/>
      </c>
      <c r="DF37" s="41" t="str">
        <f>IFERROR(IF(AX37=1,VLOOKUP(AX$2,활동내용입력!$B$4:$F$63,5,FALSE),""),"")</f>
        <v/>
      </c>
      <c r="DG37" s="41" t="str">
        <f>IFERROR(IF(AY37=1,VLOOKUP(AY$2,활동내용입력!$B$4:$F$63,5,FALSE),""),"")</f>
        <v/>
      </c>
      <c r="DH37" s="41" t="str">
        <f>IFERROR(IF(AZ37=1,VLOOKUP(AZ$2,활동내용입력!$B$4:$F$63,5,FALSE),""),"")</f>
        <v/>
      </c>
      <c r="DI37" s="41" t="str">
        <f>IFERROR(IF(BA37=1,VLOOKUP(BA$2,활동내용입력!$B$4:$F$63,5,FALSE),""),"")</f>
        <v/>
      </c>
      <c r="DJ37" s="41" t="str">
        <f>IFERROR(IF(BB37=1,VLOOKUP(BB$2,활동내용입력!$B$4:$F$63,5,FALSE),""),"")</f>
        <v/>
      </c>
      <c r="DK37" s="41" t="str">
        <f>IFERROR(IF(BC37=1,VLOOKUP(BC$2,활동내용입력!$B$4:$F$63,5,FALSE),""),"")</f>
        <v/>
      </c>
      <c r="DL37" s="41" t="str">
        <f>IFERROR(IF(BD37=1,VLOOKUP(BD$2,활동내용입력!$B$4:$F$63,5,FALSE),""),"")</f>
        <v/>
      </c>
      <c r="DM37" s="41" t="str">
        <f>IFERROR(IF(BE37=1,VLOOKUP(BE$2,활동내용입력!$B$4:$F$63,5,FALSE),""),"")</f>
        <v/>
      </c>
      <c r="DN37" s="41" t="str">
        <f>IFERROR(IF(BF37=1,VLOOKUP(BF$2,활동내용입력!$B$4:$F$63,5,FALSE),""),"")</f>
        <v/>
      </c>
      <c r="DO37" s="41" t="str">
        <f>IFERROR(IF(BG37=1,VLOOKUP(BG$2,활동내용입력!$B$4:$F$63,5,FALSE),""),"")</f>
        <v/>
      </c>
      <c r="DP37" s="41" t="str">
        <f>IFERROR(IF(BH37=1,VLOOKUP(BH$2,활동내용입력!$B$4:$F$63,5,FALSE),""),"")</f>
        <v/>
      </c>
      <c r="DQ37" s="41" t="str">
        <f>IFERROR(IF(BI37=1,VLOOKUP(BI$2,활동내용입력!$B$4:$F$63,5,FALSE),""),"")</f>
        <v/>
      </c>
      <c r="DR37" s="41" t="str">
        <f>IFERROR(IF(BJ37=1,VLOOKUP(BJ$2,활동내용입력!$B$4:$F$63,5,FALSE),""),"")</f>
        <v/>
      </c>
      <c r="DS37" s="41" t="str">
        <f t="shared" si="7"/>
        <v/>
      </c>
      <c r="DT37" s="42">
        <f t="shared" si="6"/>
        <v>0</v>
      </c>
      <c r="DU37" s="34"/>
    </row>
    <row r="38" spans="1:125" x14ac:dyDescent="0.3">
      <c r="A38" s="58">
        <v>34</v>
      </c>
      <c r="B38" s="57"/>
      <c r="C38" s="40"/>
      <c r="D38" s="40"/>
      <c r="E38" s="40"/>
      <c r="F38" s="40"/>
      <c r="G38" s="40"/>
      <c r="H38" s="40"/>
      <c r="I38" s="40"/>
      <c r="J38" s="40"/>
      <c r="K38" s="40"/>
      <c r="L38" s="40"/>
      <c r="M38" s="40"/>
      <c r="N38" s="40"/>
      <c r="O38" s="40"/>
      <c r="P38" s="40"/>
      <c r="Q38" s="40"/>
      <c r="R38" s="40"/>
      <c r="S38" s="40"/>
      <c r="T38" s="40"/>
      <c r="U38" s="40"/>
      <c r="V38" s="40"/>
      <c r="W38" s="40"/>
      <c r="X38" s="40"/>
      <c r="Y38" s="40"/>
      <c r="Z38" s="40"/>
      <c r="AA38" s="40"/>
      <c r="AB38" s="40"/>
      <c r="AC38" s="40"/>
      <c r="AD38" s="40"/>
      <c r="AE38" s="40"/>
      <c r="AF38" s="40"/>
      <c r="AG38" s="40"/>
      <c r="AH38" s="40"/>
      <c r="AI38" s="40"/>
      <c r="AJ38" s="40"/>
      <c r="AK38" s="40"/>
      <c r="AL38" s="40"/>
      <c r="AM38" s="40"/>
      <c r="AN38" s="40"/>
      <c r="AO38" s="40"/>
      <c r="AP38" s="40"/>
      <c r="AQ38" s="40"/>
      <c r="AR38" s="40"/>
      <c r="AS38" s="40"/>
      <c r="AT38" s="40"/>
      <c r="AU38" s="40"/>
      <c r="AV38" s="40"/>
      <c r="AW38" s="40"/>
      <c r="AX38" s="40"/>
      <c r="AY38" s="40"/>
      <c r="AZ38" s="40"/>
      <c r="BA38" s="40"/>
      <c r="BB38" s="40"/>
      <c r="BC38" s="40"/>
      <c r="BD38" s="40"/>
      <c r="BE38" s="40"/>
      <c r="BF38" s="40"/>
      <c r="BG38" s="40"/>
      <c r="BH38" s="40"/>
      <c r="BI38" s="40"/>
      <c r="BJ38" s="40"/>
      <c r="BK38" s="41" t="str">
        <f>IFERROR(IF(C38=1,VLOOKUP(C$2,활동내용입력!$B$4:$F$63,5,FALSE),""),"")</f>
        <v/>
      </c>
      <c r="BL38" s="41" t="str">
        <f>IFERROR(IF(D38=1,VLOOKUP(D$2,활동내용입력!$B$4:$F$63,5,FALSE),""),"")</f>
        <v/>
      </c>
      <c r="BM38" s="41" t="str">
        <f>IFERROR(IF(E38=1,VLOOKUP(E$2,활동내용입력!$B$4:$F$63,5,FALSE),""),"")</f>
        <v/>
      </c>
      <c r="BN38" s="41" t="str">
        <f>IFERROR(IF(F38=1,VLOOKUP(F$2,활동내용입력!$B$4:$F$63,5,FALSE),""),"")</f>
        <v/>
      </c>
      <c r="BO38" s="41" t="str">
        <f>IFERROR(IF(G38=1,VLOOKUP(G$2,활동내용입력!$B$4:$F$63,5,FALSE),""),"")</f>
        <v/>
      </c>
      <c r="BP38" s="41" t="str">
        <f>IFERROR(IF(H38=1,VLOOKUP(H$2,활동내용입력!$B$4:$F$63,5,FALSE),""),"")</f>
        <v/>
      </c>
      <c r="BQ38" s="41" t="str">
        <f>IFERROR(IF(I38=1,VLOOKUP(I$2,활동내용입력!$B$4:$F$63,5,FALSE),""),"")</f>
        <v/>
      </c>
      <c r="BR38" s="41" t="str">
        <f>IFERROR(IF(J38=1,VLOOKUP(J$2,활동내용입력!$B$4:$F$63,5,FALSE),""),"")</f>
        <v/>
      </c>
      <c r="BS38" s="41" t="str">
        <f>IFERROR(IF(K38=1,VLOOKUP(K$2,활동내용입력!$B$4:$F$63,5,FALSE),""),"")</f>
        <v/>
      </c>
      <c r="BT38" s="41" t="str">
        <f>IFERROR(IF(L38=1,VLOOKUP(L$2,활동내용입력!$B$4:$F$63,5,FALSE),""),"")</f>
        <v/>
      </c>
      <c r="BU38" s="41" t="str">
        <f>IFERROR(IF(M38=1,VLOOKUP(M$2,활동내용입력!$B$4:$F$63,5,FALSE),""),"")</f>
        <v/>
      </c>
      <c r="BV38" s="41" t="str">
        <f>IFERROR(IF(N38=1,VLOOKUP(N$2,활동내용입력!$B$4:$F$63,5,FALSE),""),"")</f>
        <v/>
      </c>
      <c r="BW38" s="41" t="str">
        <f>IFERROR(IF(O38=1,VLOOKUP(O$2,활동내용입력!$B$4:$F$63,5,FALSE),""),"")</f>
        <v/>
      </c>
      <c r="BX38" s="41" t="str">
        <f>IFERROR(IF(P38=1,VLOOKUP(P$2,활동내용입력!$B$4:$F$63,5,FALSE),""),"")</f>
        <v/>
      </c>
      <c r="BY38" s="41" t="str">
        <f>IFERROR(IF(Q38=1,VLOOKUP(Q$2,활동내용입력!$B$4:$F$63,5,FALSE),""),"")</f>
        <v/>
      </c>
      <c r="BZ38" s="41" t="str">
        <f>IFERROR(IF(R38=1,VLOOKUP(R$2,활동내용입력!$B$4:$F$63,5,FALSE),""),"")</f>
        <v/>
      </c>
      <c r="CA38" s="41" t="str">
        <f>IFERROR(IF(S38=1,VLOOKUP(S$2,활동내용입력!$B$4:$F$63,5,FALSE),""),"")</f>
        <v/>
      </c>
      <c r="CB38" s="41" t="str">
        <f>IFERROR(IF(T38=1,VLOOKUP(T$2,활동내용입력!$B$4:$F$63,5,FALSE),""),"")</f>
        <v/>
      </c>
      <c r="CC38" s="41" t="str">
        <f>IFERROR(IF(U38=1,VLOOKUP(U$2,활동내용입력!$B$4:$F$63,5,FALSE),""),"")</f>
        <v/>
      </c>
      <c r="CD38" s="41" t="str">
        <f>IFERROR(IF(V38=1,VLOOKUP(V$2,활동내용입력!$B$4:$F$63,5,FALSE),""),"")</f>
        <v/>
      </c>
      <c r="CE38" s="41" t="str">
        <f>IFERROR(IF(W38=1,VLOOKUP(W$2,활동내용입력!$B$4:$F$63,5,FALSE),""),"")</f>
        <v/>
      </c>
      <c r="CF38" s="41" t="str">
        <f>IFERROR(IF(X38=1,VLOOKUP(X$2,활동내용입력!$B$4:$F$63,5,FALSE),""),"")</f>
        <v/>
      </c>
      <c r="CG38" s="41" t="str">
        <f>IFERROR(IF(Y38=1,VLOOKUP(Y$2,활동내용입력!$B$4:$F$63,5,FALSE),""),"")</f>
        <v/>
      </c>
      <c r="CH38" s="41" t="str">
        <f>IFERROR(IF(Z38=1,VLOOKUP(Z$2,활동내용입력!$B$4:$F$63,5,FALSE),""),"")</f>
        <v/>
      </c>
      <c r="CI38" s="41" t="str">
        <f>IFERROR(IF(AA38=1,VLOOKUP(AA$2,활동내용입력!$B$4:$F$63,5,FALSE),""),"")</f>
        <v/>
      </c>
      <c r="CJ38" s="41" t="str">
        <f>IFERROR(IF(AB38=1,VLOOKUP(AB$2,활동내용입력!$B$4:$F$63,5,FALSE),""),"")</f>
        <v/>
      </c>
      <c r="CK38" s="41" t="str">
        <f>IFERROR(IF(AC38=1,VLOOKUP(AC$2,활동내용입력!$B$4:$F$63,5,FALSE),""),"")</f>
        <v/>
      </c>
      <c r="CL38" s="41" t="str">
        <f>IFERROR(IF(AD38=1,VLOOKUP(AD$2,활동내용입력!$B$4:$F$63,5,FALSE),""),"")</f>
        <v/>
      </c>
      <c r="CM38" s="41" t="str">
        <f>IFERROR(IF(AE38=1,VLOOKUP(AE$2,활동내용입력!$B$4:$F$63,5,FALSE),""),"")</f>
        <v/>
      </c>
      <c r="CN38" s="41" t="str">
        <f>IFERROR(IF(AF38=1,VLOOKUP(AF$2,활동내용입력!$B$4:$F$63,5,FALSE),""),"")</f>
        <v/>
      </c>
      <c r="CO38" s="41" t="str">
        <f>IFERROR(IF(AG38=1,VLOOKUP(AG$2,활동내용입력!$B$4:$F$63,5,FALSE),""),"")</f>
        <v/>
      </c>
      <c r="CP38" s="41" t="str">
        <f>IFERROR(IF(AH38=1,VLOOKUP(AH$2,활동내용입력!$B$4:$F$63,5,FALSE),""),"")</f>
        <v/>
      </c>
      <c r="CQ38" s="41" t="str">
        <f>IFERROR(IF(AI38=1,VLOOKUP(AI$2,활동내용입력!$B$4:$F$63,5,FALSE),""),"")</f>
        <v/>
      </c>
      <c r="CR38" s="41" t="str">
        <f>IFERROR(IF(AJ38=1,VLOOKUP(AJ$2,활동내용입력!$B$4:$F$63,5,FALSE),""),"")</f>
        <v/>
      </c>
      <c r="CS38" s="41" t="str">
        <f>IFERROR(IF(AK38=1,VLOOKUP(AK$2,활동내용입력!$B$4:$F$63,5,FALSE),""),"")</f>
        <v/>
      </c>
      <c r="CT38" s="41" t="str">
        <f>IFERROR(IF(AL38=1,VLOOKUP(AL$2,활동내용입력!$B$4:$F$63,5,FALSE),""),"")</f>
        <v/>
      </c>
      <c r="CU38" s="41" t="str">
        <f>IFERROR(IF(AM38=1,VLOOKUP(AM$2,활동내용입력!$B$4:$F$63,5,FALSE),""),"")</f>
        <v/>
      </c>
      <c r="CV38" s="41" t="str">
        <f>IFERROR(IF(AN38=1,VLOOKUP(AN$2,활동내용입력!$B$4:$F$63,5,FALSE),""),"")</f>
        <v/>
      </c>
      <c r="CW38" s="41" t="str">
        <f>IFERROR(IF(AO38=1,VLOOKUP(AO$2,활동내용입력!$B$4:$F$63,5,FALSE),""),"")</f>
        <v/>
      </c>
      <c r="CX38" s="41" t="str">
        <f>IFERROR(IF(AP38=1,VLOOKUP(AP$2,활동내용입력!$B$4:$F$63,5,FALSE),""),"")</f>
        <v/>
      </c>
      <c r="CY38" s="41" t="str">
        <f>IFERROR(IF(AQ38=1,VLOOKUP(AQ$2,활동내용입력!$B$4:$F$63,5,FALSE),""),"")</f>
        <v/>
      </c>
      <c r="CZ38" s="41" t="str">
        <f>IFERROR(IF(AR38=1,VLOOKUP(AR$2,활동내용입력!$B$4:$F$63,5,FALSE),""),"")</f>
        <v/>
      </c>
      <c r="DA38" s="41" t="str">
        <f>IFERROR(IF(AS38=1,VLOOKUP(AS$2,활동내용입력!$B$4:$F$63,5,FALSE),""),"")</f>
        <v/>
      </c>
      <c r="DB38" s="41" t="str">
        <f>IFERROR(IF(AT38=1,VLOOKUP(AT$2,활동내용입력!$B$4:$F$63,5,FALSE),""),"")</f>
        <v/>
      </c>
      <c r="DC38" s="41" t="str">
        <f>IFERROR(IF(AU38=1,VLOOKUP(AU$2,활동내용입력!$B$4:$F$63,5,FALSE),""),"")</f>
        <v/>
      </c>
      <c r="DD38" s="41" t="str">
        <f>IFERROR(IF(AV38=1,VLOOKUP(AV$2,활동내용입력!$B$4:$F$63,5,FALSE),""),"")</f>
        <v/>
      </c>
      <c r="DE38" s="41" t="str">
        <f>IFERROR(IF(AW38=1,VLOOKUP(AW$2,활동내용입력!$B$4:$F$63,5,FALSE),""),"")</f>
        <v/>
      </c>
      <c r="DF38" s="41" t="str">
        <f>IFERROR(IF(AX38=1,VLOOKUP(AX$2,활동내용입력!$B$4:$F$63,5,FALSE),""),"")</f>
        <v/>
      </c>
      <c r="DG38" s="41" t="str">
        <f>IFERROR(IF(AY38=1,VLOOKUP(AY$2,활동내용입력!$B$4:$F$63,5,FALSE),""),"")</f>
        <v/>
      </c>
      <c r="DH38" s="41" t="str">
        <f>IFERROR(IF(AZ38=1,VLOOKUP(AZ$2,활동내용입력!$B$4:$F$63,5,FALSE),""),"")</f>
        <v/>
      </c>
      <c r="DI38" s="41" t="str">
        <f>IFERROR(IF(BA38=1,VLOOKUP(BA$2,활동내용입력!$B$4:$F$63,5,FALSE),""),"")</f>
        <v/>
      </c>
      <c r="DJ38" s="41" t="str">
        <f>IFERROR(IF(BB38=1,VLOOKUP(BB$2,활동내용입력!$B$4:$F$63,5,FALSE),""),"")</f>
        <v/>
      </c>
      <c r="DK38" s="41" t="str">
        <f>IFERROR(IF(BC38=1,VLOOKUP(BC$2,활동내용입력!$B$4:$F$63,5,FALSE),""),"")</f>
        <v/>
      </c>
      <c r="DL38" s="41" t="str">
        <f>IFERROR(IF(BD38=1,VLOOKUP(BD$2,활동내용입력!$B$4:$F$63,5,FALSE),""),"")</f>
        <v/>
      </c>
      <c r="DM38" s="41" t="str">
        <f>IFERROR(IF(BE38=1,VLOOKUP(BE$2,활동내용입력!$B$4:$F$63,5,FALSE),""),"")</f>
        <v/>
      </c>
      <c r="DN38" s="41" t="str">
        <f>IFERROR(IF(BF38=1,VLOOKUP(BF$2,활동내용입력!$B$4:$F$63,5,FALSE),""),"")</f>
        <v/>
      </c>
      <c r="DO38" s="41" t="str">
        <f>IFERROR(IF(BG38=1,VLOOKUP(BG$2,활동내용입력!$B$4:$F$63,5,FALSE),""),"")</f>
        <v/>
      </c>
      <c r="DP38" s="41" t="str">
        <f>IFERROR(IF(BH38=1,VLOOKUP(BH$2,활동내용입력!$B$4:$F$63,5,FALSE),""),"")</f>
        <v/>
      </c>
      <c r="DQ38" s="41" t="str">
        <f>IFERROR(IF(BI38=1,VLOOKUP(BI$2,활동내용입력!$B$4:$F$63,5,FALSE),""),"")</f>
        <v/>
      </c>
      <c r="DR38" s="41" t="str">
        <f>IFERROR(IF(BJ38=1,VLOOKUP(BJ$2,활동내용입력!$B$4:$F$63,5,FALSE),""),"")</f>
        <v/>
      </c>
      <c r="DS38" s="41" t="str">
        <f t="shared" si="7"/>
        <v/>
      </c>
      <c r="DT38" s="42">
        <f t="shared" si="6"/>
        <v>0</v>
      </c>
      <c r="DU38" s="34"/>
    </row>
    <row r="39" spans="1:125" x14ac:dyDescent="0.3">
      <c r="A39" s="58">
        <v>35</v>
      </c>
      <c r="B39" s="57"/>
      <c r="C39" s="40"/>
      <c r="D39" s="40"/>
      <c r="E39" s="40"/>
      <c r="F39" s="40"/>
      <c r="G39" s="40"/>
      <c r="H39" s="40"/>
      <c r="I39" s="40"/>
      <c r="J39" s="40"/>
      <c r="K39" s="40"/>
      <c r="L39" s="40"/>
      <c r="M39" s="40"/>
      <c r="N39" s="40"/>
      <c r="O39" s="40"/>
      <c r="P39" s="40"/>
      <c r="Q39" s="40"/>
      <c r="R39" s="40"/>
      <c r="S39" s="40"/>
      <c r="T39" s="40"/>
      <c r="U39" s="40"/>
      <c r="V39" s="40"/>
      <c r="W39" s="40"/>
      <c r="X39" s="40"/>
      <c r="Y39" s="40"/>
      <c r="Z39" s="40"/>
      <c r="AA39" s="40"/>
      <c r="AB39" s="40"/>
      <c r="AC39" s="40"/>
      <c r="AD39" s="40"/>
      <c r="AE39" s="40"/>
      <c r="AF39" s="40"/>
      <c r="AG39" s="40"/>
      <c r="AH39" s="40"/>
      <c r="AI39" s="40"/>
      <c r="AJ39" s="40"/>
      <c r="AK39" s="40"/>
      <c r="AL39" s="40"/>
      <c r="AM39" s="40"/>
      <c r="AN39" s="40"/>
      <c r="AO39" s="40"/>
      <c r="AP39" s="40"/>
      <c r="AQ39" s="40"/>
      <c r="AR39" s="40"/>
      <c r="AS39" s="40"/>
      <c r="AT39" s="40"/>
      <c r="AU39" s="40"/>
      <c r="AV39" s="40"/>
      <c r="AW39" s="40"/>
      <c r="AX39" s="40"/>
      <c r="AY39" s="40"/>
      <c r="AZ39" s="40"/>
      <c r="BA39" s="40"/>
      <c r="BB39" s="40"/>
      <c r="BC39" s="40"/>
      <c r="BD39" s="40"/>
      <c r="BE39" s="40"/>
      <c r="BF39" s="40"/>
      <c r="BG39" s="40"/>
      <c r="BH39" s="40"/>
      <c r="BI39" s="40"/>
      <c r="BJ39" s="40"/>
      <c r="BK39" s="41" t="str">
        <f>IFERROR(IF(C39=1,VLOOKUP(C$2,활동내용입력!$B$4:$F$63,5,FALSE),""),"")</f>
        <v/>
      </c>
      <c r="BL39" s="41" t="str">
        <f>IFERROR(IF(D39=1,VLOOKUP(D$2,활동내용입력!$B$4:$F$63,5,FALSE),""),"")</f>
        <v/>
      </c>
      <c r="BM39" s="41" t="str">
        <f>IFERROR(IF(E39=1,VLOOKUP(E$2,활동내용입력!$B$4:$F$63,5,FALSE),""),"")</f>
        <v/>
      </c>
      <c r="BN39" s="41" t="str">
        <f>IFERROR(IF(F39=1,VLOOKUP(F$2,활동내용입력!$B$4:$F$63,5,FALSE),""),"")</f>
        <v/>
      </c>
      <c r="BO39" s="41" t="str">
        <f>IFERROR(IF(G39=1,VLOOKUP(G$2,활동내용입력!$B$4:$F$63,5,FALSE),""),"")</f>
        <v/>
      </c>
      <c r="BP39" s="41" t="str">
        <f>IFERROR(IF(H39=1,VLOOKUP(H$2,활동내용입력!$B$4:$F$63,5,FALSE),""),"")</f>
        <v/>
      </c>
      <c r="BQ39" s="41" t="str">
        <f>IFERROR(IF(I39=1,VLOOKUP(I$2,활동내용입력!$B$4:$F$63,5,FALSE),""),"")</f>
        <v/>
      </c>
      <c r="BR39" s="41" t="str">
        <f>IFERROR(IF(J39=1,VLOOKUP(J$2,활동내용입력!$B$4:$F$63,5,FALSE),""),"")</f>
        <v/>
      </c>
      <c r="BS39" s="41" t="str">
        <f>IFERROR(IF(K39=1,VLOOKUP(K$2,활동내용입력!$B$4:$F$63,5,FALSE),""),"")</f>
        <v/>
      </c>
      <c r="BT39" s="41" t="str">
        <f>IFERROR(IF(L39=1,VLOOKUP(L$2,활동내용입력!$B$4:$F$63,5,FALSE),""),"")</f>
        <v/>
      </c>
      <c r="BU39" s="41" t="str">
        <f>IFERROR(IF(M39=1,VLOOKUP(M$2,활동내용입력!$B$4:$F$63,5,FALSE),""),"")</f>
        <v/>
      </c>
      <c r="BV39" s="41" t="str">
        <f>IFERROR(IF(N39=1,VLOOKUP(N$2,활동내용입력!$B$4:$F$63,5,FALSE),""),"")</f>
        <v/>
      </c>
      <c r="BW39" s="41" t="str">
        <f>IFERROR(IF(O39=1,VLOOKUP(O$2,활동내용입력!$B$4:$F$63,5,FALSE),""),"")</f>
        <v/>
      </c>
      <c r="BX39" s="41" t="str">
        <f>IFERROR(IF(P39=1,VLOOKUP(P$2,활동내용입력!$B$4:$F$63,5,FALSE),""),"")</f>
        <v/>
      </c>
      <c r="BY39" s="41" t="str">
        <f>IFERROR(IF(Q39=1,VLOOKUP(Q$2,활동내용입력!$B$4:$F$63,5,FALSE),""),"")</f>
        <v/>
      </c>
      <c r="BZ39" s="41" t="str">
        <f>IFERROR(IF(R39=1,VLOOKUP(R$2,활동내용입력!$B$4:$F$63,5,FALSE),""),"")</f>
        <v/>
      </c>
      <c r="CA39" s="41" t="str">
        <f>IFERROR(IF(S39=1,VLOOKUP(S$2,활동내용입력!$B$4:$F$63,5,FALSE),""),"")</f>
        <v/>
      </c>
      <c r="CB39" s="41" t="str">
        <f>IFERROR(IF(T39=1,VLOOKUP(T$2,활동내용입력!$B$4:$F$63,5,FALSE),""),"")</f>
        <v/>
      </c>
      <c r="CC39" s="41" t="str">
        <f>IFERROR(IF(U39=1,VLOOKUP(U$2,활동내용입력!$B$4:$F$63,5,FALSE),""),"")</f>
        <v/>
      </c>
      <c r="CD39" s="41" t="str">
        <f>IFERROR(IF(V39=1,VLOOKUP(V$2,활동내용입력!$B$4:$F$63,5,FALSE),""),"")</f>
        <v/>
      </c>
      <c r="CE39" s="41" t="str">
        <f>IFERROR(IF(W39=1,VLOOKUP(W$2,활동내용입력!$B$4:$F$63,5,FALSE),""),"")</f>
        <v/>
      </c>
      <c r="CF39" s="41" t="str">
        <f>IFERROR(IF(X39=1,VLOOKUP(X$2,활동내용입력!$B$4:$F$63,5,FALSE),""),"")</f>
        <v/>
      </c>
      <c r="CG39" s="41" t="str">
        <f>IFERROR(IF(Y39=1,VLOOKUP(Y$2,활동내용입력!$B$4:$F$63,5,FALSE),""),"")</f>
        <v/>
      </c>
      <c r="CH39" s="41" t="str">
        <f>IFERROR(IF(Z39=1,VLOOKUP(Z$2,활동내용입력!$B$4:$F$63,5,FALSE),""),"")</f>
        <v/>
      </c>
      <c r="CI39" s="41" t="str">
        <f>IFERROR(IF(AA39=1,VLOOKUP(AA$2,활동내용입력!$B$4:$F$63,5,FALSE),""),"")</f>
        <v/>
      </c>
      <c r="CJ39" s="41" t="str">
        <f>IFERROR(IF(AB39=1,VLOOKUP(AB$2,활동내용입력!$B$4:$F$63,5,FALSE),""),"")</f>
        <v/>
      </c>
      <c r="CK39" s="41" t="str">
        <f>IFERROR(IF(AC39=1,VLOOKUP(AC$2,활동내용입력!$B$4:$F$63,5,FALSE),""),"")</f>
        <v/>
      </c>
      <c r="CL39" s="41" t="str">
        <f>IFERROR(IF(AD39=1,VLOOKUP(AD$2,활동내용입력!$B$4:$F$63,5,FALSE),""),"")</f>
        <v/>
      </c>
      <c r="CM39" s="41" t="str">
        <f>IFERROR(IF(AE39=1,VLOOKUP(AE$2,활동내용입력!$B$4:$F$63,5,FALSE),""),"")</f>
        <v/>
      </c>
      <c r="CN39" s="41" t="str">
        <f>IFERROR(IF(AF39=1,VLOOKUP(AF$2,활동내용입력!$B$4:$F$63,5,FALSE),""),"")</f>
        <v/>
      </c>
      <c r="CO39" s="41" t="str">
        <f>IFERROR(IF(AG39=1,VLOOKUP(AG$2,활동내용입력!$B$4:$F$63,5,FALSE),""),"")</f>
        <v/>
      </c>
      <c r="CP39" s="41" t="str">
        <f>IFERROR(IF(AH39=1,VLOOKUP(AH$2,활동내용입력!$B$4:$F$63,5,FALSE),""),"")</f>
        <v/>
      </c>
      <c r="CQ39" s="41" t="str">
        <f>IFERROR(IF(AI39=1,VLOOKUP(AI$2,활동내용입력!$B$4:$F$63,5,FALSE),""),"")</f>
        <v/>
      </c>
      <c r="CR39" s="41" t="str">
        <f>IFERROR(IF(AJ39=1,VLOOKUP(AJ$2,활동내용입력!$B$4:$F$63,5,FALSE),""),"")</f>
        <v/>
      </c>
      <c r="CS39" s="41" t="str">
        <f>IFERROR(IF(AK39=1,VLOOKUP(AK$2,활동내용입력!$B$4:$F$63,5,FALSE),""),"")</f>
        <v/>
      </c>
      <c r="CT39" s="41" t="str">
        <f>IFERROR(IF(AL39=1,VLOOKUP(AL$2,활동내용입력!$B$4:$F$63,5,FALSE),""),"")</f>
        <v/>
      </c>
      <c r="CU39" s="41" t="str">
        <f>IFERROR(IF(AM39=1,VLOOKUP(AM$2,활동내용입력!$B$4:$F$63,5,FALSE),""),"")</f>
        <v/>
      </c>
      <c r="CV39" s="41" t="str">
        <f>IFERROR(IF(AN39=1,VLOOKUP(AN$2,활동내용입력!$B$4:$F$63,5,FALSE),""),"")</f>
        <v/>
      </c>
      <c r="CW39" s="41" t="str">
        <f>IFERROR(IF(AO39=1,VLOOKUP(AO$2,활동내용입력!$B$4:$F$63,5,FALSE),""),"")</f>
        <v/>
      </c>
      <c r="CX39" s="41" t="str">
        <f>IFERROR(IF(AP39=1,VLOOKUP(AP$2,활동내용입력!$B$4:$F$63,5,FALSE),""),"")</f>
        <v/>
      </c>
      <c r="CY39" s="41" t="str">
        <f>IFERROR(IF(AQ39=1,VLOOKUP(AQ$2,활동내용입력!$B$4:$F$63,5,FALSE),""),"")</f>
        <v/>
      </c>
      <c r="CZ39" s="41" t="str">
        <f>IFERROR(IF(AR39=1,VLOOKUP(AR$2,활동내용입력!$B$4:$F$63,5,FALSE),""),"")</f>
        <v/>
      </c>
      <c r="DA39" s="41" t="str">
        <f>IFERROR(IF(AS39=1,VLOOKUP(AS$2,활동내용입력!$B$4:$F$63,5,FALSE),""),"")</f>
        <v/>
      </c>
      <c r="DB39" s="41" t="str">
        <f>IFERROR(IF(AT39=1,VLOOKUP(AT$2,활동내용입력!$B$4:$F$63,5,FALSE),""),"")</f>
        <v/>
      </c>
      <c r="DC39" s="41" t="str">
        <f>IFERROR(IF(AU39=1,VLOOKUP(AU$2,활동내용입력!$B$4:$F$63,5,FALSE),""),"")</f>
        <v/>
      </c>
      <c r="DD39" s="41" t="str">
        <f>IFERROR(IF(AV39=1,VLOOKUP(AV$2,활동내용입력!$B$4:$F$63,5,FALSE),""),"")</f>
        <v/>
      </c>
      <c r="DE39" s="41" t="str">
        <f>IFERROR(IF(AW39=1,VLOOKUP(AW$2,활동내용입력!$B$4:$F$63,5,FALSE),""),"")</f>
        <v/>
      </c>
      <c r="DF39" s="41" t="str">
        <f>IFERROR(IF(AX39=1,VLOOKUP(AX$2,활동내용입력!$B$4:$F$63,5,FALSE),""),"")</f>
        <v/>
      </c>
      <c r="DG39" s="41" t="str">
        <f>IFERROR(IF(AY39=1,VLOOKUP(AY$2,활동내용입력!$B$4:$F$63,5,FALSE),""),"")</f>
        <v/>
      </c>
      <c r="DH39" s="41" t="str">
        <f>IFERROR(IF(AZ39=1,VLOOKUP(AZ$2,활동내용입력!$B$4:$F$63,5,FALSE),""),"")</f>
        <v/>
      </c>
      <c r="DI39" s="41" t="str">
        <f>IFERROR(IF(BA39=1,VLOOKUP(BA$2,활동내용입력!$B$4:$F$63,5,FALSE),""),"")</f>
        <v/>
      </c>
      <c r="DJ39" s="41" t="str">
        <f>IFERROR(IF(BB39=1,VLOOKUP(BB$2,활동내용입력!$B$4:$F$63,5,FALSE),""),"")</f>
        <v/>
      </c>
      <c r="DK39" s="41" t="str">
        <f>IFERROR(IF(BC39=1,VLOOKUP(BC$2,활동내용입력!$B$4:$F$63,5,FALSE),""),"")</f>
        <v/>
      </c>
      <c r="DL39" s="41" t="str">
        <f>IFERROR(IF(BD39=1,VLOOKUP(BD$2,활동내용입력!$B$4:$F$63,5,FALSE),""),"")</f>
        <v/>
      </c>
      <c r="DM39" s="41" t="str">
        <f>IFERROR(IF(BE39=1,VLOOKUP(BE$2,활동내용입력!$B$4:$F$63,5,FALSE),""),"")</f>
        <v/>
      </c>
      <c r="DN39" s="41" t="str">
        <f>IFERROR(IF(BF39=1,VLOOKUP(BF$2,활동내용입력!$B$4:$F$63,5,FALSE),""),"")</f>
        <v/>
      </c>
      <c r="DO39" s="41" t="str">
        <f>IFERROR(IF(BG39=1,VLOOKUP(BG$2,활동내용입력!$B$4:$F$63,5,FALSE),""),"")</f>
        <v/>
      </c>
      <c r="DP39" s="41" t="str">
        <f>IFERROR(IF(BH39=1,VLOOKUP(BH$2,활동내용입력!$B$4:$F$63,5,FALSE),""),"")</f>
        <v/>
      </c>
      <c r="DQ39" s="41" t="str">
        <f>IFERROR(IF(BI39=1,VLOOKUP(BI$2,활동내용입력!$B$4:$F$63,5,FALSE),""),"")</f>
        <v/>
      </c>
      <c r="DR39" s="41" t="str">
        <f>IFERROR(IF(BJ39=1,VLOOKUP(BJ$2,활동내용입력!$B$4:$F$63,5,FALSE),""),"")</f>
        <v/>
      </c>
      <c r="DS39" s="41" t="str">
        <f t="shared" si="7"/>
        <v/>
      </c>
      <c r="DT39" s="42">
        <f t="shared" si="6"/>
        <v>0</v>
      </c>
      <c r="DU39" s="34"/>
    </row>
    <row r="40" spans="1:125" x14ac:dyDescent="0.3">
      <c r="A40" s="58">
        <v>36</v>
      </c>
      <c r="B40" s="57"/>
      <c r="C40" s="40"/>
      <c r="D40" s="40"/>
      <c r="E40" s="40"/>
      <c r="F40" s="40"/>
      <c r="G40" s="40"/>
      <c r="H40" s="40"/>
      <c r="I40" s="40"/>
      <c r="J40" s="40"/>
      <c r="K40" s="40"/>
      <c r="L40" s="40"/>
      <c r="M40" s="40"/>
      <c r="N40" s="40"/>
      <c r="O40" s="40"/>
      <c r="P40" s="40"/>
      <c r="Q40" s="40"/>
      <c r="R40" s="40"/>
      <c r="S40" s="40"/>
      <c r="T40" s="40"/>
      <c r="U40" s="40"/>
      <c r="V40" s="40"/>
      <c r="W40" s="40"/>
      <c r="X40" s="40"/>
      <c r="Y40" s="40"/>
      <c r="Z40" s="40"/>
      <c r="AA40" s="40"/>
      <c r="AB40" s="40"/>
      <c r="AC40" s="40"/>
      <c r="AD40" s="40"/>
      <c r="AE40" s="40"/>
      <c r="AF40" s="40"/>
      <c r="AG40" s="40"/>
      <c r="AH40" s="40"/>
      <c r="AI40" s="40"/>
      <c r="AJ40" s="40"/>
      <c r="AK40" s="40"/>
      <c r="AL40" s="40"/>
      <c r="AM40" s="40"/>
      <c r="AN40" s="40"/>
      <c r="AO40" s="40"/>
      <c r="AP40" s="40"/>
      <c r="AQ40" s="40"/>
      <c r="AR40" s="40"/>
      <c r="AS40" s="40"/>
      <c r="AT40" s="40"/>
      <c r="AU40" s="40"/>
      <c r="AV40" s="40"/>
      <c r="AW40" s="40"/>
      <c r="AX40" s="40"/>
      <c r="AY40" s="40"/>
      <c r="AZ40" s="40"/>
      <c r="BA40" s="40"/>
      <c r="BB40" s="40"/>
      <c r="BC40" s="40"/>
      <c r="BD40" s="40"/>
      <c r="BE40" s="40"/>
      <c r="BF40" s="40"/>
      <c r="BG40" s="40"/>
      <c r="BH40" s="40"/>
      <c r="BI40" s="40"/>
      <c r="BJ40" s="40"/>
      <c r="BK40" s="41" t="str">
        <f>IFERROR(IF(C40=1,VLOOKUP(C$2,활동내용입력!$B$4:$F$63,5,FALSE),""),"")</f>
        <v/>
      </c>
      <c r="BL40" s="41" t="str">
        <f>IFERROR(IF(D40=1,VLOOKUP(D$2,활동내용입력!$B$4:$F$63,5,FALSE),""),"")</f>
        <v/>
      </c>
      <c r="BM40" s="41" t="str">
        <f>IFERROR(IF(E40=1,VLOOKUP(E$2,활동내용입력!$B$4:$F$63,5,FALSE),""),"")</f>
        <v/>
      </c>
      <c r="BN40" s="41" t="str">
        <f>IFERROR(IF(F40=1,VLOOKUP(F$2,활동내용입력!$B$4:$F$63,5,FALSE),""),"")</f>
        <v/>
      </c>
      <c r="BO40" s="41" t="str">
        <f>IFERROR(IF(G40=1,VLOOKUP(G$2,활동내용입력!$B$4:$F$63,5,FALSE),""),"")</f>
        <v/>
      </c>
      <c r="BP40" s="41" t="str">
        <f>IFERROR(IF(H40=1,VLOOKUP(H$2,활동내용입력!$B$4:$F$63,5,FALSE),""),"")</f>
        <v/>
      </c>
      <c r="BQ40" s="41" t="str">
        <f>IFERROR(IF(I40=1,VLOOKUP(I$2,활동내용입력!$B$4:$F$63,5,FALSE),""),"")</f>
        <v/>
      </c>
      <c r="BR40" s="41" t="str">
        <f>IFERROR(IF(J40=1,VLOOKUP(J$2,활동내용입력!$B$4:$F$63,5,FALSE),""),"")</f>
        <v/>
      </c>
      <c r="BS40" s="41" t="str">
        <f>IFERROR(IF(K40=1,VLOOKUP(K$2,활동내용입력!$B$4:$F$63,5,FALSE),""),"")</f>
        <v/>
      </c>
      <c r="BT40" s="41" t="str">
        <f>IFERROR(IF(L40=1,VLOOKUP(L$2,활동내용입력!$B$4:$F$63,5,FALSE),""),"")</f>
        <v/>
      </c>
      <c r="BU40" s="41" t="str">
        <f>IFERROR(IF(M40=1,VLOOKUP(M$2,활동내용입력!$B$4:$F$63,5,FALSE),""),"")</f>
        <v/>
      </c>
      <c r="BV40" s="41" t="str">
        <f>IFERROR(IF(N40=1,VLOOKUP(N$2,활동내용입력!$B$4:$F$63,5,FALSE),""),"")</f>
        <v/>
      </c>
      <c r="BW40" s="41" t="str">
        <f>IFERROR(IF(O40=1,VLOOKUP(O$2,활동내용입력!$B$4:$F$63,5,FALSE),""),"")</f>
        <v/>
      </c>
      <c r="BX40" s="41" t="str">
        <f>IFERROR(IF(P40=1,VLOOKUP(P$2,활동내용입력!$B$4:$F$63,5,FALSE),""),"")</f>
        <v/>
      </c>
      <c r="BY40" s="41" t="str">
        <f>IFERROR(IF(Q40=1,VLOOKUP(Q$2,활동내용입력!$B$4:$F$63,5,FALSE),""),"")</f>
        <v/>
      </c>
      <c r="BZ40" s="41" t="str">
        <f>IFERROR(IF(R40=1,VLOOKUP(R$2,활동내용입력!$B$4:$F$63,5,FALSE),""),"")</f>
        <v/>
      </c>
      <c r="CA40" s="41" t="str">
        <f>IFERROR(IF(S40=1,VLOOKUP(S$2,활동내용입력!$B$4:$F$63,5,FALSE),""),"")</f>
        <v/>
      </c>
      <c r="CB40" s="41" t="str">
        <f>IFERROR(IF(T40=1,VLOOKUP(T$2,활동내용입력!$B$4:$F$63,5,FALSE),""),"")</f>
        <v/>
      </c>
      <c r="CC40" s="41" t="str">
        <f>IFERROR(IF(U40=1,VLOOKUP(U$2,활동내용입력!$B$4:$F$63,5,FALSE),""),"")</f>
        <v/>
      </c>
      <c r="CD40" s="41" t="str">
        <f>IFERROR(IF(V40=1,VLOOKUP(V$2,활동내용입력!$B$4:$F$63,5,FALSE),""),"")</f>
        <v/>
      </c>
      <c r="CE40" s="41" t="str">
        <f>IFERROR(IF(W40=1,VLOOKUP(W$2,활동내용입력!$B$4:$F$63,5,FALSE),""),"")</f>
        <v/>
      </c>
      <c r="CF40" s="41" t="str">
        <f>IFERROR(IF(X40=1,VLOOKUP(X$2,활동내용입력!$B$4:$F$63,5,FALSE),""),"")</f>
        <v/>
      </c>
      <c r="CG40" s="41" t="str">
        <f>IFERROR(IF(Y40=1,VLOOKUP(Y$2,활동내용입력!$B$4:$F$63,5,FALSE),""),"")</f>
        <v/>
      </c>
      <c r="CH40" s="41" t="str">
        <f>IFERROR(IF(Z40=1,VLOOKUP(Z$2,활동내용입력!$B$4:$F$63,5,FALSE),""),"")</f>
        <v/>
      </c>
      <c r="CI40" s="41" t="str">
        <f>IFERROR(IF(AA40=1,VLOOKUP(AA$2,활동내용입력!$B$4:$F$63,5,FALSE),""),"")</f>
        <v/>
      </c>
      <c r="CJ40" s="41" t="str">
        <f>IFERROR(IF(AB40=1,VLOOKUP(AB$2,활동내용입력!$B$4:$F$63,5,FALSE),""),"")</f>
        <v/>
      </c>
      <c r="CK40" s="41" t="str">
        <f>IFERROR(IF(AC40=1,VLOOKUP(AC$2,활동내용입력!$B$4:$F$63,5,FALSE),""),"")</f>
        <v/>
      </c>
      <c r="CL40" s="41" t="str">
        <f>IFERROR(IF(AD40=1,VLOOKUP(AD$2,활동내용입력!$B$4:$F$63,5,FALSE),""),"")</f>
        <v/>
      </c>
      <c r="CM40" s="41" t="str">
        <f>IFERROR(IF(AE40=1,VLOOKUP(AE$2,활동내용입력!$B$4:$F$63,5,FALSE),""),"")</f>
        <v/>
      </c>
      <c r="CN40" s="41" t="str">
        <f>IFERROR(IF(AF40=1,VLOOKUP(AF$2,활동내용입력!$B$4:$F$63,5,FALSE),""),"")</f>
        <v/>
      </c>
      <c r="CO40" s="41" t="str">
        <f>IFERROR(IF(AG40=1,VLOOKUP(AG$2,활동내용입력!$B$4:$F$63,5,FALSE),""),"")</f>
        <v/>
      </c>
      <c r="CP40" s="41" t="str">
        <f>IFERROR(IF(AH40=1,VLOOKUP(AH$2,활동내용입력!$B$4:$F$63,5,FALSE),""),"")</f>
        <v/>
      </c>
      <c r="CQ40" s="41" t="str">
        <f>IFERROR(IF(AI40=1,VLOOKUP(AI$2,활동내용입력!$B$4:$F$63,5,FALSE),""),"")</f>
        <v/>
      </c>
      <c r="CR40" s="41" t="str">
        <f>IFERROR(IF(AJ40=1,VLOOKUP(AJ$2,활동내용입력!$B$4:$F$63,5,FALSE),""),"")</f>
        <v/>
      </c>
      <c r="CS40" s="41" t="str">
        <f>IFERROR(IF(AK40=1,VLOOKUP(AK$2,활동내용입력!$B$4:$F$63,5,FALSE),""),"")</f>
        <v/>
      </c>
      <c r="CT40" s="41" t="str">
        <f>IFERROR(IF(AL40=1,VLOOKUP(AL$2,활동내용입력!$B$4:$F$63,5,FALSE),""),"")</f>
        <v/>
      </c>
      <c r="CU40" s="41" t="str">
        <f>IFERROR(IF(AM40=1,VLOOKUP(AM$2,활동내용입력!$B$4:$F$63,5,FALSE),""),"")</f>
        <v/>
      </c>
      <c r="CV40" s="41" t="str">
        <f>IFERROR(IF(AN40=1,VLOOKUP(AN$2,활동내용입력!$B$4:$F$63,5,FALSE),""),"")</f>
        <v/>
      </c>
      <c r="CW40" s="41" t="str">
        <f>IFERROR(IF(AO40=1,VLOOKUP(AO$2,활동내용입력!$B$4:$F$63,5,FALSE),""),"")</f>
        <v/>
      </c>
      <c r="CX40" s="41" t="str">
        <f>IFERROR(IF(AP40=1,VLOOKUP(AP$2,활동내용입력!$B$4:$F$63,5,FALSE),""),"")</f>
        <v/>
      </c>
      <c r="CY40" s="41" t="str">
        <f>IFERROR(IF(AQ40=1,VLOOKUP(AQ$2,활동내용입력!$B$4:$F$63,5,FALSE),""),"")</f>
        <v/>
      </c>
      <c r="CZ40" s="41" t="str">
        <f>IFERROR(IF(AR40=1,VLOOKUP(AR$2,활동내용입력!$B$4:$F$63,5,FALSE),""),"")</f>
        <v/>
      </c>
      <c r="DA40" s="41" t="str">
        <f>IFERROR(IF(AS40=1,VLOOKUP(AS$2,활동내용입력!$B$4:$F$63,5,FALSE),""),"")</f>
        <v/>
      </c>
      <c r="DB40" s="41" t="str">
        <f>IFERROR(IF(AT40=1,VLOOKUP(AT$2,활동내용입력!$B$4:$F$63,5,FALSE),""),"")</f>
        <v/>
      </c>
      <c r="DC40" s="41" t="str">
        <f>IFERROR(IF(AU40=1,VLOOKUP(AU$2,활동내용입력!$B$4:$F$63,5,FALSE),""),"")</f>
        <v/>
      </c>
      <c r="DD40" s="41" t="str">
        <f>IFERROR(IF(AV40=1,VLOOKUP(AV$2,활동내용입력!$B$4:$F$63,5,FALSE),""),"")</f>
        <v/>
      </c>
      <c r="DE40" s="41" t="str">
        <f>IFERROR(IF(AW40=1,VLOOKUP(AW$2,활동내용입력!$B$4:$F$63,5,FALSE),""),"")</f>
        <v/>
      </c>
      <c r="DF40" s="41" t="str">
        <f>IFERROR(IF(AX40=1,VLOOKUP(AX$2,활동내용입력!$B$4:$F$63,5,FALSE),""),"")</f>
        <v/>
      </c>
      <c r="DG40" s="41" t="str">
        <f>IFERROR(IF(AY40=1,VLOOKUP(AY$2,활동내용입력!$B$4:$F$63,5,FALSE),""),"")</f>
        <v/>
      </c>
      <c r="DH40" s="41" t="str">
        <f>IFERROR(IF(AZ40=1,VLOOKUP(AZ$2,활동내용입력!$B$4:$F$63,5,FALSE),""),"")</f>
        <v/>
      </c>
      <c r="DI40" s="41" t="str">
        <f>IFERROR(IF(BA40=1,VLOOKUP(BA$2,활동내용입력!$B$4:$F$63,5,FALSE),""),"")</f>
        <v/>
      </c>
      <c r="DJ40" s="41" t="str">
        <f>IFERROR(IF(BB40=1,VLOOKUP(BB$2,활동내용입력!$B$4:$F$63,5,FALSE),""),"")</f>
        <v/>
      </c>
      <c r="DK40" s="41" t="str">
        <f>IFERROR(IF(BC40=1,VLOOKUP(BC$2,활동내용입력!$B$4:$F$63,5,FALSE),""),"")</f>
        <v/>
      </c>
      <c r="DL40" s="41" t="str">
        <f>IFERROR(IF(BD40=1,VLOOKUP(BD$2,활동내용입력!$B$4:$F$63,5,FALSE),""),"")</f>
        <v/>
      </c>
      <c r="DM40" s="41" t="str">
        <f>IFERROR(IF(BE40=1,VLOOKUP(BE$2,활동내용입력!$B$4:$F$63,5,FALSE),""),"")</f>
        <v/>
      </c>
      <c r="DN40" s="41" t="str">
        <f>IFERROR(IF(BF40=1,VLOOKUP(BF$2,활동내용입력!$B$4:$F$63,5,FALSE),""),"")</f>
        <v/>
      </c>
      <c r="DO40" s="41" t="str">
        <f>IFERROR(IF(BG40=1,VLOOKUP(BG$2,활동내용입력!$B$4:$F$63,5,FALSE),""),"")</f>
        <v/>
      </c>
      <c r="DP40" s="41" t="str">
        <f>IFERROR(IF(BH40=1,VLOOKUP(BH$2,활동내용입력!$B$4:$F$63,5,FALSE),""),"")</f>
        <v/>
      </c>
      <c r="DQ40" s="41" t="str">
        <f>IFERROR(IF(BI40=1,VLOOKUP(BI$2,활동내용입력!$B$4:$F$63,5,FALSE),""),"")</f>
        <v/>
      </c>
      <c r="DR40" s="41" t="str">
        <f>IFERROR(IF(BJ40=1,VLOOKUP(BJ$2,활동내용입력!$B$4:$F$63,5,FALSE),""),"")</f>
        <v/>
      </c>
      <c r="DS40" s="41" t="str">
        <f t="shared" si="7"/>
        <v/>
      </c>
      <c r="DT40" s="42">
        <f t="shared" si="6"/>
        <v>0</v>
      </c>
      <c r="DU40" s="34"/>
    </row>
    <row r="41" spans="1:125" x14ac:dyDescent="0.3">
      <c r="A41" s="58">
        <v>37</v>
      </c>
      <c r="B41" s="57"/>
      <c r="C41" s="40"/>
      <c r="D41" s="40"/>
      <c r="E41" s="40"/>
      <c r="F41" s="40"/>
      <c r="G41" s="40"/>
      <c r="H41" s="40"/>
      <c r="I41" s="40"/>
      <c r="J41" s="40"/>
      <c r="K41" s="40"/>
      <c r="L41" s="40"/>
      <c r="M41" s="40"/>
      <c r="N41" s="40"/>
      <c r="O41" s="40"/>
      <c r="P41" s="40"/>
      <c r="Q41" s="40"/>
      <c r="R41" s="40"/>
      <c r="S41" s="40"/>
      <c r="T41" s="40"/>
      <c r="U41" s="40"/>
      <c r="V41" s="40"/>
      <c r="W41" s="40"/>
      <c r="X41" s="40"/>
      <c r="Y41" s="40"/>
      <c r="Z41" s="40"/>
      <c r="AA41" s="40"/>
      <c r="AB41" s="40"/>
      <c r="AC41" s="40"/>
      <c r="AD41" s="40"/>
      <c r="AE41" s="40"/>
      <c r="AF41" s="40"/>
      <c r="AG41" s="40"/>
      <c r="AH41" s="40"/>
      <c r="AI41" s="40"/>
      <c r="AJ41" s="40"/>
      <c r="AK41" s="40"/>
      <c r="AL41" s="40"/>
      <c r="AM41" s="40"/>
      <c r="AN41" s="40"/>
      <c r="AO41" s="40"/>
      <c r="AP41" s="40"/>
      <c r="AQ41" s="40"/>
      <c r="AR41" s="40"/>
      <c r="AS41" s="40"/>
      <c r="AT41" s="40"/>
      <c r="AU41" s="40"/>
      <c r="AV41" s="40"/>
      <c r="AW41" s="40"/>
      <c r="AX41" s="40"/>
      <c r="AY41" s="40"/>
      <c r="AZ41" s="40"/>
      <c r="BA41" s="40"/>
      <c r="BB41" s="40"/>
      <c r="BC41" s="40"/>
      <c r="BD41" s="40"/>
      <c r="BE41" s="40"/>
      <c r="BF41" s="40"/>
      <c r="BG41" s="40"/>
      <c r="BH41" s="40"/>
      <c r="BI41" s="40"/>
      <c r="BJ41" s="40"/>
      <c r="BK41" s="41" t="str">
        <f>IFERROR(IF(C41=1,VLOOKUP(C$2,활동내용입력!$B$4:$F$63,5,FALSE),""),"")</f>
        <v/>
      </c>
      <c r="BL41" s="41" t="str">
        <f>IFERROR(IF(D41=1,VLOOKUP(D$2,활동내용입력!$B$4:$F$63,5,FALSE),""),"")</f>
        <v/>
      </c>
      <c r="BM41" s="41" t="str">
        <f>IFERROR(IF(E41=1,VLOOKUP(E$2,활동내용입력!$B$4:$F$63,5,FALSE),""),"")</f>
        <v/>
      </c>
      <c r="BN41" s="41" t="str">
        <f>IFERROR(IF(F41=1,VLOOKUP(F$2,활동내용입력!$B$4:$F$63,5,FALSE),""),"")</f>
        <v/>
      </c>
      <c r="BO41" s="41" t="str">
        <f>IFERROR(IF(G41=1,VLOOKUP(G$2,활동내용입력!$B$4:$F$63,5,FALSE),""),"")</f>
        <v/>
      </c>
      <c r="BP41" s="41" t="str">
        <f>IFERROR(IF(H41=1,VLOOKUP(H$2,활동내용입력!$B$4:$F$63,5,FALSE),""),"")</f>
        <v/>
      </c>
      <c r="BQ41" s="41" t="str">
        <f>IFERROR(IF(I41=1,VLOOKUP(I$2,활동내용입력!$B$4:$F$63,5,FALSE),""),"")</f>
        <v/>
      </c>
      <c r="BR41" s="41" t="str">
        <f>IFERROR(IF(J41=1,VLOOKUP(J$2,활동내용입력!$B$4:$F$63,5,FALSE),""),"")</f>
        <v/>
      </c>
      <c r="BS41" s="41" t="str">
        <f>IFERROR(IF(K41=1,VLOOKUP(K$2,활동내용입력!$B$4:$F$63,5,FALSE),""),"")</f>
        <v/>
      </c>
      <c r="BT41" s="41" t="str">
        <f>IFERROR(IF(L41=1,VLOOKUP(L$2,활동내용입력!$B$4:$F$63,5,FALSE),""),"")</f>
        <v/>
      </c>
      <c r="BU41" s="41" t="str">
        <f>IFERROR(IF(M41=1,VLOOKUP(M$2,활동내용입력!$B$4:$F$63,5,FALSE),""),"")</f>
        <v/>
      </c>
      <c r="BV41" s="41" t="str">
        <f>IFERROR(IF(N41=1,VLOOKUP(N$2,활동내용입력!$B$4:$F$63,5,FALSE),""),"")</f>
        <v/>
      </c>
      <c r="BW41" s="41" t="str">
        <f>IFERROR(IF(O41=1,VLOOKUP(O$2,활동내용입력!$B$4:$F$63,5,FALSE),""),"")</f>
        <v/>
      </c>
      <c r="BX41" s="41" t="str">
        <f>IFERROR(IF(P41=1,VLOOKUP(P$2,활동내용입력!$B$4:$F$63,5,FALSE),""),"")</f>
        <v/>
      </c>
      <c r="BY41" s="41" t="str">
        <f>IFERROR(IF(Q41=1,VLOOKUP(Q$2,활동내용입력!$B$4:$F$63,5,FALSE),""),"")</f>
        <v/>
      </c>
      <c r="BZ41" s="41" t="str">
        <f>IFERROR(IF(R41=1,VLOOKUP(R$2,활동내용입력!$B$4:$F$63,5,FALSE),""),"")</f>
        <v/>
      </c>
      <c r="CA41" s="41" t="str">
        <f>IFERROR(IF(S41=1,VLOOKUP(S$2,활동내용입력!$B$4:$F$63,5,FALSE),""),"")</f>
        <v/>
      </c>
      <c r="CB41" s="41" t="str">
        <f>IFERROR(IF(T41=1,VLOOKUP(T$2,활동내용입력!$B$4:$F$63,5,FALSE),""),"")</f>
        <v/>
      </c>
      <c r="CC41" s="41" t="str">
        <f>IFERROR(IF(U41=1,VLOOKUP(U$2,활동내용입력!$B$4:$F$63,5,FALSE),""),"")</f>
        <v/>
      </c>
      <c r="CD41" s="41" t="str">
        <f>IFERROR(IF(V41=1,VLOOKUP(V$2,활동내용입력!$B$4:$F$63,5,FALSE),""),"")</f>
        <v/>
      </c>
      <c r="CE41" s="41" t="str">
        <f>IFERROR(IF(W41=1,VLOOKUP(W$2,활동내용입력!$B$4:$F$63,5,FALSE),""),"")</f>
        <v/>
      </c>
      <c r="CF41" s="41" t="str">
        <f>IFERROR(IF(X41=1,VLOOKUP(X$2,활동내용입력!$B$4:$F$63,5,FALSE),""),"")</f>
        <v/>
      </c>
      <c r="CG41" s="41" t="str">
        <f>IFERROR(IF(Y41=1,VLOOKUP(Y$2,활동내용입력!$B$4:$F$63,5,FALSE),""),"")</f>
        <v/>
      </c>
      <c r="CH41" s="41" t="str">
        <f>IFERROR(IF(Z41=1,VLOOKUP(Z$2,활동내용입력!$B$4:$F$63,5,FALSE),""),"")</f>
        <v/>
      </c>
      <c r="CI41" s="41" t="str">
        <f>IFERROR(IF(AA41=1,VLOOKUP(AA$2,활동내용입력!$B$4:$F$63,5,FALSE),""),"")</f>
        <v/>
      </c>
      <c r="CJ41" s="41" t="str">
        <f>IFERROR(IF(AB41=1,VLOOKUP(AB$2,활동내용입력!$B$4:$F$63,5,FALSE),""),"")</f>
        <v/>
      </c>
      <c r="CK41" s="41" t="str">
        <f>IFERROR(IF(AC41=1,VLOOKUP(AC$2,활동내용입력!$B$4:$F$63,5,FALSE),""),"")</f>
        <v/>
      </c>
      <c r="CL41" s="41" t="str">
        <f>IFERROR(IF(AD41=1,VLOOKUP(AD$2,활동내용입력!$B$4:$F$63,5,FALSE),""),"")</f>
        <v/>
      </c>
      <c r="CM41" s="41" t="str">
        <f>IFERROR(IF(AE41=1,VLOOKUP(AE$2,활동내용입력!$B$4:$F$63,5,FALSE),""),"")</f>
        <v/>
      </c>
      <c r="CN41" s="41" t="str">
        <f>IFERROR(IF(AF41=1,VLOOKUP(AF$2,활동내용입력!$B$4:$F$63,5,FALSE),""),"")</f>
        <v/>
      </c>
      <c r="CO41" s="41" t="str">
        <f>IFERROR(IF(AG41=1,VLOOKUP(AG$2,활동내용입력!$B$4:$F$63,5,FALSE),""),"")</f>
        <v/>
      </c>
      <c r="CP41" s="41" t="str">
        <f>IFERROR(IF(AH41=1,VLOOKUP(AH$2,활동내용입력!$B$4:$F$63,5,FALSE),""),"")</f>
        <v/>
      </c>
      <c r="CQ41" s="41" t="str">
        <f>IFERROR(IF(AI41=1,VLOOKUP(AI$2,활동내용입력!$B$4:$F$63,5,FALSE),""),"")</f>
        <v/>
      </c>
      <c r="CR41" s="41" t="str">
        <f>IFERROR(IF(AJ41=1,VLOOKUP(AJ$2,활동내용입력!$B$4:$F$63,5,FALSE),""),"")</f>
        <v/>
      </c>
      <c r="CS41" s="41" t="str">
        <f>IFERROR(IF(AK41=1,VLOOKUP(AK$2,활동내용입력!$B$4:$F$63,5,FALSE),""),"")</f>
        <v/>
      </c>
      <c r="CT41" s="41" t="str">
        <f>IFERROR(IF(AL41=1,VLOOKUP(AL$2,활동내용입력!$B$4:$F$63,5,FALSE),""),"")</f>
        <v/>
      </c>
      <c r="CU41" s="41" t="str">
        <f>IFERROR(IF(AM41=1,VLOOKUP(AM$2,활동내용입력!$B$4:$F$63,5,FALSE),""),"")</f>
        <v/>
      </c>
      <c r="CV41" s="41" t="str">
        <f>IFERROR(IF(AN41=1,VLOOKUP(AN$2,활동내용입력!$B$4:$F$63,5,FALSE),""),"")</f>
        <v/>
      </c>
      <c r="CW41" s="41" t="str">
        <f>IFERROR(IF(AO41=1,VLOOKUP(AO$2,활동내용입력!$B$4:$F$63,5,FALSE),""),"")</f>
        <v/>
      </c>
      <c r="CX41" s="41" t="str">
        <f>IFERROR(IF(AP41=1,VLOOKUP(AP$2,활동내용입력!$B$4:$F$63,5,FALSE),""),"")</f>
        <v/>
      </c>
      <c r="CY41" s="41" t="str">
        <f>IFERROR(IF(AQ41=1,VLOOKUP(AQ$2,활동내용입력!$B$4:$F$63,5,FALSE),""),"")</f>
        <v/>
      </c>
      <c r="CZ41" s="41" t="str">
        <f>IFERROR(IF(AR41=1,VLOOKUP(AR$2,활동내용입력!$B$4:$F$63,5,FALSE),""),"")</f>
        <v/>
      </c>
      <c r="DA41" s="41" t="str">
        <f>IFERROR(IF(AS41=1,VLOOKUP(AS$2,활동내용입력!$B$4:$F$63,5,FALSE),""),"")</f>
        <v/>
      </c>
      <c r="DB41" s="41" t="str">
        <f>IFERROR(IF(AT41=1,VLOOKUP(AT$2,활동내용입력!$B$4:$F$63,5,FALSE),""),"")</f>
        <v/>
      </c>
      <c r="DC41" s="41" t="str">
        <f>IFERROR(IF(AU41=1,VLOOKUP(AU$2,활동내용입력!$B$4:$F$63,5,FALSE),""),"")</f>
        <v/>
      </c>
      <c r="DD41" s="41" t="str">
        <f>IFERROR(IF(AV41=1,VLOOKUP(AV$2,활동내용입력!$B$4:$F$63,5,FALSE),""),"")</f>
        <v/>
      </c>
      <c r="DE41" s="41" t="str">
        <f>IFERROR(IF(AW41=1,VLOOKUP(AW$2,활동내용입력!$B$4:$F$63,5,FALSE),""),"")</f>
        <v/>
      </c>
      <c r="DF41" s="41" t="str">
        <f>IFERROR(IF(AX41=1,VLOOKUP(AX$2,활동내용입력!$B$4:$F$63,5,FALSE),""),"")</f>
        <v/>
      </c>
      <c r="DG41" s="41" t="str">
        <f>IFERROR(IF(AY41=1,VLOOKUP(AY$2,활동내용입력!$B$4:$F$63,5,FALSE),""),"")</f>
        <v/>
      </c>
      <c r="DH41" s="41" t="str">
        <f>IFERROR(IF(AZ41=1,VLOOKUP(AZ$2,활동내용입력!$B$4:$F$63,5,FALSE),""),"")</f>
        <v/>
      </c>
      <c r="DI41" s="41" t="str">
        <f>IFERROR(IF(BA41=1,VLOOKUP(BA$2,활동내용입력!$B$4:$F$63,5,FALSE),""),"")</f>
        <v/>
      </c>
      <c r="DJ41" s="41" t="str">
        <f>IFERROR(IF(BB41=1,VLOOKUP(BB$2,활동내용입력!$B$4:$F$63,5,FALSE),""),"")</f>
        <v/>
      </c>
      <c r="DK41" s="41" t="str">
        <f>IFERROR(IF(BC41=1,VLOOKUP(BC$2,활동내용입력!$B$4:$F$63,5,FALSE),""),"")</f>
        <v/>
      </c>
      <c r="DL41" s="41" t="str">
        <f>IFERROR(IF(BD41=1,VLOOKUP(BD$2,활동내용입력!$B$4:$F$63,5,FALSE),""),"")</f>
        <v/>
      </c>
      <c r="DM41" s="41" t="str">
        <f>IFERROR(IF(BE41=1,VLOOKUP(BE$2,활동내용입력!$B$4:$F$63,5,FALSE),""),"")</f>
        <v/>
      </c>
      <c r="DN41" s="41" t="str">
        <f>IFERROR(IF(BF41=1,VLOOKUP(BF$2,활동내용입력!$B$4:$F$63,5,FALSE),""),"")</f>
        <v/>
      </c>
      <c r="DO41" s="41" t="str">
        <f>IFERROR(IF(BG41=1,VLOOKUP(BG$2,활동내용입력!$B$4:$F$63,5,FALSE),""),"")</f>
        <v/>
      </c>
      <c r="DP41" s="41" t="str">
        <f>IFERROR(IF(BH41=1,VLOOKUP(BH$2,활동내용입력!$B$4:$F$63,5,FALSE),""),"")</f>
        <v/>
      </c>
      <c r="DQ41" s="41" t="str">
        <f>IFERROR(IF(BI41=1,VLOOKUP(BI$2,활동내용입력!$B$4:$F$63,5,FALSE),""),"")</f>
        <v/>
      </c>
      <c r="DR41" s="41" t="str">
        <f>IFERROR(IF(BJ41=1,VLOOKUP(BJ$2,활동내용입력!$B$4:$F$63,5,FALSE),""),"")</f>
        <v/>
      </c>
      <c r="DS41" s="41" t="str">
        <f t="shared" si="7"/>
        <v/>
      </c>
      <c r="DT41" s="42">
        <f t="shared" si="6"/>
        <v>0</v>
      </c>
      <c r="DU41" s="34"/>
    </row>
    <row r="42" spans="1:125" x14ac:dyDescent="0.3">
      <c r="A42" s="58"/>
      <c r="B42" s="57"/>
      <c r="C42" s="40"/>
      <c r="D42" s="40"/>
      <c r="E42" s="40"/>
      <c r="F42" s="40"/>
      <c r="G42" s="40"/>
      <c r="H42" s="40"/>
      <c r="I42" s="40"/>
      <c r="J42" s="40"/>
      <c r="K42" s="40"/>
      <c r="L42" s="40"/>
      <c r="M42" s="40"/>
      <c r="N42" s="40"/>
      <c r="O42" s="40"/>
      <c r="P42" s="40"/>
      <c r="Q42" s="40"/>
      <c r="R42" s="40"/>
      <c r="S42" s="40"/>
      <c r="T42" s="40"/>
      <c r="U42" s="40"/>
      <c r="V42" s="40"/>
      <c r="W42" s="40"/>
      <c r="X42" s="40"/>
      <c r="Y42" s="40"/>
      <c r="Z42" s="40"/>
      <c r="AA42" s="40"/>
      <c r="AB42" s="40"/>
      <c r="AC42" s="40"/>
      <c r="AD42" s="40"/>
      <c r="AE42" s="40"/>
      <c r="AF42" s="40"/>
      <c r="AG42" s="40"/>
      <c r="AH42" s="40"/>
      <c r="AI42" s="40"/>
      <c r="AJ42" s="40"/>
      <c r="AK42" s="40"/>
      <c r="AL42" s="40"/>
      <c r="AM42" s="40"/>
      <c r="AN42" s="40"/>
      <c r="AO42" s="40"/>
      <c r="AP42" s="40"/>
      <c r="AQ42" s="40"/>
      <c r="AR42" s="40"/>
      <c r="AS42" s="40"/>
      <c r="AT42" s="40"/>
      <c r="AU42" s="40"/>
      <c r="AV42" s="40"/>
      <c r="AW42" s="40"/>
      <c r="AX42" s="40"/>
      <c r="AY42" s="40"/>
      <c r="AZ42" s="40"/>
      <c r="BA42" s="40"/>
      <c r="BB42" s="40"/>
      <c r="BC42" s="40"/>
      <c r="BD42" s="40"/>
      <c r="BE42" s="40"/>
      <c r="BF42" s="40"/>
      <c r="BG42" s="40"/>
      <c r="BH42" s="40"/>
      <c r="BI42" s="40"/>
      <c r="BJ42" s="40"/>
      <c r="BK42" s="41" t="str">
        <f>IFERROR(IF(C42=1,VLOOKUP(C$2,활동내용입력!$B$4:$F$63,5,FALSE),""),"")</f>
        <v/>
      </c>
      <c r="BL42" s="41" t="str">
        <f>IFERROR(IF(D42=1,VLOOKUP(D$2,활동내용입력!$B$4:$F$63,5,FALSE),""),"")</f>
        <v/>
      </c>
      <c r="BM42" s="41" t="str">
        <f>IFERROR(IF(E42=1,VLOOKUP(E$2,활동내용입력!$B$4:$F$63,5,FALSE),""),"")</f>
        <v/>
      </c>
      <c r="BN42" s="41" t="str">
        <f>IFERROR(IF(F42=1,VLOOKUP(F$2,활동내용입력!$B$4:$F$63,5,FALSE),""),"")</f>
        <v/>
      </c>
      <c r="BO42" s="41" t="str">
        <f>IFERROR(IF(G42=1,VLOOKUP(G$2,활동내용입력!$B$4:$F$63,5,FALSE),""),"")</f>
        <v/>
      </c>
      <c r="BP42" s="41" t="str">
        <f>IFERROR(IF(H42=1,VLOOKUP(H$2,활동내용입력!$B$4:$F$63,5,FALSE),""),"")</f>
        <v/>
      </c>
      <c r="BQ42" s="41" t="str">
        <f>IFERROR(IF(I42=1,VLOOKUP(I$2,활동내용입력!$B$4:$F$63,5,FALSE),""),"")</f>
        <v/>
      </c>
      <c r="BR42" s="41" t="str">
        <f>IFERROR(IF(J42=1,VLOOKUP(J$2,활동내용입력!$B$4:$F$63,5,FALSE),""),"")</f>
        <v/>
      </c>
      <c r="BS42" s="41" t="str">
        <f>IFERROR(IF(K42=1,VLOOKUP(K$2,활동내용입력!$B$4:$F$63,5,FALSE),""),"")</f>
        <v/>
      </c>
      <c r="BT42" s="41" t="str">
        <f>IFERROR(IF(L42=1,VLOOKUP(L$2,활동내용입력!$B$4:$F$63,5,FALSE),""),"")</f>
        <v/>
      </c>
      <c r="BU42" s="41" t="str">
        <f>IFERROR(IF(M42=1,VLOOKUP(M$2,활동내용입력!$B$4:$F$63,5,FALSE),""),"")</f>
        <v/>
      </c>
      <c r="BV42" s="41" t="str">
        <f>IFERROR(IF(N42=1,VLOOKUP(N$2,활동내용입력!$B$4:$F$63,5,FALSE),""),"")</f>
        <v/>
      </c>
      <c r="BW42" s="41" t="str">
        <f>IFERROR(IF(O42=1,VLOOKUP(O$2,활동내용입력!$B$4:$F$63,5,FALSE),""),"")</f>
        <v/>
      </c>
      <c r="BX42" s="41" t="str">
        <f>IFERROR(IF(P42=1,VLOOKUP(P$2,활동내용입력!$B$4:$F$63,5,FALSE),""),"")</f>
        <v/>
      </c>
      <c r="BY42" s="41" t="str">
        <f>IFERROR(IF(Q42=1,VLOOKUP(Q$2,활동내용입력!$B$4:$F$63,5,FALSE),""),"")</f>
        <v/>
      </c>
      <c r="BZ42" s="41" t="str">
        <f>IFERROR(IF(R42=1,VLOOKUP(R$2,활동내용입력!$B$4:$F$63,5,FALSE),""),"")</f>
        <v/>
      </c>
      <c r="CA42" s="41" t="str">
        <f>IFERROR(IF(S42=1,VLOOKUP(S$2,활동내용입력!$B$4:$F$63,5,FALSE),""),"")</f>
        <v/>
      </c>
      <c r="CB42" s="41" t="str">
        <f>IFERROR(IF(T42=1,VLOOKUP(T$2,활동내용입력!$B$4:$F$63,5,FALSE),""),"")</f>
        <v/>
      </c>
      <c r="CC42" s="41" t="str">
        <f>IFERROR(IF(U42=1,VLOOKUP(U$2,활동내용입력!$B$4:$F$63,5,FALSE),""),"")</f>
        <v/>
      </c>
      <c r="CD42" s="41" t="str">
        <f>IFERROR(IF(V42=1,VLOOKUP(V$2,활동내용입력!$B$4:$F$63,5,FALSE),""),"")</f>
        <v/>
      </c>
      <c r="CE42" s="41" t="str">
        <f>IFERROR(IF(W42=1,VLOOKUP(W$2,활동내용입력!$B$4:$F$63,5,FALSE),""),"")</f>
        <v/>
      </c>
      <c r="CF42" s="41" t="str">
        <f>IFERROR(IF(X42=1,VLOOKUP(X$2,활동내용입력!$B$4:$F$63,5,FALSE),""),"")</f>
        <v/>
      </c>
      <c r="CG42" s="41" t="str">
        <f>IFERROR(IF(Y42=1,VLOOKUP(Y$2,활동내용입력!$B$4:$F$63,5,FALSE),""),"")</f>
        <v/>
      </c>
      <c r="CH42" s="41" t="str">
        <f>IFERROR(IF(Z42=1,VLOOKUP(Z$2,활동내용입력!$B$4:$F$63,5,FALSE),""),"")</f>
        <v/>
      </c>
      <c r="CI42" s="41" t="str">
        <f>IFERROR(IF(AA42=1,VLOOKUP(AA$2,활동내용입력!$B$4:$F$63,5,FALSE),""),"")</f>
        <v/>
      </c>
      <c r="CJ42" s="41" t="str">
        <f>IFERROR(IF(AB42=1,VLOOKUP(AB$2,활동내용입력!$B$4:$F$63,5,FALSE),""),"")</f>
        <v/>
      </c>
      <c r="CK42" s="41" t="str">
        <f>IFERROR(IF(AC42=1,VLOOKUP(AC$2,활동내용입력!$B$4:$F$63,5,FALSE),""),"")</f>
        <v/>
      </c>
      <c r="CL42" s="41" t="str">
        <f>IFERROR(IF(AD42=1,VLOOKUP(AD$2,활동내용입력!$B$4:$F$63,5,FALSE),""),"")</f>
        <v/>
      </c>
      <c r="CM42" s="41" t="str">
        <f>IFERROR(IF(AE42=1,VLOOKUP(AE$2,활동내용입력!$B$4:$F$63,5,FALSE),""),"")</f>
        <v/>
      </c>
      <c r="CN42" s="41" t="str">
        <f>IFERROR(IF(AF42=1,VLOOKUP(AF$2,활동내용입력!$B$4:$F$63,5,FALSE),""),"")</f>
        <v/>
      </c>
      <c r="CO42" s="41" t="str">
        <f>IFERROR(IF(AG42=1,VLOOKUP(AG$2,활동내용입력!$B$4:$F$63,5,FALSE),""),"")</f>
        <v/>
      </c>
      <c r="CP42" s="41" t="str">
        <f>IFERROR(IF(AH42=1,VLOOKUP(AH$2,활동내용입력!$B$4:$F$63,5,FALSE),""),"")</f>
        <v/>
      </c>
      <c r="CQ42" s="41" t="str">
        <f>IFERROR(IF(AI42=1,VLOOKUP(AI$2,활동내용입력!$B$4:$F$63,5,FALSE),""),"")</f>
        <v/>
      </c>
      <c r="CR42" s="41" t="str">
        <f>IFERROR(IF(AJ42=1,VLOOKUP(AJ$2,활동내용입력!$B$4:$F$63,5,FALSE),""),"")</f>
        <v/>
      </c>
      <c r="CS42" s="41" t="str">
        <f>IFERROR(IF(AK42=1,VLOOKUP(AK$2,활동내용입력!$B$4:$F$63,5,FALSE),""),"")</f>
        <v/>
      </c>
      <c r="CT42" s="41" t="str">
        <f>IFERROR(IF(AL42=1,VLOOKUP(AL$2,활동내용입력!$B$4:$F$63,5,FALSE),""),"")</f>
        <v/>
      </c>
      <c r="CU42" s="41" t="str">
        <f>IFERROR(IF(AM42=1,VLOOKUP(AM$2,활동내용입력!$B$4:$F$63,5,FALSE),""),"")</f>
        <v/>
      </c>
      <c r="CV42" s="41" t="str">
        <f>IFERROR(IF(AN42=1,VLOOKUP(AN$2,활동내용입력!$B$4:$F$63,5,FALSE),""),"")</f>
        <v/>
      </c>
      <c r="CW42" s="41" t="str">
        <f>IFERROR(IF(AO42=1,VLOOKUP(AO$2,활동내용입력!$B$4:$F$63,5,FALSE),""),"")</f>
        <v/>
      </c>
      <c r="CX42" s="41" t="str">
        <f>IFERROR(IF(AP42=1,VLOOKUP(AP$2,활동내용입력!$B$4:$F$63,5,FALSE),""),"")</f>
        <v/>
      </c>
      <c r="CY42" s="41" t="str">
        <f>IFERROR(IF(AQ42=1,VLOOKUP(AQ$2,활동내용입력!$B$4:$F$63,5,FALSE),""),"")</f>
        <v/>
      </c>
      <c r="CZ42" s="41" t="str">
        <f>IFERROR(IF(AR42=1,VLOOKUP(AR$2,활동내용입력!$B$4:$F$63,5,FALSE),""),"")</f>
        <v/>
      </c>
      <c r="DA42" s="41" t="str">
        <f>IFERROR(IF(AS42=1,VLOOKUP(AS$2,활동내용입력!$B$4:$F$63,5,FALSE),""),"")</f>
        <v/>
      </c>
      <c r="DB42" s="41" t="str">
        <f>IFERROR(IF(AT42=1,VLOOKUP(AT$2,활동내용입력!$B$4:$F$63,5,FALSE),""),"")</f>
        <v/>
      </c>
      <c r="DC42" s="41" t="str">
        <f>IFERROR(IF(AU42=1,VLOOKUP(AU$2,활동내용입력!$B$4:$F$63,5,FALSE),""),"")</f>
        <v/>
      </c>
      <c r="DD42" s="41" t="str">
        <f>IFERROR(IF(AV42=1,VLOOKUP(AV$2,활동내용입력!$B$4:$F$63,5,FALSE),""),"")</f>
        <v/>
      </c>
      <c r="DE42" s="41" t="str">
        <f>IFERROR(IF(AW42=1,VLOOKUP(AW$2,활동내용입력!$B$4:$F$63,5,FALSE),""),"")</f>
        <v/>
      </c>
      <c r="DF42" s="41" t="str">
        <f>IFERROR(IF(AX42=1,VLOOKUP(AX$2,활동내용입력!$B$4:$F$63,5,FALSE),""),"")</f>
        <v/>
      </c>
      <c r="DG42" s="41" t="str">
        <f>IFERROR(IF(AY42=1,VLOOKUP(AY$2,활동내용입력!$B$4:$F$63,5,FALSE),""),"")</f>
        <v/>
      </c>
      <c r="DH42" s="41" t="str">
        <f>IFERROR(IF(AZ42=1,VLOOKUP(AZ$2,활동내용입력!$B$4:$F$63,5,FALSE),""),"")</f>
        <v/>
      </c>
      <c r="DI42" s="41" t="str">
        <f>IFERROR(IF(BA42=1,VLOOKUP(BA$2,활동내용입력!$B$4:$F$63,5,FALSE),""),"")</f>
        <v/>
      </c>
      <c r="DJ42" s="41" t="str">
        <f>IFERROR(IF(BB42=1,VLOOKUP(BB$2,활동내용입력!$B$4:$F$63,5,FALSE),""),"")</f>
        <v/>
      </c>
      <c r="DK42" s="41" t="str">
        <f>IFERROR(IF(BC42=1,VLOOKUP(BC$2,활동내용입력!$B$4:$F$63,5,FALSE),""),"")</f>
        <v/>
      </c>
      <c r="DL42" s="41" t="str">
        <f>IFERROR(IF(BD42=1,VLOOKUP(BD$2,활동내용입력!$B$4:$F$63,5,FALSE),""),"")</f>
        <v/>
      </c>
      <c r="DM42" s="41" t="str">
        <f>IFERROR(IF(BE42=1,VLOOKUP(BE$2,활동내용입력!$B$4:$F$63,5,FALSE),""),"")</f>
        <v/>
      </c>
      <c r="DN42" s="41" t="str">
        <f>IFERROR(IF(BF42=1,VLOOKUP(BF$2,활동내용입력!$B$4:$F$63,5,FALSE),""),"")</f>
        <v/>
      </c>
      <c r="DO42" s="41" t="str">
        <f>IFERROR(IF(BG42=1,VLOOKUP(BG$2,활동내용입력!$B$4:$F$63,5,FALSE),""),"")</f>
        <v/>
      </c>
      <c r="DP42" s="41" t="str">
        <f>IFERROR(IF(BH42=1,VLOOKUP(BH$2,활동내용입력!$B$4:$F$63,5,FALSE),""),"")</f>
        <v/>
      </c>
      <c r="DQ42" s="41" t="str">
        <f>IFERROR(IF(BI42=1,VLOOKUP(BI$2,활동내용입력!$B$4:$F$63,5,FALSE),""),"")</f>
        <v/>
      </c>
      <c r="DR42" s="41" t="str">
        <f>IFERROR(IF(BJ42=1,VLOOKUP(BJ$2,활동내용입력!$B$4:$F$63,5,FALSE),""),"")</f>
        <v/>
      </c>
      <c r="DS42" s="41" t="str">
        <f t="shared" si="7"/>
        <v/>
      </c>
      <c r="DT42" s="42">
        <f t="shared" si="6"/>
        <v>0</v>
      </c>
      <c r="DU42" s="34"/>
    </row>
    <row r="43" spans="1:125" x14ac:dyDescent="0.3">
      <c r="A43" s="58"/>
      <c r="B43" s="57"/>
      <c r="C43" s="40"/>
      <c r="D43" s="40"/>
      <c r="E43" s="40"/>
      <c r="F43" s="40"/>
      <c r="G43" s="40"/>
      <c r="H43" s="40"/>
      <c r="I43" s="40"/>
      <c r="J43" s="40"/>
      <c r="K43" s="40"/>
      <c r="L43" s="40"/>
      <c r="M43" s="40"/>
      <c r="N43" s="40"/>
      <c r="O43" s="40"/>
      <c r="P43" s="40"/>
      <c r="Q43" s="40"/>
      <c r="R43" s="40"/>
      <c r="S43" s="40"/>
      <c r="T43" s="40"/>
      <c r="U43" s="40"/>
      <c r="V43" s="40"/>
      <c r="W43" s="40"/>
      <c r="X43" s="40"/>
      <c r="Y43" s="40"/>
      <c r="Z43" s="40"/>
      <c r="AA43" s="40"/>
      <c r="AB43" s="40"/>
      <c r="AC43" s="40"/>
      <c r="AD43" s="40"/>
      <c r="AE43" s="40"/>
      <c r="AF43" s="40"/>
      <c r="AG43" s="40"/>
      <c r="AH43" s="40"/>
      <c r="AI43" s="40"/>
      <c r="AJ43" s="40"/>
      <c r="AK43" s="40"/>
      <c r="AL43" s="40"/>
      <c r="AM43" s="40"/>
      <c r="AN43" s="40"/>
      <c r="AO43" s="40"/>
      <c r="AP43" s="40"/>
      <c r="AQ43" s="40"/>
      <c r="AR43" s="40"/>
      <c r="AS43" s="40"/>
      <c r="AT43" s="40"/>
      <c r="AU43" s="40"/>
      <c r="AV43" s="40"/>
      <c r="AW43" s="40"/>
      <c r="AX43" s="40"/>
      <c r="AY43" s="40"/>
      <c r="AZ43" s="40"/>
      <c r="BA43" s="40"/>
      <c r="BB43" s="40"/>
      <c r="BC43" s="40"/>
      <c r="BD43" s="40"/>
      <c r="BE43" s="40"/>
      <c r="BF43" s="40"/>
      <c r="BG43" s="40"/>
      <c r="BH43" s="40"/>
      <c r="BI43" s="40"/>
      <c r="BJ43" s="40"/>
      <c r="BK43" s="41" t="str">
        <f>IFERROR(IF(C43=1,VLOOKUP(C$2,활동내용입력!$B$4:$F$63,5,FALSE),""),"")</f>
        <v/>
      </c>
      <c r="BL43" s="41" t="str">
        <f>IFERROR(IF(D43=1,VLOOKUP(D$2,활동내용입력!$B$4:$F$63,5,FALSE),""),"")</f>
        <v/>
      </c>
      <c r="BM43" s="41" t="str">
        <f>IFERROR(IF(E43=1,VLOOKUP(E$2,활동내용입력!$B$4:$F$63,5,FALSE),""),"")</f>
        <v/>
      </c>
      <c r="BN43" s="41" t="str">
        <f>IFERROR(IF(F43=1,VLOOKUP(F$2,활동내용입력!$B$4:$F$63,5,FALSE),""),"")</f>
        <v/>
      </c>
      <c r="BO43" s="41" t="str">
        <f>IFERROR(IF(G43=1,VLOOKUP(G$2,활동내용입력!$B$4:$F$63,5,FALSE),""),"")</f>
        <v/>
      </c>
      <c r="BP43" s="41" t="str">
        <f>IFERROR(IF(H43=1,VLOOKUP(H$2,활동내용입력!$B$4:$F$63,5,FALSE),""),"")</f>
        <v/>
      </c>
      <c r="BQ43" s="41" t="str">
        <f>IFERROR(IF(I43=1,VLOOKUP(I$2,활동내용입력!$B$4:$F$63,5,FALSE),""),"")</f>
        <v/>
      </c>
      <c r="BR43" s="41" t="str">
        <f>IFERROR(IF(J43=1,VLOOKUP(J$2,활동내용입력!$B$4:$F$63,5,FALSE),""),"")</f>
        <v/>
      </c>
      <c r="BS43" s="41" t="str">
        <f>IFERROR(IF(K43=1,VLOOKUP(K$2,활동내용입력!$B$4:$F$63,5,FALSE),""),"")</f>
        <v/>
      </c>
      <c r="BT43" s="41" t="str">
        <f>IFERROR(IF(L43=1,VLOOKUP(L$2,활동내용입력!$B$4:$F$63,5,FALSE),""),"")</f>
        <v/>
      </c>
      <c r="BU43" s="41" t="str">
        <f>IFERROR(IF(M43=1,VLOOKUP(M$2,활동내용입력!$B$4:$F$63,5,FALSE),""),"")</f>
        <v/>
      </c>
      <c r="BV43" s="41" t="str">
        <f>IFERROR(IF(N43=1,VLOOKUP(N$2,활동내용입력!$B$4:$F$63,5,FALSE),""),"")</f>
        <v/>
      </c>
      <c r="BW43" s="41" t="str">
        <f>IFERROR(IF(O43=1,VLOOKUP(O$2,활동내용입력!$B$4:$F$63,5,FALSE),""),"")</f>
        <v/>
      </c>
      <c r="BX43" s="41" t="str">
        <f>IFERROR(IF(P43=1,VLOOKUP(P$2,활동내용입력!$B$4:$F$63,5,FALSE),""),"")</f>
        <v/>
      </c>
      <c r="BY43" s="41" t="str">
        <f>IFERROR(IF(Q43=1,VLOOKUP(Q$2,활동내용입력!$B$4:$F$63,5,FALSE),""),"")</f>
        <v/>
      </c>
      <c r="BZ43" s="41" t="str">
        <f>IFERROR(IF(R43=1,VLOOKUP(R$2,활동내용입력!$B$4:$F$63,5,FALSE),""),"")</f>
        <v/>
      </c>
      <c r="CA43" s="41" t="str">
        <f>IFERROR(IF(S43=1,VLOOKUP(S$2,활동내용입력!$B$4:$F$63,5,FALSE),""),"")</f>
        <v/>
      </c>
      <c r="CB43" s="41" t="str">
        <f>IFERROR(IF(T43=1,VLOOKUP(T$2,활동내용입력!$B$4:$F$63,5,FALSE),""),"")</f>
        <v/>
      </c>
      <c r="CC43" s="41" t="str">
        <f>IFERROR(IF(U43=1,VLOOKUP(U$2,활동내용입력!$B$4:$F$63,5,FALSE),""),"")</f>
        <v/>
      </c>
      <c r="CD43" s="41" t="str">
        <f>IFERROR(IF(V43=1,VLOOKUP(V$2,활동내용입력!$B$4:$F$63,5,FALSE),""),"")</f>
        <v/>
      </c>
      <c r="CE43" s="41" t="str">
        <f>IFERROR(IF(W43=1,VLOOKUP(W$2,활동내용입력!$B$4:$F$63,5,FALSE),""),"")</f>
        <v/>
      </c>
      <c r="CF43" s="41" t="str">
        <f>IFERROR(IF(X43=1,VLOOKUP(X$2,활동내용입력!$B$4:$F$63,5,FALSE),""),"")</f>
        <v/>
      </c>
      <c r="CG43" s="41" t="str">
        <f>IFERROR(IF(Y43=1,VLOOKUP(Y$2,활동내용입력!$B$4:$F$63,5,FALSE),""),"")</f>
        <v/>
      </c>
      <c r="CH43" s="41" t="str">
        <f>IFERROR(IF(Z43=1,VLOOKUP(Z$2,활동내용입력!$B$4:$F$63,5,FALSE),""),"")</f>
        <v/>
      </c>
      <c r="CI43" s="41" t="str">
        <f>IFERROR(IF(AA43=1,VLOOKUP(AA$2,활동내용입력!$B$4:$F$63,5,FALSE),""),"")</f>
        <v/>
      </c>
      <c r="CJ43" s="41" t="str">
        <f>IFERROR(IF(AB43=1,VLOOKUP(AB$2,활동내용입력!$B$4:$F$63,5,FALSE),""),"")</f>
        <v/>
      </c>
      <c r="CK43" s="41" t="str">
        <f>IFERROR(IF(AC43=1,VLOOKUP(AC$2,활동내용입력!$B$4:$F$63,5,FALSE),""),"")</f>
        <v/>
      </c>
      <c r="CL43" s="41" t="str">
        <f>IFERROR(IF(AD43=1,VLOOKUP(AD$2,활동내용입력!$B$4:$F$63,5,FALSE),""),"")</f>
        <v/>
      </c>
      <c r="CM43" s="41" t="str">
        <f>IFERROR(IF(AE43=1,VLOOKUP(AE$2,활동내용입력!$B$4:$F$63,5,FALSE),""),"")</f>
        <v/>
      </c>
      <c r="CN43" s="41" t="str">
        <f>IFERROR(IF(AF43=1,VLOOKUP(AF$2,활동내용입력!$B$4:$F$63,5,FALSE),""),"")</f>
        <v/>
      </c>
      <c r="CO43" s="41" t="str">
        <f>IFERROR(IF(AG43=1,VLOOKUP(AG$2,활동내용입력!$B$4:$F$63,5,FALSE),""),"")</f>
        <v/>
      </c>
      <c r="CP43" s="41" t="str">
        <f>IFERROR(IF(AH43=1,VLOOKUP(AH$2,활동내용입력!$B$4:$F$63,5,FALSE),""),"")</f>
        <v/>
      </c>
      <c r="CQ43" s="41" t="str">
        <f>IFERROR(IF(AI43=1,VLOOKUP(AI$2,활동내용입력!$B$4:$F$63,5,FALSE),""),"")</f>
        <v/>
      </c>
      <c r="CR43" s="41" t="str">
        <f>IFERROR(IF(AJ43=1,VLOOKUP(AJ$2,활동내용입력!$B$4:$F$63,5,FALSE),""),"")</f>
        <v/>
      </c>
      <c r="CS43" s="41" t="str">
        <f>IFERROR(IF(AK43=1,VLOOKUP(AK$2,활동내용입력!$B$4:$F$63,5,FALSE),""),"")</f>
        <v/>
      </c>
      <c r="CT43" s="41" t="str">
        <f>IFERROR(IF(AL43=1,VLOOKUP(AL$2,활동내용입력!$B$4:$F$63,5,FALSE),""),"")</f>
        <v/>
      </c>
      <c r="CU43" s="41" t="str">
        <f>IFERROR(IF(AM43=1,VLOOKUP(AM$2,활동내용입력!$B$4:$F$63,5,FALSE),""),"")</f>
        <v/>
      </c>
      <c r="CV43" s="41" t="str">
        <f>IFERROR(IF(AN43=1,VLOOKUP(AN$2,활동내용입력!$B$4:$F$63,5,FALSE),""),"")</f>
        <v/>
      </c>
      <c r="CW43" s="41" t="str">
        <f>IFERROR(IF(AO43=1,VLOOKUP(AO$2,활동내용입력!$B$4:$F$63,5,FALSE),""),"")</f>
        <v/>
      </c>
      <c r="CX43" s="41" t="str">
        <f>IFERROR(IF(AP43=1,VLOOKUP(AP$2,활동내용입력!$B$4:$F$63,5,FALSE),""),"")</f>
        <v/>
      </c>
      <c r="CY43" s="41" t="str">
        <f>IFERROR(IF(AQ43=1,VLOOKUP(AQ$2,활동내용입력!$B$4:$F$63,5,FALSE),""),"")</f>
        <v/>
      </c>
      <c r="CZ43" s="41" t="str">
        <f>IFERROR(IF(AR43=1,VLOOKUP(AR$2,활동내용입력!$B$4:$F$63,5,FALSE),""),"")</f>
        <v/>
      </c>
      <c r="DA43" s="41" t="str">
        <f>IFERROR(IF(AS43=1,VLOOKUP(AS$2,활동내용입력!$B$4:$F$63,5,FALSE),""),"")</f>
        <v/>
      </c>
      <c r="DB43" s="41" t="str">
        <f>IFERROR(IF(AT43=1,VLOOKUP(AT$2,활동내용입력!$B$4:$F$63,5,FALSE),""),"")</f>
        <v/>
      </c>
      <c r="DC43" s="41" t="str">
        <f>IFERROR(IF(AU43=1,VLOOKUP(AU$2,활동내용입력!$B$4:$F$63,5,FALSE),""),"")</f>
        <v/>
      </c>
      <c r="DD43" s="41" t="str">
        <f>IFERROR(IF(AV43=1,VLOOKUP(AV$2,활동내용입력!$B$4:$F$63,5,FALSE),""),"")</f>
        <v/>
      </c>
      <c r="DE43" s="41" t="str">
        <f>IFERROR(IF(AW43=1,VLOOKUP(AW$2,활동내용입력!$B$4:$F$63,5,FALSE),""),"")</f>
        <v/>
      </c>
      <c r="DF43" s="41" t="str">
        <f>IFERROR(IF(AX43=1,VLOOKUP(AX$2,활동내용입력!$B$4:$F$63,5,FALSE),""),"")</f>
        <v/>
      </c>
      <c r="DG43" s="41" t="str">
        <f>IFERROR(IF(AY43=1,VLOOKUP(AY$2,활동내용입력!$B$4:$F$63,5,FALSE),""),"")</f>
        <v/>
      </c>
      <c r="DH43" s="41" t="str">
        <f>IFERROR(IF(AZ43=1,VLOOKUP(AZ$2,활동내용입력!$B$4:$F$63,5,FALSE),""),"")</f>
        <v/>
      </c>
      <c r="DI43" s="41" t="str">
        <f>IFERROR(IF(BA43=1,VLOOKUP(BA$2,활동내용입력!$B$4:$F$63,5,FALSE),""),"")</f>
        <v/>
      </c>
      <c r="DJ43" s="41" t="str">
        <f>IFERROR(IF(BB43=1,VLOOKUP(BB$2,활동내용입력!$B$4:$F$63,5,FALSE),""),"")</f>
        <v/>
      </c>
      <c r="DK43" s="41" t="str">
        <f>IFERROR(IF(BC43=1,VLOOKUP(BC$2,활동내용입력!$B$4:$F$63,5,FALSE),""),"")</f>
        <v/>
      </c>
      <c r="DL43" s="41" t="str">
        <f>IFERROR(IF(BD43=1,VLOOKUP(BD$2,활동내용입력!$B$4:$F$63,5,FALSE),""),"")</f>
        <v/>
      </c>
      <c r="DM43" s="41" t="str">
        <f>IFERROR(IF(BE43=1,VLOOKUP(BE$2,활동내용입력!$B$4:$F$63,5,FALSE),""),"")</f>
        <v/>
      </c>
      <c r="DN43" s="41" t="str">
        <f>IFERROR(IF(BF43=1,VLOOKUP(BF$2,활동내용입력!$B$4:$F$63,5,FALSE),""),"")</f>
        <v/>
      </c>
      <c r="DO43" s="41" t="str">
        <f>IFERROR(IF(BG43=1,VLOOKUP(BG$2,활동내용입력!$B$4:$F$63,5,FALSE),""),"")</f>
        <v/>
      </c>
      <c r="DP43" s="41" t="str">
        <f>IFERROR(IF(BH43=1,VLOOKUP(BH$2,활동내용입력!$B$4:$F$63,5,FALSE),""),"")</f>
        <v/>
      </c>
      <c r="DQ43" s="41" t="str">
        <f>IFERROR(IF(BI43=1,VLOOKUP(BI$2,활동내용입력!$B$4:$F$63,5,FALSE),""),"")</f>
        <v/>
      </c>
      <c r="DR43" s="41" t="str">
        <f>IFERROR(IF(BJ43=1,VLOOKUP(BJ$2,활동내용입력!$B$4:$F$63,5,FALSE),""),"")</f>
        <v/>
      </c>
      <c r="DS43" s="41" t="str">
        <f t="shared" si="7"/>
        <v/>
      </c>
      <c r="DT43" s="42">
        <f t="shared" si="6"/>
        <v>0</v>
      </c>
      <c r="DU43" s="34"/>
    </row>
    <row r="44" spans="1:125" x14ac:dyDescent="0.3">
      <c r="A44" s="58"/>
      <c r="B44" s="57"/>
      <c r="C44" s="40"/>
      <c r="D44" s="40"/>
      <c r="E44" s="40"/>
      <c r="F44" s="40"/>
      <c r="G44" s="40"/>
      <c r="H44" s="40"/>
      <c r="I44" s="40"/>
      <c r="J44" s="40"/>
      <c r="K44" s="40"/>
      <c r="L44" s="40"/>
      <c r="M44" s="40"/>
      <c r="N44" s="40"/>
      <c r="O44" s="40"/>
      <c r="P44" s="40"/>
      <c r="Q44" s="40"/>
      <c r="R44" s="40"/>
      <c r="S44" s="40"/>
      <c r="T44" s="40"/>
      <c r="U44" s="40"/>
      <c r="V44" s="40"/>
      <c r="W44" s="40"/>
      <c r="X44" s="40"/>
      <c r="Y44" s="40"/>
      <c r="Z44" s="40"/>
      <c r="AA44" s="40"/>
      <c r="AB44" s="40"/>
      <c r="AC44" s="40"/>
      <c r="AD44" s="40"/>
      <c r="AE44" s="40"/>
      <c r="AF44" s="40"/>
      <c r="AG44" s="40"/>
      <c r="AH44" s="40"/>
      <c r="AI44" s="40"/>
      <c r="AJ44" s="40"/>
      <c r="AK44" s="40"/>
      <c r="AL44" s="40"/>
      <c r="AM44" s="40"/>
      <c r="AN44" s="40"/>
      <c r="AO44" s="40"/>
      <c r="AP44" s="40"/>
      <c r="AQ44" s="40"/>
      <c r="AR44" s="40"/>
      <c r="AS44" s="40"/>
      <c r="AT44" s="40"/>
      <c r="AU44" s="40"/>
      <c r="AV44" s="40"/>
      <c r="AW44" s="40"/>
      <c r="AX44" s="40"/>
      <c r="AY44" s="40"/>
      <c r="AZ44" s="40"/>
      <c r="BA44" s="40"/>
      <c r="BB44" s="40"/>
      <c r="BC44" s="40"/>
      <c r="BD44" s="40"/>
      <c r="BE44" s="40"/>
      <c r="BF44" s="40"/>
      <c r="BG44" s="40"/>
      <c r="BH44" s="40"/>
      <c r="BI44" s="40"/>
      <c r="BJ44" s="40"/>
      <c r="BK44" s="41" t="str">
        <f>IFERROR(IF(C44=1,VLOOKUP(C$2,활동내용입력!$B$4:$F$63,5,FALSE),""),"")</f>
        <v/>
      </c>
      <c r="BL44" s="41" t="str">
        <f>IFERROR(IF(D44=1,VLOOKUP(D$2,활동내용입력!$B$4:$F$63,5,FALSE),""),"")</f>
        <v/>
      </c>
      <c r="BM44" s="41" t="str">
        <f>IFERROR(IF(E44=1,VLOOKUP(E$2,활동내용입력!$B$4:$F$63,5,FALSE),""),"")</f>
        <v/>
      </c>
      <c r="BN44" s="41" t="str">
        <f>IFERROR(IF(F44=1,VLOOKUP(F$2,활동내용입력!$B$4:$F$63,5,FALSE),""),"")</f>
        <v/>
      </c>
      <c r="BO44" s="41" t="str">
        <f>IFERROR(IF(G44=1,VLOOKUP(G$2,활동내용입력!$B$4:$F$63,5,FALSE),""),"")</f>
        <v/>
      </c>
      <c r="BP44" s="41" t="str">
        <f>IFERROR(IF(H44=1,VLOOKUP(H$2,활동내용입력!$B$4:$F$63,5,FALSE),""),"")</f>
        <v/>
      </c>
      <c r="BQ44" s="41" t="str">
        <f>IFERROR(IF(I44=1,VLOOKUP(I$2,활동내용입력!$B$4:$F$63,5,FALSE),""),"")</f>
        <v/>
      </c>
      <c r="BR44" s="41" t="str">
        <f>IFERROR(IF(J44=1,VLOOKUP(J$2,활동내용입력!$B$4:$F$63,5,FALSE),""),"")</f>
        <v/>
      </c>
      <c r="BS44" s="41" t="str">
        <f>IFERROR(IF(K44=1,VLOOKUP(K$2,활동내용입력!$B$4:$F$63,5,FALSE),""),"")</f>
        <v/>
      </c>
      <c r="BT44" s="41" t="str">
        <f>IFERROR(IF(L44=1,VLOOKUP(L$2,활동내용입력!$B$4:$F$63,5,FALSE),""),"")</f>
        <v/>
      </c>
      <c r="BU44" s="41" t="str">
        <f>IFERROR(IF(M44=1,VLOOKUP(M$2,활동내용입력!$B$4:$F$63,5,FALSE),""),"")</f>
        <v/>
      </c>
      <c r="BV44" s="41" t="str">
        <f>IFERROR(IF(N44=1,VLOOKUP(N$2,활동내용입력!$B$4:$F$63,5,FALSE),""),"")</f>
        <v/>
      </c>
      <c r="BW44" s="41" t="str">
        <f>IFERROR(IF(O44=1,VLOOKUP(O$2,활동내용입력!$B$4:$F$63,5,FALSE),""),"")</f>
        <v/>
      </c>
      <c r="BX44" s="41" t="str">
        <f>IFERROR(IF(P44=1,VLOOKUP(P$2,활동내용입력!$B$4:$F$63,5,FALSE),""),"")</f>
        <v/>
      </c>
      <c r="BY44" s="41" t="str">
        <f>IFERROR(IF(Q44=1,VLOOKUP(Q$2,활동내용입력!$B$4:$F$63,5,FALSE),""),"")</f>
        <v/>
      </c>
      <c r="BZ44" s="41" t="str">
        <f>IFERROR(IF(R44=1,VLOOKUP(R$2,활동내용입력!$B$4:$F$63,5,FALSE),""),"")</f>
        <v/>
      </c>
      <c r="CA44" s="41" t="str">
        <f>IFERROR(IF(S44=1,VLOOKUP(S$2,활동내용입력!$B$4:$F$63,5,FALSE),""),"")</f>
        <v/>
      </c>
      <c r="CB44" s="41" t="str">
        <f>IFERROR(IF(T44=1,VLOOKUP(T$2,활동내용입력!$B$4:$F$63,5,FALSE),""),"")</f>
        <v/>
      </c>
      <c r="CC44" s="41" t="str">
        <f>IFERROR(IF(U44=1,VLOOKUP(U$2,활동내용입력!$B$4:$F$63,5,FALSE),""),"")</f>
        <v/>
      </c>
      <c r="CD44" s="41" t="str">
        <f>IFERROR(IF(V44=1,VLOOKUP(V$2,활동내용입력!$B$4:$F$63,5,FALSE),""),"")</f>
        <v/>
      </c>
      <c r="CE44" s="41" t="str">
        <f>IFERROR(IF(W44=1,VLOOKUP(W$2,활동내용입력!$B$4:$F$63,5,FALSE),""),"")</f>
        <v/>
      </c>
      <c r="CF44" s="41" t="str">
        <f>IFERROR(IF(X44=1,VLOOKUP(X$2,활동내용입력!$B$4:$F$63,5,FALSE),""),"")</f>
        <v/>
      </c>
      <c r="CG44" s="41" t="str">
        <f>IFERROR(IF(Y44=1,VLOOKUP(Y$2,활동내용입력!$B$4:$F$63,5,FALSE),""),"")</f>
        <v/>
      </c>
      <c r="CH44" s="41" t="str">
        <f>IFERROR(IF(Z44=1,VLOOKUP(Z$2,활동내용입력!$B$4:$F$63,5,FALSE),""),"")</f>
        <v/>
      </c>
      <c r="CI44" s="41" t="str">
        <f>IFERROR(IF(AA44=1,VLOOKUP(AA$2,활동내용입력!$B$4:$F$63,5,FALSE),""),"")</f>
        <v/>
      </c>
      <c r="CJ44" s="41" t="str">
        <f>IFERROR(IF(AB44=1,VLOOKUP(AB$2,활동내용입력!$B$4:$F$63,5,FALSE),""),"")</f>
        <v/>
      </c>
      <c r="CK44" s="41" t="str">
        <f>IFERROR(IF(AC44=1,VLOOKUP(AC$2,활동내용입력!$B$4:$F$63,5,FALSE),""),"")</f>
        <v/>
      </c>
      <c r="CL44" s="41" t="str">
        <f>IFERROR(IF(AD44=1,VLOOKUP(AD$2,활동내용입력!$B$4:$F$63,5,FALSE),""),"")</f>
        <v/>
      </c>
      <c r="CM44" s="41" t="str">
        <f>IFERROR(IF(AE44=1,VLOOKUP(AE$2,활동내용입력!$B$4:$F$63,5,FALSE),""),"")</f>
        <v/>
      </c>
      <c r="CN44" s="41" t="str">
        <f>IFERROR(IF(AF44=1,VLOOKUP(AF$2,활동내용입력!$B$4:$F$63,5,FALSE),""),"")</f>
        <v/>
      </c>
      <c r="CO44" s="41" t="str">
        <f>IFERROR(IF(AG44=1,VLOOKUP(AG$2,활동내용입력!$B$4:$F$63,5,FALSE),""),"")</f>
        <v/>
      </c>
      <c r="CP44" s="41" t="str">
        <f>IFERROR(IF(AH44=1,VLOOKUP(AH$2,활동내용입력!$B$4:$F$63,5,FALSE),""),"")</f>
        <v/>
      </c>
      <c r="CQ44" s="41" t="str">
        <f>IFERROR(IF(AI44=1,VLOOKUP(AI$2,활동내용입력!$B$4:$F$63,5,FALSE),""),"")</f>
        <v/>
      </c>
      <c r="CR44" s="41" t="str">
        <f>IFERROR(IF(AJ44=1,VLOOKUP(AJ$2,활동내용입력!$B$4:$F$63,5,FALSE),""),"")</f>
        <v/>
      </c>
      <c r="CS44" s="41" t="str">
        <f>IFERROR(IF(AK44=1,VLOOKUP(AK$2,활동내용입력!$B$4:$F$63,5,FALSE),""),"")</f>
        <v/>
      </c>
      <c r="CT44" s="41" t="str">
        <f>IFERROR(IF(AL44=1,VLOOKUP(AL$2,활동내용입력!$B$4:$F$63,5,FALSE),""),"")</f>
        <v/>
      </c>
      <c r="CU44" s="41" t="str">
        <f>IFERROR(IF(AM44=1,VLOOKUP(AM$2,활동내용입력!$B$4:$F$63,5,FALSE),""),"")</f>
        <v/>
      </c>
      <c r="CV44" s="41" t="str">
        <f>IFERROR(IF(AN44=1,VLOOKUP(AN$2,활동내용입력!$B$4:$F$63,5,FALSE),""),"")</f>
        <v/>
      </c>
      <c r="CW44" s="41" t="str">
        <f>IFERROR(IF(AO44=1,VLOOKUP(AO$2,활동내용입력!$B$4:$F$63,5,FALSE),""),"")</f>
        <v/>
      </c>
      <c r="CX44" s="41" t="str">
        <f>IFERROR(IF(AP44=1,VLOOKUP(AP$2,활동내용입력!$B$4:$F$63,5,FALSE),""),"")</f>
        <v/>
      </c>
      <c r="CY44" s="41" t="str">
        <f>IFERROR(IF(AQ44=1,VLOOKUP(AQ$2,활동내용입력!$B$4:$F$63,5,FALSE),""),"")</f>
        <v/>
      </c>
      <c r="CZ44" s="41" t="str">
        <f>IFERROR(IF(AR44=1,VLOOKUP(AR$2,활동내용입력!$B$4:$F$63,5,FALSE),""),"")</f>
        <v/>
      </c>
      <c r="DA44" s="41" t="str">
        <f>IFERROR(IF(AS44=1,VLOOKUP(AS$2,활동내용입력!$B$4:$F$63,5,FALSE),""),"")</f>
        <v/>
      </c>
      <c r="DB44" s="41" t="str">
        <f>IFERROR(IF(AT44=1,VLOOKUP(AT$2,활동내용입력!$B$4:$F$63,5,FALSE),""),"")</f>
        <v/>
      </c>
      <c r="DC44" s="41" t="str">
        <f>IFERROR(IF(AU44=1,VLOOKUP(AU$2,활동내용입력!$B$4:$F$63,5,FALSE),""),"")</f>
        <v/>
      </c>
      <c r="DD44" s="41" t="str">
        <f>IFERROR(IF(AV44=1,VLOOKUP(AV$2,활동내용입력!$B$4:$F$63,5,FALSE),""),"")</f>
        <v/>
      </c>
      <c r="DE44" s="41" t="str">
        <f>IFERROR(IF(AW44=1,VLOOKUP(AW$2,활동내용입력!$B$4:$F$63,5,FALSE),""),"")</f>
        <v/>
      </c>
      <c r="DF44" s="41" t="str">
        <f>IFERROR(IF(AX44=1,VLOOKUP(AX$2,활동내용입력!$B$4:$F$63,5,FALSE),""),"")</f>
        <v/>
      </c>
      <c r="DG44" s="41" t="str">
        <f>IFERROR(IF(AY44=1,VLOOKUP(AY$2,활동내용입력!$B$4:$F$63,5,FALSE),""),"")</f>
        <v/>
      </c>
      <c r="DH44" s="41" t="str">
        <f>IFERROR(IF(AZ44=1,VLOOKUP(AZ$2,활동내용입력!$B$4:$F$63,5,FALSE),""),"")</f>
        <v/>
      </c>
      <c r="DI44" s="41" t="str">
        <f>IFERROR(IF(BA44=1,VLOOKUP(BA$2,활동내용입력!$B$4:$F$63,5,FALSE),""),"")</f>
        <v/>
      </c>
      <c r="DJ44" s="41" t="str">
        <f>IFERROR(IF(BB44=1,VLOOKUP(BB$2,활동내용입력!$B$4:$F$63,5,FALSE),""),"")</f>
        <v/>
      </c>
      <c r="DK44" s="41" t="str">
        <f>IFERROR(IF(BC44=1,VLOOKUP(BC$2,활동내용입력!$B$4:$F$63,5,FALSE),""),"")</f>
        <v/>
      </c>
      <c r="DL44" s="41" t="str">
        <f>IFERROR(IF(BD44=1,VLOOKUP(BD$2,활동내용입력!$B$4:$F$63,5,FALSE),""),"")</f>
        <v/>
      </c>
      <c r="DM44" s="41" t="str">
        <f>IFERROR(IF(BE44=1,VLOOKUP(BE$2,활동내용입력!$B$4:$F$63,5,FALSE),""),"")</f>
        <v/>
      </c>
      <c r="DN44" s="41" t="str">
        <f>IFERROR(IF(BF44=1,VLOOKUP(BF$2,활동내용입력!$B$4:$F$63,5,FALSE),""),"")</f>
        <v/>
      </c>
      <c r="DO44" s="41" t="str">
        <f>IFERROR(IF(BG44=1,VLOOKUP(BG$2,활동내용입력!$B$4:$F$63,5,FALSE),""),"")</f>
        <v/>
      </c>
      <c r="DP44" s="41" t="str">
        <f>IFERROR(IF(BH44=1,VLOOKUP(BH$2,활동내용입력!$B$4:$F$63,5,FALSE),""),"")</f>
        <v/>
      </c>
      <c r="DQ44" s="41" t="str">
        <f>IFERROR(IF(BI44=1,VLOOKUP(BI$2,활동내용입력!$B$4:$F$63,5,FALSE),""),"")</f>
        <v/>
      </c>
      <c r="DR44" s="41" t="str">
        <f>IFERROR(IF(BJ44=1,VLOOKUP(BJ$2,활동내용입력!$B$4:$F$63,5,FALSE),""),"")</f>
        <v/>
      </c>
      <c r="DS44" s="41" t="str">
        <f t="shared" si="7"/>
        <v/>
      </c>
      <c r="DT44" s="42">
        <f t="shared" si="6"/>
        <v>0</v>
      </c>
      <c r="DU44" s="34"/>
    </row>
  </sheetData>
  <sheetProtection password="C6CC" sheet="1" objects="1" scenarios="1" selectLockedCells="1"/>
  <mergeCells count="6">
    <mergeCell ref="DT2:DT4"/>
    <mergeCell ref="A3:A4"/>
    <mergeCell ref="C1:N1"/>
    <mergeCell ref="B3:B4"/>
    <mergeCell ref="AP1:BJ1"/>
    <mergeCell ref="O1:AO1"/>
  </mergeCells>
  <phoneticPr fontId="2" type="noConversion"/>
  <printOptions horizontalCentered="1" verticalCentered="1"/>
  <pageMargins left="0.70866141732283472" right="0.70866141732283472" top="0.38" bottom="0.23622047244094491" header="0.31496062992125984" footer="0.15748031496062992"/>
  <pageSetup paperSize="9" scale="65"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FF0000"/>
  </sheetPr>
  <dimension ref="B1:G44"/>
  <sheetViews>
    <sheetView showZeros="0" zoomScale="70" zoomScaleNormal="70" workbookViewId="0">
      <pane xSplit="3" ySplit="4" topLeftCell="D5" activePane="bottomRight" state="frozen"/>
      <selection pane="topRight" activeCell="E1" sqref="E1"/>
      <selection pane="bottomLeft" activeCell="A4" sqref="A4"/>
      <selection pane="bottomRight" activeCell="D24" sqref="D5:D24"/>
    </sheetView>
  </sheetViews>
  <sheetFormatPr defaultColWidth="9" defaultRowHeight="16.5" x14ac:dyDescent="0.3"/>
  <cols>
    <col min="1" max="1" width="5.5" style="1" customWidth="1"/>
    <col min="2" max="2" width="4.75" style="4" customWidth="1"/>
    <col min="3" max="3" width="8.875" style="4" customWidth="1"/>
    <col min="4" max="4" width="70.625" style="3" customWidth="1"/>
    <col min="5" max="5" width="9.125" style="1" hidden="1" customWidth="1"/>
    <col min="6" max="6" width="6.875" style="28" customWidth="1"/>
    <col min="7" max="7" width="27.5" style="1" customWidth="1"/>
    <col min="8" max="16384" width="9" style="1"/>
  </cols>
  <sheetData>
    <row r="1" spans="2:7" ht="22.5" customHeight="1" x14ac:dyDescent="0.3">
      <c r="B1" s="78" t="s">
        <v>110</v>
      </c>
      <c r="C1" s="78"/>
      <c r="D1" s="78"/>
      <c r="E1" s="78"/>
      <c r="F1" s="78"/>
      <c r="G1" s="27" t="s">
        <v>47</v>
      </c>
    </row>
    <row r="2" spans="2:7" ht="51" customHeight="1" x14ac:dyDescent="0.3">
      <c r="B2" s="79" t="s">
        <v>109</v>
      </c>
      <c r="C2" s="79"/>
      <c r="D2" s="79"/>
      <c r="E2" s="79"/>
      <c r="F2" s="79"/>
      <c r="G2" s="19"/>
    </row>
    <row r="3" spans="2:7" ht="31.5" customHeight="1" x14ac:dyDescent="0.3">
      <c r="B3" s="80" t="s">
        <v>49</v>
      </c>
      <c r="C3" s="80"/>
      <c r="D3" s="80"/>
      <c r="E3" s="80"/>
      <c r="F3" s="80"/>
    </row>
    <row r="4" spans="2:7" ht="24" x14ac:dyDescent="0.3">
      <c r="B4" s="5" t="s">
        <v>0</v>
      </c>
      <c r="C4" s="5" t="s">
        <v>39</v>
      </c>
      <c r="D4" s="6" t="s">
        <v>43</v>
      </c>
      <c r="E4" s="5" t="s">
        <v>46</v>
      </c>
      <c r="F4" s="29" t="s">
        <v>48</v>
      </c>
    </row>
    <row r="5" spans="2:7" ht="348" x14ac:dyDescent="0.3">
      <c r="B5" s="2">
        <f>활동항목선택!A5</f>
        <v>1</v>
      </c>
      <c r="C5" s="2" t="str">
        <f>활동항목선택!B5</f>
        <v>김권위</v>
      </c>
      <c r="D5" s="49" t="s">
        <v>262</v>
      </c>
      <c r="E5" s="18" t="str">
        <f>활동항목선택!DS5</f>
        <v xml:space="preserve">생명존중교육(2019.03.08., 2019.03.29., 2019.09.06., 2019.11.15.)을 통해 청소년들의 자살에 대한 심리적 상태를 이해하고 힘들어 하는 주변 친구들에게 따뜻한 배려와 도움이 절실히 필요함을 느꼈으며 생명의 소중함을 다시 한번 깨닫는 기회를 가지게 됨.
안전교육(2019.03.15., 2019.06.14., 2019.07.19., 2019.08.30., 2019.12.27., 2020.01.03., 2020.01.10.)을 통해 화재, 물놀이, 빙상 등 일상생활에서 일어날 수 있는 안전사고에 대한 예방법과 사고 시 대처방법을 확인하고 실천할 수 있게 됨.
학교폭력 예방교육(2019.03.15., 2019.05.31., 2019.10.18., 2019.12.13., 2020.01.03.)을 통해 학교폭력의 심각성을 알게 되었으며 자신의 인권이 소중한 것처럼 타인의 인권도 소중함을 깨닫고 실천하는 계기가 됨.
학급회의(2019.03.15, 2019.03.29., 2019.07.12.)를 통해 학급의 문제들을 해결하기위한 의사결정과정에 적극적으로 참여함.
다문화교육(2019.03.22., 2019.09.20.)을 통해 우리 나라와 다른 나라의 문화를 함께 나눔으로써 지구촌의 평화와 번영을 함께 누릴 수 있다는 사실을 새삼 깨달은 계기가 됨. 
흡연, 음주 등 약물 오남용 예방교육(2019.04.05., 2019.05.10, 2019.07.05., 2019.07.12., 2019.07.19., 2019.11.08., 2019.12.06., 2020.01.03.)을 통해 흡연과 음주 등 약물 오남용의 폐해를 인식하고 자신의 건강을 위해 흡연과 음주와 같은 행위를 하지 않겠다고 다짐함.
장애인이해교육(2019.04.19., 2019.11.29.)을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
안전교육(2019.05.10., 2019.05.24., 2019.07.22.)을 통해 교통안전사고를 예방할 수 있는 수칙에 대한 인식을 일깨우고 실천하고자 하는 마음을 다지게 됨.
518 광주민주화운동 교육(2019.05.17.)을 통해 민주화 운동이 일어나게 된 배경을 이해하고, 독재에 맞서 싸우다 억울하게 죽어간 수많은 시민들을 추모하는 시간을 가짐.
자기주도진로체험활동(2019.06.19.-2019.06.21.)에서 계획 수립부터 진행과정까지 적극적으로 참여함.
성폭력예방교육(2019.06.28., 2019.10.25., 2019.12.20.)을 통해 이성교제 시 지켜야 할 기본수칙을 배우고 성희롱 및 성폭력의 예방방법과 성적자기결정권의 중요성을 인식하게 됨.
인권교육(2019.12.24.)에 참여하여 인권을 침해 받은 사람들에 대해 마음 아파하고 함께 해결해 나가려 하는 마음을 갖게 됨.
</v>
      </c>
      <c r="F5" s="30">
        <f>IF((활동항목선택!DT5+COUNT(#REF!))=0,"",(활동항목선택!DT5+COUNT(#REF!)))</f>
        <v>12</v>
      </c>
    </row>
    <row r="6" spans="2:7" ht="372" x14ac:dyDescent="0.3">
      <c r="B6" s="2">
        <f>활동항목선택!A6</f>
        <v>2</v>
      </c>
      <c r="C6" s="2" t="str">
        <f>활동항목선택!B6</f>
        <v>김상현</v>
      </c>
      <c r="D6" s="49" t="s">
        <v>265</v>
      </c>
      <c r="E6" s="18" t="str">
        <f>활동항목선택!DS6</f>
        <v xml:space="preserve">환경에너지 지킴이(2019.03.02.-2020.02.28.)로 맡은바 임무를 성실하게 수행하여 에너지 절약에 선도적인 역할을 함.
생명존중교육(2019.03.08., 2019.03.29., 2019.09.06., 2019.11.15.)을 통해 청소년들의 자살에 대한 심리적 상태를 이해하고 힘들어 하는 주변 친구들에게 따뜻한 배려와 도움이 절실히 필요함을 느꼈으며 생명의 소중함을 다시 한번 깨닫는 기회를 가지게 됨.
안전교육(2019.03.15., 2019.06.14., 2019.07.19., 2019.08.30., 2019.12.27., 2020.01.03., 2020.01.10.)을 통해 화재, 물놀이, 빙상 등 일상생활에서 일어날 수 있는 안전사고에 대한 예방법과 사고 시 대처방법을 확인하고 실천할 수 있게 됨.
학교폭력 예방교육(2019.03.15., 2019.05.31., 2019.10.18., 2019.12.13., 2020.01.03.)을 통해 학교폭력의 심각성을 알게 되었으며 자신의 인권이 소중한 것처럼 타인의 인권도 소중함을 깨닫고 실천하는 계기가 됨.
학급회의(2019.03.15, 2019.03.29., 2019.07.12.)를 통해 학급의 문제들을 해결하기위한 의사결정과정에 적극적으로 참여함.
다문화교육(2019.03.22., 2019.09.20.)을 통해 우리 나라와 다른 나라의 문화를 함께 나눔으로써 지구촌의 평화와 번영을 함께 누릴 수 있다는 사실을 새삼 깨달은 계기가 됨. 
흡연, 음주 등 약물 오남용 예방교육(2019.04.05., 2019.05.10, 2019.07.05., 2019.07.12., 2019.07.19., 2019.11.08., 2019.12.06., 2020.01.03.)을 통해 흡연과 음주 등 약물 오남용의 폐해를 인식하고 자신의 건강을 위해 흡연과 음주와 같은 행위를 하지 않겠다고 다짐함.
장애인이해교육(2019.04.19., 2019.11.29.)을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
안전교육(2019.05.10., 2019.05.24., 2019.07.22.)을 통해 교통안전사고를 예방할 수 있는 수칙에 대한 인식을 일깨우고 실천하고자 하는 마음을 다지게 됨.
518 광주민주화운동 교육(2019.05.17.)을 통해 민주화 운동이 일어나게 된 배경을 이해하고, 독재에 맞서 싸우다 억울하게 죽어간 수많은 시민들을 추모하는 시간을 가짐.
자기주도진로체험활동(2019.06.19.-2019.06.21.)에서 계획 수립부터 진행과정까지 적극적으로 참여함.
성폭력예방교육(2019.06.28., 2019.10.25., 2019.12.20.)을 통해 이성교제 시 지켜야 할 기본수칙을 배우고 성희롱 및 성폭력의 예방방법과 성적자기결정권의 중요성을 인식하게 됨.
인권교육(2019.12.24.)에 참여하여 인권을 침해 받은 사람들에 대해 마음 아파하고 함께 해결해 나가려 하는 마음을 갖게 됨.
</v>
      </c>
      <c r="F6" s="30">
        <f>IF((활동항목선택!DT6+COUNT(#REF!))=0,"",(활동항목선택!DT6+COUNT(#REF!)))</f>
        <v>13</v>
      </c>
    </row>
    <row r="7" spans="2:7" ht="348" x14ac:dyDescent="0.3">
      <c r="B7" s="2">
        <f>활동항목선택!A7</f>
        <v>3</v>
      </c>
      <c r="C7" s="2" t="e">
        <f>활동항목선택!#REF!</f>
        <v>#REF!</v>
      </c>
      <c r="D7" s="49" t="s">
        <v>262</v>
      </c>
      <c r="E7" s="18" t="str">
        <f>활동항목선택!DS7</f>
        <v xml:space="preserve">생명존중교육(2019.03.08., 2019.03.29., 2019.09.06., 2019.11.15.)을 통해 청소년들의 자살에 대한 심리적 상태를 이해하고 힘들어 하는 주변 친구들에게 따뜻한 배려와 도움이 절실히 필요함을 느꼈으며 생명의 소중함을 다시 한번 깨닫는 기회를 가지게 됨.
안전교육(2019.03.15., 2019.06.14., 2019.07.19., 2019.08.30., 2019.12.27., 2020.01.03., 2020.01.10.)을 통해 화재, 물놀이, 빙상 등 일상생활에서 일어날 수 있는 안전사고에 대한 예방법과 사고 시 대처방법을 확인하고 실천할 수 있게 됨.
학교폭력 예방교육(2019.03.15., 2019.05.31., 2019.10.18., 2019.12.13., 2020.01.03.)을 통해 학교폭력의 심각성을 알게 되었으며 자신의 인권이 소중한 것처럼 타인의 인권도 소중함을 깨닫고 실천하는 계기가 됨.
학급회의(2019.03.15, 2019.03.29., 2019.07.12.)를 통해 학급의 문제들을 해결하기위한 의사결정과정에 적극적으로 참여함.
다문화교육(2019.03.22., 2019.09.20.)을 통해 우리 나라와 다른 나라의 문화를 함께 나눔으로써 지구촌의 평화와 번영을 함께 누릴 수 있다는 사실을 새삼 깨달은 계기가 됨. 
흡연, 음주 등 약물 오남용 예방교육(2019.04.05., 2019.05.10, 2019.07.05., 2019.07.12., 2019.07.19., 2019.11.08., 2019.12.06., 2020.01.03.)을 통해 흡연과 음주 등 약물 오남용의 폐해를 인식하고 자신의 건강을 위해 흡연과 음주와 같은 행위를 하지 않겠다고 다짐함.
장애인이해교육(2019.04.19., 2019.11.29.)을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
안전교육(2019.05.10., 2019.05.24., 2019.07.22.)을 통해 교통안전사고를 예방할 수 있는 수칙에 대한 인식을 일깨우고 실천하고자 하는 마음을 다지게 됨.
518 광주민주화운동 교육(2019.05.17.)을 통해 민주화 운동이 일어나게 된 배경을 이해하고, 독재에 맞서 싸우다 억울하게 죽어간 수많은 시민들을 추모하는 시간을 가짐.
자기주도진로체험활동(2019.06.19.-2019.06.21.)에서 계획 수립부터 진행과정까지 적극적으로 참여함.
성폭력예방교육(2019.06.28., 2019.10.25., 2019.12.20.)을 통해 이성교제 시 지켜야 할 기본수칙을 배우고 성희롱 및 성폭력의 예방방법과 성적자기결정권의 중요성을 인식하게 됨.
인권교육(2019.12.24.)에 참여하여 인권을 침해 받은 사람들에 대해 마음 아파하고 함께 해결해 나가려 하는 마음을 갖게 됨.
</v>
      </c>
      <c r="F7" s="30">
        <f>IF((활동항목선택!DT7+COUNT(#REF!))=0,"",(활동항목선택!DT7+COUNT(#REF!)))</f>
        <v>12</v>
      </c>
    </row>
    <row r="8" spans="2:7" ht="348" x14ac:dyDescent="0.3">
      <c r="B8" s="2">
        <f>활동항목선택!A8</f>
        <v>4</v>
      </c>
      <c r="C8" s="2" t="e">
        <f>활동항목선택!#REF!</f>
        <v>#REF!</v>
      </c>
      <c r="D8" s="49" t="s">
        <v>266</v>
      </c>
      <c r="E8" s="18" t="str">
        <f>활동항목선택!DS8</f>
        <v xml:space="preserve">생명존중교육(2019.03.08., 2019.03.29., 2019.09.06., 2019.11.15.)을 통해 청소년들의 자살에 대한 심리적 상태를 이해하고 힘들어 하는 주변 친구들에게 따뜻한 배려와 도움이 절실히 필요함을 느꼈으며 생명의 소중함을 다시 한번 깨닫는 기회를 가지게 됨.
안전교육(2019.03.15., 2019.06.14., 2019.07.19., 2019.08.30., 2019.12.27., 2020.01.03., 2020.01.10.)을 통해 화재, 물놀이, 빙상 등 일상생활에서 일어날 수 있는 안전사고에 대한 예방법과 사고 시 대처방법을 확인하고 실천할 수 있게 됨.
학교폭력 예방교육(2019.03.15., 2019.05.31., 2019.10.18., 2019.12.13., 2020.01.03.)을 통해 학교폭력의 심각성을 알게 되었으며 자신의 인권이 소중한 것처럼 타인의 인권도 소중함을 깨닫고 실천하는 계기가 됨.
학급회의(2019.03.15, 2019.03.29., 2019.07.12.)를 통해 학급의 문제들을 해결하기위한 의사결정과정에 적극적으로 참여함.
다문화교육(2019.03.22., 2019.09.20.)을 통해 우리 나라와 다른 나라의 문화를 함께 나눔으로써 지구촌의 평화와 번영을 함께 누릴 수 있다는 사실을 새삼 깨달은 계기가 됨. 
흡연, 음주 등 약물 오남용 예방교육(2019.04.05., 2019.05.10, 2019.07.05., 2019.07.12., 2019.07.19., 2019.11.08., 2019.12.06., 2020.01.03.)을 통해 흡연과 음주 등 약물 오남용의 폐해를 인식하고 자신의 건강을 위해 흡연과 음주와 같은 행위를 하지 않겠다고 다짐함.
장애인이해교육(2019.04.19., 2019.11.29.)을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
안전교육(2019.05.10., 2019.05.24., 2019.07.22.)을 통해 교통안전사고를 예방할 수 있는 수칙에 대한 인식을 일깨우고 실천하고자 하는 마음을 다지게 됨.
518 광주민주화운동 교육(2019.05.17.)을 통해 민주화 운동이 일어나게 된 배경을 이해하고, 독재에 맞서 싸우다 억울하게 죽어간 수많은 시민들을 추모하는 시간을 가짐.
자기주도진로체험활동(2019.06.19.-2019.06.21.)에서 계획 수립부터 진행과정까지 적극적으로 참여함.
성폭력예방교육(2019.06.28., 2019.10.25., 2019.12.20.)을 통해 이성교제 시 지켜야 할 기본수칙을 배우고 성희롱 및 성폭력의 예방방법과 성적자기결정권의 중요성을 인식하게 됨.
인권교육(2019.12.24.)에 참여하여 인권을 침해 받은 사람들에 대해 마음 아파하고 함께 해결해 나가려 하는 마음을 갖게 됨.
</v>
      </c>
      <c r="F8" s="30">
        <f>IF((활동항목선택!DT8+COUNT(#REF!))=0,"",(활동항목선택!DT8+COUNT(#REF!)))</f>
        <v>12</v>
      </c>
    </row>
    <row r="9" spans="2:7" ht="348" x14ac:dyDescent="0.3">
      <c r="B9" s="2">
        <f>활동항목선택!A9</f>
        <v>5</v>
      </c>
      <c r="C9" s="2" t="str">
        <f>활동항목선택!B7</f>
        <v>김승길</v>
      </c>
      <c r="D9" s="49" t="s">
        <v>263</v>
      </c>
      <c r="E9" s="18" t="str">
        <f>활동항목선택!DS9</f>
        <v xml:space="preserve">생명존중교육(2019.03.08., 2019.03.29., 2019.09.06., 2019.11.15.)을 통해 청소년들의 자살에 대한 심리적 상태를 이해하고 힘들어 하는 주변 친구들에게 따뜻한 배려와 도움이 절실히 필요함을 느꼈으며 생명의 소중함을 다시 한번 깨닫는 기회를 가지게 됨.
안전교육(2019.03.15., 2019.06.14., 2019.07.19., 2019.08.30., 2019.12.27., 2020.01.03., 2020.01.10.)을 통해 화재, 물놀이, 빙상 등 일상생활에서 일어날 수 있는 안전사고에 대한 예방법과 사고 시 대처방법을 확인하고 실천할 수 있게 됨.
학교폭력 예방교육(2019.03.15., 2019.05.31., 2019.10.18., 2019.12.13., 2020.01.03.)을 통해 학교폭력의 심각성을 알게 되었으며 자신의 인권이 소중한 것처럼 타인의 인권도 소중함을 깨닫고 실천하는 계기가 됨.
학급회의(2019.03.15, 2019.03.29., 2019.07.12.)를 통해 학급의 문제들을 해결하기위한 의사결정과정에 적극적으로 참여함.
다문화교육(2019.03.22., 2019.09.20.)을 통해 우리 나라와 다른 나라의 문화를 함께 나눔으로써 지구촌의 평화와 번영을 함께 누릴 수 있다는 사실을 새삼 깨달은 계기가 됨. 
흡연, 음주 등 약물 오남용 예방교육(2019.04.05., 2019.05.10, 2019.07.05., 2019.07.12., 2019.07.19., 2019.11.08., 2019.12.06., 2020.01.03.)을 통해 흡연과 음주 등 약물 오남용의 폐해를 인식하고 자신의 건강을 위해 흡연과 음주와 같은 행위를 하지 않겠다고 다짐함.
장애인이해교육(2019.04.19., 2019.11.29.)을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
안전교육(2019.05.10., 2019.05.24., 2019.07.22.)을 통해 교통안전사고를 예방할 수 있는 수칙에 대한 인식을 일깨우고 실천하고자 하는 마음을 다지게 됨.
518 광주민주화운동 교육(2019.05.17.)을 통해 민주화 운동이 일어나게 된 배경을 이해하고, 독재에 맞서 싸우다 억울하게 죽어간 수많은 시민들을 추모하는 시간을 가짐.
자기주도진로체험활동(2019.06.19.-2019.06.21.)에서 계획 수립부터 진행과정까지 적극적으로 참여함.
성폭력예방교육(2019.06.28., 2019.10.25., 2019.12.20.)을 통해 이성교제 시 지켜야 할 기본수칙을 배우고 성희롱 및 성폭력의 예방방법과 성적자기결정권의 중요성을 인식하게 됨.
인권교육(2019.12.24.)에 참여하여 인권을 침해 받은 사람들에 대해 마음 아파하고 함께 해결해 나가려 하는 마음을 갖게 됨.
</v>
      </c>
      <c r="F9" s="30">
        <f>IF((활동항목선택!DT9+COUNT(#REF!))=0,"",(활동항목선택!DT9+COUNT(#REF!)))</f>
        <v>12</v>
      </c>
    </row>
    <row r="10" spans="2:7" ht="348" x14ac:dyDescent="0.3">
      <c r="B10" s="2">
        <f>활동항목선택!A10</f>
        <v>6</v>
      </c>
      <c r="C10" s="2" t="str">
        <f>활동항목선택!B8</f>
        <v>김하얀</v>
      </c>
      <c r="D10" s="49" t="s">
        <v>266</v>
      </c>
      <c r="E10" s="18" t="str">
        <f>활동항목선택!DS10</f>
        <v xml:space="preserve">생명존중교육(2019.03.08., 2019.03.29., 2019.09.06., 2019.11.15.)을 통해 청소년들의 자살에 대한 심리적 상태를 이해하고 힘들어 하는 주변 친구들에게 따뜻한 배려와 도움이 절실히 필요함을 느꼈으며 생명의 소중함을 다시 한번 깨닫는 기회를 가지게 됨.
안전교육(2019.03.15., 2019.06.14., 2019.07.19., 2019.08.30., 2019.12.27., 2020.01.03., 2020.01.10.)을 통해 화재, 물놀이, 빙상 등 일상생활에서 일어날 수 있는 안전사고에 대한 예방법과 사고 시 대처방법을 확인하고 실천할 수 있게 됨.
학교폭력 예방교육(2019.03.15., 2019.05.31., 2019.10.18., 2019.12.13., 2020.01.03.)을 통해 학교폭력의 심각성을 알게 되었으며 자신의 인권이 소중한 것처럼 타인의 인권도 소중함을 깨닫고 실천하는 계기가 됨.
학급회의(2019.03.15, 2019.03.29., 2019.07.12.)를 통해 학급의 문제들을 해결하기위한 의사결정과정에 적극적으로 참여함.
다문화교육(2019.03.22., 2019.09.20.)을 통해 우리 나라와 다른 나라의 문화를 함께 나눔으로써 지구촌의 평화와 번영을 함께 누릴 수 있다는 사실을 새삼 깨달은 계기가 됨. 
흡연, 음주 등 약물 오남용 예방교육(2019.04.05., 2019.05.10, 2019.07.05., 2019.07.12., 2019.07.19., 2019.11.08., 2019.12.06., 2020.01.03.)을 통해 흡연과 음주 등 약물 오남용의 폐해를 인식하고 자신의 건강을 위해 흡연과 음주와 같은 행위를 하지 않겠다고 다짐함.
장애인이해교육(2019.04.19., 2019.11.29.)을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
안전교육(2019.05.10., 2019.05.24., 2019.07.22.)을 통해 교통안전사고를 예방할 수 있는 수칙에 대한 인식을 일깨우고 실천하고자 하는 마음을 다지게 됨.
518 광주민주화운동 교육(2019.05.17.)을 통해 민주화 운동이 일어나게 된 배경을 이해하고, 독재에 맞서 싸우다 억울하게 죽어간 수많은 시민들을 추모하는 시간을 가짐.
자기주도진로체험활동(2019.06.19.-2019.06.21.)에서 계획 수립부터 진행과정까지 적극적으로 참여함.
성폭력예방교육(2019.06.28., 2019.10.25., 2019.12.20.)을 통해 이성교제 시 지켜야 할 기본수칙을 배우고 성희롱 및 성폭력의 예방방법과 성적자기결정권의 중요성을 인식하게 됨.
인권교육(2019.12.24.)에 참여하여 인권을 침해 받은 사람들에 대해 마음 아파하고 함께 해결해 나가려 하는 마음을 갖게 됨.
</v>
      </c>
      <c r="F10" s="30">
        <f>IF((활동항목선택!DT10+COUNT(#REF!))=0,"",(활동항목선택!DT10+COUNT(#REF!)))</f>
        <v>12</v>
      </c>
    </row>
    <row r="11" spans="2:7" ht="348" x14ac:dyDescent="0.3">
      <c r="B11" s="2">
        <f>활동항목선택!A11</f>
        <v>7</v>
      </c>
      <c r="C11" s="2" t="str">
        <f>활동항목선택!B9</f>
        <v>김호찬</v>
      </c>
      <c r="D11" s="49" t="s">
        <v>263</v>
      </c>
      <c r="E11" s="18" t="str">
        <f>활동항목선택!DS11</f>
        <v xml:space="preserve">생명존중교육(2019.03.08., 2019.03.29., 2019.09.06., 2019.11.15.)을 통해 청소년들의 자살에 대한 심리적 상태를 이해하고 힘들어 하는 주변 친구들에게 따뜻한 배려와 도움이 절실히 필요함을 느꼈으며 생명의 소중함을 다시 한번 깨닫는 기회를 가지게 됨.
안전교육(2019.03.15., 2019.06.14., 2019.07.19., 2019.08.30., 2019.12.27., 2020.01.03., 2020.01.10.)을 통해 화재, 물놀이, 빙상 등 일상생활에서 일어날 수 있는 안전사고에 대한 예방법과 사고 시 대처방법을 확인하고 실천할 수 있게 됨.
학교폭력 예방교육(2019.03.15., 2019.05.31., 2019.10.18., 2019.12.13., 2020.01.03.)을 통해 학교폭력의 심각성을 알게 되었으며 자신의 인권이 소중한 것처럼 타인의 인권도 소중함을 깨닫고 실천하는 계기가 됨.
학급회의(2019.03.15, 2019.03.29., 2019.07.12.)를 통해 학급의 문제들을 해결하기위한 의사결정과정에 적극적으로 참여함.
다문화교육(2019.03.22., 2019.09.20.)을 통해 우리 나라와 다른 나라의 문화를 함께 나눔으로써 지구촌의 평화와 번영을 함께 누릴 수 있다는 사실을 새삼 깨달은 계기가 됨. 
흡연, 음주 등 약물 오남용 예방교육(2019.04.05., 2019.05.10, 2019.07.05., 2019.07.12., 2019.07.19., 2019.11.08., 2019.12.06., 2020.01.03.)을 통해 흡연과 음주 등 약물 오남용의 폐해를 인식하고 자신의 건강을 위해 흡연과 음주와 같은 행위를 하지 않겠다고 다짐함.
장애인이해교육(2019.04.19., 2019.11.29.)을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
안전교육(2019.05.10., 2019.05.24., 2019.07.22.)을 통해 교통안전사고를 예방할 수 있는 수칙에 대한 인식을 일깨우고 실천하고자 하는 마음을 다지게 됨.
518 광주민주화운동 교육(2019.05.17.)을 통해 민주화 운동이 일어나게 된 배경을 이해하고, 독재에 맞서 싸우다 억울하게 죽어간 수많은 시민들을 추모하는 시간을 가짐.
자기주도진로체험활동(2019.06.19.-2019.06.21.)에서 계획 수립부터 진행과정까지 적극적으로 참여함.
성폭력예방교육(2019.06.28., 2019.10.25., 2019.12.20.)을 통해 이성교제 시 지켜야 할 기본수칙을 배우고 성희롱 및 성폭력의 예방방법과 성적자기결정권의 중요성을 인식하게 됨.
인권교육(2019.12.24.)에 참여하여 인권을 침해 받은 사람들에 대해 마음 아파하고 함께 해결해 나가려 하는 마음을 갖게 됨.
</v>
      </c>
      <c r="F11" s="30">
        <f>IF((활동항목선택!DT11+COUNT(#REF!))=0,"",(활동항목선택!DT11+COUNT(#REF!)))</f>
        <v>12</v>
      </c>
    </row>
    <row r="12" spans="2:7" ht="348" x14ac:dyDescent="0.3">
      <c r="B12" s="2">
        <f>활동항목선택!A12</f>
        <v>8</v>
      </c>
      <c r="C12" s="2" t="str">
        <f>활동항목선택!B10</f>
        <v>노지형</v>
      </c>
      <c r="D12" s="49" t="s">
        <v>262</v>
      </c>
      <c r="E12" s="18" t="str">
        <f>활동항목선택!DS12</f>
        <v xml:space="preserve">생명존중교육(2019.03.08., 2019.03.29., 2019.09.06., 2019.11.15.)을 통해 청소년들의 자살에 대한 심리적 상태를 이해하고 힘들어 하는 주변 친구들에게 따뜻한 배려와 도움이 절실히 필요함을 느꼈으며 생명의 소중함을 다시 한번 깨닫는 기회를 가지게 됨.
안전교육(2019.03.15., 2019.06.14., 2019.07.19., 2019.08.30., 2019.12.27., 2020.01.03., 2020.01.10.)을 통해 화재, 물놀이, 빙상 등 일상생활에서 일어날 수 있는 안전사고에 대한 예방법과 사고 시 대처방법을 확인하고 실천할 수 있게 됨.
학교폭력 예방교육(2019.03.15., 2019.05.31., 2019.10.18., 2019.12.13., 2020.01.03.)을 통해 학교폭력의 심각성을 알게 되었으며 자신의 인권이 소중한 것처럼 타인의 인권도 소중함을 깨닫고 실천하는 계기가 됨.
학급회의(2019.03.15, 2019.03.29., 2019.07.12.)를 통해 학급의 문제들을 해결하기위한 의사결정과정에 적극적으로 참여함.
다문화교육(2019.03.22., 2019.09.20.)을 통해 우리 나라와 다른 나라의 문화를 함께 나눔으로써 지구촌의 평화와 번영을 함께 누릴 수 있다는 사실을 새삼 깨달은 계기가 됨. 
흡연, 음주 등 약물 오남용 예방교육(2019.04.05., 2019.05.10, 2019.07.05., 2019.07.12., 2019.07.19., 2019.11.08., 2019.12.06., 2020.01.03.)을 통해 흡연과 음주 등 약물 오남용의 폐해를 인식하고 자신의 건강을 위해 흡연과 음주와 같은 행위를 하지 않겠다고 다짐함.
장애인이해교육(2019.04.19., 2019.11.29.)을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
안전교육(2019.05.10., 2019.05.24., 2019.07.22.)을 통해 교통안전사고를 예방할 수 있는 수칙에 대한 인식을 일깨우고 실천하고자 하는 마음을 다지게 됨.
518 광주민주화운동 교육(2019.05.17.)을 통해 민주화 운동이 일어나게 된 배경을 이해하고, 독재에 맞서 싸우다 억울하게 죽어간 수많은 시민들을 추모하는 시간을 가짐.
자기주도진로체험활동(2019.06.19.-2019.06.21.)에서 계획 수립부터 진행과정까지 적극적으로 참여함.
성폭력예방교육(2019.06.28., 2019.10.25., 2019.12.20.)을 통해 이성교제 시 지켜야 할 기본수칙을 배우고 성희롱 및 성폭력의 예방방법과 성적자기결정권의 중요성을 인식하게 됨.
인권교육(2019.12.24.)에 참여하여 인권을 침해 받은 사람들에 대해 마음 아파하고 함께 해결해 나가려 하는 마음을 갖게 됨.
</v>
      </c>
      <c r="F12" s="30">
        <f>IF((활동항목선택!DT12+COUNT(#REF!))=0,"",(활동항목선택!DT12+COUNT(#REF!)))</f>
        <v>12</v>
      </c>
    </row>
    <row r="13" spans="2:7" ht="348" x14ac:dyDescent="0.3">
      <c r="B13" s="2">
        <f>활동항목선택!A13</f>
        <v>9</v>
      </c>
      <c r="C13" s="2" t="str">
        <f>활동항목선택!B11</f>
        <v>류나경</v>
      </c>
      <c r="D13" s="49" t="s">
        <v>266</v>
      </c>
      <c r="E13" s="18" t="str">
        <f>활동항목선택!DS13</f>
        <v xml:space="preserve">생명존중교육(2019.03.08., 2019.03.29., 2019.09.06., 2019.11.15.)을 통해 청소년들의 자살에 대한 심리적 상태를 이해하고 힘들어 하는 주변 친구들에게 따뜻한 배려와 도움이 절실히 필요함을 느꼈으며 생명의 소중함을 다시 한번 깨닫는 기회를 가지게 됨.
안전교육(2019.03.15., 2019.06.14., 2019.07.19., 2019.08.30., 2019.12.27., 2020.01.03., 2020.01.10.)을 통해 화재, 물놀이, 빙상 등 일상생활에서 일어날 수 있는 안전사고에 대한 예방법과 사고 시 대처방법을 확인하고 실천할 수 있게 됨.
학교폭력 예방교육(2019.03.15., 2019.05.31., 2019.10.18., 2019.12.13., 2020.01.03.)을 통해 학교폭력의 심각성을 알게 되었으며 자신의 인권이 소중한 것처럼 타인의 인권도 소중함을 깨닫고 실천하는 계기가 됨.
학급회의(2019.03.15, 2019.03.29., 2019.07.12.)를 통해 학급의 문제들을 해결하기위한 의사결정과정에 적극적으로 참여함.
다문화교육(2019.03.22., 2019.09.20.)을 통해 우리 나라와 다른 나라의 문화를 함께 나눔으로써 지구촌의 평화와 번영을 함께 누릴 수 있다는 사실을 새삼 깨달은 계기가 됨. 
흡연, 음주 등 약물 오남용 예방교육(2019.04.05., 2019.05.10, 2019.07.05., 2019.07.12., 2019.07.19., 2019.11.08., 2019.12.06., 2020.01.03.)을 통해 흡연과 음주 등 약물 오남용의 폐해를 인식하고 자신의 건강을 위해 흡연과 음주와 같은 행위를 하지 않겠다고 다짐함.
장애인이해교육(2019.04.19., 2019.11.29.)을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
안전교육(2019.05.10., 2019.05.24., 2019.07.22.)을 통해 교통안전사고를 예방할 수 있는 수칙에 대한 인식을 일깨우고 실천하고자 하는 마음을 다지게 됨.
518 광주민주화운동 교육(2019.05.17.)을 통해 민주화 운동이 일어나게 된 배경을 이해하고, 독재에 맞서 싸우다 억울하게 죽어간 수많은 시민들을 추모하는 시간을 가짐.
자기주도진로체험활동(2019.06.19.-2019.06.21.)에서 계획 수립부터 진행과정까지 적극적으로 참여함.
성폭력예방교육(2019.06.28., 2019.10.25., 2019.12.20.)을 통해 이성교제 시 지켜야 할 기본수칙을 배우고 성희롱 및 성폭력의 예방방법과 성적자기결정권의 중요성을 인식하게 됨.
인권교육(2019.12.24.)에 참여하여 인권을 침해 받은 사람들에 대해 마음 아파하고 함께 해결해 나가려 하는 마음을 갖게 됨.
</v>
      </c>
      <c r="F13" s="30">
        <f>IF((활동항목선택!DT13+COUNT(#REF!))=0,"",(활동항목선택!DT13+COUNT(#REF!)))</f>
        <v>12</v>
      </c>
    </row>
    <row r="14" spans="2:7" ht="348" x14ac:dyDescent="0.3">
      <c r="B14" s="2">
        <f>활동항목선택!A14</f>
        <v>10</v>
      </c>
      <c r="C14" s="2" t="str">
        <f>활동항목선택!B12</f>
        <v>박건하</v>
      </c>
      <c r="D14" s="49" t="s">
        <v>262</v>
      </c>
      <c r="E14" s="18" t="str">
        <f>활동항목선택!DS14</f>
        <v xml:space="preserve">생명존중교육(2019.03.08., 2019.03.29., 2019.09.06., 2019.11.15.)을 통해 청소년들의 자살에 대한 심리적 상태를 이해하고 힘들어 하는 주변 친구들에게 따뜻한 배려와 도움이 절실히 필요함을 느꼈으며 생명의 소중함을 다시 한번 깨닫는 기회를 가지게 됨.
안전교육(2019.03.15., 2019.06.14., 2019.07.19., 2019.08.30., 2019.12.27., 2020.01.03., 2020.01.10.)을 통해 화재, 물놀이, 빙상 등 일상생활에서 일어날 수 있는 안전사고에 대한 예방법과 사고 시 대처방법을 확인하고 실천할 수 있게 됨.
학교폭력 예방교육(2019.03.15., 2019.05.31., 2019.10.18., 2019.12.13., 2020.01.03.)을 통해 학교폭력의 심각성을 알게 되었으며 자신의 인권이 소중한 것처럼 타인의 인권도 소중함을 깨닫고 실천하는 계기가 됨.
학급회의(2019.03.15, 2019.03.29., 2019.07.12.)를 통해 학급의 문제들을 해결하기위한 의사결정과정에 적극적으로 참여함.
다문화교육(2019.03.22., 2019.09.20.)을 통해 우리 나라와 다른 나라의 문화를 함께 나눔으로써 지구촌의 평화와 번영을 함께 누릴 수 있다는 사실을 새삼 깨달은 계기가 됨. 
흡연, 음주 등 약물 오남용 예방교육(2019.04.05., 2019.05.10, 2019.07.05., 2019.07.12., 2019.07.19., 2019.11.08., 2019.12.06., 2020.01.03.)을 통해 흡연과 음주 등 약물 오남용의 폐해를 인식하고 자신의 건강을 위해 흡연과 음주와 같은 행위를 하지 않겠다고 다짐함.
장애인이해교육(2019.04.19., 2019.11.29.)을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
안전교육(2019.05.10., 2019.05.24., 2019.07.22.)을 통해 교통안전사고를 예방할 수 있는 수칙에 대한 인식을 일깨우고 실천하고자 하는 마음을 다지게 됨.
518 광주민주화운동 교육(2019.05.17.)을 통해 민주화 운동이 일어나게 된 배경을 이해하고, 독재에 맞서 싸우다 억울하게 죽어간 수많은 시민들을 추모하는 시간을 가짐.
자기주도진로체험활동(2019.06.19.-2019.06.21.)에서 계획 수립부터 진행과정까지 적극적으로 참여함.
성폭력예방교육(2019.06.28., 2019.10.25., 2019.12.20.)을 통해 이성교제 시 지켜야 할 기본수칙을 배우고 성희롱 및 성폭력의 예방방법과 성적자기결정권의 중요성을 인식하게 됨.
인권교육(2019.12.24.)에 참여하여 인권을 침해 받은 사람들에 대해 마음 아파하고 함께 해결해 나가려 하는 마음을 갖게 됨.
</v>
      </c>
      <c r="F14" s="30">
        <f>IF((활동항목선택!DT14+COUNT(#REF!))=0,"",(활동항목선택!DT14+COUNT(#REF!)))</f>
        <v>12</v>
      </c>
    </row>
    <row r="15" spans="2:7" ht="348" x14ac:dyDescent="0.3">
      <c r="B15" s="2">
        <f>활동항목선택!A15</f>
        <v>11</v>
      </c>
      <c r="C15" s="2" t="str">
        <f>활동항목선택!B13</f>
        <v>서형찬</v>
      </c>
      <c r="D15" s="49" t="s">
        <v>263</v>
      </c>
      <c r="E15" s="18" t="str">
        <f>활동항목선택!DS15</f>
        <v xml:space="preserve">생명존중교육(2019.03.08., 2019.03.29., 2019.09.06., 2019.11.15.)을 통해 청소년들의 자살에 대한 심리적 상태를 이해하고 힘들어 하는 주변 친구들에게 따뜻한 배려와 도움이 절실히 필요함을 느꼈으며 생명의 소중함을 다시 한번 깨닫는 기회를 가지게 됨.
안전교육(2019.03.15., 2019.06.14., 2019.07.19., 2019.08.30., 2019.12.27., 2020.01.03., 2020.01.10.)을 통해 화재, 물놀이, 빙상 등 일상생활에서 일어날 수 있는 안전사고에 대한 예방법과 사고 시 대처방법을 확인하고 실천할 수 있게 됨.
학교폭력 예방교육(2019.03.15., 2019.05.31., 2019.10.18., 2019.12.13., 2020.01.03.)을 통해 학교폭력의 심각성을 알게 되었으며 자신의 인권이 소중한 것처럼 타인의 인권도 소중함을 깨닫고 실천하는 계기가 됨.
학급회의(2019.03.15, 2019.03.29., 2019.07.12.)를 통해 학급의 문제들을 해결하기위한 의사결정과정에 적극적으로 참여함.
다문화교육(2019.03.22., 2019.09.20.)을 통해 우리 나라와 다른 나라의 문화를 함께 나눔으로써 지구촌의 평화와 번영을 함께 누릴 수 있다는 사실을 새삼 깨달은 계기가 됨. 
흡연, 음주 등 약물 오남용 예방교육(2019.04.05., 2019.05.10, 2019.07.05., 2019.07.12., 2019.07.19., 2019.11.08., 2019.12.06., 2020.01.03.)을 통해 흡연과 음주 등 약물 오남용의 폐해를 인식하고 자신의 건강을 위해 흡연과 음주와 같은 행위를 하지 않겠다고 다짐함.
장애인이해교육(2019.04.19., 2019.11.29.)을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
안전교육(2019.05.10., 2019.05.24., 2019.07.22.)을 통해 교통안전사고를 예방할 수 있는 수칙에 대한 인식을 일깨우고 실천하고자 하는 마음을 다지게 됨.
518 광주민주화운동 교육(2019.05.17.)을 통해 민주화 운동이 일어나게 된 배경을 이해하고, 독재에 맞서 싸우다 억울하게 죽어간 수많은 시민들을 추모하는 시간을 가짐.
자기주도진로체험활동(2019.06.19.-2019.06.21.)에서 계획 수립부터 진행과정까지 적극적으로 참여함.
성폭력예방교육(2019.06.28., 2019.10.25., 2019.12.20.)을 통해 이성교제 시 지켜야 할 기본수칙을 배우고 성희롱 및 성폭력의 예방방법과 성적자기결정권의 중요성을 인식하게 됨.
인권교육(2019.12.24.)에 참여하여 인권을 침해 받은 사람들에 대해 마음 아파하고 함께 해결해 나가려 하는 마음을 갖게 됨.
</v>
      </c>
      <c r="F15" s="30">
        <f>IF((활동항목선택!DT15+COUNT(#REF!))=0,"",(활동항목선택!DT15+COUNT(#REF!)))</f>
        <v>12</v>
      </c>
    </row>
    <row r="16" spans="2:7" ht="348" x14ac:dyDescent="0.3">
      <c r="B16" s="2">
        <f>활동항목선택!A16</f>
        <v>12</v>
      </c>
      <c r="C16" s="2" t="str">
        <f>활동항목선택!B14</f>
        <v>손우진</v>
      </c>
      <c r="D16" s="49" t="s">
        <v>262</v>
      </c>
      <c r="E16" s="18" t="str">
        <f>활동항목선택!DS16</f>
        <v xml:space="preserve">생명존중교육(2019.03.08., 2019.03.29., 2019.09.06., 2019.11.15.)을 통해 청소년들의 자살에 대한 심리적 상태를 이해하고 힘들어 하는 주변 친구들에게 따뜻한 배려와 도움이 절실히 필요함을 느꼈으며 생명의 소중함을 다시 한번 깨닫는 기회를 가지게 됨.
안전교육(2019.03.15., 2019.06.14., 2019.07.19., 2019.08.30., 2019.12.27., 2020.01.03., 2020.01.10.)을 통해 화재, 물놀이, 빙상 등 일상생활에서 일어날 수 있는 안전사고에 대한 예방법과 사고 시 대처방법을 확인하고 실천할 수 있게 됨.
학교폭력 예방교육(2019.03.15., 2019.05.31., 2019.10.18., 2019.12.13., 2020.01.03.)을 통해 학교폭력의 심각성을 알게 되었으며 자신의 인권이 소중한 것처럼 타인의 인권도 소중함을 깨닫고 실천하는 계기가 됨.
학급회의(2019.03.15, 2019.03.29., 2019.07.12.)를 통해 학급의 문제들을 해결하기위한 의사결정과정에 적극적으로 참여함.
다문화교육(2019.03.22., 2019.09.20.)을 통해 우리 나라와 다른 나라의 문화를 함께 나눔으로써 지구촌의 평화와 번영을 함께 누릴 수 있다는 사실을 새삼 깨달은 계기가 됨. 
흡연, 음주 등 약물 오남용 예방교육(2019.04.05., 2019.05.10, 2019.07.05., 2019.07.12., 2019.07.19., 2019.11.08., 2019.12.06., 2020.01.03.)을 통해 흡연과 음주 등 약물 오남용의 폐해를 인식하고 자신의 건강을 위해 흡연과 음주와 같은 행위를 하지 않겠다고 다짐함.
장애인이해교육(2019.04.19., 2019.11.29.)을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
안전교육(2019.05.10., 2019.05.24., 2019.07.22.)을 통해 교통안전사고를 예방할 수 있는 수칙에 대한 인식을 일깨우고 실천하고자 하는 마음을 다지게 됨.
518 광주민주화운동 교육(2019.05.17.)을 통해 민주화 운동이 일어나게 된 배경을 이해하고, 독재에 맞서 싸우다 억울하게 죽어간 수많은 시민들을 추모하는 시간을 가짐.
자기주도진로체험활동(2019.06.19.-2019.06.21.)에서 계획 수립부터 진행과정까지 적극적으로 참여함.
성폭력예방교육(2019.06.28., 2019.10.25., 2019.12.20.)을 통해 이성교제 시 지켜야 할 기본수칙을 배우고 성희롱 및 성폭력의 예방방법과 성적자기결정권의 중요성을 인식하게 됨.
인권교육(2019.12.24.)에 참여하여 인권을 침해 받은 사람들에 대해 마음 아파하고 함께 해결해 나가려 하는 마음을 갖게 됨.
</v>
      </c>
      <c r="F16" s="30">
        <f>IF((활동항목선택!DT16+COUNT(#REF!))=0,"",(활동항목선택!DT16+COUNT(#REF!)))</f>
        <v>12</v>
      </c>
    </row>
    <row r="17" spans="2:6" ht="348" x14ac:dyDescent="0.3">
      <c r="B17" s="2">
        <f>활동항목선택!A17</f>
        <v>13</v>
      </c>
      <c r="C17" s="2" t="str">
        <f>활동항목선택!B15</f>
        <v>송정연</v>
      </c>
      <c r="D17" s="49" t="s">
        <v>262</v>
      </c>
      <c r="E17" s="18" t="str">
        <f>활동항목선택!DS17</f>
        <v xml:space="preserve">생명존중교육(2019.03.08., 2019.03.29., 2019.09.06., 2019.11.15.)을 통해 청소년들의 자살에 대한 심리적 상태를 이해하고 힘들어 하는 주변 친구들에게 따뜻한 배려와 도움이 절실히 필요함을 느꼈으며 생명의 소중함을 다시 한번 깨닫는 기회를 가지게 됨.
안전교육(2019.03.15., 2019.06.14., 2019.07.19., 2019.08.30., 2019.12.27., 2020.01.03., 2020.01.10.)을 통해 화재, 물놀이, 빙상 등 일상생활에서 일어날 수 있는 안전사고에 대한 예방법과 사고 시 대처방법을 확인하고 실천할 수 있게 됨.
학교폭력 예방교육(2019.03.15., 2019.05.31., 2019.10.18., 2019.12.13., 2020.01.03.)을 통해 학교폭력의 심각성을 알게 되었으며 자신의 인권이 소중한 것처럼 타인의 인권도 소중함을 깨닫고 실천하는 계기가 됨.
학급회의(2019.03.15, 2019.03.29., 2019.07.12.)를 통해 학급의 문제들을 해결하기위한 의사결정과정에 적극적으로 참여함.
다문화교육(2019.03.22., 2019.09.20.)을 통해 우리 나라와 다른 나라의 문화를 함께 나눔으로써 지구촌의 평화와 번영을 함께 누릴 수 있다는 사실을 새삼 깨달은 계기가 됨. 
흡연, 음주 등 약물 오남용 예방교육(2019.04.05., 2019.05.10, 2019.07.05., 2019.07.12., 2019.07.19., 2019.11.08., 2019.12.06., 2020.01.03.)을 통해 흡연과 음주 등 약물 오남용의 폐해를 인식하고 자신의 건강을 위해 흡연과 음주와 같은 행위를 하지 않겠다고 다짐함.
장애인이해교육(2019.04.19., 2019.11.29.)을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
안전교육(2019.05.10., 2019.05.24., 2019.07.22.)을 통해 교통안전사고를 예방할 수 있는 수칙에 대한 인식을 일깨우고 실천하고자 하는 마음을 다지게 됨.
518 광주민주화운동 교육(2019.05.17.)을 통해 민주화 운동이 일어나게 된 배경을 이해하고, 독재에 맞서 싸우다 억울하게 죽어간 수많은 시민들을 추모하는 시간을 가짐.
자기주도진로체험활동(2019.06.19.-2019.06.21.)에서 계획 수립부터 진행과정까지 적극적으로 참여함.
성폭력예방교육(2019.06.28., 2019.10.25., 2019.12.20.)을 통해 이성교제 시 지켜야 할 기본수칙을 배우고 성희롱 및 성폭력의 예방방법과 성적자기결정권의 중요성을 인식하게 됨.
인권교육(2019.12.24.)에 참여하여 인권을 침해 받은 사람들에 대해 마음 아파하고 함께 해결해 나가려 하는 마음을 갖게 됨.
</v>
      </c>
      <c r="F17" s="30">
        <f>IF((활동항목선택!DT17+COUNT(#REF!))=0,"",(활동항목선택!DT17+COUNT(#REF!)))</f>
        <v>12</v>
      </c>
    </row>
    <row r="18" spans="2:6" ht="348" x14ac:dyDescent="0.3">
      <c r="B18" s="2">
        <f>활동항목선택!A18</f>
        <v>14</v>
      </c>
      <c r="C18" s="2" t="str">
        <f>활동항목선택!B16</f>
        <v>양민국</v>
      </c>
      <c r="D18" s="49" t="s">
        <v>266</v>
      </c>
      <c r="E18" s="18" t="str">
        <f>활동항목선택!DS18</f>
        <v xml:space="preserve">생명존중교육(2019.03.08., 2019.03.29., 2019.09.06., 2019.11.15.)을 통해 청소년들의 자살에 대한 심리적 상태를 이해하고 힘들어 하는 주변 친구들에게 따뜻한 배려와 도움이 절실히 필요함을 느꼈으며 생명의 소중함을 다시 한번 깨닫는 기회를 가지게 됨.
안전교육(2019.03.15., 2019.06.14., 2019.07.19., 2019.08.30., 2019.12.27., 2020.01.03., 2020.01.10.)을 통해 화재, 물놀이, 빙상 등 일상생활에서 일어날 수 있는 안전사고에 대한 예방법과 사고 시 대처방법을 확인하고 실천할 수 있게 됨.
학교폭력 예방교육(2019.03.15., 2019.05.31., 2019.10.18., 2019.12.13., 2020.01.03.)을 통해 학교폭력의 심각성을 알게 되었으며 자신의 인권이 소중한 것처럼 타인의 인권도 소중함을 깨닫고 실천하는 계기가 됨.
학급회의(2019.03.15, 2019.03.29., 2019.07.12.)를 통해 학급의 문제들을 해결하기위한 의사결정과정에 적극적으로 참여함.
다문화교육(2019.03.22., 2019.09.20.)을 통해 우리 나라와 다른 나라의 문화를 함께 나눔으로써 지구촌의 평화와 번영을 함께 누릴 수 있다는 사실을 새삼 깨달은 계기가 됨. 
흡연, 음주 등 약물 오남용 예방교육(2019.04.05., 2019.05.10, 2019.07.05., 2019.07.12., 2019.07.19., 2019.11.08., 2019.12.06., 2020.01.03.)을 통해 흡연과 음주 등 약물 오남용의 폐해를 인식하고 자신의 건강을 위해 흡연과 음주와 같은 행위를 하지 않겠다고 다짐함.
장애인이해교육(2019.04.19., 2019.11.29.)을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
안전교육(2019.05.10., 2019.05.24., 2019.07.22.)을 통해 교통안전사고를 예방할 수 있는 수칙에 대한 인식을 일깨우고 실천하고자 하는 마음을 다지게 됨.
518 광주민주화운동 교육(2019.05.17.)을 통해 민주화 운동이 일어나게 된 배경을 이해하고, 독재에 맞서 싸우다 억울하게 죽어간 수많은 시민들을 추모하는 시간을 가짐.
자기주도진로체험활동(2019.06.19.-2019.06.21.)에서 계획 수립부터 진행과정까지 적극적으로 참여함.
성폭력예방교육(2019.06.28., 2019.10.25., 2019.12.20.)을 통해 이성교제 시 지켜야 할 기본수칙을 배우고 성희롱 및 성폭력의 예방방법과 성적자기결정권의 중요성을 인식하게 됨.
인권교육(2019.12.24.)에 참여하여 인권을 침해 받은 사람들에 대해 마음 아파하고 함께 해결해 나가려 하는 마음을 갖게 됨.
</v>
      </c>
      <c r="F18" s="30">
        <f>IF((활동항목선택!DT18+COUNT(#REF!))=0,"",(활동항목선택!DT18+COUNT(#REF!)))</f>
        <v>12</v>
      </c>
    </row>
    <row r="19" spans="2:6" ht="348" x14ac:dyDescent="0.3">
      <c r="B19" s="2">
        <f>활동항목선택!A19</f>
        <v>15</v>
      </c>
      <c r="C19" s="2" t="str">
        <f>활동항목선택!B17</f>
        <v>오서현</v>
      </c>
      <c r="D19" s="49" t="s">
        <v>262</v>
      </c>
      <c r="E19" s="18" t="str">
        <f>활동항목선택!DS19</f>
        <v xml:space="preserve">생명존중교육(2019.03.08., 2019.03.29., 2019.09.06., 2019.11.15.)을 통해 청소년들의 자살에 대한 심리적 상태를 이해하고 힘들어 하는 주변 친구들에게 따뜻한 배려와 도움이 절실히 필요함을 느꼈으며 생명의 소중함을 다시 한번 깨닫는 기회를 가지게 됨.
안전교육(2019.03.15., 2019.06.14., 2019.07.19., 2019.08.30., 2019.12.27., 2020.01.03., 2020.01.10.)을 통해 화재, 물놀이, 빙상 등 일상생활에서 일어날 수 있는 안전사고에 대한 예방법과 사고 시 대처방법을 확인하고 실천할 수 있게 됨.
학교폭력 예방교육(2019.03.15., 2019.05.31., 2019.10.18., 2019.12.13., 2020.01.03.)을 통해 학교폭력의 심각성을 알게 되었으며 자신의 인권이 소중한 것처럼 타인의 인권도 소중함을 깨닫고 실천하는 계기가 됨.
학급회의(2019.03.15, 2019.03.29., 2019.07.12.)를 통해 학급의 문제들을 해결하기위한 의사결정과정에 적극적으로 참여함.
다문화교육(2019.03.22., 2019.09.20.)을 통해 우리 나라와 다른 나라의 문화를 함께 나눔으로써 지구촌의 평화와 번영을 함께 누릴 수 있다는 사실을 새삼 깨달은 계기가 됨. 
흡연, 음주 등 약물 오남용 예방교육(2019.04.05., 2019.05.10, 2019.07.05., 2019.07.12., 2019.07.19., 2019.11.08., 2019.12.06., 2020.01.03.)을 통해 흡연과 음주 등 약물 오남용의 폐해를 인식하고 자신의 건강을 위해 흡연과 음주와 같은 행위를 하지 않겠다고 다짐함.
장애인이해교육(2019.04.19., 2019.11.29.)을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
안전교육(2019.05.10., 2019.05.24., 2019.07.22.)을 통해 교통안전사고를 예방할 수 있는 수칙에 대한 인식을 일깨우고 실천하고자 하는 마음을 다지게 됨.
518 광주민주화운동 교육(2019.05.17.)을 통해 민주화 운동이 일어나게 된 배경을 이해하고, 독재에 맞서 싸우다 억울하게 죽어간 수많은 시민들을 추모하는 시간을 가짐.
자기주도진로체험활동(2019.06.19.-2019.06.21.)에서 계획 수립부터 진행과정까지 적극적으로 참여함.
성폭력예방교육(2019.06.28., 2019.10.25., 2019.12.20.)을 통해 이성교제 시 지켜야 할 기본수칙을 배우고 성희롱 및 성폭력의 예방방법과 성적자기결정권의 중요성을 인식하게 됨.
인권교육(2019.12.24.)에 참여하여 인권을 침해 받은 사람들에 대해 마음 아파하고 함께 해결해 나가려 하는 마음을 갖게 됨.
</v>
      </c>
      <c r="F19" s="30">
        <f>IF((활동항목선택!DT19+COUNT(#REF!))=0,"",(활동항목선택!DT19+COUNT(#REF!)))</f>
        <v>12</v>
      </c>
    </row>
    <row r="20" spans="2:6" ht="348" x14ac:dyDescent="0.3">
      <c r="B20" s="2">
        <f>활동항목선택!A20</f>
        <v>16</v>
      </c>
      <c r="C20" s="2" t="str">
        <f>활동항목선택!B18</f>
        <v>윤재영</v>
      </c>
      <c r="D20" s="49" t="s">
        <v>266</v>
      </c>
      <c r="E20" s="18" t="str">
        <f>활동항목선택!DS20</f>
        <v xml:space="preserve">생명존중교육(2019.03.08., 2019.03.29., 2019.09.06., 2019.11.15.)을 통해 청소년들의 자살에 대한 심리적 상태를 이해하고 힘들어 하는 주변 친구들에게 따뜻한 배려와 도움이 절실히 필요함을 느꼈으며 생명의 소중함을 다시 한번 깨닫는 기회를 가지게 됨.
안전교육(2019.03.15., 2019.06.14., 2019.07.19., 2019.08.30., 2019.12.27., 2020.01.03., 2020.01.10.)을 통해 화재, 물놀이, 빙상 등 일상생활에서 일어날 수 있는 안전사고에 대한 예방법과 사고 시 대처방법을 확인하고 실천할 수 있게 됨.
학교폭력 예방교육(2019.03.15., 2019.05.31., 2019.10.18., 2019.12.13., 2020.01.03.)을 통해 학교폭력의 심각성을 알게 되었으며 자신의 인권이 소중한 것처럼 타인의 인권도 소중함을 깨닫고 실천하는 계기가 됨.
학급회의(2019.03.15, 2019.03.29., 2019.07.12.)를 통해 학급의 문제들을 해결하기위한 의사결정과정에 적극적으로 참여함.
다문화교육(2019.03.22., 2019.09.20.)을 통해 우리 나라와 다른 나라의 문화를 함께 나눔으로써 지구촌의 평화와 번영을 함께 누릴 수 있다는 사실을 새삼 깨달은 계기가 됨. 
흡연, 음주 등 약물 오남용 예방교육(2019.04.05., 2019.05.10, 2019.07.05., 2019.07.12., 2019.07.19., 2019.11.08., 2019.12.06., 2020.01.03.)을 통해 흡연과 음주 등 약물 오남용의 폐해를 인식하고 자신의 건강을 위해 흡연과 음주와 같은 행위를 하지 않겠다고 다짐함.
장애인이해교육(2019.04.19., 2019.11.29.)을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
안전교육(2019.05.10., 2019.05.24., 2019.07.22.)을 통해 교통안전사고를 예방할 수 있는 수칙에 대한 인식을 일깨우고 실천하고자 하는 마음을 다지게 됨.
518 광주민주화운동 교육(2019.05.17.)을 통해 민주화 운동이 일어나게 된 배경을 이해하고, 독재에 맞서 싸우다 억울하게 죽어간 수많은 시민들을 추모하는 시간을 가짐.
자기주도진로체험활동(2019.06.19.-2019.06.21.)에서 계획 수립부터 진행과정까지 적극적으로 참여함.
성폭력예방교육(2019.06.28., 2019.10.25., 2019.12.20.)을 통해 이성교제 시 지켜야 할 기본수칙을 배우고 성희롱 및 성폭력의 예방방법과 성적자기결정권의 중요성을 인식하게 됨.
인권교육(2019.12.24.)에 참여하여 인권을 침해 받은 사람들에 대해 마음 아파하고 함께 해결해 나가려 하는 마음을 갖게 됨.
</v>
      </c>
      <c r="F20" s="30">
        <f>IF((활동항목선택!DT20+COUNT(#REF!))=0,"",(활동항목선택!DT20+COUNT(#REF!)))</f>
        <v>12</v>
      </c>
    </row>
    <row r="21" spans="2:6" ht="360" x14ac:dyDescent="0.3">
      <c r="B21" s="2">
        <f>활동항목선택!A21</f>
        <v>17</v>
      </c>
      <c r="C21" s="2" t="str">
        <f>활동항목선택!B19</f>
        <v>이승민</v>
      </c>
      <c r="D21" s="49" t="s">
        <v>267</v>
      </c>
      <c r="E21" s="18" t="str">
        <f>활동항목선택!DS21</f>
        <v xml:space="preserve">학급 서기(2019.03.02.-2020.02.28.)로서 책임감을 가지고 맡은 임무를 성실하게 수행함.
생명존중교육(2019.03.08., 2019.03.29., 2019.09.06., 2019.11.15.)을 통해 청소년들의 자살에 대한 심리적 상태를 이해하고 힘들어 하는 주변 친구들에게 따뜻한 배려와 도움이 절실히 필요함을 느꼈으며 생명의 소중함을 다시 한번 깨닫는 기회를 가지게 됨.
안전교육(2019.03.15., 2019.06.14., 2019.07.19., 2019.08.30., 2019.12.27., 2020.01.03., 2020.01.10.)을 통해 화재, 물놀이, 빙상 등 일상생활에서 일어날 수 있는 안전사고에 대한 예방법과 사고 시 대처방법을 확인하고 실천할 수 있게 됨.
학교폭력 예방교육(2019.03.15., 2019.05.31., 2019.10.18., 2019.12.13., 2020.01.03.)을 통해 학교폭력의 심각성을 알게 되었으며 자신의 인권이 소중한 것처럼 타인의 인권도 소중함을 깨닫고 실천하는 계기가 됨.
학급회의(2019.03.15, 2019.03.29., 2019.07.12.)를 통해 학급의 문제들을 해결하기위한 의사결정과정에 적극적으로 참여함.
다문화교육(2019.03.22., 2019.09.20.)을 통해 우리 나라와 다른 나라의 문화를 함께 나눔으로써 지구촌의 평화와 번영을 함께 누릴 수 있다는 사실을 새삼 깨달은 계기가 됨. 
흡연, 음주 등 약물 오남용 예방교육(2019.04.05., 2019.05.10, 2019.07.05., 2019.07.12., 2019.07.19., 2019.11.08., 2019.12.06., 2020.01.03.)을 통해 흡연과 음주 등 약물 오남용의 폐해를 인식하고 자신의 건강을 위해 흡연과 음주와 같은 행위를 하지 않겠다고 다짐함.
장애인이해교육(2019.04.19., 2019.11.29.)을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
안전교육(2019.05.10., 2019.05.24., 2019.07.22.)을 통해 교통안전사고를 예방할 수 있는 수칙에 대한 인식을 일깨우고 실천하고자 하는 마음을 다지게 됨.
518 광주민주화운동 교육(2019.05.17.)을 통해 민주화 운동이 일어나게 된 배경을 이해하고, 독재에 맞서 싸우다 억울하게 죽어간 수많은 시민들을 추모하는 시간을 가짐.
자기주도진로체험활동(2019.06.19.-2019.06.21.)에서 계획 수립부터 진행과정까지 적극적으로 참여함.
성폭력예방교육(2019.06.28., 2019.10.25., 2019.12.20.)을 통해 이성교제 시 지켜야 할 기본수칙을 배우고 성희롱 및 성폭력의 예방방법과 성적자기결정권의 중요성을 인식하게 됨.
인권교육(2019.12.24.)에 참여하여 인권을 침해 받은 사람들에 대해 마음 아파하고 함께 해결해 나가려 하는 마음을 갖게 됨.
</v>
      </c>
      <c r="F21" s="30">
        <f>IF((활동항목선택!DT21+COUNT(#REF!))=0,"",(활동항목선택!DT21+COUNT(#REF!)))</f>
        <v>13</v>
      </c>
    </row>
    <row r="22" spans="2:6" ht="372" x14ac:dyDescent="0.3">
      <c r="B22" s="2">
        <f>활동항목선택!A22</f>
        <v>18</v>
      </c>
      <c r="C22" s="2" t="str">
        <f>활동항목선택!B20</f>
        <v>조도울</v>
      </c>
      <c r="D22" s="49" t="s">
        <v>264</v>
      </c>
      <c r="E22" s="18" t="str">
        <f>활동항목선택!DS22</f>
        <v xml:space="preserve">학급 부반장(2019.03.02.-2020.02.28.)으로 책임감과 봉사정신을 가지고 학급의 문제를 해결하고 학급 전체의 인화를 위해 노력함.
생명존중교육(2019.03.08., 2019.03.29., 2019.09.06., 2019.11.15.)을 통해 청소년들의 자살에 대한 심리적 상태를 이해하고 힘들어 하는 주변 친구들에게 따뜻한 배려와 도움이 절실히 필요함을 느꼈으며 생명의 소중함을 다시 한번 깨닫는 기회를 가지게 됨.
안전교육(2019.03.15., 2019.06.14., 2019.07.19., 2019.08.30., 2019.12.27., 2020.01.03., 2020.01.10.)을 통해 화재, 물놀이, 빙상 등 일상생활에서 일어날 수 있는 안전사고에 대한 예방법과 사고 시 대처방법을 확인하고 실천할 수 있게 됨.
학교폭력 예방교육(2019.03.15., 2019.05.31., 2019.10.18., 2019.12.13., 2020.01.03.)을 통해 학교폭력의 심각성을 알게 되었으며 자신의 인권이 소중한 것처럼 타인의 인권도 소중함을 깨닫고 실천하는 계기가 됨.
학급회의(2019.03.15, 2019.03.29., 2019.07.12.)를 통해 학급의 문제들을 해결하기위한 의사결정과정에 적극적으로 참여함.
다문화교육(2019.03.22., 2019.09.20.)을 통해 우리 나라와 다른 나라의 문화를 함께 나눔으로써 지구촌의 평화와 번영을 함께 누릴 수 있다는 사실을 새삼 깨달은 계기가 됨. 
흡연, 음주 등 약물 오남용 예방교육(2019.04.05., 2019.05.10, 2019.07.05., 2019.07.12., 2019.07.19., 2019.11.08., 2019.12.06., 2020.01.03.)을 통해 흡연과 음주 등 약물 오남용의 폐해를 인식하고 자신의 건강을 위해 흡연과 음주와 같은 행위를 하지 않겠다고 다짐함.
장애인이해교육(2019.04.19., 2019.11.29.)을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
안전교육(2019.05.10., 2019.05.24., 2019.07.22.)을 통해 교통안전사고를 예방할 수 있는 수칙에 대한 인식을 일깨우고 실천하고자 하는 마음을 다지게 됨.
518 광주민주화운동 교육(2019.05.17.)을 통해 민주화 운동이 일어나게 된 배경을 이해하고, 독재에 맞서 싸우다 억울하게 죽어간 수많은 시민들을 추모하는 시간을 가짐.
자기주도진로체험활동(2019.06.19.-2019.06.21.)에서 계획 수립부터 진행과정까지 적극적으로 참여함.
성폭력예방교육(2019.06.28., 2019.10.25., 2019.12.20.)을 통해 이성교제 시 지켜야 할 기본수칙을 배우고 성희롱 및 성폭력의 예방방법과 성적자기결정권의 중요성을 인식하게 됨.
인권교육(2019.12.24.)에 참여하여 인권을 침해 받은 사람들에 대해 마음 아파하고 함께 해결해 나가려 하는 마음을 갖게 됨.
</v>
      </c>
      <c r="F22" s="30">
        <f>IF((활동항목선택!DT22+COUNT(#REF!))=0,"",(활동항목선택!DT22+COUNT(#REF!)))</f>
        <v>13</v>
      </c>
    </row>
    <row r="23" spans="2:6" ht="348" x14ac:dyDescent="0.3">
      <c r="B23" s="2">
        <f>활동항목선택!A23</f>
        <v>19</v>
      </c>
      <c r="C23" s="2" t="str">
        <f>활동항목선택!B21</f>
        <v>차명준</v>
      </c>
      <c r="D23" s="49" t="s">
        <v>266</v>
      </c>
      <c r="E23" s="18" t="str">
        <f>활동항목선택!DS23</f>
        <v xml:space="preserve">생명존중교육(2019.03.08., 2019.03.29., 2019.09.06., 2019.11.15.)을 통해 청소년들의 자살에 대한 심리적 상태를 이해하고 힘들어 하는 주변 친구들에게 따뜻한 배려와 도움이 절실히 필요함을 느꼈으며 생명의 소중함을 다시 한번 깨닫는 기회를 가지게 됨.
안전교육(2019.03.15., 2019.06.14., 2019.07.19., 2019.08.30., 2019.12.27., 2020.01.03., 2020.01.10.)을 통해 화재, 물놀이, 빙상 등 일상생활에서 일어날 수 있는 안전사고에 대한 예방법과 사고 시 대처방법을 확인하고 실천할 수 있게 됨.
학교폭력 예방교육(2019.03.15., 2019.05.31., 2019.10.18., 2019.12.13., 2020.01.03.)을 통해 학교폭력의 심각성을 알게 되었으며 자신의 인권이 소중한 것처럼 타인의 인권도 소중함을 깨닫고 실천하는 계기가 됨.
학급회의(2019.03.15, 2019.03.29., 2019.07.12.)를 통해 학급의 문제들을 해결하기위한 의사결정과정에 적극적으로 참여함.
다문화교육(2019.03.22., 2019.09.20.)을 통해 우리 나라와 다른 나라의 문화를 함께 나눔으로써 지구촌의 평화와 번영을 함께 누릴 수 있다는 사실을 새삼 깨달은 계기가 됨. 
흡연, 음주 등 약물 오남용 예방교육(2019.04.05., 2019.05.10, 2019.07.05., 2019.07.12., 2019.07.19., 2019.11.08., 2019.12.06., 2020.01.03.)을 통해 흡연과 음주 등 약물 오남용의 폐해를 인식하고 자신의 건강을 위해 흡연과 음주와 같은 행위를 하지 않겠다고 다짐함.
장애인이해교육(2019.04.19., 2019.11.29.)을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
안전교육(2019.05.10., 2019.05.24., 2019.07.22.)을 통해 교통안전사고를 예방할 수 있는 수칙에 대한 인식을 일깨우고 실천하고자 하는 마음을 다지게 됨.
518 광주민주화운동 교육(2019.05.17.)을 통해 민주화 운동이 일어나게 된 배경을 이해하고, 독재에 맞서 싸우다 억울하게 죽어간 수많은 시민들을 추모하는 시간을 가짐.
자기주도진로체험활동(2019.06.19.-2019.06.21.)에서 계획 수립부터 진행과정까지 적극적으로 참여함.
성폭력예방교육(2019.06.28., 2019.10.25., 2019.12.20.)을 통해 이성교제 시 지켜야 할 기본수칙을 배우고 성희롱 및 성폭력의 예방방법과 성적자기결정권의 중요성을 인식하게 됨.
인권교육(2019.12.24.)에 참여하여 인권을 침해 받은 사람들에 대해 마음 아파하고 함께 해결해 나가려 하는 마음을 갖게 됨.
</v>
      </c>
      <c r="F23" s="30">
        <f>IF((활동항목선택!DT23+COUNT(#REF!))=0,"",(활동항목선택!DT23+COUNT(#REF!)))</f>
        <v>12</v>
      </c>
    </row>
    <row r="24" spans="2:6" ht="372" x14ac:dyDescent="0.3">
      <c r="B24" s="2">
        <f>활동항목선택!A24</f>
        <v>20</v>
      </c>
      <c r="C24" s="2" t="str">
        <f>활동항목선택!B22</f>
        <v>최가영</v>
      </c>
      <c r="D24" s="49" t="s">
        <v>268</v>
      </c>
      <c r="E24" s="18" t="str">
        <f>활동항목선택!DS24</f>
        <v xml:space="preserve">학급 반장(2019.03.02.-2020.02.28.)으로 리더십을 발휘하여 학급의 문제를 해결하고 학급 전체의 인화를 위해 노력함.
생명존중교육(2019.03.08., 2019.03.29., 2019.09.06., 2019.11.15.)을 통해 청소년들의 자살에 대한 심리적 상태를 이해하고 힘들어 하는 주변 친구들에게 따뜻한 배려와 도움이 절실히 필요함을 느꼈으며 생명의 소중함을 다시 한번 깨닫는 기회를 가지게 됨.
안전교육(2019.03.15., 2019.06.14., 2019.07.19., 2019.08.30., 2019.12.27., 2020.01.03., 2020.01.10.)을 통해 화재, 물놀이, 빙상 등 일상생활에서 일어날 수 있는 안전사고에 대한 예방법과 사고 시 대처방법을 확인하고 실천할 수 있게 됨.
학교폭력 예방교육(2019.03.15., 2019.05.31., 2019.10.18., 2019.12.13., 2020.01.03.)을 통해 학교폭력의 심각성을 알게 되었으며 자신의 인권이 소중한 것처럼 타인의 인권도 소중함을 깨닫고 실천하는 계기가 됨.
학급회의(2019.03.15, 2019.03.29., 2019.07.12.)를 통해 학급의 문제들을 해결하기위한 의사결정과정에 적극적으로 참여함.
다문화교육(2019.03.22., 2019.09.20.)을 통해 우리 나라와 다른 나라의 문화를 함께 나눔으로써 지구촌의 평화와 번영을 함께 누릴 수 있다는 사실을 새삼 깨달은 계기가 됨. 
흡연, 음주 등 약물 오남용 예방교육(2019.04.05., 2019.05.10, 2019.07.05., 2019.07.12., 2019.07.19., 2019.11.08., 2019.12.06., 2020.01.03.)을 통해 흡연과 음주 등 약물 오남용의 폐해를 인식하고 자신의 건강을 위해 흡연과 음주와 같은 행위를 하지 않겠다고 다짐함.
장애인이해교육(2019.04.19., 2019.11.29.)을 통해 장애인과 소통할 수 있는 방법을 이해하고 장애체험을 통해 장애인들의 불편한 현실을 간접적으로나마 실감하게 됨으로써 평소 자신이 가지고 있는 장애인에 대한 편견과 잘못된 인식을 개선하려는 의지를 가지게 됨.
안전교육(2019.05.10., 2019.05.24., 2019.07.22.)을 통해 교통안전사고를 예방할 수 있는 수칙에 대한 인식을 일깨우고 실천하고자 하는 마음을 다지게 됨.
518 광주민주화운동 교육(2019.05.17.)을 통해 민주화 운동이 일어나게 된 배경을 이해하고, 독재에 맞서 싸우다 억울하게 죽어간 수많은 시민들을 추모하는 시간을 가짐.
자기주도진로체험활동(2019.06.19.-2019.06.21.)에서 계획 수립부터 진행과정까지 적극적으로 참여함.
성폭력예방교육(2019.06.28., 2019.10.25., 2019.12.20.)을 통해 이성교제 시 지켜야 할 기본수칙을 배우고 성희롱 및 성폭력의 예방방법과 성적자기결정권의 중요성을 인식하게 됨.
인권교육(2019.12.24.)에 참여하여 인권을 침해 받은 사람들에 대해 마음 아파하고 함께 해결해 나가려 하는 마음을 갖게 됨.
</v>
      </c>
      <c r="F24" s="30">
        <f>IF((활동항목선택!DT24+COUNT(#REF!))=0,"",(활동항목선택!DT24+COUNT(#REF!)))</f>
        <v>13</v>
      </c>
    </row>
    <row r="25" spans="2:6" x14ac:dyDescent="0.3">
      <c r="B25" s="2">
        <f>활동항목선택!A25</f>
        <v>21</v>
      </c>
      <c r="C25" s="2">
        <f>활동항목선택!B25</f>
        <v>0</v>
      </c>
      <c r="D25" s="49"/>
      <c r="E25" s="18" t="str">
        <f>활동항목선택!DS25</f>
        <v/>
      </c>
      <c r="F25" s="30" t="str">
        <f>IF((활동항목선택!DT25+COUNT(#REF!))=0,"",(활동항목선택!DT25+COUNT(#REF!)))</f>
        <v/>
      </c>
    </row>
    <row r="26" spans="2:6" x14ac:dyDescent="0.3">
      <c r="B26" s="2">
        <f>활동항목선택!A26</f>
        <v>22</v>
      </c>
      <c r="C26" s="2">
        <f>활동항목선택!B26</f>
        <v>0</v>
      </c>
      <c r="D26" s="49"/>
      <c r="E26" s="18" t="str">
        <f>활동항목선택!DS26</f>
        <v/>
      </c>
      <c r="F26" s="30" t="str">
        <f>IF((활동항목선택!DT26+COUNT(#REF!))=0,"",(활동항목선택!DT26+COUNT(#REF!)))</f>
        <v/>
      </c>
    </row>
    <row r="27" spans="2:6" x14ac:dyDescent="0.3">
      <c r="B27" s="2">
        <f>활동항목선택!A27</f>
        <v>23</v>
      </c>
      <c r="C27" s="2">
        <f>활동항목선택!B27</f>
        <v>0</v>
      </c>
      <c r="D27" s="49"/>
      <c r="E27" s="18" t="str">
        <f>활동항목선택!DS27</f>
        <v/>
      </c>
      <c r="F27" s="30" t="str">
        <f>IF((활동항목선택!DT27+COUNT(#REF!))=0,"",(활동항목선택!DT27+COUNT(#REF!)))</f>
        <v/>
      </c>
    </row>
    <row r="28" spans="2:6" x14ac:dyDescent="0.3">
      <c r="B28" s="2">
        <f>활동항목선택!A28</f>
        <v>24</v>
      </c>
      <c r="C28" s="2">
        <f>활동항목선택!B28</f>
        <v>0</v>
      </c>
      <c r="D28" s="49"/>
      <c r="E28" s="18" t="str">
        <f>활동항목선택!DS28</f>
        <v/>
      </c>
      <c r="F28" s="30" t="str">
        <f>IF((활동항목선택!DT28+COUNT(#REF!))=0,"",(활동항목선택!DT28+COUNT(#REF!)))</f>
        <v/>
      </c>
    </row>
    <row r="29" spans="2:6" x14ac:dyDescent="0.3">
      <c r="B29" s="2">
        <f>활동항목선택!A29</f>
        <v>25</v>
      </c>
      <c r="C29" s="2">
        <f>활동항목선택!B29</f>
        <v>0</v>
      </c>
      <c r="D29" s="49"/>
      <c r="E29" s="18" t="str">
        <f>활동항목선택!DS29</f>
        <v/>
      </c>
      <c r="F29" s="30" t="str">
        <f>IF((활동항목선택!DT29+COUNT(#REF!))=0,"",(활동항목선택!DT29+COUNT(#REF!)))</f>
        <v/>
      </c>
    </row>
    <row r="30" spans="2:6" x14ac:dyDescent="0.3">
      <c r="B30" s="2">
        <f>활동항목선택!A30</f>
        <v>26</v>
      </c>
      <c r="C30" s="2">
        <f>활동항목선택!B30</f>
        <v>0</v>
      </c>
      <c r="D30" s="49"/>
      <c r="E30" s="18" t="str">
        <f>활동항목선택!DS30</f>
        <v/>
      </c>
      <c r="F30" s="30" t="str">
        <f>IF((활동항목선택!DT30+COUNT(#REF!))=0,"",(활동항목선택!DT30+COUNT(#REF!)))</f>
        <v/>
      </c>
    </row>
    <row r="31" spans="2:6" x14ac:dyDescent="0.3">
      <c r="B31" s="2">
        <f>활동항목선택!A31</f>
        <v>27</v>
      </c>
      <c r="C31" s="2">
        <f>활동항목선택!B31</f>
        <v>0</v>
      </c>
      <c r="D31" s="49"/>
      <c r="E31" s="18" t="str">
        <f>활동항목선택!DS31</f>
        <v/>
      </c>
      <c r="F31" s="30" t="str">
        <f>IF((활동항목선택!DT31+COUNT(#REF!))=0,"",(활동항목선택!DT31+COUNT(#REF!)))</f>
        <v/>
      </c>
    </row>
    <row r="32" spans="2:6" x14ac:dyDescent="0.3">
      <c r="B32" s="2">
        <f>활동항목선택!A32</f>
        <v>28</v>
      </c>
      <c r="C32" s="2">
        <f>활동항목선택!B32</f>
        <v>0</v>
      </c>
      <c r="D32" s="49"/>
      <c r="E32" s="18" t="str">
        <f>활동항목선택!DS32</f>
        <v/>
      </c>
      <c r="F32" s="30" t="str">
        <f>IF((활동항목선택!DT32+COUNT(#REF!))=0,"",(활동항목선택!DT32+COUNT(#REF!)))</f>
        <v/>
      </c>
    </row>
    <row r="33" spans="2:6" x14ac:dyDescent="0.3">
      <c r="B33" s="2">
        <f>활동항목선택!A33</f>
        <v>29</v>
      </c>
      <c r="C33" s="2">
        <f>활동항목선택!B33</f>
        <v>0</v>
      </c>
      <c r="D33" s="49"/>
      <c r="E33" s="18" t="str">
        <f>활동항목선택!DS33</f>
        <v/>
      </c>
      <c r="F33" s="30" t="str">
        <f>IF((활동항목선택!DT33+COUNT(#REF!))=0,"",(활동항목선택!DT33+COUNT(#REF!)))</f>
        <v/>
      </c>
    </row>
    <row r="34" spans="2:6" x14ac:dyDescent="0.3">
      <c r="B34" s="2">
        <f>활동항목선택!A34</f>
        <v>30</v>
      </c>
      <c r="C34" s="2">
        <f>활동항목선택!B34</f>
        <v>0</v>
      </c>
      <c r="D34" s="49"/>
      <c r="E34" s="18" t="str">
        <f>활동항목선택!DS34</f>
        <v/>
      </c>
      <c r="F34" s="30" t="str">
        <f>IF((활동항목선택!DT34+COUNT(#REF!))=0,"",(활동항목선택!DT34+COUNT(#REF!)))</f>
        <v/>
      </c>
    </row>
    <row r="35" spans="2:6" x14ac:dyDescent="0.3">
      <c r="B35" s="2">
        <f>활동항목선택!A35</f>
        <v>31</v>
      </c>
      <c r="C35" s="2">
        <f>활동항목선택!B35</f>
        <v>0</v>
      </c>
      <c r="D35" s="49"/>
      <c r="E35" s="18" t="str">
        <f>활동항목선택!DS35</f>
        <v/>
      </c>
      <c r="F35" s="30" t="str">
        <f>IF((활동항목선택!DT35+COUNT(#REF!))=0,"",(활동항목선택!DT35+COUNT(#REF!)))</f>
        <v/>
      </c>
    </row>
    <row r="36" spans="2:6" x14ac:dyDescent="0.3">
      <c r="B36" s="2">
        <f>활동항목선택!A36</f>
        <v>32</v>
      </c>
      <c r="C36" s="2">
        <f>활동항목선택!B36</f>
        <v>0</v>
      </c>
      <c r="D36" s="49"/>
      <c r="E36" s="18" t="str">
        <f>활동항목선택!DS36</f>
        <v/>
      </c>
      <c r="F36" s="30" t="str">
        <f>IF((활동항목선택!DT36+COUNT(#REF!))=0,"",(활동항목선택!DT36+COUNT(#REF!)))</f>
        <v/>
      </c>
    </row>
    <row r="37" spans="2:6" x14ac:dyDescent="0.3">
      <c r="B37" s="2">
        <f>활동항목선택!A37</f>
        <v>33</v>
      </c>
      <c r="C37" s="2">
        <f>활동항목선택!B37</f>
        <v>0</v>
      </c>
      <c r="D37" s="49"/>
      <c r="E37" s="18" t="str">
        <f>활동항목선택!DS37</f>
        <v/>
      </c>
      <c r="F37" s="30" t="str">
        <f>IF((활동항목선택!DT37+COUNT(#REF!))=0,"",(활동항목선택!DT37+COUNT(#REF!)))</f>
        <v/>
      </c>
    </row>
    <row r="38" spans="2:6" x14ac:dyDescent="0.3">
      <c r="B38" s="2">
        <f>활동항목선택!A38</f>
        <v>34</v>
      </c>
      <c r="C38" s="2">
        <f>활동항목선택!B38</f>
        <v>0</v>
      </c>
      <c r="D38" s="49"/>
      <c r="E38" s="18" t="str">
        <f>활동항목선택!DS38</f>
        <v/>
      </c>
      <c r="F38" s="30" t="str">
        <f>IF((활동항목선택!DT38+COUNT(#REF!))=0,"",(활동항목선택!DT38+COUNT(#REF!)))</f>
        <v/>
      </c>
    </row>
    <row r="39" spans="2:6" x14ac:dyDescent="0.3">
      <c r="B39" s="2">
        <f>활동항목선택!A39</f>
        <v>35</v>
      </c>
      <c r="C39" s="2">
        <f>활동항목선택!B39</f>
        <v>0</v>
      </c>
      <c r="D39" s="49"/>
      <c r="E39" s="18" t="str">
        <f>활동항목선택!DS39</f>
        <v/>
      </c>
      <c r="F39" s="30" t="str">
        <f>IF((활동항목선택!DT39+COUNT(#REF!))=0,"",(활동항목선택!DT39+COUNT(#REF!)))</f>
        <v/>
      </c>
    </row>
    <row r="40" spans="2:6" x14ac:dyDescent="0.3">
      <c r="B40" s="2">
        <f>활동항목선택!A40</f>
        <v>36</v>
      </c>
      <c r="C40" s="2">
        <f>활동항목선택!B40</f>
        <v>0</v>
      </c>
      <c r="D40" s="49"/>
      <c r="E40" s="18" t="str">
        <f>활동항목선택!DS40</f>
        <v/>
      </c>
      <c r="F40" s="30" t="str">
        <f>IF((활동항목선택!DT40+COUNT(#REF!))=0,"",(활동항목선택!DT40+COUNT(#REF!)))</f>
        <v/>
      </c>
    </row>
    <row r="41" spans="2:6" x14ac:dyDescent="0.3">
      <c r="B41" s="2">
        <f>활동항목선택!A41</f>
        <v>37</v>
      </c>
      <c r="C41" s="2">
        <f>활동항목선택!B41</f>
        <v>0</v>
      </c>
      <c r="D41" s="49"/>
      <c r="E41" s="18" t="str">
        <f>활동항목선택!DS41</f>
        <v/>
      </c>
      <c r="F41" s="30" t="str">
        <f>IF((활동항목선택!DT41+COUNT(#REF!))=0,"",(활동항목선택!DT41+COUNT(#REF!)))</f>
        <v/>
      </c>
    </row>
    <row r="42" spans="2:6" x14ac:dyDescent="0.3">
      <c r="B42" s="2">
        <f>활동항목선택!A42</f>
        <v>0</v>
      </c>
      <c r="C42" s="2">
        <f>활동항목선택!B42</f>
        <v>0</v>
      </c>
      <c r="D42" s="49"/>
      <c r="E42" s="18" t="str">
        <f>활동항목선택!DS42</f>
        <v/>
      </c>
      <c r="F42" s="30" t="str">
        <f>IF((활동항목선택!DT42+COUNT(#REF!))=0,"",(활동항목선택!DT42+COUNT(#REF!)))</f>
        <v/>
      </c>
    </row>
    <row r="43" spans="2:6" x14ac:dyDescent="0.3">
      <c r="B43" s="2">
        <f>활동항목선택!A43</f>
        <v>0</v>
      </c>
      <c r="C43" s="2">
        <f>활동항목선택!B43</f>
        <v>0</v>
      </c>
      <c r="D43" s="49"/>
      <c r="E43" s="18" t="str">
        <f>활동항목선택!DS43</f>
        <v/>
      </c>
      <c r="F43" s="30" t="str">
        <f>IF((활동항목선택!DT43+COUNT(#REF!))=0,"",(활동항목선택!DT43+COUNT(#REF!)))</f>
        <v/>
      </c>
    </row>
    <row r="44" spans="2:6" x14ac:dyDescent="0.3">
      <c r="B44" s="2">
        <f>활동항목선택!A44</f>
        <v>0</v>
      </c>
      <c r="C44" s="2">
        <f>활동항목선택!B44</f>
        <v>0</v>
      </c>
      <c r="D44" s="49"/>
      <c r="E44" s="18" t="str">
        <f>활동항목선택!DS44</f>
        <v/>
      </c>
      <c r="F44" s="30" t="str">
        <f>IF((활동항목선택!DT44+COUNT(#REF!))=0,"",(활동항목선택!DT44+COUNT(#REF!)))</f>
        <v/>
      </c>
    </row>
  </sheetData>
  <sheetProtection algorithmName="SHA-512" hashValue="25EVrFbJwexFAGcBOXrKyx+9TKwGiM9bUvQpHe1lsQlheSzBflpCUjPYI0ZUKA6RADzw4I/wW9GH9AoymFDnhw==" saltValue="h0++QfvHfpFmyo2Wnzw5zg==" spinCount="100000" sheet="1" objects="1" scenarios="1" selectLockedCells="1"/>
  <mergeCells count="3">
    <mergeCell ref="B1:F1"/>
    <mergeCell ref="B2:F2"/>
    <mergeCell ref="B3:F3"/>
  </mergeCells>
  <phoneticPr fontId="2" type="noConversion"/>
  <printOptions horizontalCentered="1"/>
  <pageMargins left="0.31496062992125984" right="0.31496062992125984" top="0.35433070866141736" bottom="0.35433070866141736" header="0.31496062992125984" footer="0.31496062992125984"/>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3</vt:i4>
      </vt:variant>
      <vt:variant>
        <vt:lpstr>이름이 지정된 범위</vt:lpstr>
      </vt:variant>
      <vt:variant>
        <vt:i4>3</vt:i4>
      </vt:variant>
    </vt:vector>
  </HeadingPairs>
  <TitlesOfParts>
    <vt:vector size="6" baseType="lpstr">
      <vt:lpstr>활동내용입력</vt:lpstr>
      <vt:lpstr>활동항목선택</vt:lpstr>
      <vt:lpstr>자율활동특기사항</vt:lpstr>
      <vt:lpstr>자율활동특기사항!Print_Area</vt:lpstr>
      <vt:lpstr>활동내용입력!Print_Area</vt:lpstr>
      <vt:lpstr>활동항목선택!Print_Area</vt:lpstr>
    </vt:vector>
  </TitlesOfParts>
  <Company>Microsoft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Registered User</dc:creator>
  <cp:lastModifiedBy>dongyoun lee</cp:lastModifiedBy>
  <cp:lastPrinted>2015-12-19T09:54:07Z</cp:lastPrinted>
  <dcterms:created xsi:type="dcterms:W3CDTF">2014-01-02T02:34:46Z</dcterms:created>
  <dcterms:modified xsi:type="dcterms:W3CDTF">2019-12-26T07:18:20Z</dcterms:modified>
</cp:coreProperties>
</file>