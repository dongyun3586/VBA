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oodl\Google 드라이브\01학교업무\01_담임업무\학생생활기록부(생기부)\생기부입력 프로그램\"/>
    </mc:Choice>
  </mc:AlternateContent>
  <bookViews>
    <workbookView xWindow="60" yWindow="1125" windowWidth="20730" windowHeight="11565" tabRatio="908" activeTab="2"/>
  </bookViews>
  <sheets>
    <sheet name="활동내용입력" sheetId="1" r:id="rId1"/>
    <sheet name="활동항목선택" sheetId="8" r:id="rId2"/>
    <sheet name="진로활동특기사항" sheetId="11" r:id="rId3"/>
  </sheets>
  <definedNames>
    <definedName name="_xlnm._FilterDatabase" localSheetId="0" hidden="1">활동내용입력!$C$3:$F$27</definedName>
    <definedName name="_xlnm.Criteria" localSheetId="0">활동내용입력!$C$4:$C$27</definedName>
    <definedName name="_xlnm.Print_Area" localSheetId="2">진로활동특기사항!$B$4:$D$44</definedName>
    <definedName name="_xlnm.Print_Area" localSheetId="0">활동내용입력!$B$2:$H$33</definedName>
    <definedName name="_xlnm.Print_Area" localSheetId="1">활동항목선택!$A$1:$AF$44</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6" i="11" l="1"/>
  <c r="C6" i="11"/>
  <c r="B7" i="11"/>
  <c r="C7" i="11"/>
  <c r="B8" i="11"/>
  <c r="C8" i="11"/>
  <c r="B9" i="11"/>
  <c r="C9" i="11"/>
  <c r="B10" i="11"/>
  <c r="C10" i="11"/>
  <c r="B11" i="11"/>
  <c r="C11" i="11"/>
  <c r="B12" i="11"/>
  <c r="C12" i="11"/>
  <c r="B13" i="11"/>
  <c r="C13" i="11"/>
  <c r="B14" i="11"/>
  <c r="C14" i="11"/>
  <c r="B15" i="11"/>
  <c r="C15" i="11"/>
  <c r="B16" i="11"/>
  <c r="C16" i="11"/>
  <c r="B17" i="11"/>
  <c r="C17" i="11"/>
  <c r="B18" i="11"/>
  <c r="C18" i="11"/>
  <c r="B19" i="11"/>
  <c r="C19" i="11"/>
  <c r="B20" i="11"/>
  <c r="C20" i="11"/>
  <c r="B21" i="11"/>
  <c r="C21" i="11"/>
  <c r="B22" i="11"/>
  <c r="C22" i="11"/>
  <c r="B23" i="11"/>
  <c r="C23" i="11"/>
  <c r="B24" i="11"/>
  <c r="C24" i="11"/>
  <c r="B25" i="11"/>
  <c r="C25" i="11"/>
  <c r="B26" i="11"/>
  <c r="C26" i="11"/>
  <c r="B27" i="11"/>
  <c r="C27" i="11"/>
  <c r="B28" i="11"/>
  <c r="C28" i="11"/>
  <c r="B29" i="11"/>
  <c r="C29" i="11"/>
  <c r="B30" i="11"/>
  <c r="C30" i="11"/>
  <c r="B31" i="11"/>
  <c r="C31" i="11"/>
  <c r="B32" i="11"/>
  <c r="C32" i="11"/>
  <c r="B33" i="11"/>
  <c r="C33" i="11"/>
  <c r="B34" i="11"/>
  <c r="C34" i="11"/>
  <c r="B35" i="11"/>
  <c r="C35" i="11"/>
  <c r="B36" i="11"/>
  <c r="C36" i="11"/>
  <c r="B37" i="11"/>
  <c r="C37" i="11"/>
  <c r="B38" i="11"/>
  <c r="C38" i="11"/>
  <c r="B39" i="11"/>
  <c r="C39" i="11"/>
  <c r="B40" i="11"/>
  <c r="C40" i="11"/>
  <c r="B41" i="11"/>
  <c r="C41" i="11"/>
  <c r="B42" i="11"/>
  <c r="C42" i="11"/>
  <c r="B43" i="11"/>
  <c r="C43" i="11"/>
  <c r="B44" i="11"/>
  <c r="C44" i="11"/>
  <c r="C5" i="11"/>
  <c r="B5" i="11"/>
  <c r="AG6" i="8" l="1"/>
  <c r="AH6" i="8"/>
  <c r="AI6" i="8"/>
  <c r="AJ6" i="8"/>
  <c r="AK6" i="8"/>
  <c r="AL6" i="8"/>
  <c r="AM6" i="8"/>
  <c r="AN6" i="8"/>
  <c r="AO6" i="8"/>
  <c r="AP6" i="8"/>
  <c r="AQ6" i="8"/>
  <c r="AR6" i="8"/>
  <c r="AS6" i="8"/>
  <c r="AT6" i="8"/>
  <c r="AU6" i="8"/>
  <c r="AV6" i="8"/>
  <c r="AW6" i="8"/>
  <c r="AX6" i="8"/>
  <c r="AY6" i="8"/>
  <c r="AZ6" i="8"/>
  <c r="BA6" i="8"/>
  <c r="BB6" i="8"/>
  <c r="BC6" i="8"/>
  <c r="BD6" i="8"/>
  <c r="BE6" i="8"/>
  <c r="BF6" i="8"/>
  <c r="BG6" i="8"/>
  <c r="BH6" i="8"/>
  <c r="BI6" i="8"/>
  <c r="BJ6" i="8"/>
  <c r="AG7" i="8"/>
  <c r="AH7" i="8"/>
  <c r="AI7" i="8"/>
  <c r="AJ7" i="8"/>
  <c r="AK7" i="8"/>
  <c r="AL7" i="8"/>
  <c r="AM7" i="8"/>
  <c r="AN7" i="8"/>
  <c r="AO7" i="8"/>
  <c r="AP7" i="8"/>
  <c r="AQ7" i="8"/>
  <c r="AR7" i="8"/>
  <c r="AS7" i="8"/>
  <c r="AT7" i="8"/>
  <c r="AU7" i="8"/>
  <c r="AV7" i="8"/>
  <c r="AW7" i="8"/>
  <c r="AX7" i="8"/>
  <c r="AY7" i="8"/>
  <c r="AZ7" i="8"/>
  <c r="BA7" i="8"/>
  <c r="BB7" i="8"/>
  <c r="BC7" i="8"/>
  <c r="BD7" i="8"/>
  <c r="BE7" i="8"/>
  <c r="BF7" i="8"/>
  <c r="BG7" i="8"/>
  <c r="BH7" i="8"/>
  <c r="BI7" i="8"/>
  <c r="BJ7" i="8"/>
  <c r="AG8" i="8"/>
  <c r="AH8" i="8"/>
  <c r="AI8" i="8"/>
  <c r="AJ8" i="8"/>
  <c r="AK8" i="8"/>
  <c r="AL8" i="8"/>
  <c r="AM8" i="8"/>
  <c r="AN8" i="8"/>
  <c r="AO8" i="8"/>
  <c r="AP8" i="8"/>
  <c r="AQ8" i="8"/>
  <c r="AR8" i="8"/>
  <c r="AS8" i="8"/>
  <c r="AT8" i="8"/>
  <c r="AU8" i="8"/>
  <c r="AV8" i="8"/>
  <c r="AW8" i="8"/>
  <c r="AX8" i="8"/>
  <c r="AY8" i="8"/>
  <c r="AZ8" i="8"/>
  <c r="BA8" i="8"/>
  <c r="BB8" i="8"/>
  <c r="BC8" i="8"/>
  <c r="BD8" i="8"/>
  <c r="BE8" i="8"/>
  <c r="BF8" i="8"/>
  <c r="BG8" i="8"/>
  <c r="BH8" i="8"/>
  <c r="BI8" i="8"/>
  <c r="BJ8"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AG10" i="8"/>
  <c r="AH10" i="8"/>
  <c r="AI10" i="8"/>
  <c r="AJ10" i="8"/>
  <c r="AK10" i="8"/>
  <c r="AL10" i="8"/>
  <c r="AM10" i="8"/>
  <c r="AN10" i="8"/>
  <c r="AO10" i="8"/>
  <c r="AP10" i="8"/>
  <c r="AQ10" i="8"/>
  <c r="AR10" i="8"/>
  <c r="AS10" i="8"/>
  <c r="AT10" i="8"/>
  <c r="AU10" i="8"/>
  <c r="AV10" i="8"/>
  <c r="AW10" i="8"/>
  <c r="AX10" i="8"/>
  <c r="AY10" i="8"/>
  <c r="AZ10" i="8"/>
  <c r="BA10" i="8"/>
  <c r="BB10" i="8"/>
  <c r="BC10" i="8"/>
  <c r="BD10" i="8"/>
  <c r="BE10" i="8"/>
  <c r="BF10" i="8"/>
  <c r="BG10" i="8"/>
  <c r="BH10" i="8"/>
  <c r="BI10" i="8"/>
  <c r="BJ10" i="8"/>
  <c r="AG11" i="8"/>
  <c r="AH11" i="8"/>
  <c r="AI11" i="8"/>
  <c r="AJ11" i="8"/>
  <c r="AK11" i="8"/>
  <c r="AL11" i="8"/>
  <c r="AM11" i="8"/>
  <c r="AN11" i="8"/>
  <c r="AO11" i="8"/>
  <c r="AP11" i="8"/>
  <c r="AQ11" i="8"/>
  <c r="AR11" i="8"/>
  <c r="AS11" i="8"/>
  <c r="AT11" i="8"/>
  <c r="AU11" i="8"/>
  <c r="AV11" i="8"/>
  <c r="AW11" i="8"/>
  <c r="AX11" i="8"/>
  <c r="AY11" i="8"/>
  <c r="AZ11" i="8"/>
  <c r="BA11" i="8"/>
  <c r="BB11" i="8"/>
  <c r="BC11" i="8"/>
  <c r="BD11" i="8"/>
  <c r="BE11" i="8"/>
  <c r="BF11" i="8"/>
  <c r="BG11" i="8"/>
  <c r="BH11" i="8"/>
  <c r="BI11" i="8"/>
  <c r="BJ11" i="8"/>
  <c r="AG12" i="8"/>
  <c r="AH12" i="8"/>
  <c r="AI12" i="8"/>
  <c r="AJ12" i="8"/>
  <c r="AK12" i="8"/>
  <c r="AL12" i="8"/>
  <c r="AM12" i="8"/>
  <c r="AN12" i="8"/>
  <c r="AO12" i="8"/>
  <c r="AP12" i="8"/>
  <c r="AQ12" i="8"/>
  <c r="AR12" i="8"/>
  <c r="AS12" i="8"/>
  <c r="AT12" i="8"/>
  <c r="AU12" i="8"/>
  <c r="AV12" i="8"/>
  <c r="AW12" i="8"/>
  <c r="AX12" i="8"/>
  <c r="AY12" i="8"/>
  <c r="AZ12" i="8"/>
  <c r="BA12" i="8"/>
  <c r="BB12" i="8"/>
  <c r="BC12" i="8"/>
  <c r="BD12" i="8"/>
  <c r="BE12" i="8"/>
  <c r="BF12" i="8"/>
  <c r="BG12" i="8"/>
  <c r="BH12" i="8"/>
  <c r="BI12" i="8"/>
  <c r="BJ12" i="8"/>
  <c r="AG13" i="8"/>
  <c r="AH13" i="8"/>
  <c r="AI13" i="8"/>
  <c r="AJ13" i="8"/>
  <c r="AK13" i="8"/>
  <c r="AL13" i="8"/>
  <c r="AM13" i="8"/>
  <c r="AN13" i="8"/>
  <c r="AO13" i="8"/>
  <c r="AP13" i="8"/>
  <c r="AQ13" i="8"/>
  <c r="AR13" i="8"/>
  <c r="AS13" i="8"/>
  <c r="AT13" i="8"/>
  <c r="AU13" i="8"/>
  <c r="AV13" i="8"/>
  <c r="AW13" i="8"/>
  <c r="AX13" i="8"/>
  <c r="AY13" i="8"/>
  <c r="AZ13" i="8"/>
  <c r="BA13" i="8"/>
  <c r="BB13" i="8"/>
  <c r="BC13" i="8"/>
  <c r="BD13" i="8"/>
  <c r="BE13" i="8"/>
  <c r="BF13" i="8"/>
  <c r="BG13" i="8"/>
  <c r="BH13" i="8"/>
  <c r="BI13" i="8"/>
  <c r="BJ13" i="8"/>
  <c r="AG14" i="8"/>
  <c r="AH14" i="8"/>
  <c r="AI14" i="8"/>
  <c r="AJ14" i="8"/>
  <c r="AK14" i="8"/>
  <c r="AL14" i="8"/>
  <c r="AM14" i="8"/>
  <c r="AN14" i="8"/>
  <c r="AO14" i="8"/>
  <c r="AP14" i="8"/>
  <c r="AQ14" i="8"/>
  <c r="AR14" i="8"/>
  <c r="AS14" i="8"/>
  <c r="AT14" i="8"/>
  <c r="AU14" i="8"/>
  <c r="AV14" i="8"/>
  <c r="AW14" i="8"/>
  <c r="AX14" i="8"/>
  <c r="AY14" i="8"/>
  <c r="AZ14" i="8"/>
  <c r="BA14" i="8"/>
  <c r="BB14" i="8"/>
  <c r="BC14" i="8"/>
  <c r="BD14" i="8"/>
  <c r="BE14" i="8"/>
  <c r="BF14" i="8"/>
  <c r="BG14" i="8"/>
  <c r="BH14" i="8"/>
  <c r="BI14" i="8"/>
  <c r="BJ14" i="8"/>
  <c r="AG15" i="8"/>
  <c r="AH15" i="8"/>
  <c r="AI15" i="8"/>
  <c r="AJ15" i="8"/>
  <c r="AK15" i="8"/>
  <c r="AL15" i="8"/>
  <c r="AM15" i="8"/>
  <c r="AN15" i="8"/>
  <c r="AO15" i="8"/>
  <c r="AP15" i="8"/>
  <c r="AQ15" i="8"/>
  <c r="AR15" i="8"/>
  <c r="AS15" i="8"/>
  <c r="AT15" i="8"/>
  <c r="AU15" i="8"/>
  <c r="AV15" i="8"/>
  <c r="AW15" i="8"/>
  <c r="AX15" i="8"/>
  <c r="AY15" i="8"/>
  <c r="AZ15" i="8"/>
  <c r="BA15" i="8"/>
  <c r="BB15" i="8"/>
  <c r="BC15" i="8"/>
  <c r="BD15" i="8"/>
  <c r="BE15" i="8"/>
  <c r="BF15" i="8"/>
  <c r="BG15" i="8"/>
  <c r="BH15" i="8"/>
  <c r="BI15" i="8"/>
  <c r="BJ15" i="8"/>
  <c r="AG16" i="8"/>
  <c r="AH16" i="8"/>
  <c r="AI16" i="8"/>
  <c r="AJ16" i="8"/>
  <c r="AK16" i="8"/>
  <c r="AL16" i="8"/>
  <c r="AM16" i="8"/>
  <c r="AN16" i="8"/>
  <c r="AO16" i="8"/>
  <c r="AP16" i="8"/>
  <c r="AQ16" i="8"/>
  <c r="AR16" i="8"/>
  <c r="AS16" i="8"/>
  <c r="AT16" i="8"/>
  <c r="AU16" i="8"/>
  <c r="AV16" i="8"/>
  <c r="AW16" i="8"/>
  <c r="AX16" i="8"/>
  <c r="AY16" i="8"/>
  <c r="AZ16" i="8"/>
  <c r="BA16" i="8"/>
  <c r="BB16" i="8"/>
  <c r="BC16" i="8"/>
  <c r="BD16" i="8"/>
  <c r="BE16" i="8"/>
  <c r="BF16" i="8"/>
  <c r="BG16" i="8"/>
  <c r="BH16" i="8"/>
  <c r="BI16" i="8"/>
  <c r="BJ16" i="8"/>
  <c r="AG17" i="8"/>
  <c r="AH17" i="8"/>
  <c r="AI17" i="8"/>
  <c r="AJ17" i="8"/>
  <c r="AK17" i="8"/>
  <c r="AL17" i="8"/>
  <c r="AM17" i="8"/>
  <c r="AN17" i="8"/>
  <c r="AO17" i="8"/>
  <c r="AP17" i="8"/>
  <c r="AQ17" i="8"/>
  <c r="AR17" i="8"/>
  <c r="AS17" i="8"/>
  <c r="AT17" i="8"/>
  <c r="AU17" i="8"/>
  <c r="AV17" i="8"/>
  <c r="AW17" i="8"/>
  <c r="AX17" i="8"/>
  <c r="AY17" i="8"/>
  <c r="AZ17" i="8"/>
  <c r="BA17" i="8"/>
  <c r="BB17" i="8"/>
  <c r="BC17" i="8"/>
  <c r="BD17" i="8"/>
  <c r="BE17" i="8"/>
  <c r="BF17" i="8"/>
  <c r="BG17" i="8"/>
  <c r="BH17" i="8"/>
  <c r="BI17" i="8"/>
  <c r="BJ17" i="8"/>
  <c r="AG18" i="8"/>
  <c r="AH18" i="8"/>
  <c r="AI18" i="8"/>
  <c r="AJ18" i="8"/>
  <c r="AK18" i="8"/>
  <c r="AL18" i="8"/>
  <c r="AM18" i="8"/>
  <c r="AN18" i="8"/>
  <c r="AO18" i="8"/>
  <c r="AP18" i="8"/>
  <c r="AQ18" i="8"/>
  <c r="AR18" i="8"/>
  <c r="AS18" i="8"/>
  <c r="AT18" i="8"/>
  <c r="AU18" i="8"/>
  <c r="AV18" i="8"/>
  <c r="AW18" i="8"/>
  <c r="AX18" i="8"/>
  <c r="AY18" i="8"/>
  <c r="AZ18" i="8"/>
  <c r="BA18" i="8"/>
  <c r="BB18" i="8"/>
  <c r="BC18" i="8"/>
  <c r="BD18" i="8"/>
  <c r="BE18" i="8"/>
  <c r="BF18" i="8"/>
  <c r="BG18" i="8"/>
  <c r="BH18" i="8"/>
  <c r="BI18" i="8"/>
  <c r="BJ18" i="8"/>
  <c r="AG19" i="8"/>
  <c r="AH19" i="8"/>
  <c r="AI19" i="8"/>
  <c r="AJ19" i="8"/>
  <c r="AK19" i="8"/>
  <c r="AL19" i="8"/>
  <c r="AM19" i="8"/>
  <c r="AN19" i="8"/>
  <c r="AO19" i="8"/>
  <c r="AP19" i="8"/>
  <c r="AQ19" i="8"/>
  <c r="AR19" i="8"/>
  <c r="AS19" i="8"/>
  <c r="AT19" i="8"/>
  <c r="AU19" i="8"/>
  <c r="AV19" i="8"/>
  <c r="AW19" i="8"/>
  <c r="AX19" i="8"/>
  <c r="AY19" i="8"/>
  <c r="AZ19" i="8"/>
  <c r="BA19" i="8"/>
  <c r="BB19" i="8"/>
  <c r="BC19" i="8"/>
  <c r="BD19" i="8"/>
  <c r="BE19" i="8"/>
  <c r="BF19" i="8"/>
  <c r="BG19" i="8"/>
  <c r="BH19" i="8"/>
  <c r="BI19" i="8"/>
  <c r="BJ19" i="8"/>
  <c r="AG20" i="8"/>
  <c r="AH20" i="8"/>
  <c r="AI20" i="8"/>
  <c r="AJ20" i="8"/>
  <c r="AK20" i="8"/>
  <c r="AL20" i="8"/>
  <c r="AM20" i="8"/>
  <c r="AN20" i="8"/>
  <c r="AO20" i="8"/>
  <c r="AP20" i="8"/>
  <c r="AQ20" i="8"/>
  <c r="AR20" i="8"/>
  <c r="AS20" i="8"/>
  <c r="AT20" i="8"/>
  <c r="AU20" i="8"/>
  <c r="AV20" i="8"/>
  <c r="AW20" i="8"/>
  <c r="AX20" i="8"/>
  <c r="AY20" i="8"/>
  <c r="AZ20" i="8"/>
  <c r="BA20" i="8"/>
  <c r="BB20" i="8"/>
  <c r="BC20" i="8"/>
  <c r="BD20" i="8"/>
  <c r="BE20" i="8"/>
  <c r="BF20" i="8"/>
  <c r="BG20" i="8"/>
  <c r="BH20" i="8"/>
  <c r="BI20" i="8"/>
  <c r="BJ20" i="8"/>
  <c r="AG21" i="8"/>
  <c r="AH21" i="8"/>
  <c r="AI21" i="8"/>
  <c r="AJ21" i="8"/>
  <c r="AK21" i="8"/>
  <c r="AL21" i="8"/>
  <c r="AM21" i="8"/>
  <c r="AN21" i="8"/>
  <c r="AO21" i="8"/>
  <c r="AP21" i="8"/>
  <c r="AQ21" i="8"/>
  <c r="AR21" i="8"/>
  <c r="AS21" i="8"/>
  <c r="AT21" i="8"/>
  <c r="AU21" i="8"/>
  <c r="AV21" i="8"/>
  <c r="AW21" i="8"/>
  <c r="AX21" i="8"/>
  <c r="AY21" i="8"/>
  <c r="AZ21" i="8"/>
  <c r="BA21" i="8"/>
  <c r="BB21" i="8"/>
  <c r="BC21" i="8"/>
  <c r="BD21" i="8"/>
  <c r="BE21" i="8"/>
  <c r="BF21" i="8"/>
  <c r="BG21" i="8"/>
  <c r="BH21" i="8"/>
  <c r="BI21" i="8"/>
  <c r="BJ21" i="8"/>
  <c r="AG22" i="8"/>
  <c r="AH22" i="8"/>
  <c r="AI22" i="8"/>
  <c r="AJ22" i="8"/>
  <c r="AK22" i="8"/>
  <c r="AL22" i="8"/>
  <c r="AM22" i="8"/>
  <c r="AN22" i="8"/>
  <c r="AO22" i="8"/>
  <c r="AP22" i="8"/>
  <c r="AQ22" i="8"/>
  <c r="AR22" i="8"/>
  <c r="AS22" i="8"/>
  <c r="AT22" i="8"/>
  <c r="AU22" i="8"/>
  <c r="AV22" i="8"/>
  <c r="AW22" i="8"/>
  <c r="AX22" i="8"/>
  <c r="AY22" i="8"/>
  <c r="AZ22" i="8"/>
  <c r="BA22" i="8"/>
  <c r="BB22" i="8"/>
  <c r="BC22" i="8"/>
  <c r="BD22" i="8"/>
  <c r="BE22" i="8"/>
  <c r="BF22" i="8"/>
  <c r="BG22" i="8"/>
  <c r="BH22" i="8"/>
  <c r="BI22" i="8"/>
  <c r="BJ22" i="8"/>
  <c r="AG23" i="8"/>
  <c r="AH23" i="8"/>
  <c r="AI23" i="8"/>
  <c r="AJ23" i="8"/>
  <c r="AK23" i="8"/>
  <c r="AL23" i="8"/>
  <c r="AM23" i="8"/>
  <c r="AN23" i="8"/>
  <c r="AO23" i="8"/>
  <c r="AP23" i="8"/>
  <c r="AQ23" i="8"/>
  <c r="AR23" i="8"/>
  <c r="AS23" i="8"/>
  <c r="AT23" i="8"/>
  <c r="AU23" i="8"/>
  <c r="AV23" i="8"/>
  <c r="AW23" i="8"/>
  <c r="AX23" i="8"/>
  <c r="AY23" i="8"/>
  <c r="AZ23" i="8"/>
  <c r="BA23" i="8"/>
  <c r="BB23" i="8"/>
  <c r="BC23" i="8"/>
  <c r="BD23" i="8"/>
  <c r="BE23" i="8"/>
  <c r="BF23" i="8"/>
  <c r="BG23" i="8"/>
  <c r="BH23" i="8"/>
  <c r="BI23" i="8"/>
  <c r="BJ23" i="8"/>
  <c r="AG24" i="8"/>
  <c r="AH24" i="8"/>
  <c r="AI24" i="8"/>
  <c r="AJ24" i="8"/>
  <c r="AK24" i="8"/>
  <c r="AL24" i="8"/>
  <c r="AM24" i="8"/>
  <c r="AN24" i="8"/>
  <c r="AO24" i="8"/>
  <c r="AP24" i="8"/>
  <c r="AQ24" i="8"/>
  <c r="AR24" i="8"/>
  <c r="AS24" i="8"/>
  <c r="AT24" i="8"/>
  <c r="AU24" i="8"/>
  <c r="AV24" i="8"/>
  <c r="AW24" i="8"/>
  <c r="AX24" i="8"/>
  <c r="AY24" i="8"/>
  <c r="AZ24" i="8"/>
  <c r="BA24" i="8"/>
  <c r="BB24" i="8"/>
  <c r="BC24" i="8"/>
  <c r="BD24" i="8"/>
  <c r="BE24" i="8"/>
  <c r="BF24" i="8"/>
  <c r="BG24" i="8"/>
  <c r="BH24" i="8"/>
  <c r="BI24" i="8"/>
  <c r="BJ24" i="8"/>
  <c r="AG25" i="8"/>
  <c r="AH25" i="8"/>
  <c r="AI25" i="8"/>
  <c r="AJ25" i="8"/>
  <c r="AK25" i="8"/>
  <c r="AL25" i="8"/>
  <c r="AM25" i="8"/>
  <c r="AN25" i="8"/>
  <c r="AO25" i="8"/>
  <c r="AP25" i="8"/>
  <c r="AQ25" i="8"/>
  <c r="AR25" i="8"/>
  <c r="AS25" i="8"/>
  <c r="AT25" i="8"/>
  <c r="AU25" i="8"/>
  <c r="AV25" i="8"/>
  <c r="AW25" i="8"/>
  <c r="AX25" i="8"/>
  <c r="AY25" i="8"/>
  <c r="AZ25" i="8"/>
  <c r="BA25" i="8"/>
  <c r="BB25" i="8"/>
  <c r="BC25" i="8"/>
  <c r="BD25" i="8"/>
  <c r="BE25" i="8"/>
  <c r="BF25" i="8"/>
  <c r="BG25" i="8"/>
  <c r="BH25" i="8"/>
  <c r="BI25" i="8"/>
  <c r="BJ25" i="8"/>
  <c r="AG26" i="8"/>
  <c r="AH26" i="8"/>
  <c r="AI26" i="8"/>
  <c r="AJ26" i="8"/>
  <c r="AK26" i="8"/>
  <c r="AL26" i="8"/>
  <c r="AM26" i="8"/>
  <c r="AN26" i="8"/>
  <c r="AO26" i="8"/>
  <c r="AP26" i="8"/>
  <c r="AQ26" i="8"/>
  <c r="AR26" i="8"/>
  <c r="AS26" i="8"/>
  <c r="AT26" i="8"/>
  <c r="AU26" i="8"/>
  <c r="AV26" i="8"/>
  <c r="AW26" i="8"/>
  <c r="AX26" i="8"/>
  <c r="AY26" i="8"/>
  <c r="AZ26" i="8"/>
  <c r="BA26" i="8"/>
  <c r="BB26" i="8"/>
  <c r="BC26" i="8"/>
  <c r="BD26" i="8"/>
  <c r="BE26" i="8"/>
  <c r="BF26" i="8"/>
  <c r="BG26" i="8"/>
  <c r="BH26" i="8"/>
  <c r="BI26" i="8"/>
  <c r="BJ26" i="8"/>
  <c r="AG27" i="8"/>
  <c r="AH27" i="8"/>
  <c r="AI27" i="8"/>
  <c r="AJ27" i="8"/>
  <c r="AK27" i="8"/>
  <c r="AL27" i="8"/>
  <c r="AM27" i="8"/>
  <c r="AN27" i="8"/>
  <c r="AO27" i="8"/>
  <c r="AP27" i="8"/>
  <c r="AQ27" i="8"/>
  <c r="AR27" i="8"/>
  <c r="AS27" i="8"/>
  <c r="AT27" i="8"/>
  <c r="AU27" i="8"/>
  <c r="AV27" i="8"/>
  <c r="AW27" i="8"/>
  <c r="AX27" i="8"/>
  <c r="AY27" i="8"/>
  <c r="AZ27" i="8"/>
  <c r="BA27" i="8"/>
  <c r="BB27" i="8"/>
  <c r="BC27" i="8"/>
  <c r="BD27" i="8"/>
  <c r="BE27" i="8"/>
  <c r="BF27" i="8"/>
  <c r="BG27" i="8"/>
  <c r="BH27" i="8"/>
  <c r="BI27" i="8"/>
  <c r="BJ27" i="8"/>
  <c r="AG28" i="8"/>
  <c r="AH28" i="8"/>
  <c r="AI28" i="8"/>
  <c r="AJ28" i="8"/>
  <c r="AK28" i="8"/>
  <c r="AL28" i="8"/>
  <c r="AM28" i="8"/>
  <c r="AN28" i="8"/>
  <c r="AO28" i="8"/>
  <c r="AP28" i="8"/>
  <c r="AQ28" i="8"/>
  <c r="AR28" i="8"/>
  <c r="AS28" i="8"/>
  <c r="AT28" i="8"/>
  <c r="AU28" i="8"/>
  <c r="AV28" i="8"/>
  <c r="AW28" i="8"/>
  <c r="AX28" i="8"/>
  <c r="AY28" i="8"/>
  <c r="AZ28" i="8"/>
  <c r="BA28" i="8"/>
  <c r="BB28" i="8"/>
  <c r="BC28" i="8"/>
  <c r="BD28" i="8"/>
  <c r="BE28" i="8"/>
  <c r="BF28" i="8"/>
  <c r="BG28" i="8"/>
  <c r="BH28" i="8"/>
  <c r="BI28" i="8"/>
  <c r="BJ28" i="8"/>
  <c r="AG29" i="8"/>
  <c r="AH29" i="8"/>
  <c r="AI29" i="8"/>
  <c r="AJ29" i="8"/>
  <c r="AK29" i="8"/>
  <c r="AL29" i="8"/>
  <c r="AM29" i="8"/>
  <c r="AN29" i="8"/>
  <c r="AO29" i="8"/>
  <c r="AP29" i="8"/>
  <c r="AQ29" i="8"/>
  <c r="AR29" i="8"/>
  <c r="AS29" i="8"/>
  <c r="AT29" i="8"/>
  <c r="AU29" i="8"/>
  <c r="AV29" i="8"/>
  <c r="AW29" i="8"/>
  <c r="AX29" i="8"/>
  <c r="AY29" i="8"/>
  <c r="AZ29" i="8"/>
  <c r="BA29" i="8"/>
  <c r="BB29" i="8"/>
  <c r="BC29" i="8"/>
  <c r="BD29" i="8"/>
  <c r="BE29" i="8"/>
  <c r="BF29" i="8"/>
  <c r="BG29" i="8"/>
  <c r="BH29" i="8"/>
  <c r="BI29" i="8"/>
  <c r="BJ29" i="8"/>
  <c r="AG30" i="8"/>
  <c r="AH30" i="8"/>
  <c r="AI30" i="8"/>
  <c r="AJ30" i="8"/>
  <c r="AK30" i="8"/>
  <c r="AL30" i="8"/>
  <c r="AM30" i="8"/>
  <c r="AN30" i="8"/>
  <c r="AO30" i="8"/>
  <c r="AP30" i="8"/>
  <c r="AQ30" i="8"/>
  <c r="AR30" i="8"/>
  <c r="AS30" i="8"/>
  <c r="AT30" i="8"/>
  <c r="AU30" i="8"/>
  <c r="AV30" i="8"/>
  <c r="AW30" i="8"/>
  <c r="AX30" i="8"/>
  <c r="AY30" i="8"/>
  <c r="AZ30" i="8"/>
  <c r="BA30" i="8"/>
  <c r="BB30" i="8"/>
  <c r="BC30" i="8"/>
  <c r="BD30" i="8"/>
  <c r="BE30" i="8"/>
  <c r="BF30" i="8"/>
  <c r="BG30" i="8"/>
  <c r="BH30" i="8"/>
  <c r="BI30" i="8"/>
  <c r="BJ30" i="8"/>
  <c r="AG31" i="8"/>
  <c r="AH31" i="8"/>
  <c r="AI31" i="8"/>
  <c r="AJ31" i="8"/>
  <c r="AK31" i="8"/>
  <c r="AL31" i="8"/>
  <c r="AM31" i="8"/>
  <c r="AN31" i="8"/>
  <c r="AO31" i="8"/>
  <c r="AP31" i="8"/>
  <c r="AQ31" i="8"/>
  <c r="AR31" i="8"/>
  <c r="AS31" i="8"/>
  <c r="AT31" i="8"/>
  <c r="AU31" i="8"/>
  <c r="AV31" i="8"/>
  <c r="AW31" i="8"/>
  <c r="AX31" i="8"/>
  <c r="AY31" i="8"/>
  <c r="AZ31" i="8"/>
  <c r="BA31" i="8"/>
  <c r="BB31" i="8"/>
  <c r="BC31" i="8"/>
  <c r="BD31" i="8"/>
  <c r="BE31" i="8"/>
  <c r="BF31" i="8"/>
  <c r="BG31" i="8"/>
  <c r="BH31" i="8"/>
  <c r="BI31" i="8"/>
  <c r="BJ31" i="8"/>
  <c r="AG32" i="8"/>
  <c r="AH32" i="8"/>
  <c r="AI32" i="8"/>
  <c r="AJ32" i="8"/>
  <c r="AK32" i="8"/>
  <c r="AL32" i="8"/>
  <c r="AM32" i="8"/>
  <c r="AN32" i="8"/>
  <c r="AO32" i="8"/>
  <c r="AP32" i="8"/>
  <c r="AQ32" i="8"/>
  <c r="AR32" i="8"/>
  <c r="AS32" i="8"/>
  <c r="AT32" i="8"/>
  <c r="AU32" i="8"/>
  <c r="AV32" i="8"/>
  <c r="AW32" i="8"/>
  <c r="AX32" i="8"/>
  <c r="AY32" i="8"/>
  <c r="AZ32" i="8"/>
  <c r="BA32" i="8"/>
  <c r="BB32" i="8"/>
  <c r="BC32" i="8"/>
  <c r="BD32" i="8"/>
  <c r="BE32" i="8"/>
  <c r="BF32" i="8"/>
  <c r="BG32" i="8"/>
  <c r="BH32" i="8"/>
  <c r="BI32" i="8"/>
  <c r="BJ32" i="8"/>
  <c r="AG33" i="8"/>
  <c r="AH33" i="8"/>
  <c r="AI33" i="8"/>
  <c r="AJ33" i="8"/>
  <c r="AK33" i="8"/>
  <c r="AL33" i="8"/>
  <c r="AM33" i="8"/>
  <c r="AN33" i="8"/>
  <c r="AO33" i="8"/>
  <c r="AP33" i="8"/>
  <c r="AQ33" i="8"/>
  <c r="AR33" i="8"/>
  <c r="AS33" i="8"/>
  <c r="AT33" i="8"/>
  <c r="AU33" i="8"/>
  <c r="AV33" i="8"/>
  <c r="AW33" i="8"/>
  <c r="AX33" i="8"/>
  <c r="AY33" i="8"/>
  <c r="AZ33" i="8"/>
  <c r="BA33" i="8"/>
  <c r="BB33" i="8"/>
  <c r="BC33" i="8"/>
  <c r="BD33" i="8"/>
  <c r="BE33" i="8"/>
  <c r="BF33" i="8"/>
  <c r="BG33" i="8"/>
  <c r="BH33" i="8"/>
  <c r="BI33" i="8"/>
  <c r="BJ33" i="8"/>
  <c r="AG34" i="8"/>
  <c r="AH34" i="8"/>
  <c r="AI34" i="8"/>
  <c r="AJ34" i="8"/>
  <c r="AK34" i="8"/>
  <c r="AL34" i="8"/>
  <c r="AM34" i="8"/>
  <c r="AN34" i="8"/>
  <c r="AO34" i="8"/>
  <c r="AP34" i="8"/>
  <c r="AQ34" i="8"/>
  <c r="AR34" i="8"/>
  <c r="AS34" i="8"/>
  <c r="AT34" i="8"/>
  <c r="AU34" i="8"/>
  <c r="AV34" i="8"/>
  <c r="AW34" i="8"/>
  <c r="AX34" i="8"/>
  <c r="AY34" i="8"/>
  <c r="AZ34" i="8"/>
  <c r="BA34" i="8"/>
  <c r="BB34" i="8"/>
  <c r="BC34" i="8"/>
  <c r="BD34" i="8"/>
  <c r="BE34" i="8"/>
  <c r="BF34" i="8"/>
  <c r="BG34" i="8"/>
  <c r="BH34" i="8"/>
  <c r="BI34" i="8"/>
  <c r="BJ34" i="8"/>
  <c r="AG35" i="8"/>
  <c r="AH35" i="8"/>
  <c r="AI35" i="8"/>
  <c r="AJ35" i="8"/>
  <c r="AK35" i="8"/>
  <c r="AL35" i="8"/>
  <c r="AM35" i="8"/>
  <c r="AN35" i="8"/>
  <c r="AO35" i="8"/>
  <c r="AP35" i="8"/>
  <c r="AQ35" i="8"/>
  <c r="AR35" i="8"/>
  <c r="AS35" i="8"/>
  <c r="AT35" i="8"/>
  <c r="AU35" i="8"/>
  <c r="AV35" i="8"/>
  <c r="AW35" i="8"/>
  <c r="AX35" i="8"/>
  <c r="AY35" i="8"/>
  <c r="AZ35" i="8"/>
  <c r="BA35" i="8"/>
  <c r="BB35" i="8"/>
  <c r="BC35" i="8"/>
  <c r="BD35" i="8"/>
  <c r="BE35" i="8"/>
  <c r="BF35" i="8"/>
  <c r="BG35" i="8"/>
  <c r="BH35" i="8"/>
  <c r="BI35" i="8"/>
  <c r="BJ35" i="8"/>
  <c r="AG36" i="8"/>
  <c r="AH36" i="8"/>
  <c r="AI36" i="8"/>
  <c r="AJ36" i="8"/>
  <c r="AK36" i="8"/>
  <c r="AL36" i="8"/>
  <c r="AM36" i="8"/>
  <c r="AN36" i="8"/>
  <c r="AO36" i="8"/>
  <c r="AP36" i="8"/>
  <c r="AQ36" i="8"/>
  <c r="AR36" i="8"/>
  <c r="AS36" i="8"/>
  <c r="AT36" i="8"/>
  <c r="AU36" i="8"/>
  <c r="AV36" i="8"/>
  <c r="AW36" i="8"/>
  <c r="AX36" i="8"/>
  <c r="AY36" i="8"/>
  <c r="AZ36" i="8"/>
  <c r="BA36" i="8"/>
  <c r="BB36" i="8"/>
  <c r="BC36" i="8"/>
  <c r="BD36" i="8"/>
  <c r="BE36" i="8"/>
  <c r="BF36" i="8"/>
  <c r="BG36" i="8"/>
  <c r="BH36" i="8"/>
  <c r="BI36" i="8"/>
  <c r="BJ36" i="8"/>
  <c r="AG37" i="8"/>
  <c r="AH37" i="8"/>
  <c r="AI37" i="8"/>
  <c r="AJ37" i="8"/>
  <c r="AK37" i="8"/>
  <c r="AL37" i="8"/>
  <c r="AM37" i="8"/>
  <c r="AN37" i="8"/>
  <c r="AO37" i="8"/>
  <c r="AP37" i="8"/>
  <c r="AQ37" i="8"/>
  <c r="AR37" i="8"/>
  <c r="AS37" i="8"/>
  <c r="AT37" i="8"/>
  <c r="AU37" i="8"/>
  <c r="AV37" i="8"/>
  <c r="AW37" i="8"/>
  <c r="AX37" i="8"/>
  <c r="AY37" i="8"/>
  <c r="AZ37" i="8"/>
  <c r="BA37" i="8"/>
  <c r="BB37" i="8"/>
  <c r="BC37" i="8"/>
  <c r="BD37" i="8"/>
  <c r="BE37" i="8"/>
  <c r="BF37" i="8"/>
  <c r="BG37" i="8"/>
  <c r="BH37" i="8"/>
  <c r="BI37" i="8"/>
  <c r="BJ37" i="8"/>
  <c r="AG38" i="8"/>
  <c r="AH38" i="8"/>
  <c r="AI38" i="8"/>
  <c r="AJ38" i="8"/>
  <c r="AK38" i="8"/>
  <c r="AL38" i="8"/>
  <c r="AM38" i="8"/>
  <c r="AN38" i="8"/>
  <c r="AO38" i="8"/>
  <c r="AP38" i="8"/>
  <c r="AQ38" i="8"/>
  <c r="AR38" i="8"/>
  <c r="AS38" i="8"/>
  <c r="AT38" i="8"/>
  <c r="AU38" i="8"/>
  <c r="AV38" i="8"/>
  <c r="AW38" i="8"/>
  <c r="AX38" i="8"/>
  <c r="AY38" i="8"/>
  <c r="AZ38" i="8"/>
  <c r="BA38" i="8"/>
  <c r="BB38" i="8"/>
  <c r="BC38" i="8"/>
  <c r="BD38" i="8"/>
  <c r="BE38" i="8"/>
  <c r="BF38" i="8"/>
  <c r="BG38" i="8"/>
  <c r="BH38" i="8"/>
  <c r="BI38" i="8"/>
  <c r="BJ38" i="8"/>
  <c r="AG39" i="8"/>
  <c r="AH39" i="8"/>
  <c r="AI39" i="8"/>
  <c r="AJ39" i="8"/>
  <c r="AK39" i="8"/>
  <c r="AL39" i="8"/>
  <c r="AM39" i="8"/>
  <c r="AN39" i="8"/>
  <c r="AO39" i="8"/>
  <c r="AP39" i="8"/>
  <c r="AQ39" i="8"/>
  <c r="AR39" i="8"/>
  <c r="AS39" i="8"/>
  <c r="AT39" i="8"/>
  <c r="AU39" i="8"/>
  <c r="AV39" i="8"/>
  <c r="AW39" i="8"/>
  <c r="AX39" i="8"/>
  <c r="AY39" i="8"/>
  <c r="AZ39" i="8"/>
  <c r="BA39" i="8"/>
  <c r="BB39" i="8"/>
  <c r="BC39" i="8"/>
  <c r="BD39" i="8"/>
  <c r="BE39" i="8"/>
  <c r="BF39" i="8"/>
  <c r="BG39" i="8"/>
  <c r="BH39" i="8"/>
  <c r="BI39" i="8"/>
  <c r="BJ39" i="8"/>
  <c r="AG40" i="8"/>
  <c r="AH40" i="8"/>
  <c r="AI40" i="8"/>
  <c r="AJ40" i="8"/>
  <c r="AK40" i="8"/>
  <c r="AL40" i="8"/>
  <c r="AM40" i="8"/>
  <c r="AN40" i="8"/>
  <c r="AO40" i="8"/>
  <c r="AP40" i="8"/>
  <c r="AQ40" i="8"/>
  <c r="AR40" i="8"/>
  <c r="AS40" i="8"/>
  <c r="AT40" i="8"/>
  <c r="AU40" i="8"/>
  <c r="AV40" i="8"/>
  <c r="AW40" i="8"/>
  <c r="AX40" i="8"/>
  <c r="AY40" i="8"/>
  <c r="AZ40" i="8"/>
  <c r="BA40" i="8"/>
  <c r="BB40" i="8"/>
  <c r="BC40" i="8"/>
  <c r="BD40" i="8"/>
  <c r="BE40" i="8"/>
  <c r="BF40" i="8"/>
  <c r="BG40" i="8"/>
  <c r="BH40" i="8"/>
  <c r="BI40" i="8"/>
  <c r="BJ40" i="8"/>
  <c r="AG41" i="8"/>
  <c r="AH41" i="8"/>
  <c r="AI41" i="8"/>
  <c r="AJ41" i="8"/>
  <c r="AK41" i="8"/>
  <c r="AL41" i="8"/>
  <c r="AM41" i="8"/>
  <c r="AN41" i="8"/>
  <c r="AO41" i="8"/>
  <c r="AP41" i="8"/>
  <c r="AQ41" i="8"/>
  <c r="AR41" i="8"/>
  <c r="AS41" i="8"/>
  <c r="AT41" i="8"/>
  <c r="AU41" i="8"/>
  <c r="AV41" i="8"/>
  <c r="AW41" i="8"/>
  <c r="AX41" i="8"/>
  <c r="AY41" i="8"/>
  <c r="AZ41" i="8"/>
  <c r="BA41" i="8"/>
  <c r="BB41" i="8"/>
  <c r="BC41" i="8"/>
  <c r="BD41" i="8"/>
  <c r="BE41" i="8"/>
  <c r="BF41" i="8"/>
  <c r="BG41" i="8"/>
  <c r="BH41" i="8"/>
  <c r="BI41" i="8"/>
  <c r="BJ41" i="8"/>
  <c r="AG42" i="8"/>
  <c r="AH42" i="8"/>
  <c r="AI42" i="8"/>
  <c r="AJ42" i="8"/>
  <c r="AK42" i="8"/>
  <c r="AL42" i="8"/>
  <c r="AM42" i="8"/>
  <c r="AN42" i="8"/>
  <c r="AO42" i="8"/>
  <c r="AP42" i="8"/>
  <c r="AQ42" i="8"/>
  <c r="AR42" i="8"/>
  <c r="AS42" i="8"/>
  <c r="AT42" i="8"/>
  <c r="AU42" i="8"/>
  <c r="AV42" i="8"/>
  <c r="AW42" i="8"/>
  <c r="AX42" i="8"/>
  <c r="AY42" i="8"/>
  <c r="AZ42" i="8"/>
  <c r="BA42" i="8"/>
  <c r="BB42" i="8"/>
  <c r="BC42" i="8"/>
  <c r="BD42" i="8"/>
  <c r="BE42" i="8"/>
  <c r="BF42" i="8"/>
  <c r="BG42" i="8"/>
  <c r="BH42" i="8"/>
  <c r="BI42" i="8"/>
  <c r="BJ42" i="8"/>
  <c r="AG43" i="8"/>
  <c r="AH43" i="8"/>
  <c r="AI43" i="8"/>
  <c r="AJ43" i="8"/>
  <c r="AK43" i="8"/>
  <c r="AL43" i="8"/>
  <c r="AM43" i="8"/>
  <c r="AN43" i="8"/>
  <c r="AO43" i="8"/>
  <c r="AP43" i="8"/>
  <c r="AQ43" i="8"/>
  <c r="AR43" i="8"/>
  <c r="AS43" i="8"/>
  <c r="AT43" i="8"/>
  <c r="AU43" i="8"/>
  <c r="AV43" i="8"/>
  <c r="AW43" i="8"/>
  <c r="AX43" i="8"/>
  <c r="AY43" i="8"/>
  <c r="AZ43" i="8"/>
  <c r="BA43" i="8"/>
  <c r="BB43" i="8"/>
  <c r="BC43" i="8"/>
  <c r="BD43" i="8"/>
  <c r="BE43" i="8"/>
  <c r="BF43" i="8"/>
  <c r="BG43" i="8"/>
  <c r="BH43" i="8"/>
  <c r="BI43" i="8"/>
  <c r="BJ43" i="8"/>
  <c r="AG44" i="8"/>
  <c r="AH44" i="8"/>
  <c r="AI44" i="8"/>
  <c r="AJ44" i="8"/>
  <c r="AK44" i="8"/>
  <c r="AL44" i="8"/>
  <c r="AM44" i="8"/>
  <c r="AN44" i="8"/>
  <c r="AO44" i="8"/>
  <c r="AP44" i="8"/>
  <c r="AQ44" i="8"/>
  <c r="AR44" i="8"/>
  <c r="AS44" i="8"/>
  <c r="AT44" i="8"/>
  <c r="AU44" i="8"/>
  <c r="AV44" i="8"/>
  <c r="AW44" i="8"/>
  <c r="AX44" i="8"/>
  <c r="AY44" i="8"/>
  <c r="AZ44" i="8"/>
  <c r="BA44" i="8"/>
  <c r="BB44" i="8"/>
  <c r="BC44" i="8"/>
  <c r="BD44" i="8"/>
  <c r="BE44" i="8"/>
  <c r="BF44" i="8"/>
  <c r="BG44" i="8"/>
  <c r="BH44" i="8"/>
  <c r="BI44" i="8"/>
  <c r="BJ44" i="8"/>
  <c r="BJ5" i="8"/>
  <c r="BI5" i="8"/>
  <c r="BH5" i="8"/>
  <c r="BG5" i="8"/>
  <c r="BF5" i="8"/>
  <c r="BE5" i="8"/>
  <c r="BD5" i="8"/>
  <c r="BC5" i="8"/>
  <c r="BB5" i="8"/>
  <c r="BA5" i="8"/>
  <c r="AZ5" i="8"/>
  <c r="AY5" i="8"/>
  <c r="AX5" i="8"/>
  <c r="AW5" i="8"/>
  <c r="AV5" i="8"/>
  <c r="AU5" i="8"/>
  <c r="AT5" i="8"/>
  <c r="AS5" i="8"/>
  <c r="AR5" i="8"/>
  <c r="AQ5" i="8"/>
  <c r="AP5" i="8"/>
  <c r="AO5" i="8"/>
  <c r="AN5" i="8"/>
  <c r="AM5" i="8"/>
  <c r="AL5" i="8"/>
  <c r="AK5" i="8"/>
  <c r="AJ5" i="8"/>
  <c r="AI5" i="8"/>
  <c r="AH5" i="8"/>
  <c r="AG5" i="8"/>
  <c r="AF3" i="8"/>
  <c r="AE3" i="8"/>
  <c r="AD3" i="8"/>
  <c r="AC3" i="8"/>
  <c r="AB3" i="8"/>
  <c r="AA3" i="8"/>
  <c r="Z3" i="8"/>
  <c r="Y3" i="8"/>
  <c r="X3" i="8"/>
  <c r="W3" i="8"/>
  <c r="V3" i="8"/>
  <c r="U3" i="8"/>
  <c r="T3" i="8"/>
  <c r="S3" i="8"/>
  <c r="R3" i="8"/>
  <c r="Q3" i="8"/>
  <c r="P3" i="8"/>
  <c r="O3" i="8"/>
  <c r="N3" i="8"/>
  <c r="M3" i="8"/>
  <c r="L3" i="8"/>
  <c r="K3" i="8"/>
  <c r="J3" i="8"/>
  <c r="I3" i="8"/>
  <c r="H3" i="8"/>
  <c r="G3" i="8"/>
  <c r="F3" i="8"/>
  <c r="E3" i="8"/>
  <c r="D3" i="8"/>
  <c r="C3" i="8"/>
  <c r="D4" i="8" l="1"/>
  <c r="E4" i="8"/>
  <c r="F4" i="8"/>
  <c r="G4" i="8"/>
  <c r="H4" i="8"/>
  <c r="I4" i="8"/>
  <c r="J4" i="8"/>
  <c r="K4" i="8"/>
  <c r="L4" i="8"/>
  <c r="M4" i="8"/>
  <c r="N4" i="8"/>
  <c r="O4" i="8"/>
  <c r="P4" i="8"/>
  <c r="Q4" i="8"/>
  <c r="R4" i="8"/>
  <c r="S4" i="8"/>
  <c r="T4" i="8"/>
  <c r="U4" i="8"/>
  <c r="V4" i="8"/>
  <c r="W4" i="8"/>
  <c r="X4" i="8"/>
  <c r="Y4" i="8"/>
  <c r="Z4" i="8"/>
  <c r="AA4" i="8"/>
  <c r="AB4" i="8"/>
  <c r="AC4" i="8"/>
  <c r="AD4" i="8"/>
  <c r="AE4" i="8"/>
  <c r="AF4" i="8"/>
  <c r="C4" i="8"/>
  <c r="AH3" i="8" l="1"/>
  <c r="AI3" i="8"/>
  <c r="AJ3" i="8"/>
  <c r="AK3" i="8"/>
  <c r="AL3" i="8"/>
  <c r="AM3" i="8"/>
  <c r="AN3" i="8"/>
  <c r="AO3" i="8"/>
  <c r="AP3" i="8"/>
  <c r="AQ3" i="8"/>
  <c r="AR3" i="8"/>
  <c r="AS3" i="8"/>
  <c r="AT3" i="8"/>
  <c r="AU3" i="8"/>
  <c r="AV3" i="8"/>
  <c r="AW3" i="8"/>
  <c r="AX3" i="8"/>
  <c r="AY3" i="8"/>
  <c r="AZ3" i="8"/>
  <c r="BA3" i="8"/>
  <c r="BB3" i="8"/>
  <c r="BC3" i="8"/>
  <c r="BD3" i="8"/>
  <c r="BE3" i="8"/>
  <c r="BF3" i="8"/>
  <c r="BG3" i="8"/>
  <c r="BH3" i="8"/>
  <c r="BI3" i="8"/>
  <c r="BJ3" i="8"/>
  <c r="BK5" i="8" l="1"/>
  <c r="E5" i="11" s="1"/>
  <c r="BK43" i="8"/>
  <c r="E43" i="11" s="1"/>
  <c r="BK41" i="8"/>
  <c r="E41" i="11" s="1"/>
  <c r="BK39" i="8"/>
  <c r="E39" i="11" s="1"/>
  <c r="BK37" i="8"/>
  <c r="E37" i="11" s="1"/>
  <c r="BK35" i="8"/>
  <c r="E35" i="11" s="1"/>
  <c r="BK33" i="8"/>
  <c r="E33" i="11" s="1"/>
  <c r="BK31" i="8"/>
  <c r="E31" i="11" s="1"/>
  <c r="BK29" i="8"/>
  <c r="E29" i="11" s="1"/>
  <c r="BK27" i="8"/>
  <c r="E27" i="11" s="1"/>
  <c r="BK25" i="8"/>
  <c r="E25" i="11" s="1"/>
  <c r="BK23" i="8"/>
  <c r="E23" i="11" s="1"/>
  <c r="BK21" i="8"/>
  <c r="E21" i="11" s="1"/>
  <c r="BK19" i="8"/>
  <c r="E19" i="11" s="1"/>
  <c r="BK17" i="8"/>
  <c r="E17" i="11" s="1"/>
  <c r="BK15" i="8"/>
  <c r="E15" i="11" s="1"/>
  <c r="BK13" i="8"/>
  <c r="E13" i="11" s="1"/>
  <c r="BK11" i="8"/>
  <c r="E11" i="11" s="1"/>
  <c r="BK9" i="8"/>
  <c r="E9" i="11" s="1"/>
  <c r="BK7" i="8"/>
  <c r="E7" i="11" s="1"/>
  <c r="BK44" i="8"/>
  <c r="E44" i="11" s="1"/>
  <c r="BK42" i="8"/>
  <c r="E42" i="11" s="1"/>
  <c r="BK40" i="8"/>
  <c r="E40" i="11" s="1"/>
  <c r="BK38" i="8"/>
  <c r="E38" i="11" s="1"/>
  <c r="BK36" i="8"/>
  <c r="E36" i="11" s="1"/>
  <c r="BK34" i="8"/>
  <c r="E34" i="11" s="1"/>
  <c r="BK32" i="8"/>
  <c r="E32" i="11" s="1"/>
  <c r="BK30" i="8"/>
  <c r="E30" i="11" s="1"/>
  <c r="BK28" i="8"/>
  <c r="E28" i="11" s="1"/>
  <c r="BK26" i="8"/>
  <c r="E26" i="11" s="1"/>
  <c r="BK24" i="8"/>
  <c r="E24" i="11" s="1"/>
  <c r="BK22" i="8"/>
  <c r="E22" i="11" s="1"/>
  <c r="BK20" i="8"/>
  <c r="E20" i="11" s="1"/>
  <c r="BK18" i="8"/>
  <c r="E18" i="11" s="1"/>
  <c r="BK16" i="8"/>
  <c r="E16" i="11" s="1"/>
  <c r="BK14" i="8"/>
  <c r="E14" i="11" s="1"/>
  <c r="BK12" i="8"/>
  <c r="E12" i="11" s="1"/>
  <c r="BK10" i="8"/>
  <c r="E10" i="11" s="1"/>
  <c r="BK8" i="8"/>
  <c r="E8" i="11" s="1"/>
  <c r="BK6" i="8"/>
  <c r="E6" i="11" s="1"/>
  <c r="BL6" i="8"/>
  <c r="F6" i="11" s="1"/>
  <c r="BL7" i="8"/>
  <c r="F7" i="11" s="1"/>
  <c r="BL8" i="8"/>
  <c r="F8" i="11" s="1"/>
  <c r="BL9" i="8"/>
  <c r="F9" i="11" s="1"/>
  <c r="BL10" i="8"/>
  <c r="F10" i="11" s="1"/>
  <c r="BL11" i="8"/>
  <c r="F11" i="11" s="1"/>
  <c r="BL12" i="8"/>
  <c r="F12" i="11" s="1"/>
  <c r="BL13" i="8"/>
  <c r="F13" i="11" s="1"/>
  <c r="BL14" i="8"/>
  <c r="F14" i="11" s="1"/>
  <c r="BL15" i="8"/>
  <c r="F15" i="11" s="1"/>
  <c r="BL16" i="8"/>
  <c r="F16" i="11" s="1"/>
  <c r="BL17" i="8"/>
  <c r="F17" i="11" s="1"/>
  <c r="BL18" i="8"/>
  <c r="F18" i="11" s="1"/>
  <c r="BL19" i="8"/>
  <c r="F19" i="11" s="1"/>
  <c r="BL20" i="8"/>
  <c r="F20" i="11" s="1"/>
  <c r="BL21" i="8"/>
  <c r="F21" i="11" s="1"/>
  <c r="BL22" i="8"/>
  <c r="F22" i="11" s="1"/>
  <c r="BL23" i="8"/>
  <c r="F23" i="11" s="1"/>
  <c r="BL24" i="8"/>
  <c r="F24" i="11" s="1"/>
  <c r="BL25" i="8"/>
  <c r="F25" i="11" s="1"/>
  <c r="BL26" i="8"/>
  <c r="F26" i="11" s="1"/>
  <c r="BL27" i="8"/>
  <c r="F27" i="11" s="1"/>
  <c r="BL28" i="8"/>
  <c r="F28" i="11" s="1"/>
  <c r="BL29" i="8"/>
  <c r="F29" i="11" s="1"/>
  <c r="BL30" i="8"/>
  <c r="F30" i="11" s="1"/>
  <c r="BL31" i="8"/>
  <c r="F31" i="11" s="1"/>
  <c r="BL32" i="8"/>
  <c r="F32" i="11" s="1"/>
  <c r="BL33" i="8"/>
  <c r="F33" i="11" s="1"/>
  <c r="BL34" i="8"/>
  <c r="F34" i="11" s="1"/>
  <c r="BL35" i="8"/>
  <c r="F35" i="11" s="1"/>
  <c r="BL36" i="8"/>
  <c r="F36" i="11" s="1"/>
  <c r="BL37" i="8"/>
  <c r="F37" i="11" s="1"/>
  <c r="BL38" i="8"/>
  <c r="F38" i="11" s="1"/>
  <c r="BL39" i="8"/>
  <c r="F39" i="11" s="1"/>
  <c r="BL40" i="8"/>
  <c r="F40" i="11" s="1"/>
  <c r="BL41" i="8"/>
  <c r="F41" i="11" s="1"/>
  <c r="BL42" i="8"/>
  <c r="F42" i="11" s="1"/>
  <c r="BL43" i="8"/>
  <c r="F43" i="11" s="1"/>
  <c r="BL44" i="8"/>
  <c r="F44" i="11" s="1"/>
  <c r="BL5" i="8"/>
  <c r="F5" i="11" s="1"/>
  <c r="AG3" i="8"/>
</calcChain>
</file>

<file path=xl/sharedStrings.xml><?xml version="1.0" encoding="utf-8"?>
<sst xmlns="http://schemas.openxmlformats.org/spreadsheetml/2006/main" count="139" uniqueCount="138">
  <si>
    <t>번호</t>
    <phoneticPr fontId="2" type="noConversion"/>
  </si>
  <si>
    <t>선택한 개수</t>
    <phoneticPr fontId="2" type="noConversion"/>
  </si>
  <si>
    <t>문장합치기</t>
    <phoneticPr fontId="2" type="noConversion"/>
  </si>
  <si>
    <t>영역</t>
    <phoneticPr fontId="2" type="noConversion"/>
  </si>
  <si>
    <t>활동내용</t>
    <phoneticPr fontId="2" type="noConversion"/>
  </si>
  <si>
    <t>진로흥미검사</t>
    <phoneticPr fontId="2" type="noConversion"/>
  </si>
  <si>
    <t>직업흥미검사를 실시(2013.03.27)하고 그 결과를 분석하여 자기 진로를 탐색하였음.</t>
    <phoneticPr fontId="2" type="noConversion"/>
  </si>
  <si>
    <t>국립과천과학관진로체험</t>
    <phoneticPr fontId="2" type="noConversion"/>
  </si>
  <si>
    <t>진로체험의 날(2013.04.02) 국립과천과학관에서 진로체험을 하여 자기주도적 진로탐색 능력을 키움.</t>
    <phoneticPr fontId="2" type="noConversion"/>
  </si>
  <si>
    <t>아로콘서트</t>
    <phoneticPr fontId="2" type="noConversion"/>
  </si>
  <si>
    <t>나의꿈설계하기</t>
    <phoneticPr fontId="2" type="noConversion"/>
  </si>
  <si>
    <t>계양구청미래직업축제</t>
    <phoneticPr fontId="2" type="noConversion"/>
  </si>
  <si>
    <t>부모님 직장체험</t>
    <phoneticPr fontId="2" type="noConversion"/>
  </si>
  <si>
    <t>부모님 직장체험의 날(2013.06.07)에 직업 조사활동을 하고 보고서를 작성함.</t>
    <phoneticPr fontId="2" type="noConversion"/>
  </si>
  <si>
    <t>수학마술사특강</t>
    <phoneticPr fontId="2" type="noConversion"/>
  </si>
  <si>
    <t>에버랜드</t>
    <phoneticPr fontId="2" type="noConversion"/>
  </si>
  <si>
    <t>진로체험의 날(2013.09.17) 에버랜드에서 진로체험을 하여 자기 진로 탐색의 기회를 가졌음.</t>
    <phoneticPr fontId="2" type="noConversion"/>
  </si>
  <si>
    <t>다요인인성검사</t>
    <phoneticPr fontId="2" type="noConversion"/>
  </si>
  <si>
    <t>표준화검사인 16PF다요인인성검사를 실시(2013.10.15)하고 그 결과를 분석한 내용으로 상담을 함.</t>
    <phoneticPr fontId="2" type="noConversion"/>
  </si>
  <si>
    <t>인천대 탐방</t>
    <phoneticPr fontId="2" type="noConversion"/>
  </si>
  <si>
    <t>서부중등 진로캠프</t>
    <phoneticPr fontId="2" type="noConversion"/>
  </si>
  <si>
    <t>진로카드활용 탐구</t>
    <phoneticPr fontId="2" type="noConversion"/>
  </si>
  <si>
    <t xml:space="preserve">인천국제고 주최 'IIHS 찾아가는 아로콘서트'(2013.05.07)에 참가하여, '진로를 생각하는 나의 보람찬 중학생활'을 주제로 강연을 경청하였음. </t>
    <phoneticPr fontId="2" type="noConversion"/>
  </si>
  <si>
    <t>진로활동(2013.05.15)으로 '꿈나무 만들기'를 성실히 수행하여 자기의 미래 꿈을 잘 설계해 봄.</t>
    <phoneticPr fontId="2" type="noConversion"/>
  </si>
  <si>
    <t>계양구청 주최 '2013미래직업비전축제'(2013.06.01)에 참가하여 미래 자기의 진로를 탐색하였음.</t>
    <phoneticPr fontId="2" type="noConversion"/>
  </si>
  <si>
    <t>함께 꿈을 JOB(잡) 我(아) 樂(요) 2013 서부 중등 토요 진로캠프 '나의 꿈을 찾아 고고'(2013.11.02, 서부교육지원청 주최, 임학중 주관)에 참가하여 진로특강, 직업인 초청 강연, 직업체험 등 프로그램 활동을 통해 개개인의 적성과 흥미에 맞는 직업탐색 및 진로설계 능력을 높임.</t>
    <phoneticPr fontId="2" type="noConversion"/>
  </si>
  <si>
    <t>진로활동(2013.12.26)으로 진로코치의 지도하에 '직업카드를 활용한 직업탐구' 활동을 성실히 하였음.</t>
    <phoneticPr fontId="2" type="noConversion"/>
  </si>
  <si>
    <t>순번</t>
    <phoneticPr fontId="2" type="noConversion"/>
  </si>
  <si>
    <t>개인별 활동항목 선택하기</t>
    <phoneticPr fontId="2" type="noConversion"/>
  </si>
  <si>
    <t>1차 표준화검사</t>
    <phoneticPr fontId="2" type="noConversion"/>
  </si>
  <si>
    <t>스타특강 및 나의 미래명함 만들기</t>
  </si>
  <si>
    <t>진로체험학습</t>
    <phoneticPr fontId="2" type="noConversion"/>
  </si>
  <si>
    <t>16PF다요인인성검사</t>
  </si>
  <si>
    <t>미니진로축제</t>
    <phoneticPr fontId="2" type="noConversion"/>
  </si>
  <si>
    <t>문화진로체험</t>
    <phoneticPr fontId="2" type="noConversion"/>
  </si>
  <si>
    <t>토요진로캠프</t>
    <phoneticPr fontId="2" type="noConversion"/>
  </si>
  <si>
    <t>진로활동</t>
    <phoneticPr fontId="2" type="noConversion"/>
  </si>
  <si>
    <t>진로행사</t>
    <phoneticPr fontId="2" type="noConversion"/>
  </si>
  <si>
    <t>진로의 날 행사</t>
    <phoneticPr fontId="2" type="noConversion"/>
  </si>
  <si>
    <t>일자</t>
    <phoneticPr fontId="2" type="noConversion"/>
  </si>
  <si>
    <t>성명</t>
    <phoneticPr fontId="2" type="noConversion"/>
  </si>
  <si>
    <t>진로활동 특기사항</t>
    <phoneticPr fontId="2" type="noConversion"/>
  </si>
  <si>
    <t>활동 일자</t>
    <phoneticPr fontId="2" type="noConversion"/>
  </si>
  <si>
    <t>활동 내용</t>
    <phoneticPr fontId="2" type="noConversion"/>
  </si>
  <si>
    <t>진로활동(2013.07.05)으로 수학마술사의 진로특강을 듣고, 이어서 '꿈 목록 작성하기'를 성실히 수행하여 자기의 미래 꿈을 달성하기 위해 노력하였음.</t>
  </si>
  <si>
    <t>진로체험의 날(2013.10.25) 지역 내 대학을 탐방하여 종합대학에 개설된 각 학과를 이해하는 계기가 되었음.</t>
  </si>
  <si>
    <t xml:space="preserve">   ※ [진로활동내용입력]시트,  [진로활동항목선택]시트를 작성하면 본 시트에 자동반영 됩니다.</t>
    <phoneticPr fontId="2" type="noConversion"/>
  </si>
  <si>
    <t>제작 : 인천계수중학교 이쌍철</t>
    <phoneticPr fontId="2" type="noConversion"/>
  </si>
  <si>
    <r>
      <rPr>
        <b/>
        <sz val="16"/>
        <color theme="1"/>
        <rFont val="맑은 고딕"/>
        <family val="3"/>
        <charset val="129"/>
        <scheme val="minor"/>
      </rPr>
      <t>진로활동 내용 입력하기</t>
    </r>
    <r>
      <rPr>
        <b/>
        <sz val="11"/>
        <color theme="1"/>
        <rFont val="맑은 고딕"/>
        <family val="3"/>
        <charset val="129"/>
        <scheme val="minor"/>
      </rPr>
      <t>(활동내용은 30번 까지 [진로활동항목선택] 시트에 반영됨.)</t>
    </r>
    <phoneticPr fontId="2" type="noConversion"/>
  </si>
  <si>
    <t>선택항목개수</t>
    <phoneticPr fontId="2" type="noConversion"/>
  </si>
  <si>
    <t>꿈과 미래를 향한 Go! For My Dream 진로캠프(2014.07.09./6시간)에 참가하여 프레디저카드 활동을 통한 자기이해, 진로특강 및 진로설계 활동을 성실하게 수행함.</t>
    <phoneticPr fontId="2" type="noConversion"/>
  </si>
  <si>
    <t>16PF다요인인성검사(2014.10.15.)를 통해 통해 진로성숙 수준과 진로미결정요인별 수준을 탐색하여 앞으로의 진로준비 및 진로선택을 돕는데 필요한 정보를 얻고, 본인의 성격진단과 성격적 특성을 파악하는 기회를 가졌으며 그 검사 결과를 분석한 내용으로 상담을 실시함.</t>
    <phoneticPr fontId="2" type="noConversion"/>
  </si>
  <si>
    <t>스타특강과 나의 미래명함 만들기 활동(2014.05.15.)을 통해서 성공하는 사람들의 네 가지 습관에 관하여 알아보고, 미래일기를 쓰는 활동을 통해 나의 꿈을 구체적으로 생각해보고 작성하는 시간을 가졌으며, 나의 미래 명함 만들기를 하면서 자신의 진로에 대한 구체적인 설계와 꿈을 이루려는 마음을 갖게 됨.</t>
    <phoneticPr fontId="2" type="noConversion"/>
  </si>
  <si>
    <t>버킷리스트 동영상 시청(2014.07.11./2시간) 후 인간의 유한성에 대하여 느낀 점, 삶의 유한성을 극복할 수 있는 방안에 대해 자신의 생각을 적어보는 기회를 가졌으며 내인생의 버킷리스트 활동지를 작성함.</t>
    <phoneticPr fontId="2" type="noConversion"/>
  </si>
  <si>
    <t>진로탐색과 설계를 위한 진로체험학습(2014.09.16./6시간)에 참가하여 DISC 특강을 통한 자기이해활동, 나의 생애의 꽃 만들기, 스타특강 청취, 친구들이 만든 진로 UCC 감상하기 활동 등을 성실하게 수행함으로써 자신의 진로의사 결정능력을 향상시킴.</t>
    <phoneticPr fontId="2" type="noConversion"/>
  </si>
  <si>
    <t>인천광역시서부교육지원청이 주최하고 서운중학교에서 주관하는 함께 꿈을 JOB(잡) 我(아) 樂(요) ‘나의 꿈을 찾아 고고’ 토요 진로캠프(2014.10.18./7시간) 활동에 참여함.</t>
    <phoneticPr fontId="2" type="noConversion"/>
  </si>
  <si>
    <t>학교 축제와 진로교육의 통합운영(2014.10.23./3시간)으로 긍정과 감사의 마음을 갖는 긍정 에너지를 확산하고 다양한 직업체험과 학과체험을 통하여 즐겁고 활동성 있는 체험활동에 참여함으로써 진로교육에 대한 긍정적인 인식을 가지게 됨.</t>
    <phoneticPr fontId="2" type="noConversion"/>
  </si>
  <si>
    <t>문화진로체험학습의 날(2014.10.24.)활동을 통해 뮤지컬을 감상하며 뮤지컬 속의 다양한 직업을 탐색하고, 대학을 탐방함으로써 학생들의 잠재적 적성과 재능을 발견하여 자신의 미래를 설계하는 기회를 가짐.</t>
    <phoneticPr fontId="2" type="noConversion"/>
  </si>
  <si>
    <t>진로설계를 위한 진로활동(2014.12.31./1시간)에 참가하여 철학박사 강신주씨의 동영상 특강 '진짜 꿈과 개꿈'을 시청하고 이루지 못할 것을 알면서도 말 또는 생각만 하는 자신의 꿈이 있는지 다시금 생각해보는 시간을 가짐.</t>
    <phoneticPr fontId="2" type="noConversion"/>
  </si>
  <si>
    <t>직업인성검사(2014.04.03.)를 통해 직업적성, 직업흥미, 특정복합체 관련분야, 관련학과, 대표적 직업 안내 및 설명에 관한 정보를 얻고 자신의 특성을 종합적으로 잘 이해하게 됨. 또한 직업과 관련하여 중요시하는 13가지 가치요인과 가치요인별 프로파일 해석, 가치요인별 수준설명, 우선추천직업 및 유사추천직업에 관한 정보를 얻고 자신의 진로를 구체적으로 탐색하고 그 검사 결과를 분석한 내용으로 상담을 실시함.</t>
    <phoneticPr fontId="2" type="noConversion"/>
  </si>
  <si>
    <t>참고해야 할 활동별 학생 명단</t>
    <phoneticPr fontId="2" type="noConversion"/>
  </si>
  <si>
    <t>※ 해당학생의 문구 셀을 선택 ▶ 상단 입력 창에서 내용이 충분히 보이도록 입력창 높이를 넓힌 다음 특기
   사항 문구를 블록설정 후 복사[ Ctrl+C ] ▶ 나이스 [특기사항] 입력란에 붙여넣기[ Ctrl+V ]  ▶ 저장( 필
   요 시 추가 수정 편집 후 저장)하면 됩니다.</t>
    <phoneticPr fontId="2" type="noConversion"/>
  </si>
  <si>
    <t>진로활동 특기사항(나이스 복사용)</t>
    <phoneticPr fontId="2" type="noConversion"/>
  </si>
  <si>
    <t>※ 활동일자의 순서와 관계없이 무작위로 입력한 후 [일자순으로 정렬하기]를 클릭하면 일자순으로 자동
   정렬 되고, [진로활동항목선택] 시트에도 반영됩니다.
   30번까지의 항목 중 [일자]란에 일자가 입력되지 않은 항목은 [일자순으로 정렬하기]에서 제외됩니다.</t>
    <phoneticPr fontId="2" type="noConversion"/>
  </si>
  <si>
    <t xml:space="preserve">
예시문
모아두기
공간임.</t>
    <phoneticPr fontId="2" type="noConversion"/>
  </si>
  <si>
    <t>교시</t>
    <phoneticPr fontId="2" type="noConversion"/>
  </si>
  <si>
    <t>※ 해당 학생의 활동 항목을 선택하여 숫자 " 1 "을 입력하면 [진로활동특기사항] 시트에 반영됩니다.</t>
    <phoneticPr fontId="2" type="noConversion"/>
  </si>
  <si>
    <t>해당시간에 불참한 학생 명단</t>
    <phoneticPr fontId="2" type="noConversion"/>
  </si>
  <si>
    <t>※ 해당 시간에 불참한 학생은 입력
   하지 마세요.</t>
    <phoneticPr fontId="2" type="noConversion"/>
  </si>
  <si>
    <t>3D프린팅 전문가 체험(2016.10.17.)을통해 3D프린팅과 스캐닝에 대해 배우고 실습함으로서 원하는 제품이나 형태를 만들어보고, 향후 변화하게 될 제조산업의 제품공정에 대한 이해를 높이는 계기가 됨.</t>
    <phoneticPr fontId="2" type="noConversion"/>
  </si>
  <si>
    <t>바리스타체험(2016.11.14.)을 통해 커피의 역사와 이론에 대한 이해 및 에스프레소 추출 실습으로 카푸치노 제조 및 에스프레소 핸드드립, 스무디 제조실습을 해보고 커피와 관련된 다양한 직업을 구체적으로 탐색함.</t>
    <phoneticPr fontId="2" type="noConversion"/>
  </si>
  <si>
    <t>바리스타</t>
    <phoneticPr fontId="2" type="noConversion"/>
  </si>
  <si>
    <t>특별하고 다양한 직업을 체험함으로써 학생들의 숨은 적성을 발견하여 실제적인 교육적 효과를 증진시키기 위하여 실시된 롯데월드 테마파크 진로체험학습(2015.04.29./6시간)에 참가하여, 롯데월드에 종사하는 실제 직업군을 만나 직업에 대해 깊이 이해하고 알아보는 체험을 함으로써 직업에 따른 특성과 역할과 필요자질 등을 알아보고 다양한 미션을 수행하며 자신의 숨겨진 재능을 발견하여 미래를 설계함.</t>
    <phoneticPr fontId="2" type="noConversion"/>
  </si>
  <si>
    <t>진로체험학습</t>
    <phoneticPr fontId="2" type="noConversion"/>
  </si>
  <si>
    <t>진로탐색체험학습</t>
    <phoneticPr fontId="2" type="noConversion"/>
  </si>
  <si>
    <t>진로탐색 체험학습(2016.10.21.)을 통한 단체활동을 통해  공공질서의식, 공동체의식 등 더불어 살아가는 민주 시민으로서 자질을 향상시키고 다양한 체험과 활동을 통해 여러 분야의 진로에 대해 탐색해보고 설계해보는 계기를 마련함.</t>
    <phoneticPr fontId="2" type="noConversion"/>
  </si>
  <si>
    <t>Holland 이론에 근거한 RIASEC 진로탐색검사(2015.04.10.)를 통해 직업적 흥미와 관심을 일반적으로 성격이라 불리는 개인의 특성으로 파악하는 기회를 가졌으며, 개인의 여섯 가지 기본 성격유형에서 드러난 결과를 토대로 진로를 선택하고 예측할 수 있는 근거를 마련함.</t>
    <phoneticPr fontId="2" type="noConversion"/>
  </si>
  <si>
    <t>진로탐색검사</t>
    <phoneticPr fontId="2" type="noConversion"/>
  </si>
  <si>
    <t>MI다중지능검사</t>
    <phoneticPr fontId="2" type="noConversion"/>
  </si>
  <si>
    <t>MI다중지능검사(2015.10.15.)를 통해 자신의 잠재능력과 자신을 이해하고, 향후 자신들의 꿈을 찾는데 도움을 줌. 또한 그 검사 결과를 바탕으로 상담을 실시함.</t>
    <phoneticPr fontId="2" type="noConversion"/>
  </si>
  <si>
    <t>미니진로축제</t>
    <phoneticPr fontId="2" type="noConversion"/>
  </si>
  <si>
    <t>학교 축제와 진로교육의 통합운영(2015.10.29./3시간)으로 긍정과 감사의 마음을 갖는 긍정 에너지를 확산하고 다양한 직업체험과 학과체험을 통하여  즐겁고 활동성있는 체험활동에 참여하여 진로교육에 대해 긍정적으로 인식함.</t>
    <phoneticPr fontId="2" type="noConversion"/>
  </si>
  <si>
    <t>진로체험학습</t>
    <phoneticPr fontId="2" type="noConversion"/>
  </si>
  <si>
    <t>진로체험학습의 날(2015.10.30./6시간)을 통해서 자신이 선택한 진로프로그램(직업군인체험)을 체험함으로써 다양한 진로정보를 제공받고 자신의 적성에 맞는 진로계획을 세워 자기주도적인 진로설계 역량을 강화하는 실제적인 교육적 효과를 접할 수 있는 기회를 가짐.</t>
    <phoneticPr fontId="2" type="noConversion"/>
  </si>
  <si>
    <t>진로특강</t>
    <phoneticPr fontId="2" type="noConversion"/>
  </si>
  <si>
    <t>「진로야 UP Go 놀자」라는 주제하에 이뤄진 진로특강(2015.11.30./2시간)을 통하여 21세기 급변하는 현대 사회에서 창의성을 높이고 인성을 길러 자기주도적 진로계획을 실천할 수 있는 기회를 가짐.</t>
    <phoneticPr fontId="2" type="noConversion"/>
  </si>
  <si>
    <t>진로특강</t>
    <phoneticPr fontId="2" type="noConversion"/>
  </si>
  <si>
    <t>「창업프로젝트」라는 주제로 이루어진 진로특강(2015.12.17./2시간)을 통하여 창업에 필요한 전체적인 광고, 홍보를 직접 구성하여 창업주로서 자신의 역할을 정확히 구분지어 구체화 시켜봄.</t>
    <phoneticPr fontId="2" type="noConversion"/>
  </si>
  <si>
    <t>창의력 증진 프로그램  주제로 이루어진 진로특강(2015.12.28./2시간)을 통하여 자신의 사고력을 구체화 시킴으로써 보다 재미있는 방식으로 나의 창의력을 증진시키고 활동 참여의 중요성을 깨우침.</t>
    <phoneticPr fontId="2" type="noConversion"/>
  </si>
  <si>
    <t>3D프린터</t>
    <phoneticPr fontId="2" type="noConversion"/>
  </si>
  <si>
    <t>나를 찾아가는 여행 1</t>
    <phoneticPr fontId="2" type="noConversion"/>
  </si>
  <si>
    <t>행복한 삶과 자아 존중감</t>
    <phoneticPr fontId="2" type="noConversion"/>
  </si>
  <si>
    <t>직업가치관검사</t>
    <phoneticPr fontId="2" type="noConversion"/>
  </si>
  <si>
    <t>직업흥미검사</t>
    <phoneticPr fontId="2" type="noConversion"/>
  </si>
  <si>
    <t>직업적성검사</t>
    <phoneticPr fontId="2" type="noConversion"/>
  </si>
  <si>
    <t>직업 세계의 변화</t>
    <phoneticPr fontId="2" type="noConversion"/>
  </si>
  <si>
    <t>진로탐색활동</t>
    <phoneticPr fontId="2" type="noConversion"/>
  </si>
  <si>
    <t>SPQ 사회성·인성검사</t>
    <phoneticPr fontId="2" type="noConversion"/>
  </si>
  <si>
    <t>SPQ 사회성·인성검사(2017.11.23.)(2017.12.14.)를 통해 청소년들의 행동과 정서에서 나타나는 인성 및 사회성과 관련된 특성을 측정하여 개인의 행동에 대한 이해를 돕는 검사를 실시하고 검사결과 해석 강의를 통해 자신에 대해 이해하는 기회를 가짐.</t>
    <phoneticPr fontId="2" type="noConversion"/>
  </si>
  <si>
    <t>장기진로계획수립</t>
    <phoneticPr fontId="2" type="noConversion"/>
  </si>
  <si>
    <t>직업적성검사(2017.04.27.)를 통해 직업과 관련된 다양한 능력을 어느 정도 가지고 있는가를 스스로 진단하여 자아성찰의 기회를 가짐.</t>
    <phoneticPr fontId="2" type="noConversion"/>
  </si>
  <si>
    <t>직업가치관검사(2017.04.05.)를 통해 직업을 선택할 때 상대적으로 어떠한 가치를 중요하게 생각하는지를 알아보고, 본인이 가장 중요하게 생각하는 가치를 충족시켜줄 수 있는 직업에 대해 생각해 볼 기회를 가짐.</t>
    <phoneticPr fontId="2" type="noConversion"/>
  </si>
  <si>
    <t>더불어 살아가는 우리</t>
    <phoneticPr fontId="2" type="noConversion"/>
  </si>
  <si>
    <t>김경선</t>
  </si>
  <si>
    <t>김민규</t>
  </si>
  <si>
    <t>김종원</t>
  </si>
  <si>
    <t>김형은</t>
  </si>
  <si>
    <t>민호영</t>
  </si>
  <si>
    <t>박승준</t>
  </si>
  <si>
    <t>박주영</t>
  </si>
  <si>
    <t>박준건</t>
  </si>
  <si>
    <t>서혜민</t>
  </si>
  <si>
    <t>소준우</t>
  </si>
  <si>
    <t>송완우</t>
  </si>
  <si>
    <t>양재원</t>
  </si>
  <si>
    <t>용은재</t>
  </si>
  <si>
    <t>이상호</t>
  </si>
  <si>
    <t>이형석</t>
  </si>
  <si>
    <t>이후윤</t>
  </si>
  <si>
    <t>임수정</t>
  </si>
  <si>
    <t>주민지</t>
  </si>
  <si>
    <t>최정우</t>
  </si>
  <si>
    <t>진로탐색활동(2018.07.02., 2018.07.09, )을 통해 진로 목표를 성취하기 위해 교육기관의 종류와 특징을 알아보고, 자신의 나이대별 평생학습 계획을 세워 봄.</t>
    <phoneticPr fontId="2" type="noConversion"/>
  </si>
  <si>
    <t>직업흥미검사(2017.04.20.)(2017.09.14., 2018..26.)를 통해 어떤 종류의 일에 얼마나 흥미를 느끼고 있는가를 알아봄으로써, 장래에 자신에게 알맞은 직업을 탐색함.</t>
    <phoneticPr fontId="2" type="noConversion"/>
  </si>
  <si>
    <t>나의 희망직업을 알아보는 활동(2018.09.03., 2018.09.10.)을 통해 다중 지능 이론에 근거하여 나와 관련 있는 직업을 찾아보고, 미래 명함을 자유롭고 창의적으로 만들어 친구들에게 소개하는 시간을 가짐.</t>
    <phoneticPr fontId="2" type="noConversion"/>
  </si>
  <si>
    <t>창업 정보 탐색</t>
    <phoneticPr fontId="2" type="noConversion"/>
  </si>
  <si>
    <t>창업정보 탐색교육(2018.12.10., 2018.12.17.)을 통해 창업에 필요한 필수 요소와 정부에서 지원하는 창업지원사업에 대해 탐색하고 기업가 정신과 도전정신을 가지고 자신만의 창업 계획서를 작성함.</t>
    <phoneticPr fontId="2" type="noConversion"/>
  </si>
  <si>
    <t>꿈과 비전</t>
    <phoneticPr fontId="2" type="noConversion"/>
  </si>
  <si>
    <t>취업서류작성</t>
    <phoneticPr fontId="2" type="noConversion"/>
  </si>
  <si>
    <t>나의 희망직업의 특성</t>
    <phoneticPr fontId="2" type="noConversion"/>
  </si>
  <si>
    <t>장기진로 계획수립 활동(2019.09.10., 2019.09.17.)을 통해 자신의 진로 목표에 따른 진로 비전하우스를 설계해보고, 자신의 비전하우스에 대해 모둠별로 이야기해 보며 봄.</t>
    <phoneticPr fontId="2" type="noConversion"/>
  </si>
  <si>
    <t>나를 찾아가는 여행 활동(2019.03.26., 2019.04.02.)을 통해 내가 생각하는 나의 모습과 타인이 생각하는 나의 모습을 기록해보며 자신을 종합적으로 파악해봄.</t>
    <phoneticPr fontId="2" type="noConversion"/>
  </si>
  <si>
    <t>꿈과 비전 활동(2019.04.09., 2019.04.16., 2019.09.03., 2019.09.06.)을 통해 꿈과 비전의 차이점을 알아보고 행복 그래프 그리기, 진화하는 나의 꿈 기록하기 활동을 통해 꿈을 갖는 이유에 대해 이해하며 삶의 목표를 설정하는 것의 중요성을 이해함.</t>
    <phoneticPr fontId="2" type="noConversion"/>
  </si>
  <si>
    <t>미래 사회와 직업 세계의 변화에 대한 학습(2019.06.11., 2019.07.15., 2019.10.15., 2019.10.22.)을 통해 미래의 유망 직업, 색다른 직업, 신생 직업을 알아보고 직업 세계의 변화를 예측해 봄.</t>
    <phoneticPr fontId="2" type="noConversion"/>
  </si>
  <si>
    <t>행복한 삶과 자아존중감 활동(2019.03.19., 2019.08.27.)을 통해 자아 존중감의 의미와 중요성을 이해하고, 자아 존중감 검사를 통해 자신의 자아 존중감 정도를 확인하고 이를 높이기 위한 방법을 생각해 봄.</t>
    <phoneticPr fontId="2" type="noConversion"/>
  </si>
  <si>
    <t>취업 구직서류 작성교육(2019.12.24.)을 통해 이력서, 자기소개서에 들어가야할 내용과 작성방법을 이해하고 본인의 이력서와 자기소개서를 직접 작성함.</t>
    <phoneticPr fontId="2" type="noConversion"/>
  </si>
  <si>
    <t>공공질서의식교육(2019.05.07.)을 통한 공공질서의식, 공동체의식 등 더불어 살아가는 민주 시민으로서 자질을 향상시키는 계기를 마련함.</t>
    <phoneticPr fontId="2" type="noConversion"/>
  </si>
  <si>
    <t xml:space="preserve">행복한 삶과 자아존중감 활동(2019.03.19., 2019.08.27.)을 통해 자아 존중감의 의미와 중요성을 이해하고, 자아 존중감 검사를 통해 자신의 자아 존중감 정도를 확인하고 이를 높이기 위한 방법을 생각해 봄.
나를 찾아가는 여행 활동(2019.03.26., 2019.04.02.)을 통해 내가 생각하는 나의 모습과 타인이 생각하는 나의 모습을 기록해보며 자신을 종합적으로 파악해봄.
꿈과 비전 활동(2019.04.09., 2019.04.16., 2019.09.03., 2019.09.06.)을 통해 꿈과 비전의 차이점을 알아보고 행복 그래프 그리기, 진화하는 나의 꿈 기록하기 활동을 통해 꿈을 갖는 이유에 대해 이해하며 삶의 목표를 설정하는 것의 중요성을 이해함.
공공질서의식교육(2019.05.07.)을 통한 공공질서의식, 공동체의식 등 더불어 살아가는 민주 시민으로서 자질을 향상시키는 계기를 마련함.
미래 사회와 직업 세계의 변화에 대한 학습(2019.06.11., 2019.07.15., 2019.10.15., 2019.10.22.)을 통해 미래의 유망 직업, 색다른 직업, 신생 직업을 알아보고 직업 세계의 변화를 예측해 봄.
장기진로 계획수립 활동(2019.09.10., 2019.09.17.)을 통해 자신의 진로 목표에 따른 진로 비전하우스를 설계해보고, 자신의 비전하우스에 대해 모둠별로 이야기해 보며 봄.
취업 구직서류 작성교육(2019.12.24.)을 통해 이력서, 자기소개서에 들어가야할 내용과 작성방법을 이해하고 본인의 이력서와 자기소개서를 직접 작성함.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</si>
</sst>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맑은 고딕"/>
      <family val="2"/>
      <charset val="129"/>
      <scheme val="minor"/>
    </font>
    <font>
      <sz val="10"/>
      <color rgb="FF000000"/>
      <name val="맑은 고딕"/>
      <family val="3"/>
      <charset val="129"/>
      <scheme val="minor"/>
    </font>
    <font>
      <sz val="8"/>
      <name val="맑은 고딕"/>
      <family val="2"/>
      <charset val="129"/>
      <scheme val="minor"/>
    </font>
    <font>
      <sz val="10"/>
      <color theme="1"/>
      <name val="맑은 고딕"/>
      <family val="3"/>
      <charset val="129"/>
      <scheme val="minor"/>
    </font>
    <font>
      <sz val="11"/>
      <color theme="1"/>
      <name val="맑은 고딕"/>
      <family val="3"/>
      <charset val="129"/>
      <scheme val="minor"/>
    </font>
    <font>
      <sz val="11"/>
      <name val="돋움"/>
      <family val="3"/>
      <charset val="129"/>
    </font>
    <font>
      <sz val="8"/>
      <color theme="1"/>
      <name val="맑은 고딕"/>
      <family val="2"/>
      <charset val="129"/>
      <scheme val="minor"/>
    </font>
    <font>
      <sz val="8"/>
      <color theme="1"/>
      <name val="맑은 고딕"/>
      <family val="3"/>
      <charset val="129"/>
      <scheme val="minor"/>
    </font>
    <font>
      <b/>
      <sz val="11"/>
      <color theme="1"/>
      <name val="맑은 고딕"/>
      <family val="3"/>
      <charset val="129"/>
      <scheme val="minor"/>
    </font>
    <font>
      <b/>
      <sz val="10"/>
      <color rgb="FFFF0000"/>
      <name val="맑은 고딕"/>
      <family val="3"/>
      <charset val="129"/>
      <scheme val="minor"/>
    </font>
    <font>
      <sz val="10"/>
      <color theme="1"/>
      <name val="맑은 고딕"/>
      <family val="2"/>
      <charset val="129"/>
      <scheme val="minor"/>
    </font>
    <font>
      <sz val="9"/>
      <color theme="1"/>
      <name val="맑은 고딕"/>
      <family val="2"/>
      <charset val="129"/>
      <scheme val="minor"/>
    </font>
    <font>
      <b/>
      <sz val="16"/>
      <color theme="1"/>
      <name val="맑은 고딕"/>
      <family val="3"/>
      <charset val="129"/>
      <scheme val="minor"/>
    </font>
    <font>
      <b/>
      <sz val="11"/>
      <color rgb="FFFFFF00"/>
      <name val="맑은 고딕"/>
      <family val="3"/>
      <charset val="129"/>
      <scheme val="minor"/>
    </font>
    <font>
      <b/>
      <sz val="11"/>
      <name val="맑은 고딕"/>
      <family val="3"/>
      <charset val="129"/>
      <scheme val="minor"/>
    </font>
    <font>
      <b/>
      <sz val="11"/>
      <color theme="0"/>
      <name val="맑은 고딕"/>
      <family val="3"/>
      <charset val="129"/>
      <scheme val="minor"/>
    </font>
    <font>
      <b/>
      <sz val="10"/>
      <color theme="1"/>
      <name val="맑은 고딕"/>
      <family val="3"/>
      <charset val="129"/>
      <scheme val="minor"/>
    </font>
    <font>
      <b/>
      <sz val="10"/>
      <color rgb="FFFFFF00"/>
      <name val="맑은 고딕"/>
      <family val="3"/>
      <charset val="129"/>
      <scheme val="minor"/>
    </font>
    <font>
      <b/>
      <sz val="12"/>
      <color rgb="FFFF0000"/>
      <name val="맑은 고딕"/>
      <family val="3"/>
      <charset val="129"/>
      <scheme val="minor"/>
    </font>
    <font>
      <sz val="10"/>
      <name val="맑은 고딕"/>
      <family val="3"/>
      <charset val="129"/>
      <scheme val="minor"/>
    </font>
    <font>
      <sz val="10"/>
      <color rgb="FF000000"/>
      <name val="맑은 고딕"/>
      <family val="3"/>
      <charset val="129"/>
    </font>
    <font>
      <sz val="11"/>
      <color rgb="FF000000"/>
      <name val="맑은 고딕"/>
      <family val="3"/>
      <charset val="129"/>
    </font>
  </fonts>
  <fills count="14">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bgColor indexed="64"/>
      </patternFill>
    </fill>
    <fill>
      <patternFill patternType="solid">
        <fgColor rgb="FFFFFFCC"/>
        <bgColor indexed="64"/>
      </patternFill>
    </fill>
    <fill>
      <patternFill patternType="solid">
        <fgColor theme="9" tint="0.59999389629810485"/>
        <bgColor indexed="64"/>
      </patternFill>
    </fill>
    <fill>
      <patternFill patternType="solid">
        <fgColor rgb="FF002060"/>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9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4">
    <xf numFmtId="0" fontId="0" fillId="0" borderId="0">
      <alignment vertical="center"/>
    </xf>
    <xf numFmtId="0" fontId="4" fillId="0" borderId="0">
      <alignment vertical="center"/>
    </xf>
    <xf numFmtId="0" fontId="5" fillId="0" borderId="0"/>
    <xf numFmtId="0" fontId="5" fillId="0" borderId="0"/>
  </cellStyleXfs>
  <cellXfs count="76">
    <xf numFmtId="0" fontId="0" fillId="0" borderId="0" xfId="0">
      <alignment vertical="center"/>
    </xf>
    <xf numFmtId="0" fontId="0" fillId="10" borderId="0" xfId="0" applyFill="1">
      <alignment vertical="center"/>
    </xf>
    <xf numFmtId="0" fontId="10" fillId="5" borderId="1" xfId="0" applyFont="1" applyFill="1" applyBorder="1" applyAlignment="1">
      <alignment horizontal="center" vertical="center"/>
    </xf>
    <xf numFmtId="0" fontId="3" fillId="10" borderId="0" xfId="0" applyFont="1" applyFill="1" applyAlignment="1">
      <alignment horizontal="center" vertical="center"/>
    </xf>
    <xf numFmtId="0" fontId="10" fillId="5" borderId="1" xfId="0" applyFont="1" applyFill="1" applyBorder="1" applyAlignment="1" applyProtection="1">
      <alignment horizontal="left" vertical="center" shrinkToFit="1"/>
    </xf>
    <xf numFmtId="0" fontId="11" fillId="5" borderId="1" xfId="0" applyFont="1" applyFill="1" applyBorder="1" applyAlignment="1" applyProtection="1">
      <alignment horizontal="left" vertical="center" shrinkToFit="1"/>
    </xf>
    <xf numFmtId="0" fontId="8" fillId="5" borderId="1" xfId="0" applyFont="1" applyFill="1" applyBorder="1" applyAlignment="1">
      <alignment horizontal="center" vertical="center"/>
    </xf>
    <xf numFmtId="0" fontId="0" fillId="10" borderId="0" xfId="0" applyFill="1" applyProtection="1">
      <alignment vertical="center"/>
      <protection hidden="1"/>
    </xf>
    <xf numFmtId="0" fontId="0" fillId="10" borderId="0" xfId="0" applyFill="1" applyAlignment="1" applyProtection="1">
      <alignment horizontal="center" vertical="center"/>
      <protection hidden="1"/>
    </xf>
    <xf numFmtId="0" fontId="3" fillId="10" borderId="0" xfId="0" applyFont="1" applyFill="1" applyAlignment="1" applyProtection="1">
      <alignment horizontal="center" vertical="center" shrinkToFit="1"/>
      <protection hidden="1"/>
    </xf>
    <xf numFmtId="0" fontId="3" fillId="11" borderId="1" xfId="0" applyFont="1" applyFill="1" applyBorder="1" applyAlignment="1" applyProtection="1">
      <alignment horizontal="center" vertical="center"/>
      <protection hidden="1"/>
    </xf>
    <xf numFmtId="0" fontId="3" fillId="11" borderId="1" xfId="0" applyFont="1" applyFill="1" applyBorder="1" applyAlignment="1" applyProtection="1">
      <alignment horizontal="center" vertical="center" shrinkToFit="1"/>
      <protection hidden="1"/>
    </xf>
    <xf numFmtId="0" fontId="0" fillId="4" borderId="0" xfId="0" applyFill="1" applyProtection="1">
      <alignment vertical="center"/>
      <protection hidden="1"/>
    </xf>
    <xf numFmtId="0" fontId="0" fillId="4" borderId="0" xfId="0" applyFill="1" applyAlignment="1" applyProtection="1">
      <alignment horizontal="center" vertical="center"/>
      <protection hidden="1"/>
    </xf>
    <xf numFmtId="0" fontId="8" fillId="10" borderId="0" xfId="0" applyFont="1" applyFill="1" applyAlignment="1" applyProtection="1">
      <alignment horizontal="center" vertical="center"/>
      <protection hidden="1"/>
    </xf>
    <xf numFmtId="0" fontId="15" fillId="8" borderId="0" xfId="0" applyFont="1" applyFill="1" applyAlignment="1">
      <alignment horizontal="center" vertical="center"/>
    </xf>
    <xf numFmtId="0" fontId="0" fillId="5" borderId="4" xfId="0" applyFill="1" applyBorder="1" applyProtection="1">
      <alignment vertical="center"/>
    </xf>
    <xf numFmtId="0" fontId="16" fillId="9" borderId="2" xfId="0" applyFont="1" applyFill="1" applyBorder="1" applyAlignment="1">
      <alignment horizontal="center" vertical="center" wrapText="1" shrinkToFit="1"/>
    </xf>
    <xf numFmtId="0" fontId="8" fillId="9" borderId="1" xfId="0" applyFont="1" applyFill="1" applyBorder="1" applyAlignment="1" applyProtection="1">
      <alignment horizontal="center" vertical="center" wrapText="1"/>
    </xf>
    <xf numFmtId="0" fontId="3" fillId="12" borderId="1" xfId="0" applyFont="1" applyFill="1" applyBorder="1" applyAlignment="1" applyProtection="1">
      <alignment horizontal="center" vertical="center"/>
      <protection locked="0"/>
    </xf>
    <xf numFmtId="0" fontId="3" fillId="5" borderId="1" xfId="0" applyFont="1" applyFill="1" applyBorder="1" applyAlignment="1" applyProtection="1">
      <alignment horizontal="center" vertical="center" shrinkToFit="1"/>
      <protection locked="0"/>
    </xf>
    <xf numFmtId="0" fontId="1" fillId="5" borderId="1" xfId="0" applyFont="1" applyFill="1" applyBorder="1" applyAlignment="1" applyProtection="1">
      <alignment horizontal="justify" vertical="center"/>
      <protection locked="0"/>
    </xf>
    <xf numFmtId="0" fontId="1" fillId="0" borderId="1" xfId="0" applyFont="1" applyBorder="1" applyAlignment="1" applyProtection="1">
      <alignment horizontal="justify" vertical="center"/>
      <protection locked="0"/>
    </xf>
    <xf numFmtId="0" fontId="9" fillId="2" borderId="5" xfId="0" applyFont="1" applyFill="1" applyBorder="1" applyAlignment="1" applyProtection="1">
      <alignment vertical="center" wrapText="1"/>
    </xf>
    <xf numFmtId="0" fontId="9" fillId="2" borderId="6" xfId="0" applyFont="1" applyFill="1" applyBorder="1" applyAlignment="1" applyProtection="1">
      <alignment vertical="center" wrapText="1"/>
    </xf>
    <xf numFmtId="0" fontId="0" fillId="4" borderId="0" xfId="0" applyFill="1" applyProtection="1">
      <alignment vertical="center"/>
    </xf>
    <xf numFmtId="0" fontId="4" fillId="5" borderId="0" xfId="0" applyFont="1" applyFill="1" applyAlignment="1" applyProtection="1">
      <alignment horizontal="center" vertical="center"/>
    </xf>
    <xf numFmtId="0" fontId="3" fillId="0" borderId="1" xfId="0" applyFont="1" applyFill="1" applyBorder="1" applyAlignment="1" applyProtection="1">
      <alignment horizontal="center" vertical="center" shrinkToFit="1"/>
    </xf>
    <xf numFmtId="0" fontId="0" fillId="0" borderId="1" xfId="0" applyFont="1" applyFill="1" applyBorder="1" applyAlignment="1" applyProtection="1">
      <alignment horizontal="center" vertical="center" shrinkToFit="1"/>
    </xf>
    <xf numFmtId="0" fontId="7" fillId="5" borderId="1" xfId="0" applyFont="1" applyFill="1" applyBorder="1" applyAlignment="1" applyProtection="1">
      <alignment horizontal="center" vertical="center" wrapText="1"/>
    </xf>
    <xf numFmtId="0" fontId="6" fillId="7" borderId="1" xfId="0" applyFont="1" applyFill="1" applyBorder="1" applyAlignment="1" applyProtection="1">
      <alignment horizontal="center" vertical="center" wrapText="1"/>
    </xf>
    <xf numFmtId="0" fontId="0" fillId="7" borderId="1" xfId="0" applyFill="1" applyBorder="1" applyAlignment="1" applyProtection="1">
      <alignment horizontal="center" vertical="center" shrinkToFit="1"/>
    </xf>
    <xf numFmtId="0" fontId="7" fillId="5" borderId="1" xfId="0" applyFont="1" applyFill="1" applyBorder="1" applyAlignment="1" applyProtection="1">
      <alignment horizontal="center" vertical="center" shrinkToFit="1"/>
    </xf>
    <xf numFmtId="0" fontId="3" fillId="6" borderId="1" xfId="0" applyFont="1" applyFill="1" applyBorder="1" applyAlignment="1" applyProtection="1">
      <alignment horizontal="center" vertical="center"/>
      <protection locked="0"/>
    </xf>
    <xf numFmtId="0" fontId="0" fillId="7" borderId="1" xfId="0" applyFill="1" applyBorder="1" applyAlignment="1" applyProtection="1">
      <alignment vertical="center" shrinkToFit="1"/>
    </xf>
    <xf numFmtId="0" fontId="0" fillId="7" borderId="1" xfId="0" applyFill="1" applyBorder="1" applyAlignment="1" applyProtection="1">
      <alignment horizontal="left" vertical="center" shrinkToFit="1"/>
    </xf>
    <xf numFmtId="0" fontId="14" fillId="9" borderId="1" xfId="0" applyFont="1" applyFill="1" applyBorder="1" applyAlignment="1" applyProtection="1">
      <alignment horizontal="center" vertical="center"/>
    </xf>
    <xf numFmtId="0" fontId="3" fillId="5" borderId="1" xfId="0" applyFont="1" applyFill="1" applyBorder="1" applyAlignment="1" applyProtection="1">
      <alignment horizontal="center" vertical="center"/>
    </xf>
    <xf numFmtId="0" fontId="3" fillId="0" borderId="1" xfId="0" applyFont="1" applyFill="1" applyBorder="1" applyAlignment="1" applyProtection="1">
      <alignment horizontal="center" vertical="center" shrinkToFit="1"/>
      <protection locked="0"/>
    </xf>
    <xf numFmtId="0" fontId="1" fillId="5" borderId="4" xfId="0" applyFont="1" applyFill="1" applyBorder="1" applyAlignment="1" applyProtection="1">
      <alignment horizontal="justify" vertical="center"/>
      <protection locked="0"/>
    </xf>
    <xf numFmtId="0" fontId="1" fillId="0" borderId="4" xfId="0" applyFont="1" applyBorder="1" applyAlignment="1" applyProtection="1">
      <alignment horizontal="justify" vertical="center"/>
      <protection locked="0"/>
    </xf>
    <xf numFmtId="0" fontId="1" fillId="0" borderId="4" xfId="0" applyFont="1" applyBorder="1" applyAlignment="1" applyProtection="1">
      <alignment horizontal="justify" vertical="center" wrapText="1"/>
      <protection locked="0"/>
    </xf>
    <xf numFmtId="0" fontId="1" fillId="5" borderId="4" xfId="0" applyFont="1" applyFill="1" applyBorder="1" applyAlignment="1" applyProtection="1">
      <alignment horizontal="left" vertical="center" wrapText="1"/>
      <protection locked="0"/>
    </xf>
    <xf numFmtId="0" fontId="10" fillId="11" borderId="1" xfId="0" applyFont="1" applyFill="1" applyBorder="1" applyAlignment="1" applyProtection="1">
      <alignment horizontal="center" vertical="center"/>
      <protection hidden="1"/>
    </xf>
    <xf numFmtId="0" fontId="1" fillId="5" borderId="0" xfId="0" applyFont="1" applyFill="1" applyBorder="1" applyAlignment="1" applyProtection="1">
      <alignment horizontal="justify" vertical="center"/>
      <protection locked="0"/>
    </xf>
    <xf numFmtId="0" fontId="11" fillId="5" borderId="1" xfId="0" applyFont="1" applyFill="1" applyBorder="1" applyAlignment="1" applyProtection="1">
      <alignment vertical="center" wrapText="1"/>
      <protection locked="0"/>
    </xf>
    <xf numFmtId="0" fontId="16" fillId="3" borderId="9" xfId="0" applyFont="1" applyFill="1" applyBorder="1" applyAlignment="1" applyProtection="1">
      <alignment horizontal="center" vertical="top" wrapText="1"/>
      <protection hidden="1"/>
    </xf>
    <xf numFmtId="0" fontId="16" fillId="3" borderId="7" xfId="0" applyFont="1" applyFill="1" applyBorder="1" applyAlignment="1" applyProtection="1">
      <alignment horizontal="center" vertical="top" wrapText="1"/>
      <protection hidden="1"/>
    </xf>
    <xf numFmtId="0" fontId="16" fillId="3" borderId="8" xfId="0" applyFont="1" applyFill="1" applyBorder="1" applyAlignment="1" applyProtection="1">
      <alignment horizontal="center" vertical="top" wrapText="1"/>
      <protection hidden="1"/>
    </xf>
    <xf numFmtId="0" fontId="11" fillId="13" borderId="1" xfId="0" applyFont="1" applyFill="1" applyBorder="1" applyAlignment="1" applyProtection="1">
      <alignment horizontal="left" vertical="center" wrapText="1"/>
      <protection locked="0" hidden="1"/>
    </xf>
    <xf numFmtId="0" fontId="1" fillId="0" borderId="1" xfId="0" applyFont="1" applyBorder="1" applyAlignment="1" applyProtection="1">
      <alignment horizontal="justify" vertical="center" wrapText="1"/>
      <protection locked="0"/>
    </xf>
    <xf numFmtId="0" fontId="3" fillId="5" borderId="1" xfId="0" applyFont="1" applyFill="1" applyBorder="1" applyAlignment="1" applyProtection="1">
      <alignment horizontal="center" vertical="center"/>
    </xf>
    <xf numFmtId="0" fontId="1" fillId="0" borderId="4" xfId="0" quotePrefix="1" applyFont="1" applyBorder="1" applyAlignment="1" applyProtection="1">
      <alignment horizontal="justify" vertical="center"/>
      <protection locked="0"/>
    </xf>
    <xf numFmtId="0" fontId="10" fillId="12" borderId="1" xfId="0" applyFont="1" applyFill="1" applyBorder="1" applyAlignment="1" applyProtection="1">
      <alignment horizontal="center" vertical="center"/>
      <protection locked="0"/>
    </xf>
    <xf numFmtId="0" fontId="19" fillId="12" borderId="1" xfId="0" applyFont="1" applyFill="1" applyBorder="1" applyAlignment="1" applyProtection="1">
      <alignment horizontal="center" vertical="center" wrapText="1"/>
      <protection locked="0"/>
    </xf>
    <xf numFmtId="0" fontId="8" fillId="3" borderId="3" xfId="0" applyFont="1" applyFill="1" applyBorder="1" applyAlignment="1" applyProtection="1">
      <alignment horizontal="center" vertical="top"/>
      <protection hidden="1"/>
    </xf>
    <xf numFmtId="0" fontId="17" fillId="8" borderId="3" xfId="0" applyFont="1" applyFill="1" applyBorder="1" applyAlignment="1" applyProtection="1">
      <alignment horizontal="left" vertical="center" wrapText="1"/>
      <protection hidden="1"/>
    </xf>
    <xf numFmtId="0" fontId="17" fillId="8" borderId="3" xfId="0" applyFont="1" applyFill="1" applyBorder="1" applyAlignment="1" applyProtection="1">
      <alignment horizontal="left" vertical="center"/>
      <protection hidden="1"/>
    </xf>
    <xf numFmtId="0" fontId="16" fillId="3" borderId="10" xfId="0" applyFont="1" applyFill="1" applyBorder="1" applyAlignment="1" applyProtection="1">
      <alignment horizontal="center" vertical="top" wrapText="1"/>
      <protection hidden="1"/>
    </xf>
    <xf numFmtId="0" fontId="16" fillId="3" borderId="9" xfId="0" applyFont="1" applyFill="1" applyBorder="1" applyAlignment="1" applyProtection="1">
      <alignment horizontal="center" vertical="top" wrapText="1"/>
      <protection hidden="1"/>
    </xf>
    <xf numFmtId="0" fontId="16" fillId="3" borderId="11" xfId="0" applyFont="1" applyFill="1" applyBorder="1" applyAlignment="1" applyProtection="1">
      <alignment horizontal="center" vertical="top" wrapText="1"/>
      <protection hidden="1"/>
    </xf>
    <xf numFmtId="0" fontId="16" fillId="3" borderId="7" xfId="0" applyFont="1" applyFill="1" applyBorder="1" applyAlignment="1" applyProtection="1">
      <alignment horizontal="center" vertical="top" wrapText="1"/>
      <protection hidden="1"/>
    </xf>
    <xf numFmtId="0" fontId="16" fillId="3" borderId="12" xfId="0" applyFont="1" applyFill="1" applyBorder="1" applyAlignment="1" applyProtection="1">
      <alignment horizontal="center" vertical="top" wrapText="1"/>
      <protection hidden="1"/>
    </xf>
    <xf numFmtId="0" fontId="16" fillId="3" borderId="8" xfId="0" applyFont="1" applyFill="1" applyBorder="1" applyAlignment="1" applyProtection="1">
      <alignment horizontal="center" vertical="top" wrapText="1"/>
      <protection hidden="1"/>
    </xf>
    <xf numFmtId="0" fontId="8" fillId="9" borderId="1" xfId="0" applyFont="1" applyFill="1" applyBorder="1" applyAlignment="1" applyProtection="1">
      <alignment horizontal="center" vertical="center" wrapText="1"/>
    </xf>
    <xf numFmtId="0" fontId="3" fillId="5" borderId="1" xfId="0"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3" fillId="8" borderId="4" xfId="0" applyFont="1" applyFill="1" applyBorder="1" applyAlignment="1" applyProtection="1">
      <alignment horizontal="left" vertical="center" wrapText="1"/>
    </xf>
    <xf numFmtId="0" fontId="13" fillId="8" borderId="5" xfId="0" applyFont="1" applyFill="1" applyBorder="1" applyAlignment="1" applyProtection="1">
      <alignment horizontal="left" vertical="center" wrapText="1"/>
    </xf>
    <xf numFmtId="0" fontId="13" fillId="8" borderId="6" xfId="0" applyFont="1" applyFill="1" applyBorder="1" applyAlignment="1" applyProtection="1">
      <alignment horizontal="left" vertical="center" wrapText="1"/>
    </xf>
    <xf numFmtId="0" fontId="18" fillId="2" borderId="4" xfId="0" applyFont="1" applyFill="1" applyBorder="1" applyAlignment="1" applyProtection="1">
      <alignment horizontal="center" vertical="center" wrapText="1"/>
    </xf>
    <xf numFmtId="0" fontId="18" fillId="2" borderId="5" xfId="0" applyFont="1" applyFill="1" applyBorder="1" applyAlignment="1" applyProtection="1">
      <alignment horizontal="center" vertical="center" wrapText="1"/>
    </xf>
    <xf numFmtId="0" fontId="13" fillId="8" borderId="0" xfId="0" applyFont="1" applyFill="1" applyAlignment="1" applyProtection="1">
      <alignment horizontal="left" vertical="center" wrapText="1"/>
    </xf>
    <xf numFmtId="0" fontId="8" fillId="2" borderId="0" xfId="0" applyFont="1" applyFill="1" applyAlignment="1">
      <alignment horizontal="center" vertical="center" wrapText="1"/>
    </xf>
    <xf numFmtId="0" fontId="12" fillId="3" borderId="3" xfId="0" applyFont="1" applyFill="1" applyBorder="1" applyAlignment="1">
      <alignment horizontal="center" vertical="center" wrapText="1"/>
    </xf>
    <xf numFmtId="0" fontId="12" fillId="3" borderId="8" xfId="0" applyFont="1" applyFill="1" applyBorder="1" applyAlignment="1">
      <alignment horizontal="center" vertical="center" wrapText="1"/>
    </xf>
  </cellXfs>
  <cellStyles count="4">
    <cellStyle name="표준" xfId="0" builtinId="0"/>
    <cellStyle name="표준 2" xfId="1"/>
    <cellStyle name="표준 2 2" xfId="3"/>
    <cellStyle name="표준 3" xfId="2"/>
  </cellStyles>
  <dxfs count="0"/>
  <tableStyles count="0" defaultTableStyle="TableStyleMedium9" defaultPivotStyle="PivotStyleLight16"/>
  <colors>
    <mruColors>
      <color rgb="FFFFFF99"/>
      <color rgb="FF99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409575</xdr:colOff>
          <xdr:row>1</xdr:row>
          <xdr:rowOff>361950</xdr:rowOff>
        </xdr:from>
        <xdr:to>
          <xdr:col>4</xdr:col>
          <xdr:colOff>590550</xdr:colOff>
          <xdr:row>1</xdr:row>
          <xdr:rowOff>609600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1000" b="0" i="0" u="none" strike="noStrike" baseline="0">
                  <a:solidFill>
                    <a:srgbClr val="000000"/>
                  </a:solidFill>
                  <a:latin typeface="맑은 고딕"/>
                  <a:ea typeface="맑은 고딕"/>
                </a:rPr>
                <a:t>일자순으로 정렬하기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1</xdr:row>
          <xdr:rowOff>342900</xdr:rowOff>
        </xdr:from>
        <xdr:to>
          <xdr:col>5</xdr:col>
          <xdr:colOff>3190875</xdr:colOff>
          <xdr:row>1</xdr:row>
          <xdr:rowOff>609600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맞춤법 검사하기</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pageSetUpPr fitToPage="1"/>
  </sheetPr>
  <dimension ref="A1:H100"/>
  <sheetViews>
    <sheetView zoomScaleNormal="100" workbookViewId="0">
      <pane xSplit="2" ySplit="3" topLeftCell="C37" activePane="bottomRight" state="frozen"/>
      <selection pane="topRight" activeCell="C1" sqref="C1"/>
      <selection pane="bottomLeft" activeCell="A4" sqref="A4"/>
      <selection pane="bottomRight" activeCell="E55" sqref="E55"/>
    </sheetView>
  </sheetViews>
  <sheetFormatPr defaultColWidth="9" defaultRowHeight="16.5" x14ac:dyDescent="0.3"/>
  <cols>
    <col min="1" max="1" width="2.25" style="7" customWidth="1"/>
    <col min="2" max="2" width="5.25" style="7" customWidth="1"/>
    <col min="3" max="4" width="7.625" style="8" customWidth="1"/>
    <col min="5" max="5" width="18.25" style="9" customWidth="1"/>
    <col min="6" max="6" width="53" style="7" customWidth="1"/>
    <col min="7" max="8" width="39" style="7" customWidth="1"/>
    <col min="9" max="16384" width="9" style="7"/>
  </cols>
  <sheetData>
    <row r="1" spans="1:8" ht="12.75" customHeight="1" x14ac:dyDescent="0.3"/>
    <row r="2" spans="1:8" ht="51" customHeight="1" x14ac:dyDescent="0.3">
      <c r="A2" s="14"/>
      <c r="B2" s="55" t="s">
        <v>48</v>
      </c>
      <c r="C2" s="55"/>
      <c r="D2" s="55"/>
      <c r="E2" s="55"/>
      <c r="F2" s="55"/>
      <c r="G2" s="56" t="s">
        <v>63</v>
      </c>
      <c r="H2" s="57"/>
    </row>
    <row r="3" spans="1:8" ht="22.5" customHeight="1" x14ac:dyDescent="0.3">
      <c r="B3" s="10" t="s">
        <v>27</v>
      </c>
      <c r="C3" s="10" t="s">
        <v>39</v>
      </c>
      <c r="D3" s="10" t="s">
        <v>65</v>
      </c>
      <c r="E3" s="11" t="s">
        <v>3</v>
      </c>
      <c r="F3" s="10" t="s">
        <v>4</v>
      </c>
      <c r="G3" s="43" t="s">
        <v>60</v>
      </c>
      <c r="H3" s="43" t="s">
        <v>67</v>
      </c>
    </row>
    <row r="4" spans="1:8" ht="40.5" x14ac:dyDescent="0.3">
      <c r="B4" s="10">
        <v>1</v>
      </c>
      <c r="C4" s="19">
        <v>319</v>
      </c>
      <c r="D4" s="19"/>
      <c r="E4" s="38" t="s">
        <v>91</v>
      </c>
      <c r="F4" s="39" t="s">
        <v>134</v>
      </c>
      <c r="G4" s="49"/>
      <c r="H4" s="49"/>
    </row>
    <row r="5" spans="1:8" ht="40.5" x14ac:dyDescent="0.3">
      <c r="B5" s="10">
        <v>2</v>
      </c>
      <c r="C5" s="19">
        <v>326</v>
      </c>
      <c r="D5" s="19"/>
      <c r="E5" s="20" t="s">
        <v>90</v>
      </c>
      <c r="F5" s="42" t="s">
        <v>131</v>
      </c>
      <c r="G5" s="49"/>
      <c r="H5" s="49"/>
    </row>
    <row r="6" spans="1:8" ht="54" x14ac:dyDescent="0.3">
      <c r="B6" s="10">
        <v>3</v>
      </c>
      <c r="C6" s="19">
        <v>409</v>
      </c>
      <c r="D6" s="19"/>
      <c r="E6" s="20" t="s">
        <v>127</v>
      </c>
      <c r="F6" s="39" t="s">
        <v>132</v>
      </c>
      <c r="G6" s="49"/>
      <c r="H6" s="49"/>
    </row>
    <row r="7" spans="1:8" ht="27" x14ac:dyDescent="0.3">
      <c r="B7" s="10">
        <v>4</v>
      </c>
      <c r="C7" s="19">
        <v>507</v>
      </c>
      <c r="D7" s="19"/>
      <c r="E7" s="20" t="s">
        <v>102</v>
      </c>
      <c r="F7" s="39" t="s">
        <v>136</v>
      </c>
      <c r="G7" s="49"/>
      <c r="H7" s="49"/>
    </row>
    <row r="8" spans="1:8" ht="40.5" x14ac:dyDescent="0.3">
      <c r="B8" s="10">
        <v>5</v>
      </c>
      <c r="C8" s="19">
        <v>611</v>
      </c>
      <c r="D8" s="19"/>
      <c r="E8" s="20" t="s">
        <v>95</v>
      </c>
      <c r="F8" s="39" t="s">
        <v>133</v>
      </c>
      <c r="G8" s="49"/>
      <c r="H8" s="49"/>
    </row>
    <row r="9" spans="1:8" ht="40.5" x14ac:dyDescent="0.3">
      <c r="B9" s="10">
        <v>6</v>
      </c>
      <c r="C9" s="19"/>
      <c r="D9" s="19"/>
      <c r="E9" s="20" t="s">
        <v>96</v>
      </c>
      <c r="F9" s="52" t="s">
        <v>122</v>
      </c>
      <c r="G9" s="49"/>
      <c r="H9" s="49"/>
    </row>
    <row r="10" spans="1:8" ht="40.5" x14ac:dyDescent="0.3">
      <c r="B10" s="10">
        <v>7</v>
      </c>
      <c r="C10" s="19"/>
      <c r="D10" s="19"/>
      <c r="E10" s="38" t="s">
        <v>129</v>
      </c>
      <c r="F10" s="52" t="s">
        <v>124</v>
      </c>
      <c r="G10" s="49"/>
      <c r="H10" s="49"/>
    </row>
    <row r="11" spans="1:8" ht="40.5" x14ac:dyDescent="0.3">
      <c r="B11" s="10">
        <v>8</v>
      </c>
      <c r="C11" s="19">
        <v>910</v>
      </c>
      <c r="D11" s="19"/>
      <c r="E11" s="20" t="s">
        <v>99</v>
      </c>
      <c r="F11" s="39" t="s">
        <v>130</v>
      </c>
      <c r="G11" s="49"/>
      <c r="H11" s="49"/>
    </row>
    <row r="12" spans="1:8" ht="40.5" x14ac:dyDescent="0.3">
      <c r="B12" s="10">
        <v>9</v>
      </c>
      <c r="C12" s="19">
        <v>1224</v>
      </c>
      <c r="D12" s="19"/>
      <c r="E12" s="38" t="s">
        <v>128</v>
      </c>
      <c r="F12" s="40" t="s">
        <v>135</v>
      </c>
      <c r="G12" s="49"/>
      <c r="H12" s="49"/>
    </row>
    <row r="13" spans="1:8" ht="40.5" x14ac:dyDescent="0.3">
      <c r="B13" s="10">
        <v>10</v>
      </c>
      <c r="C13" s="19"/>
      <c r="D13" s="19"/>
      <c r="E13" s="38" t="s">
        <v>125</v>
      </c>
      <c r="F13" s="39" t="s">
        <v>126</v>
      </c>
      <c r="G13" s="49"/>
      <c r="H13" s="49"/>
    </row>
    <row r="14" spans="1:8" ht="40.5" x14ac:dyDescent="0.3">
      <c r="B14" s="10">
        <v>11</v>
      </c>
      <c r="C14" s="19"/>
      <c r="D14" s="19"/>
      <c r="E14" s="20" t="s">
        <v>92</v>
      </c>
      <c r="F14" s="44" t="s">
        <v>101</v>
      </c>
      <c r="G14" s="49"/>
      <c r="H14" s="49"/>
    </row>
    <row r="15" spans="1:8" ht="40.5" x14ac:dyDescent="0.3">
      <c r="B15" s="10">
        <v>12</v>
      </c>
      <c r="C15" s="19"/>
      <c r="D15" s="19"/>
      <c r="E15" s="20" t="s">
        <v>93</v>
      </c>
      <c r="F15" s="39" t="s">
        <v>123</v>
      </c>
      <c r="G15" s="49"/>
      <c r="H15" s="49"/>
    </row>
    <row r="16" spans="1:8" ht="27" x14ac:dyDescent="0.3">
      <c r="B16" s="10">
        <v>13</v>
      </c>
      <c r="C16" s="19"/>
      <c r="D16" s="19"/>
      <c r="E16" s="20" t="s">
        <v>94</v>
      </c>
      <c r="F16" s="40" t="s">
        <v>100</v>
      </c>
      <c r="G16" s="49"/>
      <c r="H16" s="49"/>
    </row>
    <row r="17" spans="2:8" ht="54" x14ac:dyDescent="0.3">
      <c r="B17" s="10">
        <v>14</v>
      </c>
      <c r="C17" s="19"/>
      <c r="D17" s="19"/>
      <c r="E17" s="38" t="s">
        <v>97</v>
      </c>
      <c r="F17" s="40" t="s">
        <v>98</v>
      </c>
      <c r="G17" s="49"/>
      <c r="H17" s="49"/>
    </row>
    <row r="18" spans="2:8" ht="40.5" x14ac:dyDescent="0.3">
      <c r="B18" s="10">
        <v>15</v>
      </c>
      <c r="C18" s="19"/>
      <c r="D18" s="19"/>
      <c r="E18" s="38" t="s">
        <v>89</v>
      </c>
      <c r="F18" s="41" t="s">
        <v>69</v>
      </c>
      <c r="G18" s="49"/>
      <c r="H18" s="49"/>
    </row>
    <row r="19" spans="2:8" ht="54" x14ac:dyDescent="0.3">
      <c r="B19" s="10">
        <v>16</v>
      </c>
      <c r="C19" s="19"/>
      <c r="D19" s="19">
        <v>5</v>
      </c>
      <c r="E19" s="38" t="s">
        <v>74</v>
      </c>
      <c r="F19" s="40" t="s">
        <v>75</v>
      </c>
      <c r="G19" s="49"/>
      <c r="H19" s="49"/>
    </row>
    <row r="20" spans="2:8" ht="54" x14ac:dyDescent="0.3">
      <c r="B20" s="10">
        <v>17</v>
      </c>
      <c r="C20" s="19"/>
      <c r="D20" s="19"/>
      <c r="E20" s="38" t="s">
        <v>71</v>
      </c>
      <c r="F20" s="40" t="s">
        <v>70</v>
      </c>
      <c r="G20" s="49"/>
      <c r="H20" s="49"/>
    </row>
    <row r="21" spans="2:8" x14ac:dyDescent="0.3">
      <c r="B21" s="10">
        <v>18</v>
      </c>
      <c r="C21" s="19"/>
      <c r="D21" s="19"/>
      <c r="E21" s="20"/>
      <c r="F21" s="39"/>
      <c r="G21" s="49"/>
      <c r="H21" s="49"/>
    </row>
    <row r="22" spans="2:8" x14ac:dyDescent="0.3">
      <c r="B22" s="10">
        <v>19</v>
      </c>
      <c r="C22" s="19"/>
      <c r="D22" s="19"/>
      <c r="E22" s="20"/>
      <c r="F22" s="39"/>
      <c r="G22" s="49"/>
      <c r="H22" s="49"/>
    </row>
    <row r="23" spans="2:8" x14ac:dyDescent="0.3">
      <c r="B23" s="10">
        <v>20</v>
      </c>
      <c r="C23" s="19"/>
      <c r="D23" s="19"/>
      <c r="E23" s="20"/>
      <c r="F23" s="39"/>
      <c r="G23" s="49"/>
      <c r="H23" s="49"/>
    </row>
    <row r="24" spans="2:8" x14ac:dyDescent="0.3">
      <c r="B24" s="10">
        <v>21</v>
      </c>
      <c r="C24" s="19"/>
      <c r="D24" s="19"/>
      <c r="E24" s="20"/>
      <c r="F24" s="39"/>
      <c r="G24" s="49"/>
      <c r="H24" s="49"/>
    </row>
    <row r="25" spans="2:8" x14ac:dyDescent="0.3">
      <c r="B25" s="10">
        <v>22</v>
      </c>
      <c r="C25" s="19"/>
      <c r="D25" s="19"/>
      <c r="E25" s="20"/>
      <c r="F25" s="40"/>
      <c r="G25" s="49"/>
      <c r="H25" s="49"/>
    </row>
    <row r="26" spans="2:8" x14ac:dyDescent="0.3">
      <c r="B26" s="10">
        <v>23</v>
      </c>
      <c r="C26" s="19"/>
      <c r="D26" s="19"/>
      <c r="E26" s="20"/>
      <c r="F26" s="39"/>
      <c r="G26" s="49"/>
      <c r="H26" s="49"/>
    </row>
    <row r="27" spans="2:8" x14ac:dyDescent="0.3">
      <c r="B27" s="10">
        <v>24</v>
      </c>
      <c r="C27" s="19"/>
      <c r="D27" s="19"/>
      <c r="E27" s="20"/>
      <c r="F27" s="40"/>
      <c r="G27" s="49"/>
      <c r="H27" s="49"/>
    </row>
    <row r="28" spans="2:8" x14ac:dyDescent="0.3">
      <c r="B28" s="10">
        <v>25</v>
      </c>
      <c r="C28" s="19"/>
      <c r="D28" s="19"/>
      <c r="E28" s="38"/>
      <c r="F28" s="40"/>
      <c r="G28" s="49"/>
      <c r="H28" s="49"/>
    </row>
    <row r="29" spans="2:8" x14ac:dyDescent="0.3">
      <c r="B29" s="10">
        <v>26</v>
      </c>
      <c r="C29" s="19"/>
      <c r="D29" s="19"/>
      <c r="E29" s="38"/>
      <c r="F29" s="40"/>
      <c r="G29" s="49"/>
      <c r="H29" s="49"/>
    </row>
    <row r="30" spans="2:8" x14ac:dyDescent="0.3">
      <c r="B30" s="10">
        <v>27</v>
      </c>
      <c r="C30" s="19"/>
      <c r="D30" s="19"/>
      <c r="E30" s="38"/>
      <c r="F30" s="41"/>
      <c r="G30" s="49"/>
      <c r="H30" s="49"/>
    </row>
    <row r="31" spans="2:8" x14ac:dyDescent="0.3">
      <c r="B31" s="10">
        <v>28</v>
      </c>
      <c r="C31" s="19"/>
      <c r="D31" s="19"/>
      <c r="E31" s="38"/>
      <c r="F31" s="44"/>
      <c r="G31" s="49"/>
      <c r="H31" s="49"/>
    </row>
    <row r="32" spans="2:8" x14ac:dyDescent="0.3">
      <c r="B32" s="10">
        <v>29</v>
      </c>
      <c r="C32" s="19"/>
      <c r="D32" s="19"/>
      <c r="E32" s="38"/>
      <c r="F32" s="40"/>
      <c r="G32" s="49"/>
      <c r="H32" s="49"/>
    </row>
    <row r="33" spans="2:8" x14ac:dyDescent="0.3">
      <c r="B33" s="10">
        <v>30</v>
      </c>
      <c r="C33" s="19"/>
      <c r="D33" s="19"/>
      <c r="E33" s="38"/>
      <c r="F33" s="39"/>
      <c r="G33" s="49"/>
      <c r="H33" s="49"/>
    </row>
    <row r="34" spans="2:8" ht="27" x14ac:dyDescent="0.3">
      <c r="B34" s="58" t="s">
        <v>64</v>
      </c>
      <c r="C34" s="59"/>
      <c r="D34" s="46"/>
      <c r="E34" s="20" t="s">
        <v>5</v>
      </c>
      <c r="F34" s="21" t="s">
        <v>6</v>
      </c>
    </row>
    <row r="35" spans="2:8" ht="27" x14ac:dyDescent="0.3">
      <c r="B35" s="60"/>
      <c r="C35" s="61"/>
      <c r="D35" s="47"/>
      <c r="E35" s="20" t="s">
        <v>7</v>
      </c>
      <c r="F35" s="22" t="s">
        <v>8</v>
      </c>
    </row>
    <row r="36" spans="2:8" ht="27" x14ac:dyDescent="0.3">
      <c r="B36" s="60"/>
      <c r="C36" s="61"/>
      <c r="D36" s="47"/>
      <c r="E36" s="20" t="s">
        <v>9</v>
      </c>
      <c r="F36" s="22" t="s">
        <v>22</v>
      </c>
    </row>
    <row r="37" spans="2:8" ht="27" x14ac:dyDescent="0.3">
      <c r="B37" s="60"/>
      <c r="C37" s="61"/>
      <c r="D37" s="47"/>
      <c r="E37" s="20" t="s">
        <v>10</v>
      </c>
      <c r="F37" s="22" t="s">
        <v>23</v>
      </c>
    </row>
    <row r="38" spans="2:8" ht="27" x14ac:dyDescent="0.3">
      <c r="B38" s="60"/>
      <c r="C38" s="61"/>
      <c r="D38" s="47"/>
      <c r="E38" s="20" t="s">
        <v>11</v>
      </c>
      <c r="F38" s="22" t="s">
        <v>24</v>
      </c>
    </row>
    <row r="39" spans="2:8" ht="27" x14ac:dyDescent="0.3">
      <c r="B39" s="60"/>
      <c r="C39" s="61"/>
      <c r="D39" s="47"/>
      <c r="E39" s="20" t="s">
        <v>12</v>
      </c>
      <c r="F39" s="21" t="s">
        <v>13</v>
      </c>
    </row>
    <row r="40" spans="2:8" ht="40.5" x14ac:dyDescent="0.3">
      <c r="B40" s="60"/>
      <c r="C40" s="61"/>
      <c r="D40" s="47"/>
      <c r="E40" s="20" t="s">
        <v>14</v>
      </c>
      <c r="F40" s="22" t="s">
        <v>44</v>
      </c>
    </row>
    <row r="41" spans="2:8" ht="27" x14ac:dyDescent="0.3">
      <c r="B41" s="60"/>
      <c r="C41" s="61"/>
      <c r="D41" s="47"/>
      <c r="E41" s="20" t="s">
        <v>15</v>
      </c>
      <c r="F41" s="22" t="s">
        <v>16</v>
      </c>
    </row>
    <row r="42" spans="2:8" ht="27" x14ac:dyDescent="0.3">
      <c r="B42" s="60"/>
      <c r="C42" s="61"/>
      <c r="D42" s="47"/>
      <c r="E42" s="20" t="s">
        <v>17</v>
      </c>
      <c r="F42" s="22" t="s">
        <v>18</v>
      </c>
    </row>
    <row r="43" spans="2:8" ht="27" x14ac:dyDescent="0.3">
      <c r="B43" s="60"/>
      <c r="C43" s="61"/>
      <c r="D43" s="47"/>
      <c r="E43" s="20" t="s">
        <v>19</v>
      </c>
      <c r="F43" s="22" t="s">
        <v>45</v>
      </c>
    </row>
    <row r="44" spans="2:8" ht="54" x14ac:dyDescent="0.3">
      <c r="B44" s="60"/>
      <c r="C44" s="61"/>
      <c r="D44" s="47"/>
      <c r="E44" s="20" t="s">
        <v>20</v>
      </c>
      <c r="F44" s="22" t="s">
        <v>25</v>
      </c>
    </row>
    <row r="45" spans="2:8" ht="27" x14ac:dyDescent="0.3">
      <c r="B45" s="60"/>
      <c r="C45" s="61"/>
      <c r="D45" s="47"/>
      <c r="E45" s="20" t="s">
        <v>21</v>
      </c>
      <c r="F45" s="22" t="s">
        <v>26</v>
      </c>
    </row>
    <row r="46" spans="2:8" ht="81" x14ac:dyDescent="0.3">
      <c r="B46" s="60"/>
      <c r="C46" s="61"/>
      <c r="D46" s="47"/>
      <c r="E46" s="20" t="s">
        <v>29</v>
      </c>
      <c r="F46" s="21" t="s">
        <v>59</v>
      </c>
    </row>
    <row r="47" spans="2:8" ht="67.5" x14ac:dyDescent="0.3">
      <c r="B47" s="60"/>
      <c r="C47" s="61"/>
      <c r="D47" s="47"/>
      <c r="E47" s="20" t="s">
        <v>30</v>
      </c>
      <c r="F47" s="22" t="s">
        <v>52</v>
      </c>
    </row>
    <row r="48" spans="2:8" ht="40.5" x14ac:dyDescent="0.3">
      <c r="B48" s="60"/>
      <c r="C48" s="61"/>
      <c r="D48" s="47"/>
      <c r="E48" s="20" t="s">
        <v>38</v>
      </c>
      <c r="F48" s="21" t="s">
        <v>50</v>
      </c>
    </row>
    <row r="49" spans="2:6" ht="40.5" x14ac:dyDescent="0.3">
      <c r="B49" s="60"/>
      <c r="C49" s="61"/>
      <c r="D49" s="47"/>
      <c r="E49" s="20" t="s">
        <v>37</v>
      </c>
      <c r="F49" s="22" t="s">
        <v>53</v>
      </c>
    </row>
    <row r="50" spans="2:6" ht="54" x14ac:dyDescent="0.3">
      <c r="B50" s="60"/>
      <c r="C50" s="61"/>
      <c r="D50" s="47"/>
      <c r="E50" s="38" t="s">
        <v>31</v>
      </c>
      <c r="F50" s="22" t="s">
        <v>54</v>
      </c>
    </row>
    <row r="51" spans="2:6" ht="54" x14ac:dyDescent="0.3">
      <c r="B51" s="60"/>
      <c r="C51" s="61"/>
      <c r="D51" s="47"/>
      <c r="E51" s="38" t="s">
        <v>32</v>
      </c>
      <c r="F51" s="22" t="s">
        <v>51</v>
      </c>
    </row>
    <row r="52" spans="2:6" ht="40.5" x14ac:dyDescent="0.3">
      <c r="B52" s="60"/>
      <c r="C52" s="61"/>
      <c r="D52" s="47"/>
      <c r="E52" s="38" t="s">
        <v>35</v>
      </c>
      <c r="F52" s="50" t="s">
        <v>55</v>
      </c>
    </row>
    <row r="53" spans="2:6" ht="54" x14ac:dyDescent="0.3">
      <c r="B53" s="60"/>
      <c r="C53" s="61"/>
      <c r="D53" s="47"/>
      <c r="E53" s="38" t="s">
        <v>33</v>
      </c>
      <c r="F53" s="21" t="s">
        <v>56</v>
      </c>
    </row>
    <row r="54" spans="2:6" ht="40.5" x14ac:dyDescent="0.3">
      <c r="B54" s="60"/>
      <c r="C54" s="61"/>
      <c r="D54" s="47"/>
      <c r="E54" s="38" t="s">
        <v>34</v>
      </c>
      <c r="F54" s="22" t="s">
        <v>57</v>
      </c>
    </row>
    <row r="55" spans="2:6" ht="54" x14ac:dyDescent="0.3">
      <c r="B55" s="60"/>
      <c r="C55" s="61"/>
      <c r="D55" s="47"/>
      <c r="E55" s="38" t="s">
        <v>36</v>
      </c>
      <c r="F55" s="21" t="s">
        <v>58</v>
      </c>
    </row>
    <row r="56" spans="2:6" ht="81" x14ac:dyDescent="0.3">
      <c r="B56" s="60"/>
      <c r="C56" s="61"/>
      <c r="D56" s="47"/>
      <c r="E56" s="20" t="s">
        <v>73</v>
      </c>
      <c r="F56" s="21" t="s">
        <v>72</v>
      </c>
    </row>
    <row r="57" spans="2:6" ht="54" x14ac:dyDescent="0.3">
      <c r="B57" s="60"/>
      <c r="C57" s="61"/>
      <c r="D57" s="47"/>
      <c r="E57" s="20" t="s">
        <v>77</v>
      </c>
      <c r="F57" s="21" t="s">
        <v>76</v>
      </c>
    </row>
    <row r="58" spans="2:6" ht="40.5" x14ac:dyDescent="0.3">
      <c r="B58" s="60"/>
      <c r="C58" s="61"/>
      <c r="D58" s="47"/>
      <c r="E58" s="20" t="s">
        <v>78</v>
      </c>
      <c r="F58" s="21" t="s">
        <v>79</v>
      </c>
    </row>
    <row r="59" spans="2:6" ht="54" x14ac:dyDescent="0.3">
      <c r="B59" s="60"/>
      <c r="C59" s="61"/>
      <c r="D59" s="47"/>
      <c r="E59" s="20" t="s">
        <v>80</v>
      </c>
      <c r="F59" s="21" t="s">
        <v>81</v>
      </c>
    </row>
    <row r="60" spans="2:6" ht="54" x14ac:dyDescent="0.3">
      <c r="B60" s="60"/>
      <c r="C60" s="61"/>
      <c r="D60" s="47"/>
      <c r="E60" s="20" t="s">
        <v>82</v>
      </c>
      <c r="F60" s="21" t="s">
        <v>83</v>
      </c>
    </row>
    <row r="61" spans="2:6" ht="40.5" x14ac:dyDescent="0.3">
      <c r="B61" s="60"/>
      <c r="C61" s="61"/>
      <c r="D61" s="47"/>
      <c r="E61" s="20" t="s">
        <v>84</v>
      </c>
      <c r="F61" s="21" t="s">
        <v>85</v>
      </c>
    </row>
    <row r="62" spans="2:6" ht="40.5" x14ac:dyDescent="0.3">
      <c r="B62" s="60"/>
      <c r="C62" s="61"/>
      <c r="D62" s="47"/>
      <c r="E62" s="20" t="s">
        <v>86</v>
      </c>
      <c r="F62" s="21" t="s">
        <v>87</v>
      </c>
    </row>
    <row r="63" spans="2:6" ht="40.5" x14ac:dyDescent="0.3">
      <c r="B63" s="60"/>
      <c r="C63" s="61"/>
      <c r="D63" s="47"/>
      <c r="E63" s="20" t="s">
        <v>86</v>
      </c>
      <c r="F63" s="21" t="s">
        <v>88</v>
      </c>
    </row>
    <row r="64" spans="2:6" x14ac:dyDescent="0.3">
      <c r="B64" s="60"/>
      <c r="C64" s="61"/>
      <c r="D64" s="47"/>
      <c r="E64" s="20"/>
      <c r="F64" s="21"/>
    </row>
    <row r="65" spans="2:6" x14ac:dyDescent="0.3">
      <c r="B65" s="60"/>
      <c r="C65" s="61"/>
      <c r="D65" s="47"/>
      <c r="E65" s="20"/>
      <c r="F65" s="21"/>
    </row>
    <row r="66" spans="2:6" x14ac:dyDescent="0.3">
      <c r="B66" s="60"/>
      <c r="C66" s="61"/>
      <c r="D66" s="47"/>
      <c r="E66" s="20"/>
      <c r="F66" s="21"/>
    </row>
    <row r="67" spans="2:6" x14ac:dyDescent="0.3">
      <c r="B67" s="60"/>
      <c r="C67" s="61"/>
      <c r="D67" s="47"/>
      <c r="E67" s="20"/>
      <c r="F67" s="21"/>
    </row>
    <row r="68" spans="2:6" x14ac:dyDescent="0.3">
      <c r="B68" s="60"/>
      <c r="C68" s="61"/>
      <c r="D68" s="47"/>
      <c r="E68" s="20"/>
      <c r="F68" s="21"/>
    </row>
    <row r="69" spans="2:6" x14ac:dyDescent="0.3">
      <c r="B69" s="60"/>
      <c r="C69" s="61"/>
      <c r="D69" s="47"/>
      <c r="E69" s="20"/>
      <c r="F69" s="21"/>
    </row>
    <row r="70" spans="2:6" x14ac:dyDescent="0.3">
      <c r="B70" s="60"/>
      <c r="C70" s="61"/>
      <c r="D70" s="47"/>
      <c r="E70" s="20"/>
      <c r="F70" s="21"/>
    </row>
    <row r="71" spans="2:6" x14ac:dyDescent="0.3">
      <c r="B71" s="60"/>
      <c r="C71" s="61"/>
      <c r="D71" s="47"/>
      <c r="E71" s="20"/>
      <c r="F71" s="21"/>
    </row>
    <row r="72" spans="2:6" x14ac:dyDescent="0.3">
      <c r="B72" s="60"/>
      <c r="C72" s="61"/>
      <c r="D72" s="47"/>
      <c r="E72" s="20"/>
      <c r="F72" s="21"/>
    </row>
    <row r="73" spans="2:6" x14ac:dyDescent="0.3">
      <c r="B73" s="60"/>
      <c r="C73" s="61"/>
      <c r="D73" s="47"/>
      <c r="E73" s="20"/>
      <c r="F73" s="21"/>
    </row>
    <row r="74" spans="2:6" x14ac:dyDescent="0.3">
      <c r="B74" s="60"/>
      <c r="C74" s="61"/>
      <c r="D74" s="47"/>
      <c r="E74" s="20"/>
      <c r="F74" s="21"/>
    </row>
    <row r="75" spans="2:6" x14ac:dyDescent="0.3">
      <c r="B75" s="60"/>
      <c r="C75" s="61"/>
      <c r="D75" s="47"/>
      <c r="E75" s="20"/>
      <c r="F75" s="21"/>
    </row>
    <row r="76" spans="2:6" x14ac:dyDescent="0.3">
      <c r="B76" s="60"/>
      <c r="C76" s="61"/>
      <c r="D76" s="47"/>
      <c r="E76" s="20"/>
      <c r="F76" s="21"/>
    </row>
    <row r="77" spans="2:6" x14ac:dyDescent="0.3">
      <c r="B77" s="60"/>
      <c r="C77" s="61"/>
      <c r="D77" s="47"/>
      <c r="E77" s="20"/>
      <c r="F77" s="21"/>
    </row>
    <row r="78" spans="2:6" x14ac:dyDescent="0.3">
      <c r="B78" s="60"/>
      <c r="C78" s="61"/>
      <c r="D78" s="47"/>
      <c r="E78" s="20"/>
      <c r="F78" s="21"/>
    </row>
    <row r="79" spans="2:6" x14ac:dyDescent="0.3">
      <c r="B79" s="60"/>
      <c r="C79" s="61"/>
      <c r="D79" s="47"/>
      <c r="E79" s="20"/>
      <c r="F79" s="21"/>
    </row>
    <row r="80" spans="2:6" x14ac:dyDescent="0.3">
      <c r="B80" s="60"/>
      <c r="C80" s="61"/>
      <c r="D80" s="47"/>
      <c r="E80" s="20"/>
      <c r="F80" s="21"/>
    </row>
    <row r="81" spans="2:6" x14ac:dyDescent="0.3">
      <c r="B81" s="60"/>
      <c r="C81" s="61"/>
      <c r="D81" s="47"/>
      <c r="E81" s="20"/>
      <c r="F81" s="21"/>
    </row>
    <row r="82" spans="2:6" x14ac:dyDescent="0.3">
      <c r="B82" s="60"/>
      <c r="C82" s="61"/>
      <c r="D82" s="47"/>
      <c r="E82" s="20"/>
      <c r="F82" s="21"/>
    </row>
    <row r="83" spans="2:6" x14ac:dyDescent="0.3">
      <c r="B83" s="60"/>
      <c r="C83" s="61"/>
      <c r="D83" s="47"/>
      <c r="E83" s="20"/>
      <c r="F83" s="21"/>
    </row>
    <row r="84" spans="2:6" x14ac:dyDescent="0.3">
      <c r="B84" s="60"/>
      <c r="C84" s="61"/>
      <c r="D84" s="47"/>
      <c r="E84" s="20"/>
      <c r="F84" s="21"/>
    </row>
    <row r="85" spans="2:6" x14ac:dyDescent="0.3">
      <c r="B85" s="60"/>
      <c r="C85" s="61"/>
      <c r="D85" s="47"/>
      <c r="E85" s="20"/>
      <c r="F85" s="21"/>
    </row>
    <row r="86" spans="2:6" x14ac:dyDescent="0.3">
      <c r="B86" s="60"/>
      <c r="C86" s="61"/>
      <c r="D86" s="47"/>
      <c r="E86" s="20"/>
      <c r="F86" s="21"/>
    </row>
    <row r="87" spans="2:6" x14ac:dyDescent="0.3">
      <c r="B87" s="60"/>
      <c r="C87" s="61"/>
      <c r="D87" s="47"/>
      <c r="E87" s="20"/>
      <c r="F87" s="21"/>
    </row>
    <row r="88" spans="2:6" x14ac:dyDescent="0.3">
      <c r="B88" s="60"/>
      <c r="C88" s="61"/>
      <c r="D88" s="47"/>
      <c r="E88" s="20"/>
      <c r="F88" s="21"/>
    </row>
    <row r="89" spans="2:6" x14ac:dyDescent="0.3">
      <c r="B89" s="60"/>
      <c r="C89" s="61"/>
      <c r="D89" s="47"/>
      <c r="E89" s="20"/>
      <c r="F89" s="21"/>
    </row>
    <row r="90" spans="2:6" x14ac:dyDescent="0.3">
      <c r="B90" s="62"/>
      <c r="C90" s="63"/>
      <c r="D90" s="48"/>
      <c r="E90" s="20"/>
      <c r="F90" s="21"/>
    </row>
    <row r="91" spans="2:6" ht="18.600000000000001" customHeight="1" x14ac:dyDescent="0.3"/>
    <row r="92" spans="2:6" ht="18.600000000000001" customHeight="1" x14ac:dyDescent="0.3"/>
    <row r="93" spans="2:6" ht="18.600000000000001" customHeight="1" x14ac:dyDescent="0.3"/>
    <row r="94" spans="2:6" ht="18.600000000000001" customHeight="1" x14ac:dyDescent="0.3"/>
    <row r="95" spans="2:6" ht="18.600000000000001" customHeight="1" x14ac:dyDescent="0.3"/>
    <row r="96" spans="2:6" ht="18.600000000000001" customHeight="1" x14ac:dyDescent="0.3"/>
    <row r="97" ht="18.600000000000001" customHeight="1" x14ac:dyDescent="0.3"/>
    <row r="98" ht="18.600000000000001" customHeight="1" x14ac:dyDescent="0.3"/>
    <row r="99" ht="18.600000000000001" customHeight="1" x14ac:dyDescent="0.3"/>
    <row r="100" ht="18.600000000000001" customHeight="1" x14ac:dyDescent="0.3"/>
  </sheetData>
  <sheetProtection algorithmName="SHA-512" hashValue="LRHt+EgIUwrk6S2N2m5oNeoxdjEd79WWnF7aiYHmEPaDzF+OVfsRLIwix0OSJIlr6n1SMZLPq1DLcDjltBPLSQ==" saltValue="t3c9VENNOVmbXhZSPk3jvQ==" spinCount="100000" sheet="1" objects="1" scenarios="1" selectLockedCells="1"/>
  <sortState ref="C4:H33">
    <sortCondition ref="C4:C33"/>
  </sortState>
  <mergeCells count="3">
    <mergeCell ref="B2:F2"/>
    <mergeCell ref="G2:H2"/>
    <mergeCell ref="B34:C90"/>
  </mergeCells>
  <phoneticPr fontId="2" type="noConversion"/>
  <printOptions horizontalCentered="1"/>
  <pageMargins left="0.43307086614173229" right="0.43307086614173229" top="0.74803149606299213" bottom="0.74803149606299213" header="0.31496062992125984" footer="0.31496062992125984"/>
  <pageSetup paperSize="9"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진로일자순정렬">
                <anchor moveWithCells="1" sizeWithCells="1">
                  <from>
                    <xdr:col>2</xdr:col>
                    <xdr:colOff>409575</xdr:colOff>
                    <xdr:row>1</xdr:row>
                    <xdr:rowOff>361950</xdr:rowOff>
                  </from>
                  <to>
                    <xdr:col>4</xdr:col>
                    <xdr:colOff>590550</xdr:colOff>
                    <xdr:row>1</xdr:row>
                    <xdr:rowOff>609600</xdr:rowOff>
                  </to>
                </anchor>
              </controlPr>
            </control>
          </mc:Choice>
        </mc:AlternateContent>
        <mc:AlternateContent xmlns:mc="http://schemas.openxmlformats.org/markup-compatibility/2006">
          <mc:Choice Requires="x14">
            <control shapeId="7175" r:id="rId5" name="Button 7">
              <controlPr defaultSize="0" print="0" autoFill="0" autoPict="0" macro="[0]!진로맞춤법1">
                <anchor moveWithCells="1" sizeWithCells="1">
                  <from>
                    <xdr:col>5</xdr:col>
                    <xdr:colOff>1885950</xdr:colOff>
                    <xdr:row>1</xdr:row>
                    <xdr:rowOff>342900</xdr:rowOff>
                  </from>
                  <to>
                    <xdr:col>5</xdr:col>
                    <xdr:colOff>3190875</xdr:colOff>
                    <xdr:row>1</xdr:row>
                    <xdr:rowOff>609600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sheetPr>
  <dimension ref="A1:BM44"/>
  <sheetViews>
    <sheetView showZeros="0" zoomScale="130" zoomScaleNormal="130" workbookViewId="0">
      <pane xSplit="2" ySplit="4" topLeftCell="C5" activePane="bottomRight" state="frozen"/>
      <selection pane="topRight" activeCell="C1" sqref="C1"/>
      <selection pane="bottomLeft" activeCell="A5" sqref="A5"/>
      <selection pane="bottomRight" activeCell="M9" sqref="M9"/>
    </sheetView>
  </sheetViews>
  <sheetFormatPr defaultColWidth="9" defaultRowHeight="16.5" x14ac:dyDescent="0.3"/>
  <cols>
    <col min="1" max="1" width="5.125" style="13" customWidth="1"/>
    <col min="2" max="2" width="9" style="13"/>
    <col min="3" max="3" width="4.125" style="12" customWidth="1"/>
    <col min="4" max="32" width="3.625" style="12" customWidth="1"/>
    <col min="33" max="62" width="3.625" style="12" hidden="1" customWidth="1"/>
    <col min="63" max="63" width="9" style="12" hidden="1" customWidth="1"/>
    <col min="64" max="64" width="4.375" style="13" customWidth="1"/>
    <col min="65" max="65" width="1.875" style="12" customWidth="1"/>
    <col min="66" max="16384" width="9" style="12"/>
  </cols>
  <sheetData>
    <row r="1" spans="1:65" ht="39" customHeight="1" x14ac:dyDescent="0.3">
      <c r="A1" s="66" t="s">
        <v>28</v>
      </c>
      <c r="B1" s="66"/>
      <c r="C1" s="66"/>
      <c r="D1" s="66"/>
      <c r="E1" s="66"/>
      <c r="F1" s="66"/>
      <c r="G1" s="66"/>
      <c r="H1" s="66"/>
      <c r="I1" s="66"/>
      <c r="J1" s="67" t="s">
        <v>66</v>
      </c>
      <c r="K1" s="68"/>
      <c r="L1" s="68"/>
      <c r="M1" s="68"/>
      <c r="N1" s="68"/>
      <c r="O1" s="68"/>
      <c r="P1" s="68"/>
      <c r="Q1" s="68"/>
      <c r="R1" s="68"/>
      <c r="S1" s="68"/>
      <c r="T1" s="68"/>
      <c r="U1" s="68"/>
      <c r="V1" s="68"/>
      <c r="W1" s="69"/>
      <c r="X1" s="70" t="s">
        <v>68</v>
      </c>
      <c r="Y1" s="71"/>
      <c r="Z1" s="71"/>
      <c r="AA1" s="71"/>
      <c r="AB1" s="71"/>
      <c r="AC1" s="71"/>
      <c r="AD1" s="71"/>
      <c r="AE1" s="71"/>
      <c r="AF1" s="71"/>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4"/>
      <c r="BM1" s="25"/>
    </row>
    <row r="2" spans="1:65" ht="24.75" customHeight="1" x14ac:dyDescent="0.3">
      <c r="A2" s="26"/>
      <c r="B2" s="26"/>
      <c r="C2" s="27">
        <v>1</v>
      </c>
      <c r="D2" s="27">
        <v>2</v>
      </c>
      <c r="E2" s="27">
        <v>3</v>
      </c>
      <c r="F2" s="27">
        <v>4</v>
      </c>
      <c r="G2" s="27">
        <v>5</v>
      </c>
      <c r="H2" s="27">
        <v>6</v>
      </c>
      <c r="I2" s="27">
        <v>7</v>
      </c>
      <c r="J2" s="27">
        <v>8</v>
      </c>
      <c r="K2" s="27">
        <v>9</v>
      </c>
      <c r="L2" s="27">
        <v>10</v>
      </c>
      <c r="M2" s="27">
        <v>11</v>
      </c>
      <c r="N2" s="27">
        <v>12</v>
      </c>
      <c r="O2" s="27">
        <v>13</v>
      </c>
      <c r="P2" s="27">
        <v>14</v>
      </c>
      <c r="Q2" s="27">
        <v>15</v>
      </c>
      <c r="R2" s="27">
        <v>16</v>
      </c>
      <c r="S2" s="27">
        <v>17</v>
      </c>
      <c r="T2" s="27">
        <v>18</v>
      </c>
      <c r="U2" s="27">
        <v>19</v>
      </c>
      <c r="V2" s="27">
        <v>20</v>
      </c>
      <c r="W2" s="27">
        <v>21</v>
      </c>
      <c r="X2" s="27">
        <v>22</v>
      </c>
      <c r="Y2" s="27">
        <v>23</v>
      </c>
      <c r="Z2" s="27">
        <v>24</v>
      </c>
      <c r="AA2" s="27">
        <v>25</v>
      </c>
      <c r="AB2" s="27">
        <v>26</v>
      </c>
      <c r="AC2" s="27">
        <v>27</v>
      </c>
      <c r="AD2" s="27">
        <v>28</v>
      </c>
      <c r="AE2" s="27">
        <v>29</v>
      </c>
      <c r="AF2" s="27">
        <v>30</v>
      </c>
      <c r="AG2" s="28">
        <v>1</v>
      </c>
      <c r="AH2" s="28">
        <v>2</v>
      </c>
      <c r="AI2" s="28">
        <v>3</v>
      </c>
      <c r="AJ2" s="28">
        <v>4</v>
      </c>
      <c r="AK2" s="28">
        <v>5</v>
      </c>
      <c r="AL2" s="28">
        <v>6</v>
      </c>
      <c r="AM2" s="28">
        <v>7</v>
      </c>
      <c r="AN2" s="28">
        <v>8</v>
      </c>
      <c r="AO2" s="28">
        <v>9</v>
      </c>
      <c r="AP2" s="28">
        <v>10</v>
      </c>
      <c r="AQ2" s="28">
        <v>11</v>
      </c>
      <c r="AR2" s="28">
        <v>12</v>
      </c>
      <c r="AS2" s="28">
        <v>13</v>
      </c>
      <c r="AT2" s="28">
        <v>14</v>
      </c>
      <c r="AU2" s="28">
        <v>15</v>
      </c>
      <c r="AV2" s="28">
        <v>16</v>
      </c>
      <c r="AW2" s="28">
        <v>17</v>
      </c>
      <c r="AX2" s="28">
        <v>18</v>
      </c>
      <c r="AY2" s="28">
        <v>19</v>
      </c>
      <c r="AZ2" s="28">
        <v>20</v>
      </c>
      <c r="BA2" s="28">
        <v>21</v>
      </c>
      <c r="BB2" s="28">
        <v>22</v>
      </c>
      <c r="BC2" s="28">
        <v>23</v>
      </c>
      <c r="BD2" s="28">
        <v>24</v>
      </c>
      <c r="BE2" s="28">
        <v>25</v>
      </c>
      <c r="BF2" s="28">
        <v>26</v>
      </c>
      <c r="BG2" s="28">
        <v>27</v>
      </c>
      <c r="BH2" s="28">
        <v>28</v>
      </c>
      <c r="BI2" s="28">
        <v>29</v>
      </c>
      <c r="BJ2" s="28">
        <v>30</v>
      </c>
      <c r="BK2" s="28"/>
      <c r="BL2" s="64" t="s">
        <v>1</v>
      </c>
      <c r="BM2" s="25"/>
    </row>
    <row r="3" spans="1:65" ht="116.25" customHeight="1" x14ac:dyDescent="0.3">
      <c r="A3" s="65" t="s">
        <v>43</v>
      </c>
      <c r="B3" s="65"/>
      <c r="C3" s="29" t="str">
        <f>IFERROR(VLOOKUP(C2,활동내용입력!$B$4:$E$33,4,FALSE),"")</f>
        <v>행복한 삶과 자아 존중감</v>
      </c>
      <c r="D3" s="29" t="str">
        <f>IFERROR(VLOOKUP(D2,활동내용입력!$B$4:$E$33,4,FALSE),"")</f>
        <v>나를 찾아가는 여행 1</v>
      </c>
      <c r="E3" s="29" t="str">
        <f>IFERROR(VLOOKUP(E2,활동내용입력!$B$4:$E$33,4,FALSE),"")</f>
        <v>꿈과 비전</v>
      </c>
      <c r="F3" s="29" t="str">
        <f>IFERROR(VLOOKUP(F2,활동내용입력!$B$4:$E$33,4,FALSE),"")</f>
        <v>더불어 살아가는 우리</v>
      </c>
      <c r="G3" s="29" t="str">
        <f>IFERROR(VLOOKUP(G2,활동내용입력!$B$4:$E$33,4,FALSE),"")</f>
        <v>직업 세계의 변화</v>
      </c>
      <c r="H3" s="29" t="str">
        <f>IFERROR(VLOOKUP(H2,활동내용입력!$B$4:$E$33,4,FALSE),"")</f>
        <v>진로탐색활동</v>
      </c>
      <c r="I3" s="29" t="str">
        <f>IFERROR(VLOOKUP(I2,활동내용입력!$B$4:$E$33,4,FALSE),"")</f>
        <v>나의 희망직업의 특성</v>
      </c>
      <c r="J3" s="29" t="str">
        <f>IFERROR(VLOOKUP(J2,활동내용입력!$B$4:$E$33,4,FALSE),"")</f>
        <v>장기진로계획수립</v>
      </c>
      <c r="K3" s="29" t="str">
        <f>IFERROR(VLOOKUP(K2,활동내용입력!$B$4:$E$33,4,FALSE),"")</f>
        <v>취업서류작성</v>
      </c>
      <c r="L3" s="29" t="str">
        <f>IFERROR(VLOOKUP(L2,활동내용입력!$B$4:$E$33,4,FALSE),"")</f>
        <v>창업 정보 탐색</v>
      </c>
      <c r="M3" s="29" t="str">
        <f>IFERROR(VLOOKUP(M2,활동내용입력!$B$4:$E$33,4,FALSE),"")</f>
        <v>직업가치관검사</v>
      </c>
      <c r="N3" s="29" t="str">
        <f>IFERROR(VLOOKUP(N2,활동내용입력!$B$4:$E$33,4,FALSE),"")</f>
        <v>직업흥미검사</v>
      </c>
      <c r="O3" s="29" t="str">
        <f>IFERROR(VLOOKUP(O2,활동내용입력!$B$4:$E$33,4,FALSE),"")</f>
        <v>직업적성검사</v>
      </c>
      <c r="P3" s="29" t="str">
        <f>IFERROR(VLOOKUP(P2,활동내용입력!$B$4:$E$33,4,FALSE),"")</f>
        <v>SPQ 사회성·인성검사</v>
      </c>
      <c r="Q3" s="29" t="str">
        <f>IFERROR(VLOOKUP(Q2,활동내용입력!$B$4:$E$33,4,FALSE),"")</f>
        <v>3D프린터</v>
      </c>
      <c r="R3" s="29" t="str">
        <f>IFERROR(VLOOKUP(R2,활동내용입력!$B$4:$E$33,4,FALSE),"")</f>
        <v>진로탐색체험학습</v>
      </c>
      <c r="S3" s="29" t="str">
        <f>IFERROR(VLOOKUP(S2,활동내용입력!$B$4:$E$33,4,FALSE),"")</f>
        <v>바리스타</v>
      </c>
      <c r="T3" s="29">
        <f>IFERROR(VLOOKUP(T2,활동내용입력!$B$4:$E$33,4,FALSE),"")</f>
        <v>0</v>
      </c>
      <c r="U3" s="29">
        <f>IFERROR(VLOOKUP(U2,활동내용입력!$B$4:$E$33,4,FALSE),"")</f>
        <v>0</v>
      </c>
      <c r="V3" s="29">
        <f>IFERROR(VLOOKUP(V2,활동내용입력!$B$4:$E$33,4,FALSE),"")</f>
        <v>0</v>
      </c>
      <c r="W3" s="29">
        <f>IFERROR(VLOOKUP(W2,활동내용입력!$B$4:$E$33,4,FALSE),"")</f>
        <v>0</v>
      </c>
      <c r="X3" s="29">
        <f>IFERROR(VLOOKUP(X2,활동내용입력!$B$4:$E$33,4,FALSE),"")</f>
        <v>0</v>
      </c>
      <c r="Y3" s="29">
        <f>IFERROR(VLOOKUP(Y2,활동내용입력!$B$4:$E$33,4,FALSE),"")</f>
        <v>0</v>
      </c>
      <c r="Z3" s="29">
        <f>IFERROR(VLOOKUP(Z2,활동내용입력!$B$4:$E$33,4,FALSE),"")</f>
        <v>0</v>
      </c>
      <c r="AA3" s="29">
        <f>IFERROR(VLOOKUP(AA2,활동내용입력!$B$4:$E$33,4,FALSE),"")</f>
        <v>0</v>
      </c>
      <c r="AB3" s="29">
        <f>IFERROR(VLOOKUP(AB2,활동내용입력!$B$4:$E$33,4,FALSE),"")</f>
        <v>0</v>
      </c>
      <c r="AC3" s="29">
        <f>IFERROR(VLOOKUP(AC2,활동내용입력!$B$4:$E$33,4,FALSE),"")</f>
        <v>0</v>
      </c>
      <c r="AD3" s="29">
        <f>IFERROR(VLOOKUP(AD2,활동내용입력!$B$4:$E$33,4,FALSE),"")</f>
        <v>0</v>
      </c>
      <c r="AE3" s="29">
        <f>IFERROR(VLOOKUP(AE2,활동내용입력!$B$4:$E$33,4,FALSE),"")</f>
        <v>0</v>
      </c>
      <c r="AF3" s="29">
        <f>IFERROR(VLOOKUP(AF2,활동내용입력!$B$4:$E$33,4,FALSE),"")</f>
        <v>0</v>
      </c>
      <c r="AG3" s="30" t="str">
        <f t="shared" ref="AG3:BJ3" si="0">C3</f>
        <v>행복한 삶과 자아 존중감</v>
      </c>
      <c r="AH3" s="30" t="str">
        <f t="shared" si="0"/>
        <v>나를 찾아가는 여행 1</v>
      </c>
      <c r="AI3" s="30" t="str">
        <f t="shared" si="0"/>
        <v>꿈과 비전</v>
      </c>
      <c r="AJ3" s="30" t="str">
        <f t="shared" si="0"/>
        <v>더불어 살아가는 우리</v>
      </c>
      <c r="AK3" s="30" t="str">
        <f t="shared" si="0"/>
        <v>직업 세계의 변화</v>
      </c>
      <c r="AL3" s="30" t="str">
        <f t="shared" si="0"/>
        <v>진로탐색활동</v>
      </c>
      <c r="AM3" s="30" t="str">
        <f t="shared" si="0"/>
        <v>나의 희망직업의 특성</v>
      </c>
      <c r="AN3" s="30" t="str">
        <f t="shared" si="0"/>
        <v>장기진로계획수립</v>
      </c>
      <c r="AO3" s="30" t="str">
        <f t="shared" si="0"/>
        <v>취업서류작성</v>
      </c>
      <c r="AP3" s="30" t="str">
        <f t="shared" si="0"/>
        <v>창업 정보 탐색</v>
      </c>
      <c r="AQ3" s="30" t="str">
        <f t="shared" si="0"/>
        <v>직업가치관검사</v>
      </c>
      <c r="AR3" s="30" t="str">
        <f t="shared" si="0"/>
        <v>직업흥미검사</v>
      </c>
      <c r="AS3" s="30" t="str">
        <f t="shared" si="0"/>
        <v>직업적성검사</v>
      </c>
      <c r="AT3" s="30" t="str">
        <f t="shared" si="0"/>
        <v>SPQ 사회성·인성검사</v>
      </c>
      <c r="AU3" s="30" t="str">
        <f t="shared" si="0"/>
        <v>3D프린터</v>
      </c>
      <c r="AV3" s="30" t="str">
        <f t="shared" si="0"/>
        <v>진로탐색체험학습</v>
      </c>
      <c r="AW3" s="30" t="str">
        <f t="shared" si="0"/>
        <v>바리스타</v>
      </c>
      <c r="AX3" s="30">
        <f t="shared" si="0"/>
        <v>0</v>
      </c>
      <c r="AY3" s="30">
        <f t="shared" si="0"/>
        <v>0</v>
      </c>
      <c r="AZ3" s="30">
        <f t="shared" si="0"/>
        <v>0</v>
      </c>
      <c r="BA3" s="30">
        <f t="shared" si="0"/>
        <v>0</v>
      </c>
      <c r="BB3" s="30">
        <f t="shared" si="0"/>
        <v>0</v>
      </c>
      <c r="BC3" s="30">
        <f t="shared" si="0"/>
        <v>0</v>
      </c>
      <c r="BD3" s="30">
        <f t="shared" si="0"/>
        <v>0</v>
      </c>
      <c r="BE3" s="30">
        <f t="shared" si="0"/>
        <v>0</v>
      </c>
      <c r="BF3" s="30">
        <f t="shared" si="0"/>
        <v>0</v>
      </c>
      <c r="BG3" s="30">
        <f t="shared" si="0"/>
        <v>0</v>
      </c>
      <c r="BH3" s="30">
        <f t="shared" si="0"/>
        <v>0</v>
      </c>
      <c r="BI3" s="30">
        <f t="shared" si="0"/>
        <v>0</v>
      </c>
      <c r="BJ3" s="30">
        <f t="shared" si="0"/>
        <v>0</v>
      </c>
      <c r="BK3" s="31" t="s">
        <v>2</v>
      </c>
      <c r="BL3" s="64"/>
      <c r="BM3" s="25"/>
    </row>
    <row r="4" spans="1:65" ht="19.5" customHeight="1" x14ac:dyDescent="0.3">
      <c r="A4" s="65" t="s">
        <v>42</v>
      </c>
      <c r="B4" s="65"/>
      <c r="C4" s="32">
        <f>IFERROR(VLOOKUP(C2,활동내용입력!$B$4:$E$33,2,FALSE),"")</f>
        <v>319</v>
      </c>
      <c r="D4" s="32">
        <f>IFERROR(VLOOKUP(D2,활동내용입력!$B$4:$E$33,2,FALSE),"")</f>
        <v>326</v>
      </c>
      <c r="E4" s="32">
        <f>IFERROR(VLOOKUP(E2,활동내용입력!$B$4:$E$33,2,FALSE),"")</f>
        <v>409</v>
      </c>
      <c r="F4" s="32">
        <f>IFERROR(VLOOKUP(F2,활동내용입력!$B$4:$E$33,2,FALSE),"")</f>
        <v>507</v>
      </c>
      <c r="G4" s="32">
        <f>IFERROR(VLOOKUP(G2,활동내용입력!$B$4:$E$33,2,FALSE),"")</f>
        <v>611</v>
      </c>
      <c r="H4" s="32">
        <f>IFERROR(VLOOKUP(H2,활동내용입력!$B$4:$E$33,2,FALSE),"")</f>
        <v>0</v>
      </c>
      <c r="I4" s="32">
        <f>IFERROR(VLOOKUP(I2,활동내용입력!$B$4:$E$33,2,FALSE),"")</f>
        <v>0</v>
      </c>
      <c r="J4" s="32">
        <f>IFERROR(VLOOKUP(J2,활동내용입력!$B$4:$E$33,2,FALSE),"")</f>
        <v>910</v>
      </c>
      <c r="K4" s="32">
        <f>IFERROR(VLOOKUP(K2,활동내용입력!$B$4:$E$33,2,FALSE),"")</f>
        <v>1224</v>
      </c>
      <c r="L4" s="32">
        <f>IFERROR(VLOOKUP(L2,활동내용입력!$B$4:$E$33,2,FALSE),"")</f>
        <v>0</v>
      </c>
      <c r="M4" s="32">
        <f>IFERROR(VLOOKUP(M2,활동내용입력!$B$4:$E$33,2,FALSE),"")</f>
        <v>0</v>
      </c>
      <c r="N4" s="32">
        <f>IFERROR(VLOOKUP(N2,활동내용입력!$B$4:$E$33,2,FALSE),"")</f>
        <v>0</v>
      </c>
      <c r="O4" s="32">
        <f>IFERROR(VLOOKUP(O2,활동내용입력!$B$4:$E$33,2,FALSE),"")</f>
        <v>0</v>
      </c>
      <c r="P4" s="32">
        <f>IFERROR(VLOOKUP(P2,활동내용입력!$B$4:$E$33,2,FALSE),"")</f>
        <v>0</v>
      </c>
      <c r="Q4" s="32">
        <f>IFERROR(VLOOKUP(Q2,활동내용입력!$B$4:$E$33,2,FALSE),"")</f>
        <v>0</v>
      </c>
      <c r="R4" s="32">
        <f>IFERROR(VLOOKUP(R2,활동내용입력!$B$4:$E$33,2,FALSE),"")</f>
        <v>0</v>
      </c>
      <c r="S4" s="32">
        <f>IFERROR(VLOOKUP(S2,활동내용입력!$B$4:$E$33,2,FALSE),"")</f>
        <v>0</v>
      </c>
      <c r="T4" s="32">
        <f>IFERROR(VLOOKUP(T2,활동내용입력!$B$4:$E$33,2,FALSE),"")</f>
        <v>0</v>
      </c>
      <c r="U4" s="32">
        <f>IFERROR(VLOOKUP(U2,활동내용입력!$B$4:$E$33,2,FALSE),"")</f>
        <v>0</v>
      </c>
      <c r="V4" s="32">
        <f>IFERROR(VLOOKUP(V2,활동내용입력!$B$4:$E$33,2,FALSE),"")</f>
        <v>0</v>
      </c>
      <c r="W4" s="32">
        <f>IFERROR(VLOOKUP(W2,활동내용입력!$B$4:$E$33,2,FALSE),"")</f>
        <v>0</v>
      </c>
      <c r="X4" s="32">
        <f>IFERROR(VLOOKUP(X2,활동내용입력!$B$4:$E$33,2,FALSE),"")</f>
        <v>0</v>
      </c>
      <c r="Y4" s="32">
        <f>IFERROR(VLOOKUP(Y2,활동내용입력!$B$4:$E$33,2,FALSE),"")</f>
        <v>0</v>
      </c>
      <c r="Z4" s="32">
        <f>IFERROR(VLOOKUP(Z2,활동내용입력!$B$4:$E$33,2,FALSE),"")</f>
        <v>0</v>
      </c>
      <c r="AA4" s="32">
        <f>IFERROR(VLOOKUP(AA2,활동내용입력!$B$4:$E$33,2,FALSE),"")</f>
        <v>0</v>
      </c>
      <c r="AB4" s="32">
        <f>IFERROR(VLOOKUP(AB2,활동내용입력!$B$4:$E$33,2,FALSE),"")</f>
        <v>0</v>
      </c>
      <c r="AC4" s="32">
        <f>IFERROR(VLOOKUP(AC2,활동내용입력!$B$4:$E$33,2,FALSE),"")</f>
        <v>0</v>
      </c>
      <c r="AD4" s="32">
        <f>IFERROR(VLOOKUP(AD2,활동내용입력!$B$4:$E$33,2,FALSE),"")</f>
        <v>0</v>
      </c>
      <c r="AE4" s="32">
        <f>IFERROR(VLOOKUP(AE2,활동내용입력!$B$4:$E$33,2,FALSE),"")</f>
        <v>0</v>
      </c>
      <c r="AF4" s="32">
        <f>IFERROR(VLOOKUP(AF2,활동내용입력!$B$4:$E$33,2,FALSE),"")</f>
        <v>0</v>
      </c>
      <c r="AG4" s="30"/>
      <c r="AH4" s="30"/>
      <c r="AI4" s="30"/>
      <c r="AJ4" s="30"/>
      <c r="AK4" s="30"/>
      <c r="AL4" s="30"/>
      <c r="AM4" s="30"/>
      <c r="AN4" s="30"/>
      <c r="AO4" s="30"/>
      <c r="AP4" s="30"/>
      <c r="AQ4" s="30"/>
      <c r="AR4" s="30"/>
      <c r="AS4" s="30"/>
      <c r="AT4" s="30"/>
      <c r="AU4" s="30"/>
      <c r="AV4" s="30"/>
      <c r="AW4" s="30"/>
      <c r="AX4" s="30"/>
      <c r="AY4" s="30"/>
      <c r="AZ4" s="30"/>
      <c r="BA4" s="30"/>
      <c r="BB4" s="30"/>
      <c r="BC4" s="30"/>
      <c r="BD4" s="30"/>
      <c r="BE4" s="30"/>
      <c r="BF4" s="30"/>
      <c r="BG4" s="30"/>
      <c r="BH4" s="30"/>
      <c r="BI4" s="30"/>
      <c r="BJ4" s="30"/>
      <c r="BK4" s="31"/>
      <c r="BL4" s="64"/>
      <c r="BM4" s="25"/>
    </row>
    <row r="5" spans="1:65" x14ac:dyDescent="0.3">
      <c r="A5" s="51">
        <v>1</v>
      </c>
      <c r="B5" s="53" t="s">
        <v>103</v>
      </c>
      <c r="C5" s="33">
        <v>1</v>
      </c>
      <c r="D5" s="33">
        <v>1</v>
      </c>
      <c r="E5" s="33">
        <v>1</v>
      </c>
      <c r="F5" s="33">
        <v>1</v>
      </c>
      <c r="G5" s="33">
        <v>1</v>
      </c>
      <c r="H5" s="33"/>
      <c r="I5" s="33"/>
      <c r="J5" s="33">
        <v>1</v>
      </c>
      <c r="K5" s="33">
        <v>1</v>
      </c>
      <c r="L5" s="33"/>
      <c r="M5" s="33"/>
      <c r="N5" s="33"/>
      <c r="O5" s="33"/>
      <c r="P5" s="33"/>
      <c r="Q5" s="33"/>
      <c r="R5" s="33"/>
      <c r="S5" s="33"/>
      <c r="T5" s="33"/>
      <c r="U5" s="33"/>
      <c r="V5" s="33"/>
      <c r="W5" s="33"/>
      <c r="X5" s="33"/>
      <c r="Y5" s="33"/>
      <c r="Z5" s="33"/>
      <c r="AA5" s="33"/>
      <c r="AB5" s="33"/>
      <c r="AC5" s="33"/>
      <c r="AD5" s="33"/>
      <c r="AE5" s="33"/>
      <c r="AF5" s="33"/>
      <c r="AG5" s="34" t="str">
        <f>IFERROR(IF(C5=1,VLOOKUP(C$2,활동내용입력!$B$4:$F$27,5,FALSE),""),"")</f>
        <v>행복한 삶과 자아존중감 활동(2019.03.19., 2019.08.27.)을 통해 자아 존중감의 의미와 중요성을 이해하고, 자아 존중감 검사를 통해 자신의 자아 존중감 정도를 확인하고 이를 높이기 위한 방법을 생각해 봄.</v>
      </c>
      <c r="AH5" s="34" t="str">
        <f>IFERROR(IF(D5=1,VLOOKUP(D$2,활동내용입력!$B$4:$F$27,5,FALSE),""),"")</f>
        <v>나를 찾아가는 여행 활동(2019.03.26., 2019.04.02.)을 통해 내가 생각하는 나의 모습과 타인이 생각하는 나의 모습을 기록해보며 자신을 종합적으로 파악해봄.</v>
      </c>
      <c r="AI5" s="34" t="str">
        <f>IFERROR(IF(E5=1,VLOOKUP(E$2,활동내용입력!$B$4:$F$27,5,FALSE),""),"")</f>
        <v>꿈과 비전 활동(2019.04.09., 2019.04.16., 2019.09.03., 2019.09.06.)을 통해 꿈과 비전의 차이점을 알아보고 행복 그래프 그리기, 진화하는 나의 꿈 기록하기 활동을 통해 꿈을 갖는 이유에 대해 이해하며 삶의 목표를 설정하는 것의 중요성을 이해함.</v>
      </c>
      <c r="AJ5" s="34" t="str">
        <f>IFERROR(IF(F5=1,VLOOKUP(F$2,활동내용입력!$B$4:$F$27,5,FALSE),""),"")</f>
        <v>공공질서의식교육(2019.05.07.)을 통한 공공질서의식, 공동체의식 등 더불어 살아가는 민주 시민으로서 자질을 향상시키는 계기를 마련함.</v>
      </c>
      <c r="AK5" s="34" t="str">
        <f>IFERROR(IF(G5=1,VLOOKUP(G$2,활동내용입력!$B$4:$F$27,5,FALSE),""),"")</f>
        <v>미래 사회와 직업 세계의 변화에 대한 학습(2019.06.11., 2019.07.15., 2019.10.15., 2019.10.22.)을 통해 미래의 유망 직업, 색다른 직업, 신생 직업을 알아보고 직업 세계의 변화를 예측해 봄.</v>
      </c>
      <c r="AL5" s="34" t="str">
        <f>IFERROR(IF(H5=1,VLOOKUP(H$2,활동내용입력!$B$4:$F$27,5,FALSE),""),"")</f>
        <v/>
      </c>
      <c r="AM5" s="34" t="str">
        <f>IFERROR(IF(I5=1,VLOOKUP(I$2,활동내용입력!$B$4:$F$27,5,FALSE),""),"")</f>
        <v/>
      </c>
      <c r="AN5" s="34" t="str">
        <f>IFERROR(IF(J5=1,VLOOKUP(J$2,활동내용입력!$B$4:$F$27,5,FALSE),""),"")</f>
        <v>장기진로 계획수립 활동(2019.09.10., 2019.09.17.)을 통해 자신의 진로 목표에 따른 진로 비전하우스를 설계해보고, 자신의 비전하우스에 대해 모둠별로 이야기해 보며 봄.</v>
      </c>
      <c r="AO5" s="34" t="str">
        <f>IFERROR(IF(K5=1,VLOOKUP(K$2,활동내용입력!$B$4:$F$27,5,FALSE),""),"")</f>
        <v>취업 구직서류 작성교육(2019.12.24.)을 통해 이력서, 자기소개서에 들어가야할 내용과 작성방법을 이해하고 본인의 이력서와 자기소개서를 직접 작성함.</v>
      </c>
      <c r="AP5" s="34" t="str">
        <f>IFERROR(IF(L5=1,VLOOKUP(L$2,활동내용입력!$B$4:$F$27,5,FALSE),""),"")</f>
        <v/>
      </c>
      <c r="AQ5" s="34" t="str">
        <f>IFERROR(IF(M5=1,VLOOKUP(M$2,활동내용입력!$B$4:$F$27,5,FALSE),""),"")</f>
        <v/>
      </c>
      <c r="AR5" s="34" t="str">
        <f>IFERROR(IF(N5=1,VLOOKUP(N$2,활동내용입력!$B$4:$F$27,5,FALSE),""),"")</f>
        <v/>
      </c>
      <c r="AS5" s="34" t="str">
        <f>IFERROR(IF(O5=1,VLOOKUP(O$2,활동내용입력!$B$4:$F$27,5,FALSE),""),"")</f>
        <v/>
      </c>
      <c r="AT5" s="34" t="str">
        <f>IFERROR(IF(P5=1,VLOOKUP(P$2,활동내용입력!$B$4:$F$27,5,FALSE),""),"")</f>
        <v/>
      </c>
      <c r="AU5" s="34" t="str">
        <f>IFERROR(IF(Q5=1,VLOOKUP(Q$2,활동내용입력!$B$4:$F$27,5,FALSE),""),"")</f>
        <v/>
      </c>
      <c r="AV5" s="34" t="str">
        <f>IFERROR(IF(R5=1,VLOOKUP(R$2,활동내용입력!$B$4:$F$27,5,FALSE),""),"")</f>
        <v/>
      </c>
      <c r="AW5" s="34" t="str">
        <f>IFERROR(IF(S5=1,VLOOKUP(S$2,활동내용입력!$B$4:$F$27,5,FALSE),""),"")</f>
        <v/>
      </c>
      <c r="AX5" s="34" t="str">
        <f>IFERROR(IF(T5=1,VLOOKUP(T$2,활동내용입력!$B$4:$F$27,5,FALSE),""),"")</f>
        <v/>
      </c>
      <c r="AY5" s="34" t="str">
        <f>IFERROR(IF(U5=1,VLOOKUP(U$2,활동내용입력!$B$4:$F$27,5,FALSE),""),"")</f>
        <v/>
      </c>
      <c r="AZ5" s="34" t="str">
        <f>IFERROR(IF(V5=1,VLOOKUP(V$2,활동내용입력!$B$4:$F$27,5,FALSE),""),"")</f>
        <v/>
      </c>
      <c r="BA5" s="34" t="str">
        <f>IFERROR(IF(W5=1,VLOOKUP(W$2,활동내용입력!$B$4:$F$27,5,FALSE),""),"")</f>
        <v/>
      </c>
      <c r="BB5" s="34" t="str">
        <f>IFERROR(IF(X5=1,VLOOKUP(X$2,활동내용입력!$B$4:$F$27,5,FALSE),""),"")</f>
        <v/>
      </c>
      <c r="BC5" s="34" t="str">
        <f>IFERROR(IF(Y5=1,VLOOKUP(Y$2,활동내용입력!$B$4:$F$27,5,FALSE),""),"")</f>
        <v/>
      </c>
      <c r="BD5" s="34" t="str">
        <f>IFERROR(IF(Z5=1,VLOOKUP(Z$2,활동내용입력!$B$4:$F$27,5,FALSE),""),"")</f>
        <v/>
      </c>
      <c r="BE5" s="34" t="str">
        <f>IFERROR(IF(AA5=1,VLOOKUP(AA$2,활동내용입력!$B$4:$F$27,5,FALSE),""),"")</f>
        <v/>
      </c>
      <c r="BF5" s="34" t="str">
        <f>IFERROR(IF(AB5=1,VLOOKUP(AB$2,활동내용입력!$B$4:$F$27,5,FALSE),""),"")</f>
        <v/>
      </c>
      <c r="BG5" s="34" t="str">
        <f>IFERROR(IF(AC5=1,VLOOKUP(AC$2,활동내용입력!$B$4:$F$27,5,FALSE),""),"")</f>
        <v/>
      </c>
      <c r="BH5" s="34" t="str">
        <f>IFERROR(IF(AD5=1,VLOOKUP(AD$2,활동내용입력!$B$4:$F$27,5,FALSE),""),"")</f>
        <v/>
      </c>
      <c r="BI5" s="34" t="str">
        <f>IFERROR(IF(AE5=1,VLOOKUP(AE$2,활동내용입력!$B$4:$F$27,5,FALSE),""),"")</f>
        <v/>
      </c>
      <c r="BJ5" s="34" t="str">
        <f>IFERROR(IF(AF5=1,VLOOKUP(AF$2,활동내용입력!$B$4:$F$27,5,FALSE),""),"")</f>
        <v/>
      </c>
      <c r="BK5" s="35" t="str">
        <f>IF(AG5="","",AG5&amp;CHAR(10))&amp;IF(AH5="","",AH5&amp;CHAR(10))&amp;IF(AI5="","",AI5&amp;CHAR(10))&amp;IF(AJ5="","",AJ5&amp;CHAR(10))&amp;IF(AK5="","",AK5&amp;CHAR(10))&amp;IF(AL5="","",AL5&amp;CHAR(10))&amp;IF(AM5="","",AM5&amp;CHAR(10))&amp;IF(AN5="","",AN5&amp;CHAR(10))&amp;IF(AO5="","",AO5&amp;CHAR(10))&amp;IF(AP5="","",AP5&amp;CHAR(10))&amp;IF(AQ5="","",AQ5&amp;CHAR(10))&amp;IF(AR5="","",AR5&amp;CHAR(10))&amp;IF(AS5="","",AS5&amp;CHAR(10))&amp;IF(AT5="","",AT5&amp;CHAR(10))&amp;IF(AU5="","",AU5&amp;CHAR(10))&amp;IF(AV5="","",AV5&amp;CHAR(10))&amp;IF(AW5="","",AW5&amp;CHAR(10))&amp;IF(AX5="","",AX5&amp;CHAR(10))&amp;IF(AY5="","",AY5&amp;CHAR(10))&amp;IF(AZ5="","",AZ5&amp;CHAR(10))&amp;IF(BA5="","",BA5&amp;CHAR(10))&amp;IF(BB5="","",BB5&amp;CHAR(10))&amp;IF(BC5="","",BC5&amp;CHAR(10))&amp;IF(BD5="","",BD5&amp;CHAR(10))&amp;IF(BE5="","",BE5&amp;CHAR(10))&amp;IF(BF5="","",BF5&amp;CHAR(10))&amp;IF(BG5="","",BG5&amp;CHAR(10))&amp;IF(BH5="","",BH5&amp;CHAR(10))&amp;IF(BI5="","",BI5&amp;CHAR(10))&amp;BJ5</f>
        <v xml:space="preserve">행복한 삶과 자아존중감 활동(2019.03.19., 2019.08.27.)을 통해 자아 존중감의 의미와 중요성을 이해하고, 자아 존중감 검사를 통해 자신의 자아 존중감 정도를 확인하고 이를 높이기 위한 방법을 생각해 봄.
나를 찾아가는 여행 활동(2019.03.26., 2019.04.02.)을 통해 내가 생각하는 나의 모습과 타인이 생각하는 나의 모습을 기록해보며 자신을 종합적으로 파악해봄.
꿈과 비전 활동(2019.04.09., 2019.04.16., 2019.09.03., 2019.09.06.)을 통해 꿈과 비전의 차이점을 알아보고 행복 그래프 그리기, 진화하는 나의 꿈 기록하기 활동을 통해 꿈을 갖는 이유에 대해 이해하며 삶의 목표를 설정하는 것의 중요성을 이해함.
공공질서의식교육(2019.05.07.)을 통한 공공질서의식, 공동체의식 등 더불어 살아가는 민주 시민으로서 자질을 향상시키는 계기를 마련함.
미래 사회와 직업 세계의 변화에 대한 학습(2019.06.11., 2019.07.15., 2019.10.15., 2019.10.22.)을 통해 미래의 유망 직업, 색다른 직업, 신생 직업을 알아보고 직업 세계의 변화를 예측해 봄.
장기진로 계획수립 활동(2019.09.10., 2019.09.17.)을 통해 자신의 진로 목표에 따른 진로 비전하우스를 설계해보고, 자신의 비전하우스에 대해 모둠별로 이야기해 보며 봄.
취업 구직서류 작성교육(2019.12.24.)을 통해 이력서, 자기소개서에 들어가야할 내용과 작성방법을 이해하고 본인의 이력서와 자기소개서를 직접 작성함.
</v>
      </c>
      <c r="BL5" s="36">
        <f t="shared" ref="BL5:BL44" si="1">COUNT(C5:AF5)</f>
        <v>7</v>
      </c>
      <c r="BM5" s="25"/>
    </row>
    <row r="6" spans="1:65" x14ac:dyDescent="0.3">
      <c r="A6" s="37">
        <v>2</v>
      </c>
      <c r="B6" s="53" t="s">
        <v>104</v>
      </c>
      <c r="C6" s="33"/>
      <c r="D6" s="33"/>
      <c r="E6" s="33"/>
      <c r="F6" s="33"/>
      <c r="G6" s="33"/>
      <c r="H6" s="33"/>
      <c r="I6" s="33"/>
      <c r="J6" s="33"/>
      <c r="K6" s="33"/>
      <c r="L6" s="33"/>
      <c r="M6" s="33"/>
      <c r="N6" s="33"/>
      <c r="O6" s="33"/>
      <c r="P6" s="33"/>
      <c r="Q6" s="33"/>
      <c r="R6" s="33"/>
      <c r="S6" s="33"/>
      <c r="T6" s="33"/>
      <c r="U6" s="33"/>
      <c r="V6" s="33"/>
      <c r="W6" s="33"/>
      <c r="X6" s="33"/>
      <c r="Y6" s="33"/>
      <c r="Z6" s="33"/>
      <c r="AA6" s="33"/>
      <c r="AB6" s="33"/>
      <c r="AC6" s="33"/>
      <c r="AD6" s="33"/>
      <c r="AE6" s="33"/>
      <c r="AF6" s="33"/>
      <c r="AG6" s="34" t="str">
        <f>IFERROR(IF(C6=1,VLOOKUP(C$2,활동내용입력!$B$4:$F$27,5,FALSE),""),"")</f>
        <v/>
      </c>
      <c r="AH6" s="34" t="str">
        <f>IFERROR(IF(D6=1,VLOOKUP(D$2,활동내용입력!$B$4:$F$27,5,FALSE),""),"")</f>
        <v/>
      </c>
      <c r="AI6" s="34" t="str">
        <f>IFERROR(IF(E6=1,VLOOKUP(E$2,활동내용입력!$B$4:$F$27,5,FALSE),""),"")</f>
        <v/>
      </c>
      <c r="AJ6" s="34" t="str">
        <f>IFERROR(IF(F6=1,VLOOKUP(F$2,활동내용입력!$B$4:$F$27,5,FALSE),""),"")</f>
        <v/>
      </c>
      <c r="AK6" s="34" t="str">
        <f>IFERROR(IF(G6=1,VLOOKUP(G$2,활동내용입력!$B$4:$F$27,5,FALSE),""),"")</f>
        <v/>
      </c>
      <c r="AL6" s="34" t="str">
        <f>IFERROR(IF(H6=1,VLOOKUP(H$2,활동내용입력!$B$4:$F$27,5,FALSE),""),"")</f>
        <v/>
      </c>
      <c r="AM6" s="34" t="str">
        <f>IFERROR(IF(I6=1,VLOOKUP(I$2,활동내용입력!$B$4:$F$27,5,FALSE),""),"")</f>
        <v/>
      </c>
      <c r="AN6" s="34" t="str">
        <f>IFERROR(IF(J6=1,VLOOKUP(J$2,활동내용입력!$B$4:$F$27,5,FALSE),""),"")</f>
        <v/>
      </c>
      <c r="AO6" s="34" t="str">
        <f>IFERROR(IF(K6=1,VLOOKUP(K$2,활동내용입력!$B$4:$F$27,5,FALSE),""),"")</f>
        <v/>
      </c>
      <c r="AP6" s="34" t="str">
        <f>IFERROR(IF(L6=1,VLOOKUP(L$2,활동내용입력!$B$4:$F$27,5,FALSE),""),"")</f>
        <v/>
      </c>
      <c r="AQ6" s="34" t="str">
        <f>IFERROR(IF(M6=1,VLOOKUP(M$2,활동내용입력!$B$4:$F$27,5,FALSE),""),"")</f>
        <v/>
      </c>
      <c r="AR6" s="34" t="str">
        <f>IFERROR(IF(N6=1,VLOOKUP(N$2,활동내용입력!$B$4:$F$27,5,FALSE),""),"")</f>
        <v/>
      </c>
      <c r="AS6" s="34" t="str">
        <f>IFERROR(IF(O6=1,VLOOKUP(O$2,활동내용입력!$B$4:$F$27,5,FALSE),""),"")</f>
        <v/>
      </c>
      <c r="AT6" s="34" t="str">
        <f>IFERROR(IF(P6=1,VLOOKUP(P$2,활동내용입력!$B$4:$F$27,5,FALSE),""),"")</f>
        <v/>
      </c>
      <c r="AU6" s="34" t="str">
        <f>IFERROR(IF(Q6=1,VLOOKUP(Q$2,활동내용입력!$B$4:$F$27,5,FALSE),""),"")</f>
        <v/>
      </c>
      <c r="AV6" s="34" t="str">
        <f>IFERROR(IF(R6=1,VLOOKUP(R$2,활동내용입력!$B$4:$F$27,5,FALSE),""),"")</f>
        <v/>
      </c>
      <c r="AW6" s="34" t="str">
        <f>IFERROR(IF(S6=1,VLOOKUP(S$2,활동내용입력!$B$4:$F$27,5,FALSE),""),"")</f>
        <v/>
      </c>
      <c r="AX6" s="34" t="str">
        <f>IFERROR(IF(T6=1,VLOOKUP(T$2,활동내용입력!$B$4:$F$27,5,FALSE),""),"")</f>
        <v/>
      </c>
      <c r="AY6" s="34" t="str">
        <f>IFERROR(IF(U6=1,VLOOKUP(U$2,활동내용입력!$B$4:$F$27,5,FALSE),""),"")</f>
        <v/>
      </c>
      <c r="AZ6" s="34" t="str">
        <f>IFERROR(IF(V6=1,VLOOKUP(V$2,활동내용입력!$B$4:$F$27,5,FALSE),""),"")</f>
        <v/>
      </c>
      <c r="BA6" s="34" t="str">
        <f>IFERROR(IF(W6=1,VLOOKUP(W$2,활동내용입력!$B$4:$F$27,5,FALSE),""),"")</f>
        <v/>
      </c>
      <c r="BB6" s="34" t="str">
        <f>IFERROR(IF(X6=1,VLOOKUP(X$2,활동내용입력!$B$4:$F$27,5,FALSE),""),"")</f>
        <v/>
      </c>
      <c r="BC6" s="34" t="str">
        <f>IFERROR(IF(Y6=1,VLOOKUP(Y$2,활동내용입력!$B$4:$F$27,5,FALSE),""),"")</f>
        <v/>
      </c>
      <c r="BD6" s="34" t="str">
        <f>IFERROR(IF(Z6=1,VLOOKUP(Z$2,활동내용입력!$B$4:$F$27,5,FALSE),""),"")</f>
        <v/>
      </c>
      <c r="BE6" s="34" t="str">
        <f>IFERROR(IF(AA6=1,VLOOKUP(AA$2,활동내용입력!$B$4:$F$27,5,FALSE),""),"")</f>
        <v/>
      </c>
      <c r="BF6" s="34" t="str">
        <f>IFERROR(IF(AB6=1,VLOOKUP(AB$2,활동내용입력!$B$4:$F$27,5,FALSE),""),"")</f>
        <v/>
      </c>
      <c r="BG6" s="34" t="str">
        <f>IFERROR(IF(AC6=1,VLOOKUP(AC$2,활동내용입력!$B$4:$F$27,5,FALSE),""),"")</f>
        <v/>
      </c>
      <c r="BH6" s="34" t="str">
        <f>IFERROR(IF(AD6=1,VLOOKUP(AD$2,활동내용입력!$B$4:$F$27,5,FALSE),""),"")</f>
        <v/>
      </c>
      <c r="BI6" s="34" t="str">
        <f>IFERROR(IF(AE6=1,VLOOKUP(AE$2,활동내용입력!$B$4:$F$27,5,FALSE),""),"")</f>
        <v/>
      </c>
      <c r="BJ6" s="34" t="str">
        <f>IFERROR(IF(AF6=1,VLOOKUP(AF$2,활동내용입력!$B$4:$F$27,5,FALSE),""),"")</f>
        <v/>
      </c>
      <c r="BK6" s="35" t="str">
        <f t="shared" ref="BK6:BK44" si="2">IF(AG6="","",AG6&amp;CHAR(10))&amp;IF(AH6="","",AH6&amp;CHAR(10))&amp;IF(AI6="","",AI6&amp;CHAR(10))&amp;IF(AJ6="","",AJ6&amp;CHAR(10))&amp;IF(AK6="","",AK6&amp;CHAR(10))&amp;IF(AL6="","",AL6&amp;CHAR(10))&amp;IF(AM6="","",AM6&amp;CHAR(10))&amp;IF(AN6="","",AN6&amp;CHAR(10))&amp;IF(AO6="","",AO6&amp;CHAR(10))&amp;IF(AP6="","",AP6&amp;CHAR(10))&amp;IF(AQ6="","",AQ6&amp;CHAR(10))&amp;IF(AR6="","",AR6&amp;CHAR(10))&amp;IF(AS6="","",AS6&amp;CHAR(10))&amp;IF(AT6="","",AT6&amp;CHAR(10))&amp;IF(AU6="","",AU6&amp;CHAR(10))&amp;IF(AV6="","",AV6&amp;CHAR(10))&amp;IF(AW6="","",AW6&amp;CHAR(10))&amp;IF(AX6="","",AX6&amp;CHAR(10))&amp;IF(AY6="","",AY6&amp;CHAR(10))&amp;IF(AZ6="","",AZ6&amp;CHAR(10))&amp;IF(BA6="","",BA6&amp;CHAR(10))&amp;IF(BB6="","",BB6&amp;CHAR(10))&amp;IF(BC6="","",BC6&amp;CHAR(10))&amp;IF(BD6="","",BD6&amp;CHAR(10))&amp;IF(BE6="","",BE6&amp;CHAR(10))&amp;IF(BF6="","",BF6&amp;CHAR(10))&amp;IF(BG6="","",BG6&amp;CHAR(10))&amp;IF(BH6="","",BH6&amp;CHAR(10))&amp;IF(BI6="","",BI6&amp;CHAR(10))&amp;BJ6</f>
        <v/>
      </c>
      <c r="BL6" s="36">
        <f t="shared" si="1"/>
        <v>0</v>
      </c>
      <c r="BM6" s="25"/>
    </row>
    <row r="7" spans="1:65" x14ac:dyDescent="0.3">
      <c r="A7" s="37">
        <v>3</v>
      </c>
      <c r="B7" s="53" t="s">
        <v>105</v>
      </c>
      <c r="C7" s="33"/>
      <c r="D7" s="33"/>
      <c r="E7" s="33"/>
      <c r="F7" s="33"/>
      <c r="G7" s="33"/>
      <c r="H7" s="33"/>
      <c r="I7" s="33"/>
      <c r="J7" s="33"/>
      <c r="K7" s="33"/>
      <c r="L7" s="33"/>
      <c r="M7" s="33"/>
      <c r="N7" s="33"/>
      <c r="O7" s="33"/>
      <c r="P7" s="33"/>
      <c r="Q7" s="33"/>
      <c r="R7" s="33"/>
      <c r="S7" s="33"/>
      <c r="T7" s="33"/>
      <c r="U7" s="33"/>
      <c r="V7" s="33"/>
      <c r="W7" s="33"/>
      <c r="X7" s="33"/>
      <c r="Y7" s="33"/>
      <c r="Z7" s="33"/>
      <c r="AA7" s="33"/>
      <c r="AB7" s="33"/>
      <c r="AC7" s="33"/>
      <c r="AD7" s="33"/>
      <c r="AE7" s="33"/>
      <c r="AF7" s="33"/>
      <c r="AG7" s="34" t="str">
        <f>IFERROR(IF(C7=1,VLOOKUP(C$2,활동내용입력!$B$4:$F$27,5,FALSE),""),"")</f>
        <v/>
      </c>
      <c r="AH7" s="34" t="str">
        <f>IFERROR(IF(D7=1,VLOOKUP(D$2,활동내용입력!$B$4:$F$27,5,FALSE),""),"")</f>
        <v/>
      </c>
      <c r="AI7" s="34" t="str">
        <f>IFERROR(IF(E7=1,VLOOKUP(E$2,활동내용입력!$B$4:$F$27,5,FALSE),""),"")</f>
        <v/>
      </c>
      <c r="AJ7" s="34" t="str">
        <f>IFERROR(IF(F7=1,VLOOKUP(F$2,활동내용입력!$B$4:$F$27,5,FALSE),""),"")</f>
        <v/>
      </c>
      <c r="AK7" s="34" t="str">
        <f>IFERROR(IF(G7=1,VLOOKUP(G$2,활동내용입력!$B$4:$F$27,5,FALSE),""),"")</f>
        <v/>
      </c>
      <c r="AL7" s="34" t="str">
        <f>IFERROR(IF(H7=1,VLOOKUP(H$2,활동내용입력!$B$4:$F$27,5,FALSE),""),"")</f>
        <v/>
      </c>
      <c r="AM7" s="34" t="str">
        <f>IFERROR(IF(I7=1,VLOOKUP(I$2,활동내용입력!$B$4:$F$27,5,FALSE),""),"")</f>
        <v/>
      </c>
      <c r="AN7" s="34" t="str">
        <f>IFERROR(IF(J7=1,VLOOKUP(J$2,활동내용입력!$B$4:$F$27,5,FALSE),""),"")</f>
        <v/>
      </c>
      <c r="AO7" s="34" t="str">
        <f>IFERROR(IF(K7=1,VLOOKUP(K$2,활동내용입력!$B$4:$F$27,5,FALSE),""),"")</f>
        <v/>
      </c>
      <c r="AP7" s="34" t="str">
        <f>IFERROR(IF(L7=1,VLOOKUP(L$2,활동내용입력!$B$4:$F$27,5,FALSE),""),"")</f>
        <v/>
      </c>
      <c r="AQ7" s="34" t="str">
        <f>IFERROR(IF(M7=1,VLOOKUP(M$2,활동내용입력!$B$4:$F$27,5,FALSE),""),"")</f>
        <v/>
      </c>
      <c r="AR7" s="34" t="str">
        <f>IFERROR(IF(N7=1,VLOOKUP(N$2,활동내용입력!$B$4:$F$27,5,FALSE),""),"")</f>
        <v/>
      </c>
      <c r="AS7" s="34" t="str">
        <f>IFERROR(IF(O7=1,VLOOKUP(O$2,활동내용입력!$B$4:$F$27,5,FALSE),""),"")</f>
        <v/>
      </c>
      <c r="AT7" s="34" t="str">
        <f>IFERROR(IF(P7=1,VLOOKUP(P$2,활동내용입력!$B$4:$F$27,5,FALSE),""),"")</f>
        <v/>
      </c>
      <c r="AU7" s="34" t="str">
        <f>IFERROR(IF(Q7=1,VLOOKUP(Q$2,활동내용입력!$B$4:$F$27,5,FALSE),""),"")</f>
        <v/>
      </c>
      <c r="AV7" s="34" t="str">
        <f>IFERROR(IF(R7=1,VLOOKUP(R$2,활동내용입력!$B$4:$F$27,5,FALSE),""),"")</f>
        <v/>
      </c>
      <c r="AW7" s="34" t="str">
        <f>IFERROR(IF(S7=1,VLOOKUP(S$2,활동내용입력!$B$4:$F$27,5,FALSE),""),"")</f>
        <v/>
      </c>
      <c r="AX7" s="34" t="str">
        <f>IFERROR(IF(T7=1,VLOOKUP(T$2,활동내용입력!$B$4:$F$27,5,FALSE),""),"")</f>
        <v/>
      </c>
      <c r="AY7" s="34" t="str">
        <f>IFERROR(IF(U7=1,VLOOKUP(U$2,활동내용입력!$B$4:$F$27,5,FALSE),""),"")</f>
        <v/>
      </c>
      <c r="AZ7" s="34" t="str">
        <f>IFERROR(IF(V7=1,VLOOKUP(V$2,활동내용입력!$B$4:$F$27,5,FALSE),""),"")</f>
        <v/>
      </c>
      <c r="BA7" s="34" t="str">
        <f>IFERROR(IF(W7=1,VLOOKUP(W$2,활동내용입력!$B$4:$F$27,5,FALSE),""),"")</f>
        <v/>
      </c>
      <c r="BB7" s="34" t="str">
        <f>IFERROR(IF(X7=1,VLOOKUP(X$2,활동내용입력!$B$4:$F$27,5,FALSE),""),"")</f>
        <v/>
      </c>
      <c r="BC7" s="34" t="str">
        <f>IFERROR(IF(Y7=1,VLOOKUP(Y$2,활동내용입력!$B$4:$F$27,5,FALSE),""),"")</f>
        <v/>
      </c>
      <c r="BD7" s="34" t="str">
        <f>IFERROR(IF(Z7=1,VLOOKUP(Z$2,활동내용입력!$B$4:$F$27,5,FALSE),""),"")</f>
        <v/>
      </c>
      <c r="BE7" s="34" t="str">
        <f>IFERROR(IF(AA7=1,VLOOKUP(AA$2,활동내용입력!$B$4:$F$27,5,FALSE),""),"")</f>
        <v/>
      </c>
      <c r="BF7" s="34" t="str">
        <f>IFERROR(IF(AB7=1,VLOOKUP(AB$2,활동내용입력!$B$4:$F$27,5,FALSE),""),"")</f>
        <v/>
      </c>
      <c r="BG7" s="34" t="str">
        <f>IFERROR(IF(AC7=1,VLOOKUP(AC$2,활동내용입력!$B$4:$F$27,5,FALSE),""),"")</f>
        <v/>
      </c>
      <c r="BH7" s="34" t="str">
        <f>IFERROR(IF(AD7=1,VLOOKUP(AD$2,활동내용입력!$B$4:$F$27,5,FALSE),""),"")</f>
        <v/>
      </c>
      <c r="BI7" s="34" t="str">
        <f>IFERROR(IF(AE7=1,VLOOKUP(AE$2,활동내용입력!$B$4:$F$27,5,FALSE),""),"")</f>
        <v/>
      </c>
      <c r="BJ7" s="34" t="str">
        <f>IFERROR(IF(AF7=1,VLOOKUP(AF$2,활동내용입력!$B$4:$F$27,5,FALSE),""),"")</f>
        <v/>
      </c>
      <c r="BK7" s="35" t="str">
        <f t="shared" si="2"/>
        <v/>
      </c>
      <c r="BL7" s="36">
        <f t="shared" si="1"/>
        <v>0</v>
      </c>
      <c r="BM7" s="25"/>
    </row>
    <row r="8" spans="1:65" x14ac:dyDescent="0.3">
      <c r="A8" s="37">
        <v>4</v>
      </c>
      <c r="B8" s="53" t="s">
        <v>106</v>
      </c>
      <c r="C8" s="33"/>
      <c r="D8" s="33"/>
      <c r="E8" s="33"/>
      <c r="F8" s="33"/>
      <c r="G8" s="33"/>
      <c r="H8" s="33"/>
      <c r="I8" s="33"/>
      <c r="J8" s="33"/>
      <c r="K8" s="33"/>
      <c r="L8" s="33"/>
      <c r="M8" s="33"/>
      <c r="N8" s="33"/>
      <c r="O8" s="33"/>
      <c r="P8" s="33"/>
      <c r="Q8" s="33"/>
      <c r="R8" s="33"/>
      <c r="S8" s="33"/>
      <c r="T8" s="33"/>
      <c r="U8" s="33"/>
      <c r="V8" s="33"/>
      <c r="W8" s="33"/>
      <c r="X8" s="33"/>
      <c r="Y8" s="33"/>
      <c r="Z8" s="33"/>
      <c r="AA8" s="33"/>
      <c r="AB8" s="33"/>
      <c r="AC8" s="33"/>
      <c r="AD8" s="33"/>
      <c r="AE8" s="33"/>
      <c r="AF8" s="33"/>
      <c r="AG8" s="34" t="str">
        <f>IFERROR(IF(C8=1,VLOOKUP(C$2,활동내용입력!$B$4:$F$27,5,FALSE),""),"")</f>
        <v/>
      </c>
      <c r="AH8" s="34" t="str">
        <f>IFERROR(IF(D8=1,VLOOKUP(D$2,활동내용입력!$B$4:$F$27,5,FALSE),""),"")</f>
        <v/>
      </c>
      <c r="AI8" s="34" t="str">
        <f>IFERROR(IF(E8=1,VLOOKUP(E$2,활동내용입력!$B$4:$F$27,5,FALSE),""),"")</f>
        <v/>
      </c>
      <c r="AJ8" s="34" t="str">
        <f>IFERROR(IF(F8=1,VLOOKUP(F$2,활동내용입력!$B$4:$F$27,5,FALSE),""),"")</f>
        <v/>
      </c>
      <c r="AK8" s="34" t="str">
        <f>IFERROR(IF(G8=1,VLOOKUP(G$2,활동내용입력!$B$4:$F$27,5,FALSE),""),"")</f>
        <v/>
      </c>
      <c r="AL8" s="34" t="str">
        <f>IFERROR(IF(H8=1,VLOOKUP(H$2,활동내용입력!$B$4:$F$27,5,FALSE),""),"")</f>
        <v/>
      </c>
      <c r="AM8" s="34" t="str">
        <f>IFERROR(IF(I8=1,VLOOKUP(I$2,활동내용입력!$B$4:$F$27,5,FALSE),""),"")</f>
        <v/>
      </c>
      <c r="AN8" s="34" t="str">
        <f>IFERROR(IF(J8=1,VLOOKUP(J$2,활동내용입력!$B$4:$F$27,5,FALSE),""),"")</f>
        <v/>
      </c>
      <c r="AO8" s="34" t="str">
        <f>IFERROR(IF(K8=1,VLOOKUP(K$2,활동내용입력!$B$4:$F$27,5,FALSE),""),"")</f>
        <v/>
      </c>
      <c r="AP8" s="34" t="str">
        <f>IFERROR(IF(L8=1,VLOOKUP(L$2,활동내용입력!$B$4:$F$27,5,FALSE),""),"")</f>
        <v/>
      </c>
      <c r="AQ8" s="34" t="str">
        <f>IFERROR(IF(M8=1,VLOOKUP(M$2,활동내용입력!$B$4:$F$27,5,FALSE),""),"")</f>
        <v/>
      </c>
      <c r="AR8" s="34" t="str">
        <f>IFERROR(IF(N8=1,VLOOKUP(N$2,활동내용입력!$B$4:$F$27,5,FALSE),""),"")</f>
        <v/>
      </c>
      <c r="AS8" s="34" t="str">
        <f>IFERROR(IF(O8=1,VLOOKUP(O$2,활동내용입력!$B$4:$F$27,5,FALSE),""),"")</f>
        <v/>
      </c>
      <c r="AT8" s="34" t="str">
        <f>IFERROR(IF(P8=1,VLOOKUP(P$2,활동내용입력!$B$4:$F$27,5,FALSE),""),"")</f>
        <v/>
      </c>
      <c r="AU8" s="34" t="str">
        <f>IFERROR(IF(Q8=1,VLOOKUP(Q$2,활동내용입력!$B$4:$F$27,5,FALSE),""),"")</f>
        <v/>
      </c>
      <c r="AV8" s="34" t="str">
        <f>IFERROR(IF(R8=1,VLOOKUP(R$2,활동내용입력!$B$4:$F$27,5,FALSE),""),"")</f>
        <v/>
      </c>
      <c r="AW8" s="34" t="str">
        <f>IFERROR(IF(S8=1,VLOOKUP(S$2,활동내용입력!$B$4:$F$27,5,FALSE),""),"")</f>
        <v/>
      </c>
      <c r="AX8" s="34" t="str">
        <f>IFERROR(IF(T8=1,VLOOKUP(T$2,활동내용입력!$B$4:$F$27,5,FALSE),""),"")</f>
        <v/>
      </c>
      <c r="AY8" s="34" t="str">
        <f>IFERROR(IF(U8=1,VLOOKUP(U$2,활동내용입력!$B$4:$F$27,5,FALSE),""),"")</f>
        <v/>
      </c>
      <c r="AZ8" s="34" t="str">
        <f>IFERROR(IF(V8=1,VLOOKUP(V$2,활동내용입력!$B$4:$F$27,5,FALSE),""),"")</f>
        <v/>
      </c>
      <c r="BA8" s="34" t="str">
        <f>IFERROR(IF(W8=1,VLOOKUP(W$2,활동내용입력!$B$4:$F$27,5,FALSE),""),"")</f>
        <v/>
      </c>
      <c r="BB8" s="34" t="str">
        <f>IFERROR(IF(X8=1,VLOOKUP(X$2,활동내용입력!$B$4:$F$27,5,FALSE),""),"")</f>
        <v/>
      </c>
      <c r="BC8" s="34" t="str">
        <f>IFERROR(IF(Y8=1,VLOOKUP(Y$2,활동내용입력!$B$4:$F$27,5,FALSE),""),"")</f>
        <v/>
      </c>
      <c r="BD8" s="34" t="str">
        <f>IFERROR(IF(Z8=1,VLOOKUP(Z$2,활동내용입력!$B$4:$F$27,5,FALSE),""),"")</f>
        <v/>
      </c>
      <c r="BE8" s="34" t="str">
        <f>IFERROR(IF(AA8=1,VLOOKUP(AA$2,활동내용입력!$B$4:$F$27,5,FALSE),""),"")</f>
        <v/>
      </c>
      <c r="BF8" s="34" t="str">
        <f>IFERROR(IF(AB8=1,VLOOKUP(AB$2,활동내용입력!$B$4:$F$27,5,FALSE),""),"")</f>
        <v/>
      </c>
      <c r="BG8" s="34" t="str">
        <f>IFERROR(IF(AC8=1,VLOOKUP(AC$2,활동내용입력!$B$4:$F$27,5,FALSE),""),"")</f>
        <v/>
      </c>
      <c r="BH8" s="34" t="str">
        <f>IFERROR(IF(AD8=1,VLOOKUP(AD$2,활동내용입력!$B$4:$F$27,5,FALSE),""),"")</f>
        <v/>
      </c>
      <c r="BI8" s="34" t="str">
        <f>IFERROR(IF(AE8=1,VLOOKUP(AE$2,활동내용입력!$B$4:$F$27,5,FALSE),""),"")</f>
        <v/>
      </c>
      <c r="BJ8" s="34" t="str">
        <f>IFERROR(IF(AF8=1,VLOOKUP(AF$2,활동내용입력!$B$4:$F$27,5,FALSE),""),"")</f>
        <v/>
      </c>
      <c r="BK8" s="35" t="str">
        <f t="shared" si="2"/>
        <v/>
      </c>
      <c r="BL8" s="36">
        <f t="shared" si="1"/>
        <v>0</v>
      </c>
      <c r="BM8" s="25"/>
    </row>
    <row r="9" spans="1:65" x14ac:dyDescent="0.3">
      <c r="A9" s="51">
        <v>5</v>
      </c>
      <c r="B9" s="53" t="s">
        <v>107</v>
      </c>
      <c r="C9" s="33"/>
      <c r="D9" s="33"/>
      <c r="E9" s="33"/>
      <c r="F9" s="33"/>
      <c r="G9" s="33"/>
      <c r="H9" s="33"/>
      <c r="I9" s="33"/>
      <c r="J9" s="33"/>
      <c r="K9" s="33"/>
      <c r="L9" s="33"/>
      <c r="M9" s="33"/>
      <c r="N9" s="33"/>
      <c r="O9" s="33"/>
      <c r="P9" s="33"/>
      <c r="Q9" s="33"/>
      <c r="R9" s="33"/>
      <c r="S9" s="33"/>
      <c r="T9" s="33"/>
      <c r="U9" s="33"/>
      <c r="V9" s="33"/>
      <c r="W9" s="33"/>
      <c r="X9" s="33"/>
      <c r="Y9" s="33"/>
      <c r="Z9" s="33"/>
      <c r="AA9" s="33"/>
      <c r="AB9" s="33"/>
      <c r="AC9" s="33"/>
      <c r="AD9" s="33"/>
      <c r="AE9" s="33"/>
      <c r="AF9" s="33"/>
      <c r="AG9" s="34" t="str">
        <f>IFERROR(IF(C9=1,VLOOKUP(C$2,활동내용입력!$B$4:$F$27,5,FALSE),""),"")</f>
        <v/>
      </c>
      <c r="AH9" s="34" t="str">
        <f>IFERROR(IF(D9=1,VLOOKUP(D$2,활동내용입력!$B$4:$F$27,5,FALSE),""),"")</f>
        <v/>
      </c>
      <c r="AI9" s="34" t="str">
        <f>IFERROR(IF(E9=1,VLOOKUP(E$2,활동내용입력!$B$4:$F$27,5,FALSE),""),"")</f>
        <v/>
      </c>
      <c r="AJ9" s="34" t="str">
        <f>IFERROR(IF(F9=1,VLOOKUP(F$2,활동내용입력!$B$4:$F$27,5,FALSE),""),"")</f>
        <v/>
      </c>
      <c r="AK9" s="34" t="str">
        <f>IFERROR(IF(G9=1,VLOOKUP(G$2,활동내용입력!$B$4:$F$27,5,FALSE),""),"")</f>
        <v/>
      </c>
      <c r="AL9" s="34" t="str">
        <f>IFERROR(IF(H9=1,VLOOKUP(H$2,활동내용입력!$B$4:$F$27,5,FALSE),""),"")</f>
        <v/>
      </c>
      <c r="AM9" s="34" t="str">
        <f>IFERROR(IF(I9=1,VLOOKUP(I$2,활동내용입력!$B$4:$F$27,5,FALSE),""),"")</f>
        <v/>
      </c>
      <c r="AN9" s="34" t="str">
        <f>IFERROR(IF(J9=1,VLOOKUP(J$2,활동내용입력!$B$4:$F$27,5,FALSE),""),"")</f>
        <v/>
      </c>
      <c r="AO9" s="34" t="str">
        <f>IFERROR(IF(K9=1,VLOOKUP(K$2,활동내용입력!$B$4:$F$27,5,FALSE),""),"")</f>
        <v/>
      </c>
      <c r="AP9" s="34" t="str">
        <f>IFERROR(IF(L9=1,VLOOKUP(L$2,활동내용입력!$B$4:$F$27,5,FALSE),""),"")</f>
        <v/>
      </c>
      <c r="AQ9" s="34" t="str">
        <f>IFERROR(IF(M9=1,VLOOKUP(M$2,활동내용입력!$B$4:$F$27,5,FALSE),""),"")</f>
        <v/>
      </c>
      <c r="AR9" s="34" t="str">
        <f>IFERROR(IF(N9=1,VLOOKUP(N$2,활동내용입력!$B$4:$F$27,5,FALSE),""),"")</f>
        <v/>
      </c>
      <c r="AS9" s="34" t="str">
        <f>IFERROR(IF(O9=1,VLOOKUP(O$2,활동내용입력!$B$4:$F$27,5,FALSE),""),"")</f>
        <v/>
      </c>
      <c r="AT9" s="34" t="str">
        <f>IFERROR(IF(P9=1,VLOOKUP(P$2,활동내용입력!$B$4:$F$27,5,FALSE),""),"")</f>
        <v/>
      </c>
      <c r="AU9" s="34" t="str">
        <f>IFERROR(IF(Q9=1,VLOOKUP(Q$2,활동내용입력!$B$4:$F$27,5,FALSE),""),"")</f>
        <v/>
      </c>
      <c r="AV9" s="34" t="str">
        <f>IFERROR(IF(R9=1,VLOOKUP(R$2,활동내용입력!$B$4:$F$27,5,FALSE),""),"")</f>
        <v/>
      </c>
      <c r="AW9" s="34" t="str">
        <f>IFERROR(IF(S9=1,VLOOKUP(S$2,활동내용입력!$B$4:$F$27,5,FALSE),""),"")</f>
        <v/>
      </c>
      <c r="AX9" s="34" t="str">
        <f>IFERROR(IF(T9=1,VLOOKUP(T$2,활동내용입력!$B$4:$F$27,5,FALSE),""),"")</f>
        <v/>
      </c>
      <c r="AY9" s="34" t="str">
        <f>IFERROR(IF(U9=1,VLOOKUP(U$2,활동내용입력!$B$4:$F$27,5,FALSE),""),"")</f>
        <v/>
      </c>
      <c r="AZ9" s="34" t="str">
        <f>IFERROR(IF(V9=1,VLOOKUP(V$2,활동내용입력!$B$4:$F$27,5,FALSE),""),"")</f>
        <v/>
      </c>
      <c r="BA9" s="34" t="str">
        <f>IFERROR(IF(W9=1,VLOOKUP(W$2,활동내용입력!$B$4:$F$27,5,FALSE),""),"")</f>
        <v/>
      </c>
      <c r="BB9" s="34" t="str">
        <f>IFERROR(IF(X9=1,VLOOKUP(X$2,활동내용입력!$B$4:$F$27,5,FALSE),""),"")</f>
        <v/>
      </c>
      <c r="BC9" s="34" t="str">
        <f>IFERROR(IF(Y9=1,VLOOKUP(Y$2,활동내용입력!$B$4:$F$27,5,FALSE),""),"")</f>
        <v/>
      </c>
      <c r="BD9" s="34" t="str">
        <f>IFERROR(IF(Z9=1,VLOOKUP(Z$2,활동내용입력!$B$4:$F$27,5,FALSE),""),"")</f>
        <v/>
      </c>
      <c r="BE9" s="34" t="str">
        <f>IFERROR(IF(AA9=1,VLOOKUP(AA$2,활동내용입력!$B$4:$F$27,5,FALSE),""),"")</f>
        <v/>
      </c>
      <c r="BF9" s="34" t="str">
        <f>IFERROR(IF(AB9=1,VLOOKUP(AB$2,활동내용입력!$B$4:$F$27,5,FALSE),""),"")</f>
        <v/>
      </c>
      <c r="BG9" s="34" t="str">
        <f>IFERROR(IF(AC9=1,VLOOKUP(AC$2,활동내용입력!$B$4:$F$27,5,FALSE),""),"")</f>
        <v/>
      </c>
      <c r="BH9" s="34" t="str">
        <f>IFERROR(IF(AD9=1,VLOOKUP(AD$2,활동내용입력!$B$4:$F$27,5,FALSE),""),"")</f>
        <v/>
      </c>
      <c r="BI9" s="34" t="str">
        <f>IFERROR(IF(AE9=1,VLOOKUP(AE$2,활동내용입력!$B$4:$F$27,5,FALSE),""),"")</f>
        <v/>
      </c>
      <c r="BJ9" s="34" t="str">
        <f>IFERROR(IF(AF9=1,VLOOKUP(AF$2,활동내용입력!$B$4:$F$27,5,FALSE),""),"")</f>
        <v/>
      </c>
      <c r="BK9" s="35" t="str">
        <f t="shared" si="2"/>
        <v/>
      </c>
      <c r="BL9" s="36">
        <f t="shared" si="1"/>
        <v>0</v>
      </c>
      <c r="BM9" s="25"/>
    </row>
    <row r="10" spans="1:65" x14ac:dyDescent="0.3">
      <c r="A10" s="51">
        <v>6</v>
      </c>
      <c r="B10" s="53" t="s">
        <v>108</v>
      </c>
      <c r="C10" s="33"/>
      <c r="D10" s="33"/>
      <c r="E10" s="33"/>
      <c r="F10" s="33"/>
      <c r="G10" s="33"/>
      <c r="H10" s="33"/>
      <c r="I10" s="33"/>
      <c r="J10" s="33"/>
      <c r="K10" s="33"/>
      <c r="L10" s="33"/>
      <c r="M10" s="33"/>
      <c r="N10" s="33"/>
      <c r="O10" s="33"/>
      <c r="P10" s="33"/>
      <c r="Q10" s="33"/>
      <c r="R10" s="33"/>
      <c r="S10" s="33"/>
      <c r="T10" s="33"/>
      <c r="U10" s="33"/>
      <c r="V10" s="33"/>
      <c r="W10" s="33"/>
      <c r="X10" s="33"/>
      <c r="Y10" s="33"/>
      <c r="Z10" s="33"/>
      <c r="AA10" s="33"/>
      <c r="AB10" s="33"/>
      <c r="AC10" s="33"/>
      <c r="AD10" s="33"/>
      <c r="AE10" s="33"/>
      <c r="AF10" s="33"/>
      <c r="AG10" s="34" t="str">
        <f>IFERROR(IF(C10=1,VLOOKUP(C$2,활동내용입력!$B$4:$F$27,5,FALSE),""),"")</f>
        <v/>
      </c>
      <c r="AH10" s="34" t="str">
        <f>IFERROR(IF(D10=1,VLOOKUP(D$2,활동내용입력!$B$4:$F$27,5,FALSE),""),"")</f>
        <v/>
      </c>
      <c r="AI10" s="34" t="str">
        <f>IFERROR(IF(E10=1,VLOOKUP(E$2,활동내용입력!$B$4:$F$27,5,FALSE),""),"")</f>
        <v/>
      </c>
      <c r="AJ10" s="34" t="str">
        <f>IFERROR(IF(F10=1,VLOOKUP(F$2,활동내용입력!$B$4:$F$27,5,FALSE),""),"")</f>
        <v/>
      </c>
      <c r="AK10" s="34" t="str">
        <f>IFERROR(IF(G10=1,VLOOKUP(G$2,활동내용입력!$B$4:$F$27,5,FALSE),""),"")</f>
        <v/>
      </c>
      <c r="AL10" s="34" t="str">
        <f>IFERROR(IF(H10=1,VLOOKUP(H$2,활동내용입력!$B$4:$F$27,5,FALSE),""),"")</f>
        <v/>
      </c>
      <c r="AM10" s="34" t="str">
        <f>IFERROR(IF(I10=1,VLOOKUP(I$2,활동내용입력!$B$4:$F$27,5,FALSE),""),"")</f>
        <v/>
      </c>
      <c r="AN10" s="34" t="str">
        <f>IFERROR(IF(J10=1,VLOOKUP(J$2,활동내용입력!$B$4:$F$27,5,FALSE),""),"")</f>
        <v/>
      </c>
      <c r="AO10" s="34" t="str">
        <f>IFERROR(IF(K10=1,VLOOKUP(K$2,활동내용입력!$B$4:$F$27,5,FALSE),""),"")</f>
        <v/>
      </c>
      <c r="AP10" s="34" t="str">
        <f>IFERROR(IF(L10=1,VLOOKUP(L$2,활동내용입력!$B$4:$F$27,5,FALSE),""),"")</f>
        <v/>
      </c>
      <c r="AQ10" s="34" t="str">
        <f>IFERROR(IF(M10=1,VLOOKUP(M$2,활동내용입력!$B$4:$F$27,5,FALSE),""),"")</f>
        <v/>
      </c>
      <c r="AR10" s="34" t="str">
        <f>IFERROR(IF(N10=1,VLOOKUP(N$2,활동내용입력!$B$4:$F$27,5,FALSE),""),"")</f>
        <v/>
      </c>
      <c r="AS10" s="34" t="str">
        <f>IFERROR(IF(O10=1,VLOOKUP(O$2,활동내용입력!$B$4:$F$27,5,FALSE),""),"")</f>
        <v/>
      </c>
      <c r="AT10" s="34" t="str">
        <f>IFERROR(IF(P10=1,VLOOKUP(P$2,활동내용입력!$B$4:$F$27,5,FALSE),""),"")</f>
        <v/>
      </c>
      <c r="AU10" s="34" t="str">
        <f>IFERROR(IF(Q10=1,VLOOKUP(Q$2,활동내용입력!$B$4:$F$27,5,FALSE),""),"")</f>
        <v/>
      </c>
      <c r="AV10" s="34" t="str">
        <f>IFERROR(IF(R10=1,VLOOKUP(R$2,활동내용입력!$B$4:$F$27,5,FALSE),""),"")</f>
        <v/>
      </c>
      <c r="AW10" s="34" t="str">
        <f>IFERROR(IF(S10=1,VLOOKUP(S$2,활동내용입력!$B$4:$F$27,5,FALSE),""),"")</f>
        <v/>
      </c>
      <c r="AX10" s="34" t="str">
        <f>IFERROR(IF(T10=1,VLOOKUP(T$2,활동내용입력!$B$4:$F$27,5,FALSE),""),"")</f>
        <v/>
      </c>
      <c r="AY10" s="34" t="str">
        <f>IFERROR(IF(U10=1,VLOOKUP(U$2,활동내용입력!$B$4:$F$27,5,FALSE),""),"")</f>
        <v/>
      </c>
      <c r="AZ10" s="34" t="str">
        <f>IFERROR(IF(V10=1,VLOOKUP(V$2,활동내용입력!$B$4:$F$27,5,FALSE),""),"")</f>
        <v/>
      </c>
      <c r="BA10" s="34" t="str">
        <f>IFERROR(IF(W10=1,VLOOKUP(W$2,활동내용입력!$B$4:$F$27,5,FALSE),""),"")</f>
        <v/>
      </c>
      <c r="BB10" s="34" t="str">
        <f>IFERROR(IF(X10=1,VLOOKUP(X$2,활동내용입력!$B$4:$F$27,5,FALSE),""),"")</f>
        <v/>
      </c>
      <c r="BC10" s="34" t="str">
        <f>IFERROR(IF(Y10=1,VLOOKUP(Y$2,활동내용입력!$B$4:$F$27,5,FALSE),""),"")</f>
        <v/>
      </c>
      <c r="BD10" s="34" t="str">
        <f>IFERROR(IF(Z10=1,VLOOKUP(Z$2,활동내용입력!$B$4:$F$27,5,FALSE),""),"")</f>
        <v/>
      </c>
      <c r="BE10" s="34" t="str">
        <f>IFERROR(IF(AA10=1,VLOOKUP(AA$2,활동내용입력!$B$4:$F$27,5,FALSE),""),"")</f>
        <v/>
      </c>
      <c r="BF10" s="34" t="str">
        <f>IFERROR(IF(AB10=1,VLOOKUP(AB$2,활동내용입력!$B$4:$F$27,5,FALSE),""),"")</f>
        <v/>
      </c>
      <c r="BG10" s="34" t="str">
        <f>IFERROR(IF(AC10=1,VLOOKUP(AC$2,활동내용입력!$B$4:$F$27,5,FALSE),""),"")</f>
        <v/>
      </c>
      <c r="BH10" s="34" t="str">
        <f>IFERROR(IF(AD10=1,VLOOKUP(AD$2,활동내용입력!$B$4:$F$27,5,FALSE),""),"")</f>
        <v/>
      </c>
      <c r="BI10" s="34" t="str">
        <f>IFERROR(IF(AE10=1,VLOOKUP(AE$2,활동내용입력!$B$4:$F$27,5,FALSE),""),"")</f>
        <v/>
      </c>
      <c r="BJ10" s="34" t="str">
        <f>IFERROR(IF(AF10=1,VLOOKUP(AF$2,활동내용입력!$B$4:$F$27,5,FALSE),""),"")</f>
        <v/>
      </c>
      <c r="BK10" s="35" t="str">
        <f t="shared" si="2"/>
        <v/>
      </c>
      <c r="BL10" s="36">
        <f t="shared" si="1"/>
        <v>0</v>
      </c>
      <c r="BM10" s="25"/>
    </row>
    <row r="11" spans="1:65" x14ac:dyDescent="0.3">
      <c r="A11" s="51">
        <v>7</v>
      </c>
      <c r="B11" s="53" t="s">
        <v>109</v>
      </c>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4" t="str">
        <f>IFERROR(IF(C11=1,VLOOKUP(C$2,활동내용입력!$B$4:$F$27,5,FALSE),""),"")</f>
        <v/>
      </c>
      <c r="AH11" s="34" t="str">
        <f>IFERROR(IF(D11=1,VLOOKUP(D$2,활동내용입력!$B$4:$F$27,5,FALSE),""),"")</f>
        <v/>
      </c>
      <c r="AI11" s="34" t="str">
        <f>IFERROR(IF(E11=1,VLOOKUP(E$2,활동내용입력!$B$4:$F$27,5,FALSE),""),"")</f>
        <v/>
      </c>
      <c r="AJ11" s="34" t="str">
        <f>IFERROR(IF(F11=1,VLOOKUP(F$2,활동내용입력!$B$4:$F$27,5,FALSE),""),"")</f>
        <v/>
      </c>
      <c r="AK11" s="34" t="str">
        <f>IFERROR(IF(G11=1,VLOOKUP(G$2,활동내용입력!$B$4:$F$27,5,FALSE),""),"")</f>
        <v/>
      </c>
      <c r="AL11" s="34" t="str">
        <f>IFERROR(IF(H11=1,VLOOKUP(H$2,활동내용입력!$B$4:$F$27,5,FALSE),""),"")</f>
        <v/>
      </c>
      <c r="AM11" s="34" t="str">
        <f>IFERROR(IF(I11=1,VLOOKUP(I$2,활동내용입력!$B$4:$F$27,5,FALSE),""),"")</f>
        <v/>
      </c>
      <c r="AN11" s="34" t="str">
        <f>IFERROR(IF(J11=1,VLOOKUP(J$2,활동내용입력!$B$4:$F$27,5,FALSE),""),"")</f>
        <v/>
      </c>
      <c r="AO11" s="34" t="str">
        <f>IFERROR(IF(K11=1,VLOOKUP(K$2,활동내용입력!$B$4:$F$27,5,FALSE),""),"")</f>
        <v/>
      </c>
      <c r="AP11" s="34" t="str">
        <f>IFERROR(IF(L11=1,VLOOKUP(L$2,활동내용입력!$B$4:$F$27,5,FALSE),""),"")</f>
        <v/>
      </c>
      <c r="AQ11" s="34" t="str">
        <f>IFERROR(IF(M11=1,VLOOKUP(M$2,활동내용입력!$B$4:$F$27,5,FALSE),""),"")</f>
        <v/>
      </c>
      <c r="AR11" s="34" t="str">
        <f>IFERROR(IF(N11=1,VLOOKUP(N$2,활동내용입력!$B$4:$F$27,5,FALSE),""),"")</f>
        <v/>
      </c>
      <c r="AS11" s="34" t="str">
        <f>IFERROR(IF(O11=1,VLOOKUP(O$2,활동내용입력!$B$4:$F$27,5,FALSE),""),"")</f>
        <v/>
      </c>
      <c r="AT11" s="34" t="str">
        <f>IFERROR(IF(P11=1,VLOOKUP(P$2,활동내용입력!$B$4:$F$27,5,FALSE),""),"")</f>
        <v/>
      </c>
      <c r="AU11" s="34" t="str">
        <f>IFERROR(IF(Q11=1,VLOOKUP(Q$2,활동내용입력!$B$4:$F$27,5,FALSE),""),"")</f>
        <v/>
      </c>
      <c r="AV11" s="34" t="str">
        <f>IFERROR(IF(R11=1,VLOOKUP(R$2,활동내용입력!$B$4:$F$27,5,FALSE),""),"")</f>
        <v/>
      </c>
      <c r="AW11" s="34" t="str">
        <f>IFERROR(IF(S11=1,VLOOKUP(S$2,활동내용입력!$B$4:$F$27,5,FALSE),""),"")</f>
        <v/>
      </c>
      <c r="AX11" s="34" t="str">
        <f>IFERROR(IF(T11=1,VLOOKUP(T$2,활동내용입력!$B$4:$F$27,5,FALSE),""),"")</f>
        <v/>
      </c>
      <c r="AY11" s="34" t="str">
        <f>IFERROR(IF(U11=1,VLOOKUP(U$2,활동내용입력!$B$4:$F$27,5,FALSE),""),"")</f>
        <v/>
      </c>
      <c r="AZ11" s="34" t="str">
        <f>IFERROR(IF(V11=1,VLOOKUP(V$2,활동내용입력!$B$4:$F$27,5,FALSE),""),"")</f>
        <v/>
      </c>
      <c r="BA11" s="34" t="str">
        <f>IFERROR(IF(W11=1,VLOOKUP(W$2,활동내용입력!$B$4:$F$27,5,FALSE),""),"")</f>
        <v/>
      </c>
      <c r="BB11" s="34" t="str">
        <f>IFERROR(IF(X11=1,VLOOKUP(X$2,활동내용입력!$B$4:$F$27,5,FALSE),""),"")</f>
        <v/>
      </c>
      <c r="BC11" s="34" t="str">
        <f>IFERROR(IF(Y11=1,VLOOKUP(Y$2,활동내용입력!$B$4:$F$27,5,FALSE),""),"")</f>
        <v/>
      </c>
      <c r="BD11" s="34" t="str">
        <f>IFERROR(IF(Z11=1,VLOOKUP(Z$2,활동내용입력!$B$4:$F$27,5,FALSE),""),"")</f>
        <v/>
      </c>
      <c r="BE11" s="34" t="str">
        <f>IFERROR(IF(AA11=1,VLOOKUP(AA$2,활동내용입력!$B$4:$F$27,5,FALSE),""),"")</f>
        <v/>
      </c>
      <c r="BF11" s="34" t="str">
        <f>IFERROR(IF(AB11=1,VLOOKUP(AB$2,활동내용입력!$B$4:$F$27,5,FALSE),""),"")</f>
        <v/>
      </c>
      <c r="BG11" s="34" t="str">
        <f>IFERROR(IF(AC11=1,VLOOKUP(AC$2,활동내용입력!$B$4:$F$27,5,FALSE),""),"")</f>
        <v/>
      </c>
      <c r="BH11" s="34" t="str">
        <f>IFERROR(IF(AD11=1,VLOOKUP(AD$2,활동내용입력!$B$4:$F$27,5,FALSE),""),"")</f>
        <v/>
      </c>
      <c r="BI11" s="34" t="str">
        <f>IFERROR(IF(AE11=1,VLOOKUP(AE$2,활동내용입력!$B$4:$F$27,5,FALSE),""),"")</f>
        <v/>
      </c>
      <c r="BJ11" s="34" t="str">
        <f>IFERROR(IF(AF11=1,VLOOKUP(AF$2,활동내용입력!$B$4:$F$27,5,FALSE),""),"")</f>
        <v/>
      </c>
      <c r="BK11" s="35" t="str">
        <f t="shared" si="2"/>
        <v/>
      </c>
      <c r="BL11" s="36">
        <f t="shared" si="1"/>
        <v>0</v>
      </c>
      <c r="BM11" s="25"/>
    </row>
    <row r="12" spans="1:65" x14ac:dyDescent="0.3">
      <c r="A12" s="51">
        <v>8</v>
      </c>
      <c r="B12" s="53" t="s">
        <v>110</v>
      </c>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4" t="str">
        <f>IFERROR(IF(C12=1,VLOOKUP(C$2,활동내용입력!$B$4:$F$27,5,FALSE),""),"")</f>
        <v/>
      </c>
      <c r="AH12" s="34" t="str">
        <f>IFERROR(IF(D12=1,VLOOKUP(D$2,활동내용입력!$B$4:$F$27,5,FALSE),""),"")</f>
        <v/>
      </c>
      <c r="AI12" s="34" t="str">
        <f>IFERROR(IF(E12=1,VLOOKUP(E$2,활동내용입력!$B$4:$F$27,5,FALSE),""),"")</f>
        <v/>
      </c>
      <c r="AJ12" s="34" t="str">
        <f>IFERROR(IF(F12=1,VLOOKUP(F$2,활동내용입력!$B$4:$F$27,5,FALSE),""),"")</f>
        <v/>
      </c>
      <c r="AK12" s="34" t="str">
        <f>IFERROR(IF(G12=1,VLOOKUP(G$2,활동내용입력!$B$4:$F$27,5,FALSE),""),"")</f>
        <v/>
      </c>
      <c r="AL12" s="34" t="str">
        <f>IFERROR(IF(H12=1,VLOOKUP(H$2,활동내용입력!$B$4:$F$27,5,FALSE),""),"")</f>
        <v/>
      </c>
      <c r="AM12" s="34" t="str">
        <f>IFERROR(IF(I12=1,VLOOKUP(I$2,활동내용입력!$B$4:$F$27,5,FALSE),""),"")</f>
        <v/>
      </c>
      <c r="AN12" s="34" t="str">
        <f>IFERROR(IF(J12=1,VLOOKUP(J$2,활동내용입력!$B$4:$F$27,5,FALSE),""),"")</f>
        <v/>
      </c>
      <c r="AO12" s="34" t="str">
        <f>IFERROR(IF(K12=1,VLOOKUP(K$2,활동내용입력!$B$4:$F$27,5,FALSE),""),"")</f>
        <v/>
      </c>
      <c r="AP12" s="34" t="str">
        <f>IFERROR(IF(L12=1,VLOOKUP(L$2,활동내용입력!$B$4:$F$27,5,FALSE),""),"")</f>
        <v/>
      </c>
      <c r="AQ12" s="34" t="str">
        <f>IFERROR(IF(M12=1,VLOOKUP(M$2,활동내용입력!$B$4:$F$27,5,FALSE),""),"")</f>
        <v/>
      </c>
      <c r="AR12" s="34" t="str">
        <f>IFERROR(IF(N12=1,VLOOKUP(N$2,활동내용입력!$B$4:$F$27,5,FALSE),""),"")</f>
        <v/>
      </c>
      <c r="AS12" s="34" t="str">
        <f>IFERROR(IF(O12=1,VLOOKUP(O$2,활동내용입력!$B$4:$F$27,5,FALSE),""),"")</f>
        <v/>
      </c>
      <c r="AT12" s="34" t="str">
        <f>IFERROR(IF(P12=1,VLOOKUP(P$2,활동내용입력!$B$4:$F$27,5,FALSE),""),"")</f>
        <v/>
      </c>
      <c r="AU12" s="34" t="str">
        <f>IFERROR(IF(Q12=1,VLOOKUP(Q$2,활동내용입력!$B$4:$F$27,5,FALSE),""),"")</f>
        <v/>
      </c>
      <c r="AV12" s="34" t="str">
        <f>IFERROR(IF(R12=1,VLOOKUP(R$2,활동내용입력!$B$4:$F$27,5,FALSE),""),"")</f>
        <v/>
      </c>
      <c r="AW12" s="34" t="str">
        <f>IFERROR(IF(S12=1,VLOOKUP(S$2,활동내용입력!$B$4:$F$27,5,FALSE),""),"")</f>
        <v/>
      </c>
      <c r="AX12" s="34" t="str">
        <f>IFERROR(IF(T12=1,VLOOKUP(T$2,활동내용입력!$B$4:$F$27,5,FALSE),""),"")</f>
        <v/>
      </c>
      <c r="AY12" s="34" t="str">
        <f>IFERROR(IF(U12=1,VLOOKUP(U$2,활동내용입력!$B$4:$F$27,5,FALSE),""),"")</f>
        <v/>
      </c>
      <c r="AZ12" s="34" t="str">
        <f>IFERROR(IF(V12=1,VLOOKUP(V$2,활동내용입력!$B$4:$F$27,5,FALSE),""),"")</f>
        <v/>
      </c>
      <c r="BA12" s="34" t="str">
        <f>IFERROR(IF(W12=1,VLOOKUP(W$2,활동내용입력!$B$4:$F$27,5,FALSE),""),"")</f>
        <v/>
      </c>
      <c r="BB12" s="34" t="str">
        <f>IFERROR(IF(X12=1,VLOOKUP(X$2,활동내용입력!$B$4:$F$27,5,FALSE),""),"")</f>
        <v/>
      </c>
      <c r="BC12" s="34" t="str">
        <f>IFERROR(IF(Y12=1,VLOOKUP(Y$2,활동내용입력!$B$4:$F$27,5,FALSE),""),"")</f>
        <v/>
      </c>
      <c r="BD12" s="34" t="str">
        <f>IFERROR(IF(Z12=1,VLOOKUP(Z$2,활동내용입력!$B$4:$F$27,5,FALSE),""),"")</f>
        <v/>
      </c>
      <c r="BE12" s="34" t="str">
        <f>IFERROR(IF(AA12=1,VLOOKUP(AA$2,활동내용입력!$B$4:$F$27,5,FALSE),""),"")</f>
        <v/>
      </c>
      <c r="BF12" s="34" t="str">
        <f>IFERROR(IF(AB12=1,VLOOKUP(AB$2,활동내용입력!$B$4:$F$27,5,FALSE),""),"")</f>
        <v/>
      </c>
      <c r="BG12" s="34" t="str">
        <f>IFERROR(IF(AC12=1,VLOOKUP(AC$2,활동내용입력!$B$4:$F$27,5,FALSE),""),"")</f>
        <v/>
      </c>
      <c r="BH12" s="34" t="str">
        <f>IFERROR(IF(AD12=1,VLOOKUP(AD$2,활동내용입력!$B$4:$F$27,5,FALSE),""),"")</f>
        <v/>
      </c>
      <c r="BI12" s="34" t="str">
        <f>IFERROR(IF(AE12=1,VLOOKUP(AE$2,활동내용입력!$B$4:$F$27,5,FALSE),""),"")</f>
        <v/>
      </c>
      <c r="BJ12" s="34" t="str">
        <f>IFERROR(IF(AF12=1,VLOOKUP(AF$2,활동내용입력!$B$4:$F$27,5,FALSE),""),"")</f>
        <v/>
      </c>
      <c r="BK12" s="35" t="str">
        <f t="shared" si="2"/>
        <v/>
      </c>
      <c r="BL12" s="36">
        <f t="shared" si="1"/>
        <v>0</v>
      </c>
      <c r="BM12" s="25"/>
    </row>
    <row r="13" spans="1:65" x14ac:dyDescent="0.3">
      <c r="A13" s="51">
        <v>9</v>
      </c>
      <c r="B13" s="53" t="s">
        <v>111</v>
      </c>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4" t="str">
        <f>IFERROR(IF(C13=1,VLOOKUP(C$2,활동내용입력!$B$4:$F$27,5,FALSE),""),"")</f>
        <v/>
      </c>
      <c r="AH13" s="34" t="str">
        <f>IFERROR(IF(D13=1,VLOOKUP(D$2,활동내용입력!$B$4:$F$27,5,FALSE),""),"")</f>
        <v/>
      </c>
      <c r="AI13" s="34" t="str">
        <f>IFERROR(IF(E13=1,VLOOKUP(E$2,활동내용입력!$B$4:$F$27,5,FALSE),""),"")</f>
        <v/>
      </c>
      <c r="AJ13" s="34" t="str">
        <f>IFERROR(IF(F13=1,VLOOKUP(F$2,활동내용입력!$B$4:$F$27,5,FALSE),""),"")</f>
        <v/>
      </c>
      <c r="AK13" s="34" t="str">
        <f>IFERROR(IF(G13=1,VLOOKUP(G$2,활동내용입력!$B$4:$F$27,5,FALSE),""),"")</f>
        <v/>
      </c>
      <c r="AL13" s="34" t="str">
        <f>IFERROR(IF(H13=1,VLOOKUP(H$2,활동내용입력!$B$4:$F$27,5,FALSE),""),"")</f>
        <v/>
      </c>
      <c r="AM13" s="34" t="str">
        <f>IFERROR(IF(I13=1,VLOOKUP(I$2,활동내용입력!$B$4:$F$27,5,FALSE),""),"")</f>
        <v/>
      </c>
      <c r="AN13" s="34" t="str">
        <f>IFERROR(IF(J13=1,VLOOKUP(J$2,활동내용입력!$B$4:$F$27,5,FALSE),""),"")</f>
        <v/>
      </c>
      <c r="AO13" s="34" t="str">
        <f>IFERROR(IF(K13=1,VLOOKUP(K$2,활동내용입력!$B$4:$F$27,5,FALSE),""),"")</f>
        <v/>
      </c>
      <c r="AP13" s="34" t="str">
        <f>IFERROR(IF(L13=1,VLOOKUP(L$2,활동내용입력!$B$4:$F$27,5,FALSE),""),"")</f>
        <v/>
      </c>
      <c r="AQ13" s="34" t="str">
        <f>IFERROR(IF(M13=1,VLOOKUP(M$2,활동내용입력!$B$4:$F$27,5,FALSE),""),"")</f>
        <v/>
      </c>
      <c r="AR13" s="34" t="str">
        <f>IFERROR(IF(N13=1,VLOOKUP(N$2,활동내용입력!$B$4:$F$27,5,FALSE),""),"")</f>
        <v/>
      </c>
      <c r="AS13" s="34" t="str">
        <f>IFERROR(IF(O13=1,VLOOKUP(O$2,활동내용입력!$B$4:$F$27,5,FALSE),""),"")</f>
        <v/>
      </c>
      <c r="AT13" s="34" t="str">
        <f>IFERROR(IF(P13=1,VLOOKUP(P$2,활동내용입력!$B$4:$F$27,5,FALSE),""),"")</f>
        <v/>
      </c>
      <c r="AU13" s="34" t="str">
        <f>IFERROR(IF(Q13=1,VLOOKUP(Q$2,활동내용입력!$B$4:$F$27,5,FALSE),""),"")</f>
        <v/>
      </c>
      <c r="AV13" s="34" t="str">
        <f>IFERROR(IF(R13=1,VLOOKUP(R$2,활동내용입력!$B$4:$F$27,5,FALSE),""),"")</f>
        <v/>
      </c>
      <c r="AW13" s="34" t="str">
        <f>IFERROR(IF(S13=1,VLOOKUP(S$2,활동내용입력!$B$4:$F$27,5,FALSE),""),"")</f>
        <v/>
      </c>
      <c r="AX13" s="34" t="str">
        <f>IFERROR(IF(T13=1,VLOOKUP(T$2,활동내용입력!$B$4:$F$27,5,FALSE),""),"")</f>
        <v/>
      </c>
      <c r="AY13" s="34" t="str">
        <f>IFERROR(IF(U13=1,VLOOKUP(U$2,활동내용입력!$B$4:$F$27,5,FALSE),""),"")</f>
        <v/>
      </c>
      <c r="AZ13" s="34" t="str">
        <f>IFERROR(IF(V13=1,VLOOKUP(V$2,활동내용입력!$B$4:$F$27,5,FALSE),""),"")</f>
        <v/>
      </c>
      <c r="BA13" s="34" t="str">
        <f>IFERROR(IF(W13=1,VLOOKUP(W$2,활동내용입력!$B$4:$F$27,5,FALSE),""),"")</f>
        <v/>
      </c>
      <c r="BB13" s="34" t="str">
        <f>IFERROR(IF(X13=1,VLOOKUP(X$2,활동내용입력!$B$4:$F$27,5,FALSE),""),"")</f>
        <v/>
      </c>
      <c r="BC13" s="34" t="str">
        <f>IFERROR(IF(Y13=1,VLOOKUP(Y$2,활동내용입력!$B$4:$F$27,5,FALSE),""),"")</f>
        <v/>
      </c>
      <c r="BD13" s="34" t="str">
        <f>IFERROR(IF(Z13=1,VLOOKUP(Z$2,활동내용입력!$B$4:$F$27,5,FALSE),""),"")</f>
        <v/>
      </c>
      <c r="BE13" s="34" t="str">
        <f>IFERROR(IF(AA13=1,VLOOKUP(AA$2,활동내용입력!$B$4:$F$27,5,FALSE),""),"")</f>
        <v/>
      </c>
      <c r="BF13" s="34" t="str">
        <f>IFERROR(IF(AB13=1,VLOOKUP(AB$2,활동내용입력!$B$4:$F$27,5,FALSE),""),"")</f>
        <v/>
      </c>
      <c r="BG13" s="34" t="str">
        <f>IFERROR(IF(AC13=1,VLOOKUP(AC$2,활동내용입력!$B$4:$F$27,5,FALSE),""),"")</f>
        <v/>
      </c>
      <c r="BH13" s="34" t="str">
        <f>IFERROR(IF(AD13=1,VLOOKUP(AD$2,활동내용입력!$B$4:$F$27,5,FALSE),""),"")</f>
        <v/>
      </c>
      <c r="BI13" s="34" t="str">
        <f>IFERROR(IF(AE13=1,VLOOKUP(AE$2,활동내용입력!$B$4:$F$27,5,FALSE),""),"")</f>
        <v/>
      </c>
      <c r="BJ13" s="34" t="str">
        <f>IFERROR(IF(AF13=1,VLOOKUP(AF$2,활동내용입력!$B$4:$F$27,5,FALSE),""),"")</f>
        <v/>
      </c>
      <c r="BK13" s="35" t="str">
        <f t="shared" si="2"/>
        <v/>
      </c>
      <c r="BL13" s="36">
        <f t="shared" si="1"/>
        <v>0</v>
      </c>
      <c r="BM13" s="25"/>
    </row>
    <row r="14" spans="1:65" x14ac:dyDescent="0.3">
      <c r="A14" s="51">
        <v>10</v>
      </c>
      <c r="B14" s="53" t="s">
        <v>112</v>
      </c>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4" t="str">
        <f>IFERROR(IF(C14=1,VLOOKUP(C$2,활동내용입력!$B$4:$F$27,5,FALSE),""),"")</f>
        <v/>
      </c>
      <c r="AH14" s="34" t="str">
        <f>IFERROR(IF(D14=1,VLOOKUP(D$2,활동내용입력!$B$4:$F$27,5,FALSE),""),"")</f>
        <v/>
      </c>
      <c r="AI14" s="34" t="str">
        <f>IFERROR(IF(E14=1,VLOOKUP(E$2,활동내용입력!$B$4:$F$27,5,FALSE),""),"")</f>
        <v/>
      </c>
      <c r="AJ14" s="34" t="str">
        <f>IFERROR(IF(F14=1,VLOOKUP(F$2,활동내용입력!$B$4:$F$27,5,FALSE),""),"")</f>
        <v/>
      </c>
      <c r="AK14" s="34" t="str">
        <f>IFERROR(IF(G14=1,VLOOKUP(G$2,활동내용입력!$B$4:$F$27,5,FALSE),""),"")</f>
        <v/>
      </c>
      <c r="AL14" s="34" t="str">
        <f>IFERROR(IF(H14=1,VLOOKUP(H$2,활동내용입력!$B$4:$F$27,5,FALSE),""),"")</f>
        <v/>
      </c>
      <c r="AM14" s="34" t="str">
        <f>IFERROR(IF(I14=1,VLOOKUP(I$2,활동내용입력!$B$4:$F$27,5,FALSE),""),"")</f>
        <v/>
      </c>
      <c r="AN14" s="34" t="str">
        <f>IFERROR(IF(J14=1,VLOOKUP(J$2,활동내용입력!$B$4:$F$27,5,FALSE),""),"")</f>
        <v/>
      </c>
      <c r="AO14" s="34" t="str">
        <f>IFERROR(IF(K14=1,VLOOKUP(K$2,활동내용입력!$B$4:$F$27,5,FALSE),""),"")</f>
        <v/>
      </c>
      <c r="AP14" s="34" t="str">
        <f>IFERROR(IF(L14=1,VLOOKUP(L$2,활동내용입력!$B$4:$F$27,5,FALSE),""),"")</f>
        <v/>
      </c>
      <c r="AQ14" s="34" t="str">
        <f>IFERROR(IF(M14=1,VLOOKUP(M$2,활동내용입력!$B$4:$F$27,5,FALSE),""),"")</f>
        <v/>
      </c>
      <c r="AR14" s="34" t="str">
        <f>IFERROR(IF(N14=1,VLOOKUP(N$2,활동내용입력!$B$4:$F$27,5,FALSE),""),"")</f>
        <v/>
      </c>
      <c r="AS14" s="34" t="str">
        <f>IFERROR(IF(O14=1,VLOOKUP(O$2,활동내용입력!$B$4:$F$27,5,FALSE),""),"")</f>
        <v/>
      </c>
      <c r="AT14" s="34" t="str">
        <f>IFERROR(IF(P14=1,VLOOKUP(P$2,활동내용입력!$B$4:$F$27,5,FALSE),""),"")</f>
        <v/>
      </c>
      <c r="AU14" s="34" t="str">
        <f>IFERROR(IF(Q14=1,VLOOKUP(Q$2,활동내용입력!$B$4:$F$27,5,FALSE),""),"")</f>
        <v/>
      </c>
      <c r="AV14" s="34" t="str">
        <f>IFERROR(IF(R14=1,VLOOKUP(R$2,활동내용입력!$B$4:$F$27,5,FALSE),""),"")</f>
        <v/>
      </c>
      <c r="AW14" s="34" t="str">
        <f>IFERROR(IF(S14=1,VLOOKUP(S$2,활동내용입력!$B$4:$F$27,5,FALSE),""),"")</f>
        <v/>
      </c>
      <c r="AX14" s="34" t="str">
        <f>IFERROR(IF(T14=1,VLOOKUP(T$2,활동내용입력!$B$4:$F$27,5,FALSE),""),"")</f>
        <v/>
      </c>
      <c r="AY14" s="34" t="str">
        <f>IFERROR(IF(U14=1,VLOOKUP(U$2,활동내용입력!$B$4:$F$27,5,FALSE),""),"")</f>
        <v/>
      </c>
      <c r="AZ14" s="34" t="str">
        <f>IFERROR(IF(V14=1,VLOOKUP(V$2,활동내용입력!$B$4:$F$27,5,FALSE),""),"")</f>
        <v/>
      </c>
      <c r="BA14" s="34" t="str">
        <f>IFERROR(IF(W14=1,VLOOKUP(W$2,활동내용입력!$B$4:$F$27,5,FALSE),""),"")</f>
        <v/>
      </c>
      <c r="BB14" s="34" t="str">
        <f>IFERROR(IF(X14=1,VLOOKUP(X$2,활동내용입력!$B$4:$F$27,5,FALSE),""),"")</f>
        <v/>
      </c>
      <c r="BC14" s="34" t="str">
        <f>IFERROR(IF(Y14=1,VLOOKUP(Y$2,활동내용입력!$B$4:$F$27,5,FALSE),""),"")</f>
        <v/>
      </c>
      <c r="BD14" s="34" t="str">
        <f>IFERROR(IF(Z14=1,VLOOKUP(Z$2,활동내용입력!$B$4:$F$27,5,FALSE),""),"")</f>
        <v/>
      </c>
      <c r="BE14" s="34" t="str">
        <f>IFERROR(IF(AA14=1,VLOOKUP(AA$2,활동내용입력!$B$4:$F$27,5,FALSE),""),"")</f>
        <v/>
      </c>
      <c r="BF14" s="34" t="str">
        <f>IFERROR(IF(AB14=1,VLOOKUP(AB$2,활동내용입력!$B$4:$F$27,5,FALSE),""),"")</f>
        <v/>
      </c>
      <c r="BG14" s="34" t="str">
        <f>IFERROR(IF(AC14=1,VLOOKUP(AC$2,활동내용입력!$B$4:$F$27,5,FALSE),""),"")</f>
        <v/>
      </c>
      <c r="BH14" s="34" t="str">
        <f>IFERROR(IF(AD14=1,VLOOKUP(AD$2,활동내용입력!$B$4:$F$27,5,FALSE),""),"")</f>
        <v/>
      </c>
      <c r="BI14" s="34" t="str">
        <f>IFERROR(IF(AE14=1,VLOOKUP(AE$2,활동내용입력!$B$4:$F$27,5,FALSE),""),"")</f>
        <v/>
      </c>
      <c r="BJ14" s="34" t="str">
        <f>IFERROR(IF(AF14=1,VLOOKUP(AF$2,활동내용입력!$B$4:$F$27,5,FALSE),""),"")</f>
        <v/>
      </c>
      <c r="BK14" s="35" t="str">
        <f t="shared" si="2"/>
        <v/>
      </c>
      <c r="BL14" s="36">
        <f t="shared" si="1"/>
        <v>0</v>
      </c>
      <c r="BM14" s="25"/>
    </row>
    <row r="15" spans="1:65" x14ac:dyDescent="0.3">
      <c r="A15" s="51">
        <v>11</v>
      </c>
      <c r="B15" s="53" t="s">
        <v>113</v>
      </c>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4" t="str">
        <f>IFERROR(IF(C15=1,VLOOKUP(C$2,활동내용입력!$B$4:$F$27,5,FALSE),""),"")</f>
        <v/>
      </c>
      <c r="AH15" s="34" t="str">
        <f>IFERROR(IF(D15=1,VLOOKUP(D$2,활동내용입력!$B$4:$F$27,5,FALSE),""),"")</f>
        <v/>
      </c>
      <c r="AI15" s="34" t="str">
        <f>IFERROR(IF(E15=1,VLOOKUP(E$2,활동내용입력!$B$4:$F$27,5,FALSE),""),"")</f>
        <v/>
      </c>
      <c r="AJ15" s="34" t="str">
        <f>IFERROR(IF(F15=1,VLOOKUP(F$2,활동내용입력!$B$4:$F$27,5,FALSE),""),"")</f>
        <v/>
      </c>
      <c r="AK15" s="34" t="str">
        <f>IFERROR(IF(G15=1,VLOOKUP(G$2,활동내용입력!$B$4:$F$27,5,FALSE),""),"")</f>
        <v/>
      </c>
      <c r="AL15" s="34" t="str">
        <f>IFERROR(IF(H15=1,VLOOKUP(H$2,활동내용입력!$B$4:$F$27,5,FALSE),""),"")</f>
        <v/>
      </c>
      <c r="AM15" s="34" t="str">
        <f>IFERROR(IF(I15=1,VLOOKUP(I$2,활동내용입력!$B$4:$F$27,5,FALSE),""),"")</f>
        <v/>
      </c>
      <c r="AN15" s="34" t="str">
        <f>IFERROR(IF(J15=1,VLOOKUP(J$2,활동내용입력!$B$4:$F$27,5,FALSE),""),"")</f>
        <v/>
      </c>
      <c r="AO15" s="34" t="str">
        <f>IFERROR(IF(K15=1,VLOOKUP(K$2,활동내용입력!$B$4:$F$27,5,FALSE),""),"")</f>
        <v/>
      </c>
      <c r="AP15" s="34" t="str">
        <f>IFERROR(IF(L15=1,VLOOKUP(L$2,활동내용입력!$B$4:$F$27,5,FALSE),""),"")</f>
        <v/>
      </c>
      <c r="AQ15" s="34" t="str">
        <f>IFERROR(IF(M15=1,VLOOKUP(M$2,활동내용입력!$B$4:$F$27,5,FALSE),""),"")</f>
        <v/>
      </c>
      <c r="AR15" s="34" t="str">
        <f>IFERROR(IF(N15=1,VLOOKUP(N$2,활동내용입력!$B$4:$F$27,5,FALSE),""),"")</f>
        <v/>
      </c>
      <c r="AS15" s="34" t="str">
        <f>IFERROR(IF(O15=1,VLOOKUP(O$2,활동내용입력!$B$4:$F$27,5,FALSE),""),"")</f>
        <v/>
      </c>
      <c r="AT15" s="34" t="str">
        <f>IFERROR(IF(P15=1,VLOOKUP(P$2,활동내용입력!$B$4:$F$27,5,FALSE),""),"")</f>
        <v/>
      </c>
      <c r="AU15" s="34" t="str">
        <f>IFERROR(IF(Q15=1,VLOOKUP(Q$2,활동내용입력!$B$4:$F$27,5,FALSE),""),"")</f>
        <v/>
      </c>
      <c r="AV15" s="34" t="str">
        <f>IFERROR(IF(R15=1,VLOOKUP(R$2,활동내용입력!$B$4:$F$27,5,FALSE),""),"")</f>
        <v/>
      </c>
      <c r="AW15" s="34" t="str">
        <f>IFERROR(IF(S15=1,VLOOKUP(S$2,활동내용입력!$B$4:$F$27,5,FALSE),""),"")</f>
        <v/>
      </c>
      <c r="AX15" s="34" t="str">
        <f>IFERROR(IF(T15=1,VLOOKUP(T$2,활동내용입력!$B$4:$F$27,5,FALSE),""),"")</f>
        <v/>
      </c>
      <c r="AY15" s="34" t="str">
        <f>IFERROR(IF(U15=1,VLOOKUP(U$2,활동내용입력!$B$4:$F$27,5,FALSE),""),"")</f>
        <v/>
      </c>
      <c r="AZ15" s="34" t="str">
        <f>IFERROR(IF(V15=1,VLOOKUP(V$2,활동내용입력!$B$4:$F$27,5,FALSE),""),"")</f>
        <v/>
      </c>
      <c r="BA15" s="34" t="str">
        <f>IFERROR(IF(W15=1,VLOOKUP(W$2,활동내용입력!$B$4:$F$27,5,FALSE),""),"")</f>
        <v/>
      </c>
      <c r="BB15" s="34" t="str">
        <f>IFERROR(IF(X15=1,VLOOKUP(X$2,활동내용입력!$B$4:$F$27,5,FALSE),""),"")</f>
        <v/>
      </c>
      <c r="BC15" s="34" t="str">
        <f>IFERROR(IF(Y15=1,VLOOKUP(Y$2,활동내용입력!$B$4:$F$27,5,FALSE),""),"")</f>
        <v/>
      </c>
      <c r="BD15" s="34" t="str">
        <f>IFERROR(IF(Z15=1,VLOOKUP(Z$2,활동내용입력!$B$4:$F$27,5,FALSE),""),"")</f>
        <v/>
      </c>
      <c r="BE15" s="34" t="str">
        <f>IFERROR(IF(AA15=1,VLOOKUP(AA$2,활동내용입력!$B$4:$F$27,5,FALSE),""),"")</f>
        <v/>
      </c>
      <c r="BF15" s="34" t="str">
        <f>IFERROR(IF(AB15=1,VLOOKUP(AB$2,활동내용입력!$B$4:$F$27,5,FALSE),""),"")</f>
        <v/>
      </c>
      <c r="BG15" s="34" t="str">
        <f>IFERROR(IF(AC15=1,VLOOKUP(AC$2,활동내용입력!$B$4:$F$27,5,FALSE),""),"")</f>
        <v/>
      </c>
      <c r="BH15" s="34" t="str">
        <f>IFERROR(IF(AD15=1,VLOOKUP(AD$2,활동내용입력!$B$4:$F$27,5,FALSE),""),"")</f>
        <v/>
      </c>
      <c r="BI15" s="34" t="str">
        <f>IFERROR(IF(AE15=1,VLOOKUP(AE$2,활동내용입력!$B$4:$F$27,5,FALSE),""),"")</f>
        <v/>
      </c>
      <c r="BJ15" s="34" t="str">
        <f>IFERROR(IF(AF15=1,VLOOKUP(AF$2,활동내용입력!$B$4:$F$27,5,FALSE),""),"")</f>
        <v/>
      </c>
      <c r="BK15" s="35" t="str">
        <f t="shared" si="2"/>
        <v/>
      </c>
      <c r="BL15" s="36">
        <f t="shared" si="1"/>
        <v>0</v>
      </c>
      <c r="BM15" s="25"/>
    </row>
    <row r="16" spans="1:65" x14ac:dyDescent="0.3">
      <c r="A16" s="51">
        <v>12</v>
      </c>
      <c r="B16" s="53" t="s">
        <v>114</v>
      </c>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4" t="str">
        <f>IFERROR(IF(C16=1,VLOOKUP(C$2,활동내용입력!$B$4:$F$27,5,FALSE),""),"")</f>
        <v/>
      </c>
      <c r="AH16" s="34" t="str">
        <f>IFERROR(IF(D16=1,VLOOKUP(D$2,활동내용입력!$B$4:$F$27,5,FALSE),""),"")</f>
        <v/>
      </c>
      <c r="AI16" s="34" t="str">
        <f>IFERROR(IF(E16=1,VLOOKUP(E$2,활동내용입력!$B$4:$F$27,5,FALSE),""),"")</f>
        <v/>
      </c>
      <c r="AJ16" s="34" t="str">
        <f>IFERROR(IF(F16=1,VLOOKUP(F$2,활동내용입력!$B$4:$F$27,5,FALSE),""),"")</f>
        <v/>
      </c>
      <c r="AK16" s="34" t="str">
        <f>IFERROR(IF(G16=1,VLOOKUP(G$2,활동내용입력!$B$4:$F$27,5,FALSE),""),"")</f>
        <v/>
      </c>
      <c r="AL16" s="34" t="str">
        <f>IFERROR(IF(H16=1,VLOOKUP(H$2,활동내용입력!$B$4:$F$27,5,FALSE),""),"")</f>
        <v/>
      </c>
      <c r="AM16" s="34" t="str">
        <f>IFERROR(IF(I16=1,VLOOKUP(I$2,활동내용입력!$B$4:$F$27,5,FALSE),""),"")</f>
        <v/>
      </c>
      <c r="AN16" s="34" t="str">
        <f>IFERROR(IF(J16=1,VLOOKUP(J$2,활동내용입력!$B$4:$F$27,5,FALSE),""),"")</f>
        <v/>
      </c>
      <c r="AO16" s="34" t="str">
        <f>IFERROR(IF(K16=1,VLOOKUP(K$2,활동내용입력!$B$4:$F$27,5,FALSE),""),"")</f>
        <v/>
      </c>
      <c r="AP16" s="34" t="str">
        <f>IFERROR(IF(L16=1,VLOOKUP(L$2,활동내용입력!$B$4:$F$27,5,FALSE),""),"")</f>
        <v/>
      </c>
      <c r="AQ16" s="34" t="str">
        <f>IFERROR(IF(M16=1,VLOOKUP(M$2,활동내용입력!$B$4:$F$27,5,FALSE),""),"")</f>
        <v/>
      </c>
      <c r="AR16" s="34" t="str">
        <f>IFERROR(IF(N16=1,VLOOKUP(N$2,활동내용입력!$B$4:$F$27,5,FALSE),""),"")</f>
        <v/>
      </c>
      <c r="AS16" s="34" t="str">
        <f>IFERROR(IF(O16=1,VLOOKUP(O$2,활동내용입력!$B$4:$F$27,5,FALSE),""),"")</f>
        <v/>
      </c>
      <c r="AT16" s="34" t="str">
        <f>IFERROR(IF(P16=1,VLOOKUP(P$2,활동내용입력!$B$4:$F$27,5,FALSE),""),"")</f>
        <v/>
      </c>
      <c r="AU16" s="34" t="str">
        <f>IFERROR(IF(Q16=1,VLOOKUP(Q$2,활동내용입력!$B$4:$F$27,5,FALSE),""),"")</f>
        <v/>
      </c>
      <c r="AV16" s="34" t="str">
        <f>IFERROR(IF(R16=1,VLOOKUP(R$2,활동내용입력!$B$4:$F$27,5,FALSE),""),"")</f>
        <v/>
      </c>
      <c r="AW16" s="34" t="str">
        <f>IFERROR(IF(S16=1,VLOOKUP(S$2,활동내용입력!$B$4:$F$27,5,FALSE),""),"")</f>
        <v/>
      </c>
      <c r="AX16" s="34" t="str">
        <f>IFERROR(IF(T16=1,VLOOKUP(T$2,활동내용입력!$B$4:$F$27,5,FALSE),""),"")</f>
        <v/>
      </c>
      <c r="AY16" s="34" t="str">
        <f>IFERROR(IF(U16=1,VLOOKUP(U$2,활동내용입력!$B$4:$F$27,5,FALSE),""),"")</f>
        <v/>
      </c>
      <c r="AZ16" s="34" t="str">
        <f>IFERROR(IF(V16=1,VLOOKUP(V$2,활동내용입력!$B$4:$F$27,5,FALSE),""),"")</f>
        <v/>
      </c>
      <c r="BA16" s="34" t="str">
        <f>IFERROR(IF(W16=1,VLOOKUP(W$2,활동내용입력!$B$4:$F$27,5,FALSE),""),"")</f>
        <v/>
      </c>
      <c r="BB16" s="34" t="str">
        <f>IFERROR(IF(X16=1,VLOOKUP(X$2,활동내용입력!$B$4:$F$27,5,FALSE),""),"")</f>
        <v/>
      </c>
      <c r="BC16" s="34" t="str">
        <f>IFERROR(IF(Y16=1,VLOOKUP(Y$2,활동내용입력!$B$4:$F$27,5,FALSE),""),"")</f>
        <v/>
      </c>
      <c r="BD16" s="34" t="str">
        <f>IFERROR(IF(Z16=1,VLOOKUP(Z$2,활동내용입력!$B$4:$F$27,5,FALSE),""),"")</f>
        <v/>
      </c>
      <c r="BE16" s="34" t="str">
        <f>IFERROR(IF(AA16=1,VLOOKUP(AA$2,활동내용입력!$B$4:$F$27,5,FALSE),""),"")</f>
        <v/>
      </c>
      <c r="BF16" s="34" t="str">
        <f>IFERROR(IF(AB16=1,VLOOKUP(AB$2,활동내용입력!$B$4:$F$27,5,FALSE),""),"")</f>
        <v/>
      </c>
      <c r="BG16" s="34" t="str">
        <f>IFERROR(IF(AC16=1,VLOOKUP(AC$2,활동내용입력!$B$4:$F$27,5,FALSE),""),"")</f>
        <v/>
      </c>
      <c r="BH16" s="34" t="str">
        <f>IFERROR(IF(AD16=1,VLOOKUP(AD$2,활동내용입력!$B$4:$F$27,5,FALSE),""),"")</f>
        <v/>
      </c>
      <c r="BI16" s="34" t="str">
        <f>IFERROR(IF(AE16=1,VLOOKUP(AE$2,활동내용입력!$B$4:$F$27,5,FALSE),""),"")</f>
        <v/>
      </c>
      <c r="BJ16" s="34" t="str">
        <f>IFERROR(IF(AF16=1,VLOOKUP(AF$2,활동내용입력!$B$4:$F$27,5,FALSE),""),"")</f>
        <v/>
      </c>
      <c r="BK16" s="35" t="str">
        <f t="shared" si="2"/>
        <v/>
      </c>
      <c r="BL16" s="36">
        <f t="shared" si="1"/>
        <v>0</v>
      </c>
      <c r="BM16" s="25"/>
    </row>
    <row r="17" spans="1:65" x14ac:dyDescent="0.3">
      <c r="A17" s="51">
        <v>13</v>
      </c>
      <c r="B17" s="53" t="s">
        <v>115</v>
      </c>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4" t="str">
        <f>IFERROR(IF(C17=1,VLOOKUP(C$2,활동내용입력!$B$4:$F$27,5,FALSE),""),"")</f>
        <v/>
      </c>
      <c r="AH17" s="34" t="str">
        <f>IFERROR(IF(D17=1,VLOOKUP(D$2,활동내용입력!$B$4:$F$27,5,FALSE),""),"")</f>
        <v/>
      </c>
      <c r="AI17" s="34" t="str">
        <f>IFERROR(IF(E17=1,VLOOKUP(E$2,활동내용입력!$B$4:$F$27,5,FALSE),""),"")</f>
        <v/>
      </c>
      <c r="AJ17" s="34" t="str">
        <f>IFERROR(IF(F17=1,VLOOKUP(F$2,활동내용입력!$B$4:$F$27,5,FALSE),""),"")</f>
        <v/>
      </c>
      <c r="AK17" s="34" t="str">
        <f>IFERROR(IF(G17=1,VLOOKUP(G$2,활동내용입력!$B$4:$F$27,5,FALSE),""),"")</f>
        <v/>
      </c>
      <c r="AL17" s="34" t="str">
        <f>IFERROR(IF(H17=1,VLOOKUP(H$2,활동내용입력!$B$4:$F$27,5,FALSE),""),"")</f>
        <v/>
      </c>
      <c r="AM17" s="34" t="str">
        <f>IFERROR(IF(I17=1,VLOOKUP(I$2,활동내용입력!$B$4:$F$27,5,FALSE),""),"")</f>
        <v/>
      </c>
      <c r="AN17" s="34" t="str">
        <f>IFERROR(IF(J17=1,VLOOKUP(J$2,활동내용입력!$B$4:$F$27,5,FALSE),""),"")</f>
        <v/>
      </c>
      <c r="AO17" s="34" t="str">
        <f>IFERROR(IF(K17=1,VLOOKUP(K$2,활동내용입력!$B$4:$F$27,5,FALSE),""),"")</f>
        <v/>
      </c>
      <c r="AP17" s="34" t="str">
        <f>IFERROR(IF(L17=1,VLOOKUP(L$2,활동내용입력!$B$4:$F$27,5,FALSE),""),"")</f>
        <v/>
      </c>
      <c r="AQ17" s="34" t="str">
        <f>IFERROR(IF(M17=1,VLOOKUP(M$2,활동내용입력!$B$4:$F$27,5,FALSE),""),"")</f>
        <v/>
      </c>
      <c r="AR17" s="34" t="str">
        <f>IFERROR(IF(N17=1,VLOOKUP(N$2,활동내용입력!$B$4:$F$27,5,FALSE),""),"")</f>
        <v/>
      </c>
      <c r="AS17" s="34" t="str">
        <f>IFERROR(IF(O17=1,VLOOKUP(O$2,활동내용입력!$B$4:$F$27,5,FALSE),""),"")</f>
        <v/>
      </c>
      <c r="AT17" s="34" t="str">
        <f>IFERROR(IF(P17=1,VLOOKUP(P$2,활동내용입력!$B$4:$F$27,5,FALSE),""),"")</f>
        <v/>
      </c>
      <c r="AU17" s="34" t="str">
        <f>IFERROR(IF(Q17=1,VLOOKUP(Q$2,활동내용입력!$B$4:$F$27,5,FALSE),""),"")</f>
        <v/>
      </c>
      <c r="AV17" s="34" t="str">
        <f>IFERROR(IF(R17=1,VLOOKUP(R$2,활동내용입력!$B$4:$F$27,5,FALSE),""),"")</f>
        <v/>
      </c>
      <c r="AW17" s="34" t="str">
        <f>IFERROR(IF(S17=1,VLOOKUP(S$2,활동내용입력!$B$4:$F$27,5,FALSE),""),"")</f>
        <v/>
      </c>
      <c r="AX17" s="34" t="str">
        <f>IFERROR(IF(T17=1,VLOOKUP(T$2,활동내용입력!$B$4:$F$27,5,FALSE),""),"")</f>
        <v/>
      </c>
      <c r="AY17" s="34" t="str">
        <f>IFERROR(IF(U17=1,VLOOKUP(U$2,활동내용입력!$B$4:$F$27,5,FALSE),""),"")</f>
        <v/>
      </c>
      <c r="AZ17" s="34" t="str">
        <f>IFERROR(IF(V17=1,VLOOKUP(V$2,활동내용입력!$B$4:$F$27,5,FALSE),""),"")</f>
        <v/>
      </c>
      <c r="BA17" s="34" t="str">
        <f>IFERROR(IF(W17=1,VLOOKUP(W$2,활동내용입력!$B$4:$F$27,5,FALSE),""),"")</f>
        <v/>
      </c>
      <c r="BB17" s="34" t="str">
        <f>IFERROR(IF(X17=1,VLOOKUP(X$2,활동내용입력!$B$4:$F$27,5,FALSE),""),"")</f>
        <v/>
      </c>
      <c r="BC17" s="34" t="str">
        <f>IFERROR(IF(Y17=1,VLOOKUP(Y$2,활동내용입력!$B$4:$F$27,5,FALSE),""),"")</f>
        <v/>
      </c>
      <c r="BD17" s="34" t="str">
        <f>IFERROR(IF(Z17=1,VLOOKUP(Z$2,활동내용입력!$B$4:$F$27,5,FALSE),""),"")</f>
        <v/>
      </c>
      <c r="BE17" s="34" t="str">
        <f>IFERROR(IF(AA17=1,VLOOKUP(AA$2,활동내용입력!$B$4:$F$27,5,FALSE),""),"")</f>
        <v/>
      </c>
      <c r="BF17" s="34" t="str">
        <f>IFERROR(IF(AB17=1,VLOOKUP(AB$2,활동내용입력!$B$4:$F$27,5,FALSE),""),"")</f>
        <v/>
      </c>
      <c r="BG17" s="34" t="str">
        <f>IFERROR(IF(AC17=1,VLOOKUP(AC$2,활동내용입력!$B$4:$F$27,5,FALSE),""),"")</f>
        <v/>
      </c>
      <c r="BH17" s="34" t="str">
        <f>IFERROR(IF(AD17=1,VLOOKUP(AD$2,활동내용입력!$B$4:$F$27,5,FALSE),""),"")</f>
        <v/>
      </c>
      <c r="BI17" s="34" t="str">
        <f>IFERROR(IF(AE17=1,VLOOKUP(AE$2,활동내용입력!$B$4:$F$27,5,FALSE),""),"")</f>
        <v/>
      </c>
      <c r="BJ17" s="34" t="str">
        <f>IFERROR(IF(AF17=1,VLOOKUP(AF$2,활동내용입력!$B$4:$F$27,5,FALSE),""),"")</f>
        <v/>
      </c>
      <c r="BK17" s="35" t="str">
        <f t="shared" si="2"/>
        <v/>
      </c>
      <c r="BL17" s="36">
        <f t="shared" si="1"/>
        <v>0</v>
      </c>
      <c r="BM17" s="25"/>
    </row>
    <row r="18" spans="1:65" x14ac:dyDescent="0.3">
      <c r="A18" s="51">
        <v>14</v>
      </c>
      <c r="B18" s="53" t="s">
        <v>116</v>
      </c>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4" t="str">
        <f>IFERROR(IF(C18=1,VLOOKUP(C$2,활동내용입력!$B$4:$F$27,5,FALSE),""),"")</f>
        <v/>
      </c>
      <c r="AH18" s="34" t="str">
        <f>IFERROR(IF(D18=1,VLOOKUP(D$2,활동내용입력!$B$4:$F$27,5,FALSE),""),"")</f>
        <v/>
      </c>
      <c r="AI18" s="34" t="str">
        <f>IFERROR(IF(E18=1,VLOOKUP(E$2,활동내용입력!$B$4:$F$27,5,FALSE),""),"")</f>
        <v/>
      </c>
      <c r="AJ18" s="34" t="str">
        <f>IFERROR(IF(F18=1,VLOOKUP(F$2,활동내용입력!$B$4:$F$27,5,FALSE),""),"")</f>
        <v/>
      </c>
      <c r="AK18" s="34" t="str">
        <f>IFERROR(IF(G18=1,VLOOKUP(G$2,활동내용입력!$B$4:$F$27,5,FALSE),""),"")</f>
        <v/>
      </c>
      <c r="AL18" s="34" t="str">
        <f>IFERROR(IF(H18=1,VLOOKUP(H$2,활동내용입력!$B$4:$F$27,5,FALSE),""),"")</f>
        <v/>
      </c>
      <c r="AM18" s="34" t="str">
        <f>IFERROR(IF(I18=1,VLOOKUP(I$2,활동내용입력!$B$4:$F$27,5,FALSE),""),"")</f>
        <v/>
      </c>
      <c r="AN18" s="34" t="str">
        <f>IFERROR(IF(J18=1,VLOOKUP(J$2,활동내용입력!$B$4:$F$27,5,FALSE),""),"")</f>
        <v/>
      </c>
      <c r="AO18" s="34" t="str">
        <f>IFERROR(IF(K18=1,VLOOKUP(K$2,활동내용입력!$B$4:$F$27,5,FALSE),""),"")</f>
        <v/>
      </c>
      <c r="AP18" s="34" t="str">
        <f>IFERROR(IF(L18=1,VLOOKUP(L$2,활동내용입력!$B$4:$F$27,5,FALSE),""),"")</f>
        <v/>
      </c>
      <c r="AQ18" s="34" t="str">
        <f>IFERROR(IF(M18=1,VLOOKUP(M$2,활동내용입력!$B$4:$F$27,5,FALSE),""),"")</f>
        <v/>
      </c>
      <c r="AR18" s="34" t="str">
        <f>IFERROR(IF(N18=1,VLOOKUP(N$2,활동내용입력!$B$4:$F$27,5,FALSE),""),"")</f>
        <v/>
      </c>
      <c r="AS18" s="34" t="str">
        <f>IFERROR(IF(O18=1,VLOOKUP(O$2,활동내용입력!$B$4:$F$27,5,FALSE),""),"")</f>
        <v/>
      </c>
      <c r="AT18" s="34" t="str">
        <f>IFERROR(IF(P18=1,VLOOKUP(P$2,활동내용입력!$B$4:$F$27,5,FALSE),""),"")</f>
        <v/>
      </c>
      <c r="AU18" s="34" t="str">
        <f>IFERROR(IF(Q18=1,VLOOKUP(Q$2,활동내용입력!$B$4:$F$27,5,FALSE),""),"")</f>
        <v/>
      </c>
      <c r="AV18" s="34" t="str">
        <f>IFERROR(IF(R18=1,VLOOKUP(R$2,활동내용입력!$B$4:$F$27,5,FALSE),""),"")</f>
        <v/>
      </c>
      <c r="AW18" s="34" t="str">
        <f>IFERROR(IF(S18=1,VLOOKUP(S$2,활동내용입력!$B$4:$F$27,5,FALSE),""),"")</f>
        <v/>
      </c>
      <c r="AX18" s="34" t="str">
        <f>IFERROR(IF(T18=1,VLOOKUP(T$2,활동내용입력!$B$4:$F$27,5,FALSE),""),"")</f>
        <v/>
      </c>
      <c r="AY18" s="34" t="str">
        <f>IFERROR(IF(U18=1,VLOOKUP(U$2,활동내용입력!$B$4:$F$27,5,FALSE),""),"")</f>
        <v/>
      </c>
      <c r="AZ18" s="34" t="str">
        <f>IFERROR(IF(V18=1,VLOOKUP(V$2,활동내용입력!$B$4:$F$27,5,FALSE),""),"")</f>
        <v/>
      </c>
      <c r="BA18" s="34" t="str">
        <f>IFERROR(IF(W18=1,VLOOKUP(W$2,활동내용입력!$B$4:$F$27,5,FALSE),""),"")</f>
        <v/>
      </c>
      <c r="BB18" s="34" t="str">
        <f>IFERROR(IF(X18=1,VLOOKUP(X$2,활동내용입력!$B$4:$F$27,5,FALSE),""),"")</f>
        <v/>
      </c>
      <c r="BC18" s="34" t="str">
        <f>IFERROR(IF(Y18=1,VLOOKUP(Y$2,활동내용입력!$B$4:$F$27,5,FALSE),""),"")</f>
        <v/>
      </c>
      <c r="BD18" s="34" t="str">
        <f>IFERROR(IF(Z18=1,VLOOKUP(Z$2,활동내용입력!$B$4:$F$27,5,FALSE),""),"")</f>
        <v/>
      </c>
      <c r="BE18" s="34" t="str">
        <f>IFERROR(IF(AA18=1,VLOOKUP(AA$2,활동내용입력!$B$4:$F$27,5,FALSE),""),"")</f>
        <v/>
      </c>
      <c r="BF18" s="34" t="str">
        <f>IFERROR(IF(AB18=1,VLOOKUP(AB$2,활동내용입력!$B$4:$F$27,5,FALSE),""),"")</f>
        <v/>
      </c>
      <c r="BG18" s="34" t="str">
        <f>IFERROR(IF(AC18=1,VLOOKUP(AC$2,활동내용입력!$B$4:$F$27,5,FALSE),""),"")</f>
        <v/>
      </c>
      <c r="BH18" s="34" t="str">
        <f>IFERROR(IF(AD18=1,VLOOKUP(AD$2,활동내용입력!$B$4:$F$27,5,FALSE),""),"")</f>
        <v/>
      </c>
      <c r="BI18" s="34" t="str">
        <f>IFERROR(IF(AE18=1,VLOOKUP(AE$2,활동내용입력!$B$4:$F$27,5,FALSE),""),"")</f>
        <v/>
      </c>
      <c r="BJ18" s="34" t="str">
        <f>IFERROR(IF(AF18=1,VLOOKUP(AF$2,활동내용입력!$B$4:$F$27,5,FALSE),""),"")</f>
        <v/>
      </c>
      <c r="BK18" s="35" t="str">
        <f t="shared" si="2"/>
        <v/>
      </c>
      <c r="BL18" s="36">
        <f t="shared" si="1"/>
        <v>0</v>
      </c>
      <c r="BM18" s="25"/>
    </row>
    <row r="19" spans="1:65" x14ac:dyDescent="0.3">
      <c r="A19" s="51">
        <v>15</v>
      </c>
      <c r="B19" s="53" t="s">
        <v>117</v>
      </c>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4" t="str">
        <f>IFERROR(IF(C19=1,VLOOKUP(C$2,활동내용입력!$B$4:$F$27,5,FALSE),""),"")</f>
        <v/>
      </c>
      <c r="AH19" s="34" t="str">
        <f>IFERROR(IF(D19=1,VLOOKUP(D$2,활동내용입력!$B$4:$F$27,5,FALSE),""),"")</f>
        <v/>
      </c>
      <c r="AI19" s="34" t="str">
        <f>IFERROR(IF(E19=1,VLOOKUP(E$2,활동내용입력!$B$4:$F$27,5,FALSE),""),"")</f>
        <v/>
      </c>
      <c r="AJ19" s="34" t="str">
        <f>IFERROR(IF(F19=1,VLOOKUP(F$2,활동내용입력!$B$4:$F$27,5,FALSE),""),"")</f>
        <v/>
      </c>
      <c r="AK19" s="34" t="str">
        <f>IFERROR(IF(G19=1,VLOOKUP(G$2,활동내용입력!$B$4:$F$27,5,FALSE),""),"")</f>
        <v/>
      </c>
      <c r="AL19" s="34" t="str">
        <f>IFERROR(IF(H19=1,VLOOKUP(H$2,활동내용입력!$B$4:$F$27,5,FALSE),""),"")</f>
        <v/>
      </c>
      <c r="AM19" s="34" t="str">
        <f>IFERROR(IF(I19=1,VLOOKUP(I$2,활동내용입력!$B$4:$F$27,5,FALSE),""),"")</f>
        <v/>
      </c>
      <c r="AN19" s="34" t="str">
        <f>IFERROR(IF(J19=1,VLOOKUP(J$2,활동내용입력!$B$4:$F$27,5,FALSE),""),"")</f>
        <v/>
      </c>
      <c r="AO19" s="34" t="str">
        <f>IFERROR(IF(K19=1,VLOOKUP(K$2,활동내용입력!$B$4:$F$27,5,FALSE),""),"")</f>
        <v/>
      </c>
      <c r="AP19" s="34" t="str">
        <f>IFERROR(IF(L19=1,VLOOKUP(L$2,활동내용입력!$B$4:$F$27,5,FALSE),""),"")</f>
        <v/>
      </c>
      <c r="AQ19" s="34" t="str">
        <f>IFERROR(IF(M19=1,VLOOKUP(M$2,활동내용입력!$B$4:$F$27,5,FALSE),""),"")</f>
        <v/>
      </c>
      <c r="AR19" s="34" t="str">
        <f>IFERROR(IF(N19=1,VLOOKUP(N$2,활동내용입력!$B$4:$F$27,5,FALSE),""),"")</f>
        <v/>
      </c>
      <c r="AS19" s="34" t="str">
        <f>IFERROR(IF(O19=1,VLOOKUP(O$2,활동내용입력!$B$4:$F$27,5,FALSE),""),"")</f>
        <v/>
      </c>
      <c r="AT19" s="34" t="str">
        <f>IFERROR(IF(P19=1,VLOOKUP(P$2,활동내용입력!$B$4:$F$27,5,FALSE),""),"")</f>
        <v/>
      </c>
      <c r="AU19" s="34" t="str">
        <f>IFERROR(IF(Q19=1,VLOOKUP(Q$2,활동내용입력!$B$4:$F$27,5,FALSE),""),"")</f>
        <v/>
      </c>
      <c r="AV19" s="34" t="str">
        <f>IFERROR(IF(R19=1,VLOOKUP(R$2,활동내용입력!$B$4:$F$27,5,FALSE),""),"")</f>
        <v/>
      </c>
      <c r="AW19" s="34" t="str">
        <f>IFERROR(IF(S19=1,VLOOKUP(S$2,활동내용입력!$B$4:$F$27,5,FALSE),""),"")</f>
        <v/>
      </c>
      <c r="AX19" s="34" t="str">
        <f>IFERROR(IF(T19=1,VLOOKUP(T$2,활동내용입력!$B$4:$F$27,5,FALSE),""),"")</f>
        <v/>
      </c>
      <c r="AY19" s="34" t="str">
        <f>IFERROR(IF(U19=1,VLOOKUP(U$2,활동내용입력!$B$4:$F$27,5,FALSE),""),"")</f>
        <v/>
      </c>
      <c r="AZ19" s="34" t="str">
        <f>IFERROR(IF(V19=1,VLOOKUP(V$2,활동내용입력!$B$4:$F$27,5,FALSE),""),"")</f>
        <v/>
      </c>
      <c r="BA19" s="34" t="str">
        <f>IFERROR(IF(W19=1,VLOOKUP(W$2,활동내용입력!$B$4:$F$27,5,FALSE),""),"")</f>
        <v/>
      </c>
      <c r="BB19" s="34" t="str">
        <f>IFERROR(IF(X19=1,VLOOKUP(X$2,활동내용입력!$B$4:$F$27,5,FALSE),""),"")</f>
        <v/>
      </c>
      <c r="BC19" s="34" t="str">
        <f>IFERROR(IF(Y19=1,VLOOKUP(Y$2,활동내용입력!$B$4:$F$27,5,FALSE),""),"")</f>
        <v/>
      </c>
      <c r="BD19" s="34" t="str">
        <f>IFERROR(IF(Z19=1,VLOOKUP(Z$2,활동내용입력!$B$4:$F$27,5,FALSE),""),"")</f>
        <v/>
      </c>
      <c r="BE19" s="34" t="str">
        <f>IFERROR(IF(AA19=1,VLOOKUP(AA$2,활동내용입력!$B$4:$F$27,5,FALSE),""),"")</f>
        <v/>
      </c>
      <c r="BF19" s="34" t="str">
        <f>IFERROR(IF(AB19=1,VLOOKUP(AB$2,활동내용입력!$B$4:$F$27,5,FALSE),""),"")</f>
        <v/>
      </c>
      <c r="BG19" s="34" t="str">
        <f>IFERROR(IF(AC19=1,VLOOKUP(AC$2,활동내용입력!$B$4:$F$27,5,FALSE),""),"")</f>
        <v/>
      </c>
      <c r="BH19" s="34" t="str">
        <f>IFERROR(IF(AD19=1,VLOOKUP(AD$2,활동내용입력!$B$4:$F$27,5,FALSE),""),"")</f>
        <v/>
      </c>
      <c r="BI19" s="34" t="str">
        <f>IFERROR(IF(AE19=1,VLOOKUP(AE$2,활동내용입력!$B$4:$F$27,5,FALSE),""),"")</f>
        <v/>
      </c>
      <c r="BJ19" s="34" t="str">
        <f>IFERROR(IF(AF19=1,VLOOKUP(AF$2,활동내용입력!$B$4:$F$27,5,FALSE),""),"")</f>
        <v/>
      </c>
      <c r="BK19" s="35" t="str">
        <f t="shared" si="2"/>
        <v/>
      </c>
      <c r="BL19" s="36">
        <f t="shared" si="1"/>
        <v>0</v>
      </c>
      <c r="BM19" s="25"/>
    </row>
    <row r="20" spans="1:65" x14ac:dyDescent="0.3">
      <c r="A20" s="51">
        <v>16</v>
      </c>
      <c r="B20" s="53" t="s">
        <v>118</v>
      </c>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4" t="str">
        <f>IFERROR(IF(C20=1,VLOOKUP(C$2,활동내용입력!$B$4:$F$27,5,FALSE),""),"")</f>
        <v/>
      </c>
      <c r="AH20" s="34" t="str">
        <f>IFERROR(IF(D20=1,VLOOKUP(D$2,활동내용입력!$B$4:$F$27,5,FALSE),""),"")</f>
        <v/>
      </c>
      <c r="AI20" s="34" t="str">
        <f>IFERROR(IF(E20=1,VLOOKUP(E$2,활동내용입력!$B$4:$F$27,5,FALSE),""),"")</f>
        <v/>
      </c>
      <c r="AJ20" s="34" t="str">
        <f>IFERROR(IF(F20=1,VLOOKUP(F$2,활동내용입력!$B$4:$F$27,5,FALSE),""),"")</f>
        <v/>
      </c>
      <c r="AK20" s="34" t="str">
        <f>IFERROR(IF(G20=1,VLOOKUP(G$2,활동내용입력!$B$4:$F$27,5,FALSE),""),"")</f>
        <v/>
      </c>
      <c r="AL20" s="34" t="str">
        <f>IFERROR(IF(H20=1,VLOOKUP(H$2,활동내용입력!$B$4:$F$27,5,FALSE),""),"")</f>
        <v/>
      </c>
      <c r="AM20" s="34" t="str">
        <f>IFERROR(IF(I20=1,VLOOKUP(I$2,활동내용입력!$B$4:$F$27,5,FALSE),""),"")</f>
        <v/>
      </c>
      <c r="AN20" s="34" t="str">
        <f>IFERROR(IF(J20=1,VLOOKUP(J$2,활동내용입력!$B$4:$F$27,5,FALSE),""),"")</f>
        <v/>
      </c>
      <c r="AO20" s="34" t="str">
        <f>IFERROR(IF(K20=1,VLOOKUP(K$2,활동내용입력!$B$4:$F$27,5,FALSE),""),"")</f>
        <v/>
      </c>
      <c r="AP20" s="34" t="str">
        <f>IFERROR(IF(L20=1,VLOOKUP(L$2,활동내용입력!$B$4:$F$27,5,FALSE),""),"")</f>
        <v/>
      </c>
      <c r="AQ20" s="34" t="str">
        <f>IFERROR(IF(M20=1,VLOOKUP(M$2,활동내용입력!$B$4:$F$27,5,FALSE),""),"")</f>
        <v/>
      </c>
      <c r="AR20" s="34" t="str">
        <f>IFERROR(IF(N20=1,VLOOKUP(N$2,활동내용입력!$B$4:$F$27,5,FALSE),""),"")</f>
        <v/>
      </c>
      <c r="AS20" s="34" t="str">
        <f>IFERROR(IF(O20=1,VLOOKUP(O$2,활동내용입력!$B$4:$F$27,5,FALSE),""),"")</f>
        <v/>
      </c>
      <c r="AT20" s="34" t="str">
        <f>IFERROR(IF(P20=1,VLOOKUP(P$2,활동내용입력!$B$4:$F$27,5,FALSE),""),"")</f>
        <v/>
      </c>
      <c r="AU20" s="34" t="str">
        <f>IFERROR(IF(Q20=1,VLOOKUP(Q$2,활동내용입력!$B$4:$F$27,5,FALSE),""),"")</f>
        <v/>
      </c>
      <c r="AV20" s="34" t="str">
        <f>IFERROR(IF(R20=1,VLOOKUP(R$2,활동내용입력!$B$4:$F$27,5,FALSE),""),"")</f>
        <v/>
      </c>
      <c r="AW20" s="34" t="str">
        <f>IFERROR(IF(S20=1,VLOOKUP(S$2,활동내용입력!$B$4:$F$27,5,FALSE),""),"")</f>
        <v/>
      </c>
      <c r="AX20" s="34" t="str">
        <f>IFERROR(IF(T20=1,VLOOKUP(T$2,활동내용입력!$B$4:$F$27,5,FALSE),""),"")</f>
        <v/>
      </c>
      <c r="AY20" s="34" t="str">
        <f>IFERROR(IF(U20=1,VLOOKUP(U$2,활동내용입력!$B$4:$F$27,5,FALSE),""),"")</f>
        <v/>
      </c>
      <c r="AZ20" s="34" t="str">
        <f>IFERROR(IF(V20=1,VLOOKUP(V$2,활동내용입력!$B$4:$F$27,5,FALSE),""),"")</f>
        <v/>
      </c>
      <c r="BA20" s="34" t="str">
        <f>IFERROR(IF(W20=1,VLOOKUP(W$2,활동내용입력!$B$4:$F$27,5,FALSE),""),"")</f>
        <v/>
      </c>
      <c r="BB20" s="34" t="str">
        <f>IFERROR(IF(X20=1,VLOOKUP(X$2,활동내용입력!$B$4:$F$27,5,FALSE),""),"")</f>
        <v/>
      </c>
      <c r="BC20" s="34" t="str">
        <f>IFERROR(IF(Y20=1,VLOOKUP(Y$2,활동내용입력!$B$4:$F$27,5,FALSE),""),"")</f>
        <v/>
      </c>
      <c r="BD20" s="34" t="str">
        <f>IFERROR(IF(Z20=1,VLOOKUP(Z$2,활동내용입력!$B$4:$F$27,5,FALSE),""),"")</f>
        <v/>
      </c>
      <c r="BE20" s="34" t="str">
        <f>IFERROR(IF(AA20=1,VLOOKUP(AA$2,활동내용입력!$B$4:$F$27,5,FALSE),""),"")</f>
        <v/>
      </c>
      <c r="BF20" s="34" t="str">
        <f>IFERROR(IF(AB20=1,VLOOKUP(AB$2,활동내용입력!$B$4:$F$27,5,FALSE),""),"")</f>
        <v/>
      </c>
      <c r="BG20" s="34" t="str">
        <f>IFERROR(IF(AC20=1,VLOOKUP(AC$2,활동내용입력!$B$4:$F$27,5,FALSE),""),"")</f>
        <v/>
      </c>
      <c r="BH20" s="34" t="str">
        <f>IFERROR(IF(AD20=1,VLOOKUP(AD$2,활동내용입력!$B$4:$F$27,5,FALSE),""),"")</f>
        <v/>
      </c>
      <c r="BI20" s="34" t="str">
        <f>IFERROR(IF(AE20=1,VLOOKUP(AE$2,활동내용입력!$B$4:$F$27,5,FALSE),""),"")</f>
        <v/>
      </c>
      <c r="BJ20" s="34" t="str">
        <f>IFERROR(IF(AF20=1,VLOOKUP(AF$2,활동내용입력!$B$4:$F$27,5,FALSE),""),"")</f>
        <v/>
      </c>
      <c r="BK20" s="35" t="str">
        <f t="shared" si="2"/>
        <v/>
      </c>
      <c r="BL20" s="36">
        <f t="shared" si="1"/>
        <v>0</v>
      </c>
      <c r="BM20" s="25"/>
    </row>
    <row r="21" spans="1:65" x14ac:dyDescent="0.3">
      <c r="A21" s="51">
        <v>17</v>
      </c>
      <c r="B21" s="53" t="s">
        <v>119</v>
      </c>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4" t="str">
        <f>IFERROR(IF(C21=1,VLOOKUP(C$2,활동내용입력!$B$4:$F$27,5,FALSE),""),"")</f>
        <v/>
      </c>
      <c r="AH21" s="34" t="str">
        <f>IFERROR(IF(D21=1,VLOOKUP(D$2,활동내용입력!$B$4:$F$27,5,FALSE),""),"")</f>
        <v/>
      </c>
      <c r="AI21" s="34" t="str">
        <f>IFERROR(IF(E21=1,VLOOKUP(E$2,활동내용입력!$B$4:$F$27,5,FALSE),""),"")</f>
        <v/>
      </c>
      <c r="AJ21" s="34" t="str">
        <f>IFERROR(IF(F21=1,VLOOKUP(F$2,활동내용입력!$B$4:$F$27,5,FALSE),""),"")</f>
        <v/>
      </c>
      <c r="AK21" s="34" t="str">
        <f>IFERROR(IF(G21=1,VLOOKUP(G$2,활동내용입력!$B$4:$F$27,5,FALSE),""),"")</f>
        <v/>
      </c>
      <c r="AL21" s="34" t="str">
        <f>IFERROR(IF(H21=1,VLOOKUP(H$2,활동내용입력!$B$4:$F$27,5,FALSE),""),"")</f>
        <v/>
      </c>
      <c r="AM21" s="34" t="str">
        <f>IFERROR(IF(I21=1,VLOOKUP(I$2,활동내용입력!$B$4:$F$27,5,FALSE),""),"")</f>
        <v/>
      </c>
      <c r="AN21" s="34" t="str">
        <f>IFERROR(IF(J21=1,VLOOKUP(J$2,활동내용입력!$B$4:$F$27,5,FALSE),""),"")</f>
        <v/>
      </c>
      <c r="AO21" s="34" t="str">
        <f>IFERROR(IF(K21=1,VLOOKUP(K$2,활동내용입력!$B$4:$F$27,5,FALSE),""),"")</f>
        <v/>
      </c>
      <c r="AP21" s="34" t="str">
        <f>IFERROR(IF(L21=1,VLOOKUP(L$2,활동내용입력!$B$4:$F$27,5,FALSE),""),"")</f>
        <v/>
      </c>
      <c r="AQ21" s="34" t="str">
        <f>IFERROR(IF(M21=1,VLOOKUP(M$2,활동내용입력!$B$4:$F$27,5,FALSE),""),"")</f>
        <v/>
      </c>
      <c r="AR21" s="34" t="str">
        <f>IFERROR(IF(N21=1,VLOOKUP(N$2,활동내용입력!$B$4:$F$27,5,FALSE),""),"")</f>
        <v/>
      </c>
      <c r="AS21" s="34" t="str">
        <f>IFERROR(IF(O21=1,VLOOKUP(O$2,활동내용입력!$B$4:$F$27,5,FALSE),""),"")</f>
        <v/>
      </c>
      <c r="AT21" s="34" t="str">
        <f>IFERROR(IF(P21=1,VLOOKUP(P$2,활동내용입력!$B$4:$F$27,5,FALSE),""),"")</f>
        <v/>
      </c>
      <c r="AU21" s="34" t="str">
        <f>IFERROR(IF(Q21=1,VLOOKUP(Q$2,활동내용입력!$B$4:$F$27,5,FALSE),""),"")</f>
        <v/>
      </c>
      <c r="AV21" s="34" t="str">
        <f>IFERROR(IF(R21=1,VLOOKUP(R$2,활동내용입력!$B$4:$F$27,5,FALSE),""),"")</f>
        <v/>
      </c>
      <c r="AW21" s="34" t="str">
        <f>IFERROR(IF(S21=1,VLOOKUP(S$2,활동내용입력!$B$4:$F$27,5,FALSE),""),"")</f>
        <v/>
      </c>
      <c r="AX21" s="34" t="str">
        <f>IFERROR(IF(T21=1,VLOOKUP(T$2,활동내용입력!$B$4:$F$27,5,FALSE),""),"")</f>
        <v/>
      </c>
      <c r="AY21" s="34" t="str">
        <f>IFERROR(IF(U21=1,VLOOKUP(U$2,활동내용입력!$B$4:$F$27,5,FALSE),""),"")</f>
        <v/>
      </c>
      <c r="AZ21" s="34" t="str">
        <f>IFERROR(IF(V21=1,VLOOKUP(V$2,활동내용입력!$B$4:$F$27,5,FALSE),""),"")</f>
        <v/>
      </c>
      <c r="BA21" s="34" t="str">
        <f>IFERROR(IF(W21=1,VLOOKUP(W$2,활동내용입력!$B$4:$F$27,5,FALSE),""),"")</f>
        <v/>
      </c>
      <c r="BB21" s="34" t="str">
        <f>IFERROR(IF(X21=1,VLOOKUP(X$2,활동내용입력!$B$4:$F$27,5,FALSE),""),"")</f>
        <v/>
      </c>
      <c r="BC21" s="34" t="str">
        <f>IFERROR(IF(Y21=1,VLOOKUP(Y$2,활동내용입력!$B$4:$F$27,5,FALSE),""),"")</f>
        <v/>
      </c>
      <c r="BD21" s="34" t="str">
        <f>IFERROR(IF(Z21=1,VLOOKUP(Z$2,활동내용입력!$B$4:$F$27,5,FALSE),""),"")</f>
        <v/>
      </c>
      <c r="BE21" s="34" t="str">
        <f>IFERROR(IF(AA21=1,VLOOKUP(AA$2,활동내용입력!$B$4:$F$27,5,FALSE),""),"")</f>
        <v/>
      </c>
      <c r="BF21" s="34" t="str">
        <f>IFERROR(IF(AB21=1,VLOOKUP(AB$2,활동내용입력!$B$4:$F$27,5,FALSE),""),"")</f>
        <v/>
      </c>
      <c r="BG21" s="34" t="str">
        <f>IFERROR(IF(AC21=1,VLOOKUP(AC$2,활동내용입력!$B$4:$F$27,5,FALSE),""),"")</f>
        <v/>
      </c>
      <c r="BH21" s="34" t="str">
        <f>IFERROR(IF(AD21=1,VLOOKUP(AD$2,활동내용입력!$B$4:$F$27,5,FALSE),""),"")</f>
        <v/>
      </c>
      <c r="BI21" s="34" t="str">
        <f>IFERROR(IF(AE21=1,VLOOKUP(AE$2,활동내용입력!$B$4:$F$27,5,FALSE),""),"")</f>
        <v/>
      </c>
      <c r="BJ21" s="34" t="str">
        <f>IFERROR(IF(AF21=1,VLOOKUP(AF$2,활동내용입력!$B$4:$F$27,5,FALSE),""),"")</f>
        <v/>
      </c>
      <c r="BK21" s="35" t="str">
        <f t="shared" si="2"/>
        <v/>
      </c>
      <c r="BL21" s="36">
        <f t="shared" si="1"/>
        <v>0</v>
      </c>
      <c r="BM21" s="25"/>
    </row>
    <row r="22" spans="1:65" x14ac:dyDescent="0.3">
      <c r="A22" s="51">
        <v>18</v>
      </c>
      <c r="B22" s="53" t="s">
        <v>120</v>
      </c>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4" t="str">
        <f>IFERROR(IF(C22=1,VLOOKUP(C$2,활동내용입력!$B$4:$F$27,5,FALSE),""),"")</f>
        <v/>
      </c>
      <c r="AH22" s="34" t="str">
        <f>IFERROR(IF(D22=1,VLOOKUP(D$2,활동내용입력!$B$4:$F$27,5,FALSE),""),"")</f>
        <v/>
      </c>
      <c r="AI22" s="34" t="str">
        <f>IFERROR(IF(E22=1,VLOOKUP(E$2,활동내용입력!$B$4:$F$27,5,FALSE),""),"")</f>
        <v/>
      </c>
      <c r="AJ22" s="34" t="str">
        <f>IFERROR(IF(F22=1,VLOOKUP(F$2,활동내용입력!$B$4:$F$27,5,FALSE),""),"")</f>
        <v/>
      </c>
      <c r="AK22" s="34" t="str">
        <f>IFERROR(IF(G22=1,VLOOKUP(G$2,활동내용입력!$B$4:$F$27,5,FALSE),""),"")</f>
        <v/>
      </c>
      <c r="AL22" s="34" t="str">
        <f>IFERROR(IF(H22=1,VLOOKUP(H$2,활동내용입력!$B$4:$F$27,5,FALSE),""),"")</f>
        <v/>
      </c>
      <c r="AM22" s="34" t="str">
        <f>IFERROR(IF(I22=1,VLOOKUP(I$2,활동내용입력!$B$4:$F$27,5,FALSE),""),"")</f>
        <v/>
      </c>
      <c r="AN22" s="34" t="str">
        <f>IFERROR(IF(J22=1,VLOOKUP(J$2,활동내용입력!$B$4:$F$27,5,FALSE),""),"")</f>
        <v/>
      </c>
      <c r="AO22" s="34" t="str">
        <f>IFERROR(IF(K22=1,VLOOKUP(K$2,활동내용입력!$B$4:$F$27,5,FALSE),""),"")</f>
        <v/>
      </c>
      <c r="AP22" s="34" t="str">
        <f>IFERROR(IF(L22=1,VLOOKUP(L$2,활동내용입력!$B$4:$F$27,5,FALSE),""),"")</f>
        <v/>
      </c>
      <c r="AQ22" s="34" t="str">
        <f>IFERROR(IF(M22=1,VLOOKUP(M$2,활동내용입력!$B$4:$F$27,5,FALSE),""),"")</f>
        <v/>
      </c>
      <c r="AR22" s="34" t="str">
        <f>IFERROR(IF(N22=1,VLOOKUP(N$2,활동내용입력!$B$4:$F$27,5,FALSE),""),"")</f>
        <v/>
      </c>
      <c r="AS22" s="34" t="str">
        <f>IFERROR(IF(O22=1,VLOOKUP(O$2,활동내용입력!$B$4:$F$27,5,FALSE),""),"")</f>
        <v/>
      </c>
      <c r="AT22" s="34" t="str">
        <f>IFERROR(IF(P22=1,VLOOKUP(P$2,활동내용입력!$B$4:$F$27,5,FALSE),""),"")</f>
        <v/>
      </c>
      <c r="AU22" s="34" t="str">
        <f>IFERROR(IF(Q22=1,VLOOKUP(Q$2,활동내용입력!$B$4:$F$27,5,FALSE),""),"")</f>
        <v/>
      </c>
      <c r="AV22" s="34" t="str">
        <f>IFERROR(IF(R22=1,VLOOKUP(R$2,활동내용입력!$B$4:$F$27,5,FALSE),""),"")</f>
        <v/>
      </c>
      <c r="AW22" s="34" t="str">
        <f>IFERROR(IF(S22=1,VLOOKUP(S$2,활동내용입력!$B$4:$F$27,5,FALSE),""),"")</f>
        <v/>
      </c>
      <c r="AX22" s="34" t="str">
        <f>IFERROR(IF(T22=1,VLOOKUP(T$2,활동내용입력!$B$4:$F$27,5,FALSE),""),"")</f>
        <v/>
      </c>
      <c r="AY22" s="34" t="str">
        <f>IFERROR(IF(U22=1,VLOOKUP(U$2,활동내용입력!$B$4:$F$27,5,FALSE),""),"")</f>
        <v/>
      </c>
      <c r="AZ22" s="34" t="str">
        <f>IFERROR(IF(V22=1,VLOOKUP(V$2,활동내용입력!$B$4:$F$27,5,FALSE),""),"")</f>
        <v/>
      </c>
      <c r="BA22" s="34" t="str">
        <f>IFERROR(IF(W22=1,VLOOKUP(W$2,활동내용입력!$B$4:$F$27,5,FALSE),""),"")</f>
        <v/>
      </c>
      <c r="BB22" s="34" t="str">
        <f>IFERROR(IF(X22=1,VLOOKUP(X$2,활동내용입력!$B$4:$F$27,5,FALSE),""),"")</f>
        <v/>
      </c>
      <c r="BC22" s="34" t="str">
        <f>IFERROR(IF(Y22=1,VLOOKUP(Y$2,활동내용입력!$B$4:$F$27,5,FALSE),""),"")</f>
        <v/>
      </c>
      <c r="BD22" s="34" t="str">
        <f>IFERROR(IF(Z22=1,VLOOKUP(Z$2,활동내용입력!$B$4:$F$27,5,FALSE),""),"")</f>
        <v/>
      </c>
      <c r="BE22" s="34" t="str">
        <f>IFERROR(IF(AA22=1,VLOOKUP(AA$2,활동내용입력!$B$4:$F$27,5,FALSE),""),"")</f>
        <v/>
      </c>
      <c r="BF22" s="34" t="str">
        <f>IFERROR(IF(AB22=1,VLOOKUP(AB$2,활동내용입력!$B$4:$F$27,5,FALSE),""),"")</f>
        <v/>
      </c>
      <c r="BG22" s="34" t="str">
        <f>IFERROR(IF(AC22=1,VLOOKUP(AC$2,활동내용입력!$B$4:$F$27,5,FALSE),""),"")</f>
        <v/>
      </c>
      <c r="BH22" s="34" t="str">
        <f>IFERROR(IF(AD22=1,VLOOKUP(AD$2,활동내용입력!$B$4:$F$27,5,FALSE),""),"")</f>
        <v/>
      </c>
      <c r="BI22" s="34" t="str">
        <f>IFERROR(IF(AE22=1,VLOOKUP(AE$2,활동내용입력!$B$4:$F$27,5,FALSE),""),"")</f>
        <v/>
      </c>
      <c r="BJ22" s="34" t="str">
        <f>IFERROR(IF(AF22=1,VLOOKUP(AF$2,활동내용입력!$B$4:$F$27,5,FALSE),""),"")</f>
        <v/>
      </c>
      <c r="BK22" s="35" t="str">
        <f t="shared" si="2"/>
        <v/>
      </c>
      <c r="BL22" s="36">
        <f t="shared" si="1"/>
        <v>0</v>
      </c>
      <c r="BM22" s="25"/>
    </row>
    <row r="23" spans="1:65" x14ac:dyDescent="0.3">
      <c r="A23" s="51">
        <v>19</v>
      </c>
      <c r="B23" s="53" t="s">
        <v>121</v>
      </c>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4" t="str">
        <f>IFERROR(IF(C23=1,VLOOKUP(C$2,활동내용입력!$B$4:$F$27,5,FALSE),""),"")</f>
        <v/>
      </c>
      <c r="AH23" s="34" t="str">
        <f>IFERROR(IF(D23=1,VLOOKUP(D$2,활동내용입력!$B$4:$F$27,5,FALSE),""),"")</f>
        <v/>
      </c>
      <c r="AI23" s="34" t="str">
        <f>IFERROR(IF(E23=1,VLOOKUP(E$2,활동내용입력!$B$4:$F$27,5,FALSE),""),"")</f>
        <v/>
      </c>
      <c r="AJ23" s="34" t="str">
        <f>IFERROR(IF(F23=1,VLOOKUP(F$2,활동내용입력!$B$4:$F$27,5,FALSE),""),"")</f>
        <v/>
      </c>
      <c r="AK23" s="34" t="str">
        <f>IFERROR(IF(G23=1,VLOOKUP(G$2,활동내용입력!$B$4:$F$27,5,FALSE),""),"")</f>
        <v/>
      </c>
      <c r="AL23" s="34" t="str">
        <f>IFERROR(IF(H23=1,VLOOKUP(H$2,활동내용입력!$B$4:$F$27,5,FALSE),""),"")</f>
        <v/>
      </c>
      <c r="AM23" s="34" t="str">
        <f>IFERROR(IF(I23=1,VLOOKUP(I$2,활동내용입력!$B$4:$F$27,5,FALSE),""),"")</f>
        <v/>
      </c>
      <c r="AN23" s="34" t="str">
        <f>IFERROR(IF(J23=1,VLOOKUP(J$2,활동내용입력!$B$4:$F$27,5,FALSE),""),"")</f>
        <v/>
      </c>
      <c r="AO23" s="34" t="str">
        <f>IFERROR(IF(K23=1,VLOOKUP(K$2,활동내용입력!$B$4:$F$27,5,FALSE),""),"")</f>
        <v/>
      </c>
      <c r="AP23" s="34" t="str">
        <f>IFERROR(IF(L23=1,VLOOKUP(L$2,활동내용입력!$B$4:$F$27,5,FALSE),""),"")</f>
        <v/>
      </c>
      <c r="AQ23" s="34" t="str">
        <f>IFERROR(IF(M23=1,VLOOKUP(M$2,활동내용입력!$B$4:$F$27,5,FALSE),""),"")</f>
        <v/>
      </c>
      <c r="AR23" s="34" t="str">
        <f>IFERROR(IF(N23=1,VLOOKUP(N$2,활동내용입력!$B$4:$F$27,5,FALSE),""),"")</f>
        <v/>
      </c>
      <c r="AS23" s="34" t="str">
        <f>IFERROR(IF(O23=1,VLOOKUP(O$2,활동내용입력!$B$4:$F$27,5,FALSE),""),"")</f>
        <v/>
      </c>
      <c r="AT23" s="34" t="str">
        <f>IFERROR(IF(P23=1,VLOOKUP(P$2,활동내용입력!$B$4:$F$27,5,FALSE),""),"")</f>
        <v/>
      </c>
      <c r="AU23" s="34" t="str">
        <f>IFERROR(IF(Q23=1,VLOOKUP(Q$2,활동내용입력!$B$4:$F$27,5,FALSE),""),"")</f>
        <v/>
      </c>
      <c r="AV23" s="34" t="str">
        <f>IFERROR(IF(R23=1,VLOOKUP(R$2,활동내용입력!$B$4:$F$27,5,FALSE),""),"")</f>
        <v/>
      </c>
      <c r="AW23" s="34" t="str">
        <f>IFERROR(IF(S23=1,VLOOKUP(S$2,활동내용입력!$B$4:$F$27,5,FALSE),""),"")</f>
        <v/>
      </c>
      <c r="AX23" s="34" t="str">
        <f>IFERROR(IF(T23=1,VLOOKUP(T$2,활동내용입력!$B$4:$F$27,5,FALSE),""),"")</f>
        <v/>
      </c>
      <c r="AY23" s="34" t="str">
        <f>IFERROR(IF(U23=1,VLOOKUP(U$2,활동내용입력!$B$4:$F$27,5,FALSE),""),"")</f>
        <v/>
      </c>
      <c r="AZ23" s="34" t="str">
        <f>IFERROR(IF(V23=1,VLOOKUP(V$2,활동내용입력!$B$4:$F$27,5,FALSE),""),"")</f>
        <v/>
      </c>
      <c r="BA23" s="34" t="str">
        <f>IFERROR(IF(W23=1,VLOOKUP(W$2,활동내용입력!$B$4:$F$27,5,FALSE),""),"")</f>
        <v/>
      </c>
      <c r="BB23" s="34" t="str">
        <f>IFERROR(IF(X23=1,VLOOKUP(X$2,활동내용입력!$B$4:$F$27,5,FALSE),""),"")</f>
        <v/>
      </c>
      <c r="BC23" s="34" t="str">
        <f>IFERROR(IF(Y23=1,VLOOKUP(Y$2,활동내용입력!$B$4:$F$27,5,FALSE),""),"")</f>
        <v/>
      </c>
      <c r="BD23" s="34" t="str">
        <f>IFERROR(IF(Z23=1,VLOOKUP(Z$2,활동내용입력!$B$4:$F$27,5,FALSE),""),"")</f>
        <v/>
      </c>
      <c r="BE23" s="34" t="str">
        <f>IFERROR(IF(AA23=1,VLOOKUP(AA$2,활동내용입력!$B$4:$F$27,5,FALSE),""),"")</f>
        <v/>
      </c>
      <c r="BF23" s="34" t="str">
        <f>IFERROR(IF(AB23=1,VLOOKUP(AB$2,활동내용입력!$B$4:$F$27,5,FALSE),""),"")</f>
        <v/>
      </c>
      <c r="BG23" s="34" t="str">
        <f>IFERROR(IF(AC23=1,VLOOKUP(AC$2,활동내용입력!$B$4:$F$27,5,FALSE),""),"")</f>
        <v/>
      </c>
      <c r="BH23" s="34" t="str">
        <f>IFERROR(IF(AD23=1,VLOOKUP(AD$2,활동내용입력!$B$4:$F$27,5,FALSE),""),"")</f>
        <v/>
      </c>
      <c r="BI23" s="34" t="str">
        <f>IFERROR(IF(AE23=1,VLOOKUP(AE$2,활동내용입력!$B$4:$F$27,5,FALSE),""),"")</f>
        <v/>
      </c>
      <c r="BJ23" s="34" t="str">
        <f>IFERROR(IF(AF23=1,VLOOKUP(AF$2,활동내용입력!$B$4:$F$27,5,FALSE),""),"")</f>
        <v/>
      </c>
      <c r="BK23" s="35" t="str">
        <f t="shared" si="2"/>
        <v/>
      </c>
      <c r="BL23" s="36">
        <f t="shared" si="1"/>
        <v>0</v>
      </c>
      <c r="BM23" s="25"/>
    </row>
    <row r="24" spans="1:65" x14ac:dyDescent="0.3">
      <c r="A24" s="51">
        <v>20</v>
      </c>
      <c r="B24" s="5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4" t="str">
        <f>IFERROR(IF(C24=1,VLOOKUP(C$2,활동내용입력!$B$4:$F$27,5,FALSE),""),"")</f>
        <v/>
      </c>
      <c r="AH24" s="34" t="str">
        <f>IFERROR(IF(D24=1,VLOOKUP(D$2,활동내용입력!$B$4:$F$27,5,FALSE),""),"")</f>
        <v/>
      </c>
      <c r="AI24" s="34" t="str">
        <f>IFERROR(IF(E24=1,VLOOKUP(E$2,활동내용입력!$B$4:$F$27,5,FALSE),""),"")</f>
        <v/>
      </c>
      <c r="AJ24" s="34" t="str">
        <f>IFERROR(IF(F24=1,VLOOKUP(F$2,활동내용입력!$B$4:$F$27,5,FALSE),""),"")</f>
        <v/>
      </c>
      <c r="AK24" s="34" t="str">
        <f>IFERROR(IF(G24=1,VLOOKUP(G$2,활동내용입력!$B$4:$F$27,5,FALSE),""),"")</f>
        <v/>
      </c>
      <c r="AL24" s="34" t="str">
        <f>IFERROR(IF(H24=1,VLOOKUP(H$2,활동내용입력!$B$4:$F$27,5,FALSE),""),"")</f>
        <v/>
      </c>
      <c r="AM24" s="34" t="str">
        <f>IFERROR(IF(I24=1,VLOOKUP(I$2,활동내용입력!$B$4:$F$27,5,FALSE),""),"")</f>
        <v/>
      </c>
      <c r="AN24" s="34" t="str">
        <f>IFERROR(IF(J24=1,VLOOKUP(J$2,활동내용입력!$B$4:$F$27,5,FALSE),""),"")</f>
        <v/>
      </c>
      <c r="AO24" s="34" t="str">
        <f>IFERROR(IF(K24=1,VLOOKUP(K$2,활동내용입력!$B$4:$F$27,5,FALSE),""),"")</f>
        <v/>
      </c>
      <c r="AP24" s="34" t="str">
        <f>IFERROR(IF(L24=1,VLOOKUP(L$2,활동내용입력!$B$4:$F$27,5,FALSE),""),"")</f>
        <v/>
      </c>
      <c r="AQ24" s="34" t="str">
        <f>IFERROR(IF(M24=1,VLOOKUP(M$2,활동내용입력!$B$4:$F$27,5,FALSE),""),"")</f>
        <v/>
      </c>
      <c r="AR24" s="34" t="str">
        <f>IFERROR(IF(N24=1,VLOOKUP(N$2,활동내용입력!$B$4:$F$27,5,FALSE),""),"")</f>
        <v/>
      </c>
      <c r="AS24" s="34" t="str">
        <f>IFERROR(IF(O24=1,VLOOKUP(O$2,활동내용입력!$B$4:$F$27,5,FALSE),""),"")</f>
        <v/>
      </c>
      <c r="AT24" s="34" t="str">
        <f>IFERROR(IF(P24=1,VLOOKUP(P$2,활동내용입력!$B$4:$F$27,5,FALSE),""),"")</f>
        <v/>
      </c>
      <c r="AU24" s="34" t="str">
        <f>IFERROR(IF(Q24=1,VLOOKUP(Q$2,활동내용입력!$B$4:$F$27,5,FALSE),""),"")</f>
        <v/>
      </c>
      <c r="AV24" s="34" t="str">
        <f>IFERROR(IF(R24=1,VLOOKUP(R$2,활동내용입력!$B$4:$F$27,5,FALSE),""),"")</f>
        <v/>
      </c>
      <c r="AW24" s="34" t="str">
        <f>IFERROR(IF(S24=1,VLOOKUP(S$2,활동내용입력!$B$4:$F$27,5,FALSE),""),"")</f>
        <v/>
      </c>
      <c r="AX24" s="34" t="str">
        <f>IFERROR(IF(T24=1,VLOOKUP(T$2,활동내용입력!$B$4:$F$27,5,FALSE),""),"")</f>
        <v/>
      </c>
      <c r="AY24" s="34" t="str">
        <f>IFERROR(IF(U24=1,VLOOKUP(U$2,활동내용입력!$B$4:$F$27,5,FALSE),""),"")</f>
        <v/>
      </c>
      <c r="AZ24" s="34" t="str">
        <f>IFERROR(IF(V24=1,VLOOKUP(V$2,활동내용입력!$B$4:$F$27,5,FALSE),""),"")</f>
        <v/>
      </c>
      <c r="BA24" s="34" t="str">
        <f>IFERROR(IF(W24=1,VLOOKUP(W$2,활동내용입력!$B$4:$F$27,5,FALSE),""),"")</f>
        <v/>
      </c>
      <c r="BB24" s="34" t="str">
        <f>IFERROR(IF(X24=1,VLOOKUP(X$2,활동내용입력!$B$4:$F$27,5,FALSE),""),"")</f>
        <v/>
      </c>
      <c r="BC24" s="34" t="str">
        <f>IFERROR(IF(Y24=1,VLOOKUP(Y$2,활동내용입력!$B$4:$F$27,5,FALSE),""),"")</f>
        <v/>
      </c>
      <c r="BD24" s="34" t="str">
        <f>IFERROR(IF(Z24=1,VLOOKUP(Z$2,활동내용입력!$B$4:$F$27,5,FALSE),""),"")</f>
        <v/>
      </c>
      <c r="BE24" s="34" t="str">
        <f>IFERROR(IF(AA24=1,VLOOKUP(AA$2,활동내용입력!$B$4:$F$27,5,FALSE),""),"")</f>
        <v/>
      </c>
      <c r="BF24" s="34" t="str">
        <f>IFERROR(IF(AB24=1,VLOOKUP(AB$2,활동내용입력!$B$4:$F$27,5,FALSE),""),"")</f>
        <v/>
      </c>
      <c r="BG24" s="34" t="str">
        <f>IFERROR(IF(AC24=1,VLOOKUP(AC$2,활동내용입력!$B$4:$F$27,5,FALSE),""),"")</f>
        <v/>
      </c>
      <c r="BH24" s="34" t="str">
        <f>IFERROR(IF(AD24=1,VLOOKUP(AD$2,활동내용입력!$B$4:$F$27,5,FALSE),""),"")</f>
        <v/>
      </c>
      <c r="BI24" s="34" t="str">
        <f>IFERROR(IF(AE24=1,VLOOKUP(AE$2,활동내용입력!$B$4:$F$27,5,FALSE),""),"")</f>
        <v/>
      </c>
      <c r="BJ24" s="34" t="str">
        <f>IFERROR(IF(AF24=1,VLOOKUP(AF$2,활동내용입력!$B$4:$F$27,5,FALSE),""),"")</f>
        <v/>
      </c>
      <c r="BK24" s="35" t="str">
        <f t="shared" si="2"/>
        <v/>
      </c>
      <c r="BL24" s="36">
        <f t="shared" si="1"/>
        <v>0</v>
      </c>
      <c r="BM24" s="25"/>
    </row>
    <row r="25" spans="1:65" x14ac:dyDescent="0.3">
      <c r="A25" s="51">
        <v>21</v>
      </c>
      <c r="B25" s="5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4" t="str">
        <f>IFERROR(IF(C25=1,VLOOKUP(C$2,활동내용입력!$B$4:$F$27,5,FALSE),""),"")</f>
        <v/>
      </c>
      <c r="AH25" s="34" t="str">
        <f>IFERROR(IF(D25=1,VLOOKUP(D$2,활동내용입력!$B$4:$F$27,5,FALSE),""),"")</f>
        <v/>
      </c>
      <c r="AI25" s="34" t="str">
        <f>IFERROR(IF(E25=1,VLOOKUP(E$2,활동내용입력!$B$4:$F$27,5,FALSE),""),"")</f>
        <v/>
      </c>
      <c r="AJ25" s="34" t="str">
        <f>IFERROR(IF(F25=1,VLOOKUP(F$2,활동내용입력!$B$4:$F$27,5,FALSE),""),"")</f>
        <v/>
      </c>
      <c r="AK25" s="34" t="str">
        <f>IFERROR(IF(G25=1,VLOOKUP(G$2,활동내용입력!$B$4:$F$27,5,FALSE),""),"")</f>
        <v/>
      </c>
      <c r="AL25" s="34" t="str">
        <f>IFERROR(IF(H25=1,VLOOKUP(H$2,활동내용입력!$B$4:$F$27,5,FALSE),""),"")</f>
        <v/>
      </c>
      <c r="AM25" s="34" t="str">
        <f>IFERROR(IF(I25=1,VLOOKUP(I$2,활동내용입력!$B$4:$F$27,5,FALSE),""),"")</f>
        <v/>
      </c>
      <c r="AN25" s="34" t="str">
        <f>IFERROR(IF(J25=1,VLOOKUP(J$2,활동내용입력!$B$4:$F$27,5,FALSE),""),"")</f>
        <v/>
      </c>
      <c r="AO25" s="34" t="str">
        <f>IFERROR(IF(K25=1,VLOOKUP(K$2,활동내용입력!$B$4:$F$27,5,FALSE),""),"")</f>
        <v/>
      </c>
      <c r="AP25" s="34" t="str">
        <f>IFERROR(IF(L25=1,VLOOKUP(L$2,활동내용입력!$B$4:$F$27,5,FALSE),""),"")</f>
        <v/>
      </c>
      <c r="AQ25" s="34" t="str">
        <f>IFERROR(IF(M25=1,VLOOKUP(M$2,활동내용입력!$B$4:$F$27,5,FALSE),""),"")</f>
        <v/>
      </c>
      <c r="AR25" s="34" t="str">
        <f>IFERROR(IF(N25=1,VLOOKUP(N$2,활동내용입력!$B$4:$F$27,5,FALSE),""),"")</f>
        <v/>
      </c>
      <c r="AS25" s="34" t="str">
        <f>IFERROR(IF(O25=1,VLOOKUP(O$2,활동내용입력!$B$4:$F$27,5,FALSE),""),"")</f>
        <v/>
      </c>
      <c r="AT25" s="34" t="str">
        <f>IFERROR(IF(P25=1,VLOOKUP(P$2,활동내용입력!$B$4:$F$27,5,FALSE),""),"")</f>
        <v/>
      </c>
      <c r="AU25" s="34" t="str">
        <f>IFERROR(IF(Q25=1,VLOOKUP(Q$2,활동내용입력!$B$4:$F$27,5,FALSE),""),"")</f>
        <v/>
      </c>
      <c r="AV25" s="34" t="str">
        <f>IFERROR(IF(R25=1,VLOOKUP(R$2,활동내용입력!$B$4:$F$27,5,FALSE),""),"")</f>
        <v/>
      </c>
      <c r="AW25" s="34" t="str">
        <f>IFERROR(IF(S25=1,VLOOKUP(S$2,활동내용입력!$B$4:$F$27,5,FALSE),""),"")</f>
        <v/>
      </c>
      <c r="AX25" s="34" t="str">
        <f>IFERROR(IF(T25=1,VLOOKUP(T$2,활동내용입력!$B$4:$F$27,5,FALSE),""),"")</f>
        <v/>
      </c>
      <c r="AY25" s="34" t="str">
        <f>IFERROR(IF(U25=1,VLOOKUP(U$2,활동내용입력!$B$4:$F$27,5,FALSE),""),"")</f>
        <v/>
      </c>
      <c r="AZ25" s="34" t="str">
        <f>IFERROR(IF(V25=1,VLOOKUP(V$2,활동내용입력!$B$4:$F$27,5,FALSE),""),"")</f>
        <v/>
      </c>
      <c r="BA25" s="34" t="str">
        <f>IFERROR(IF(W25=1,VLOOKUP(W$2,활동내용입력!$B$4:$F$27,5,FALSE),""),"")</f>
        <v/>
      </c>
      <c r="BB25" s="34" t="str">
        <f>IFERROR(IF(X25=1,VLOOKUP(X$2,활동내용입력!$B$4:$F$27,5,FALSE),""),"")</f>
        <v/>
      </c>
      <c r="BC25" s="34" t="str">
        <f>IFERROR(IF(Y25=1,VLOOKUP(Y$2,활동내용입력!$B$4:$F$27,5,FALSE),""),"")</f>
        <v/>
      </c>
      <c r="BD25" s="34" t="str">
        <f>IFERROR(IF(Z25=1,VLOOKUP(Z$2,활동내용입력!$B$4:$F$27,5,FALSE),""),"")</f>
        <v/>
      </c>
      <c r="BE25" s="34" t="str">
        <f>IFERROR(IF(AA25=1,VLOOKUP(AA$2,활동내용입력!$B$4:$F$27,5,FALSE),""),"")</f>
        <v/>
      </c>
      <c r="BF25" s="34" t="str">
        <f>IFERROR(IF(AB25=1,VLOOKUP(AB$2,활동내용입력!$B$4:$F$27,5,FALSE),""),"")</f>
        <v/>
      </c>
      <c r="BG25" s="34" t="str">
        <f>IFERROR(IF(AC25=1,VLOOKUP(AC$2,활동내용입력!$B$4:$F$27,5,FALSE),""),"")</f>
        <v/>
      </c>
      <c r="BH25" s="34" t="str">
        <f>IFERROR(IF(AD25=1,VLOOKUP(AD$2,활동내용입력!$B$4:$F$27,5,FALSE),""),"")</f>
        <v/>
      </c>
      <c r="BI25" s="34" t="str">
        <f>IFERROR(IF(AE25=1,VLOOKUP(AE$2,활동내용입력!$B$4:$F$27,5,FALSE),""),"")</f>
        <v/>
      </c>
      <c r="BJ25" s="34" t="str">
        <f>IFERROR(IF(AF25=1,VLOOKUP(AF$2,활동내용입력!$B$4:$F$27,5,FALSE),""),"")</f>
        <v/>
      </c>
      <c r="BK25" s="35" t="str">
        <f t="shared" si="2"/>
        <v/>
      </c>
      <c r="BL25" s="36">
        <f t="shared" si="1"/>
        <v>0</v>
      </c>
      <c r="BM25" s="25"/>
    </row>
    <row r="26" spans="1:65" x14ac:dyDescent="0.3">
      <c r="A26" s="51">
        <v>22</v>
      </c>
      <c r="B26" s="5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4" t="str">
        <f>IFERROR(IF(C26=1,VLOOKUP(C$2,활동내용입력!$B$4:$F$27,5,FALSE),""),"")</f>
        <v/>
      </c>
      <c r="AH26" s="34" t="str">
        <f>IFERROR(IF(D26=1,VLOOKUP(D$2,활동내용입력!$B$4:$F$27,5,FALSE),""),"")</f>
        <v/>
      </c>
      <c r="AI26" s="34" t="str">
        <f>IFERROR(IF(E26=1,VLOOKUP(E$2,활동내용입력!$B$4:$F$27,5,FALSE),""),"")</f>
        <v/>
      </c>
      <c r="AJ26" s="34" t="str">
        <f>IFERROR(IF(F26=1,VLOOKUP(F$2,활동내용입력!$B$4:$F$27,5,FALSE),""),"")</f>
        <v/>
      </c>
      <c r="AK26" s="34" t="str">
        <f>IFERROR(IF(G26=1,VLOOKUP(G$2,활동내용입력!$B$4:$F$27,5,FALSE),""),"")</f>
        <v/>
      </c>
      <c r="AL26" s="34" t="str">
        <f>IFERROR(IF(H26=1,VLOOKUP(H$2,활동내용입력!$B$4:$F$27,5,FALSE),""),"")</f>
        <v/>
      </c>
      <c r="AM26" s="34" t="str">
        <f>IFERROR(IF(I26=1,VLOOKUP(I$2,활동내용입력!$B$4:$F$27,5,FALSE),""),"")</f>
        <v/>
      </c>
      <c r="AN26" s="34" t="str">
        <f>IFERROR(IF(J26=1,VLOOKUP(J$2,활동내용입력!$B$4:$F$27,5,FALSE),""),"")</f>
        <v/>
      </c>
      <c r="AO26" s="34" t="str">
        <f>IFERROR(IF(K26=1,VLOOKUP(K$2,활동내용입력!$B$4:$F$27,5,FALSE),""),"")</f>
        <v/>
      </c>
      <c r="AP26" s="34" t="str">
        <f>IFERROR(IF(L26=1,VLOOKUP(L$2,활동내용입력!$B$4:$F$27,5,FALSE),""),"")</f>
        <v/>
      </c>
      <c r="AQ26" s="34" t="str">
        <f>IFERROR(IF(M26=1,VLOOKUP(M$2,활동내용입력!$B$4:$F$27,5,FALSE),""),"")</f>
        <v/>
      </c>
      <c r="AR26" s="34" t="str">
        <f>IFERROR(IF(N26=1,VLOOKUP(N$2,활동내용입력!$B$4:$F$27,5,FALSE),""),"")</f>
        <v/>
      </c>
      <c r="AS26" s="34" t="str">
        <f>IFERROR(IF(O26=1,VLOOKUP(O$2,활동내용입력!$B$4:$F$27,5,FALSE),""),"")</f>
        <v/>
      </c>
      <c r="AT26" s="34" t="str">
        <f>IFERROR(IF(P26=1,VLOOKUP(P$2,활동내용입력!$B$4:$F$27,5,FALSE),""),"")</f>
        <v/>
      </c>
      <c r="AU26" s="34" t="str">
        <f>IFERROR(IF(Q26=1,VLOOKUP(Q$2,활동내용입력!$B$4:$F$27,5,FALSE),""),"")</f>
        <v/>
      </c>
      <c r="AV26" s="34" t="str">
        <f>IFERROR(IF(R26=1,VLOOKUP(R$2,활동내용입력!$B$4:$F$27,5,FALSE),""),"")</f>
        <v/>
      </c>
      <c r="AW26" s="34" t="str">
        <f>IFERROR(IF(S26=1,VLOOKUP(S$2,활동내용입력!$B$4:$F$27,5,FALSE),""),"")</f>
        <v/>
      </c>
      <c r="AX26" s="34" t="str">
        <f>IFERROR(IF(T26=1,VLOOKUP(T$2,활동내용입력!$B$4:$F$27,5,FALSE),""),"")</f>
        <v/>
      </c>
      <c r="AY26" s="34" t="str">
        <f>IFERROR(IF(U26=1,VLOOKUP(U$2,활동내용입력!$B$4:$F$27,5,FALSE),""),"")</f>
        <v/>
      </c>
      <c r="AZ26" s="34" t="str">
        <f>IFERROR(IF(V26=1,VLOOKUP(V$2,활동내용입력!$B$4:$F$27,5,FALSE),""),"")</f>
        <v/>
      </c>
      <c r="BA26" s="34" t="str">
        <f>IFERROR(IF(W26=1,VLOOKUP(W$2,활동내용입력!$B$4:$F$27,5,FALSE),""),"")</f>
        <v/>
      </c>
      <c r="BB26" s="34" t="str">
        <f>IFERROR(IF(X26=1,VLOOKUP(X$2,활동내용입력!$B$4:$F$27,5,FALSE),""),"")</f>
        <v/>
      </c>
      <c r="BC26" s="34" t="str">
        <f>IFERROR(IF(Y26=1,VLOOKUP(Y$2,활동내용입력!$B$4:$F$27,5,FALSE),""),"")</f>
        <v/>
      </c>
      <c r="BD26" s="34" t="str">
        <f>IFERROR(IF(Z26=1,VLOOKUP(Z$2,활동내용입력!$B$4:$F$27,5,FALSE),""),"")</f>
        <v/>
      </c>
      <c r="BE26" s="34" t="str">
        <f>IFERROR(IF(AA26=1,VLOOKUP(AA$2,활동내용입력!$B$4:$F$27,5,FALSE),""),"")</f>
        <v/>
      </c>
      <c r="BF26" s="34" t="str">
        <f>IFERROR(IF(AB26=1,VLOOKUP(AB$2,활동내용입력!$B$4:$F$27,5,FALSE),""),"")</f>
        <v/>
      </c>
      <c r="BG26" s="34" t="str">
        <f>IFERROR(IF(AC26=1,VLOOKUP(AC$2,활동내용입력!$B$4:$F$27,5,FALSE),""),"")</f>
        <v/>
      </c>
      <c r="BH26" s="34" t="str">
        <f>IFERROR(IF(AD26=1,VLOOKUP(AD$2,활동내용입력!$B$4:$F$27,5,FALSE),""),"")</f>
        <v/>
      </c>
      <c r="BI26" s="34" t="str">
        <f>IFERROR(IF(AE26=1,VLOOKUP(AE$2,활동내용입력!$B$4:$F$27,5,FALSE),""),"")</f>
        <v/>
      </c>
      <c r="BJ26" s="34" t="str">
        <f>IFERROR(IF(AF26=1,VLOOKUP(AF$2,활동내용입력!$B$4:$F$27,5,FALSE),""),"")</f>
        <v/>
      </c>
      <c r="BK26" s="35" t="str">
        <f t="shared" si="2"/>
        <v/>
      </c>
      <c r="BL26" s="36">
        <f t="shared" si="1"/>
        <v>0</v>
      </c>
      <c r="BM26" s="25"/>
    </row>
    <row r="27" spans="1:65" x14ac:dyDescent="0.3">
      <c r="A27" s="51">
        <v>23</v>
      </c>
      <c r="B27" s="5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4" t="str">
        <f>IFERROR(IF(C27=1,VLOOKUP(C$2,활동내용입력!$B$4:$F$27,5,FALSE),""),"")</f>
        <v/>
      </c>
      <c r="AH27" s="34" t="str">
        <f>IFERROR(IF(D27=1,VLOOKUP(D$2,활동내용입력!$B$4:$F$27,5,FALSE),""),"")</f>
        <v/>
      </c>
      <c r="AI27" s="34" t="str">
        <f>IFERROR(IF(E27=1,VLOOKUP(E$2,활동내용입력!$B$4:$F$27,5,FALSE),""),"")</f>
        <v/>
      </c>
      <c r="AJ27" s="34" t="str">
        <f>IFERROR(IF(F27=1,VLOOKUP(F$2,활동내용입력!$B$4:$F$27,5,FALSE),""),"")</f>
        <v/>
      </c>
      <c r="AK27" s="34" t="str">
        <f>IFERROR(IF(G27=1,VLOOKUP(G$2,활동내용입력!$B$4:$F$27,5,FALSE),""),"")</f>
        <v/>
      </c>
      <c r="AL27" s="34" t="str">
        <f>IFERROR(IF(H27=1,VLOOKUP(H$2,활동내용입력!$B$4:$F$27,5,FALSE),""),"")</f>
        <v/>
      </c>
      <c r="AM27" s="34" t="str">
        <f>IFERROR(IF(I27=1,VLOOKUP(I$2,활동내용입력!$B$4:$F$27,5,FALSE),""),"")</f>
        <v/>
      </c>
      <c r="AN27" s="34" t="str">
        <f>IFERROR(IF(J27=1,VLOOKUP(J$2,활동내용입력!$B$4:$F$27,5,FALSE),""),"")</f>
        <v/>
      </c>
      <c r="AO27" s="34" t="str">
        <f>IFERROR(IF(K27=1,VLOOKUP(K$2,활동내용입력!$B$4:$F$27,5,FALSE),""),"")</f>
        <v/>
      </c>
      <c r="AP27" s="34" t="str">
        <f>IFERROR(IF(L27=1,VLOOKUP(L$2,활동내용입력!$B$4:$F$27,5,FALSE),""),"")</f>
        <v/>
      </c>
      <c r="AQ27" s="34" t="str">
        <f>IFERROR(IF(M27=1,VLOOKUP(M$2,활동내용입력!$B$4:$F$27,5,FALSE),""),"")</f>
        <v/>
      </c>
      <c r="AR27" s="34" t="str">
        <f>IFERROR(IF(N27=1,VLOOKUP(N$2,활동내용입력!$B$4:$F$27,5,FALSE),""),"")</f>
        <v/>
      </c>
      <c r="AS27" s="34" t="str">
        <f>IFERROR(IF(O27=1,VLOOKUP(O$2,활동내용입력!$B$4:$F$27,5,FALSE),""),"")</f>
        <v/>
      </c>
      <c r="AT27" s="34" t="str">
        <f>IFERROR(IF(P27=1,VLOOKUP(P$2,활동내용입력!$B$4:$F$27,5,FALSE),""),"")</f>
        <v/>
      </c>
      <c r="AU27" s="34" t="str">
        <f>IFERROR(IF(Q27=1,VLOOKUP(Q$2,활동내용입력!$B$4:$F$27,5,FALSE),""),"")</f>
        <v/>
      </c>
      <c r="AV27" s="34" t="str">
        <f>IFERROR(IF(R27=1,VLOOKUP(R$2,활동내용입력!$B$4:$F$27,5,FALSE),""),"")</f>
        <v/>
      </c>
      <c r="AW27" s="34" t="str">
        <f>IFERROR(IF(S27=1,VLOOKUP(S$2,활동내용입력!$B$4:$F$27,5,FALSE),""),"")</f>
        <v/>
      </c>
      <c r="AX27" s="34" t="str">
        <f>IFERROR(IF(T27=1,VLOOKUP(T$2,활동내용입력!$B$4:$F$27,5,FALSE),""),"")</f>
        <v/>
      </c>
      <c r="AY27" s="34" t="str">
        <f>IFERROR(IF(U27=1,VLOOKUP(U$2,활동내용입력!$B$4:$F$27,5,FALSE),""),"")</f>
        <v/>
      </c>
      <c r="AZ27" s="34" t="str">
        <f>IFERROR(IF(V27=1,VLOOKUP(V$2,활동내용입력!$B$4:$F$27,5,FALSE),""),"")</f>
        <v/>
      </c>
      <c r="BA27" s="34" t="str">
        <f>IFERROR(IF(W27=1,VLOOKUP(W$2,활동내용입력!$B$4:$F$27,5,FALSE),""),"")</f>
        <v/>
      </c>
      <c r="BB27" s="34" t="str">
        <f>IFERROR(IF(X27=1,VLOOKUP(X$2,활동내용입력!$B$4:$F$27,5,FALSE),""),"")</f>
        <v/>
      </c>
      <c r="BC27" s="34" t="str">
        <f>IFERROR(IF(Y27=1,VLOOKUP(Y$2,활동내용입력!$B$4:$F$27,5,FALSE),""),"")</f>
        <v/>
      </c>
      <c r="BD27" s="34" t="str">
        <f>IFERROR(IF(Z27=1,VLOOKUP(Z$2,활동내용입력!$B$4:$F$27,5,FALSE),""),"")</f>
        <v/>
      </c>
      <c r="BE27" s="34" t="str">
        <f>IFERROR(IF(AA27=1,VLOOKUP(AA$2,활동내용입력!$B$4:$F$27,5,FALSE),""),"")</f>
        <v/>
      </c>
      <c r="BF27" s="34" t="str">
        <f>IFERROR(IF(AB27=1,VLOOKUP(AB$2,활동내용입력!$B$4:$F$27,5,FALSE),""),"")</f>
        <v/>
      </c>
      <c r="BG27" s="34" t="str">
        <f>IFERROR(IF(AC27=1,VLOOKUP(AC$2,활동내용입력!$B$4:$F$27,5,FALSE),""),"")</f>
        <v/>
      </c>
      <c r="BH27" s="34" t="str">
        <f>IFERROR(IF(AD27=1,VLOOKUP(AD$2,활동내용입력!$B$4:$F$27,5,FALSE),""),"")</f>
        <v/>
      </c>
      <c r="BI27" s="34" t="str">
        <f>IFERROR(IF(AE27=1,VLOOKUP(AE$2,활동내용입력!$B$4:$F$27,5,FALSE),""),"")</f>
        <v/>
      </c>
      <c r="BJ27" s="34" t="str">
        <f>IFERROR(IF(AF27=1,VLOOKUP(AF$2,활동내용입력!$B$4:$F$27,5,FALSE),""),"")</f>
        <v/>
      </c>
      <c r="BK27" s="35" t="str">
        <f t="shared" si="2"/>
        <v/>
      </c>
      <c r="BL27" s="36">
        <f t="shared" si="1"/>
        <v>0</v>
      </c>
      <c r="BM27" s="25"/>
    </row>
    <row r="28" spans="1:65" x14ac:dyDescent="0.3">
      <c r="A28" s="51">
        <v>24</v>
      </c>
      <c r="B28" s="5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4" t="str">
        <f>IFERROR(IF(C28=1,VLOOKUP(C$2,활동내용입력!$B$4:$F$27,5,FALSE),""),"")</f>
        <v/>
      </c>
      <c r="AH28" s="34" t="str">
        <f>IFERROR(IF(D28=1,VLOOKUP(D$2,활동내용입력!$B$4:$F$27,5,FALSE),""),"")</f>
        <v/>
      </c>
      <c r="AI28" s="34" t="str">
        <f>IFERROR(IF(E28=1,VLOOKUP(E$2,활동내용입력!$B$4:$F$27,5,FALSE),""),"")</f>
        <v/>
      </c>
      <c r="AJ28" s="34" t="str">
        <f>IFERROR(IF(F28=1,VLOOKUP(F$2,활동내용입력!$B$4:$F$27,5,FALSE),""),"")</f>
        <v/>
      </c>
      <c r="AK28" s="34" t="str">
        <f>IFERROR(IF(G28=1,VLOOKUP(G$2,활동내용입력!$B$4:$F$27,5,FALSE),""),"")</f>
        <v/>
      </c>
      <c r="AL28" s="34" t="str">
        <f>IFERROR(IF(H28=1,VLOOKUP(H$2,활동내용입력!$B$4:$F$27,5,FALSE),""),"")</f>
        <v/>
      </c>
      <c r="AM28" s="34" t="str">
        <f>IFERROR(IF(I28=1,VLOOKUP(I$2,활동내용입력!$B$4:$F$27,5,FALSE),""),"")</f>
        <v/>
      </c>
      <c r="AN28" s="34" t="str">
        <f>IFERROR(IF(J28=1,VLOOKUP(J$2,활동내용입력!$B$4:$F$27,5,FALSE),""),"")</f>
        <v/>
      </c>
      <c r="AO28" s="34" t="str">
        <f>IFERROR(IF(K28=1,VLOOKUP(K$2,활동내용입력!$B$4:$F$27,5,FALSE),""),"")</f>
        <v/>
      </c>
      <c r="AP28" s="34" t="str">
        <f>IFERROR(IF(L28=1,VLOOKUP(L$2,활동내용입력!$B$4:$F$27,5,FALSE),""),"")</f>
        <v/>
      </c>
      <c r="AQ28" s="34" t="str">
        <f>IFERROR(IF(M28=1,VLOOKUP(M$2,활동내용입력!$B$4:$F$27,5,FALSE),""),"")</f>
        <v/>
      </c>
      <c r="AR28" s="34" t="str">
        <f>IFERROR(IF(N28=1,VLOOKUP(N$2,활동내용입력!$B$4:$F$27,5,FALSE),""),"")</f>
        <v/>
      </c>
      <c r="AS28" s="34" t="str">
        <f>IFERROR(IF(O28=1,VLOOKUP(O$2,활동내용입력!$B$4:$F$27,5,FALSE),""),"")</f>
        <v/>
      </c>
      <c r="AT28" s="34" t="str">
        <f>IFERROR(IF(P28=1,VLOOKUP(P$2,활동내용입력!$B$4:$F$27,5,FALSE),""),"")</f>
        <v/>
      </c>
      <c r="AU28" s="34" t="str">
        <f>IFERROR(IF(Q28=1,VLOOKUP(Q$2,활동내용입력!$B$4:$F$27,5,FALSE),""),"")</f>
        <v/>
      </c>
      <c r="AV28" s="34" t="str">
        <f>IFERROR(IF(R28=1,VLOOKUP(R$2,활동내용입력!$B$4:$F$27,5,FALSE),""),"")</f>
        <v/>
      </c>
      <c r="AW28" s="34" t="str">
        <f>IFERROR(IF(S28=1,VLOOKUP(S$2,활동내용입력!$B$4:$F$27,5,FALSE),""),"")</f>
        <v/>
      </c>
      <c r="AX28" s="34" t="str">
        <f>IFERROR(IF(T28=1,VLOOKUP(T$2,활동내용입력!$B$4:$F$27,5,FALSE),""),"")</f>
        <v/>
      </c>
      <c r="AY28" s="34" t="str">
        <f>IFERROR(IF(U28=1,VLOOKUP(U$2,활동내용입력!$B$4:$F$27,5,FALSE),""),"")</f>
        <v/>
      </c>
      <c r="AZ28" s="34" t="str">
        <f>IFERROR(IF(V28=1,VLOOKUP(V$2,활동내용입력!$B$4:$F$27,5,FALSE),""),"")</f>
        <v/>
      </c>
      <c r="BA28" s="34" t="str">
        <f>IFERROR(IF(W28=1,VLOOKUP(W$2,활동내용입력!$B$4:$F$27,5,FALSE),""),"")</f>
        <v/>
      </c>
      <c r="BB28" s="34" t="str">
        <f>IFERROR(IF(X28=1,VLOOKUP(X$2,활동내용입력!$B$4:$F$27,5,FALSE),""),"")</f>
        <v/>
      </c>
      <c r="BC28" s="34" t="str">
        <f>IFERROR(IF(Y28=1,VLOOKUP(Y$2,활동내용입력!$B$4:$F$27,5,FALSE),""),"")</f>
        <v/>
      </c>
      <c r="BD28" s="34" t="str">
        <f>IFERROR(IF(Z28=1,VLOOKUP(Z$2,활동내용입력!$B$4:$F$27,5,FALSE),""),"")</f>
        <v/>
      </c>
      <c r="BE28" s="34" t="str">
        <f>IFERROR(IF(AA28=1,VLOOKUP(AA$2,활동내용입력!$B$4:$F$27,5,FALSE),""),"")</f>
        <v/>
      </c>
      <c r="BF28" s="34" t="str">
        <f>IFERROR(IF(AB28=1,VLOOKUP(AB$2,활동내용입력!$B$4:$F$27,5,FALSE),""),"")</f>
        <v/>
      </c>
      <c r="BG28" s="34" t="str">
        <f>IFERROR(IF(AC28=1,VLOOKUP(AC$2,활동내용입력!$B$4:$F$27,5,FALSE),""),"")</f>
        <v/>
      </c>
      <c r="BH28" s="34" t="str">
        <f>IFERROR(IF(AD28=1,VLOOKUP(AD$2,활동내용입력!$B$4:$F$27,5,FALSE),""),"")</f>
        <v/>
      </c>
      <c r="BI28" s="34" t="str">
        <f>IFERROR(IF(AE28=1,VLOOKUP(AE$2,활동내용입력!$B$4:$F$27,5,FALSE),""),"")</f>
        <v/>
      </c>
      <c r="BJ28" s="34" t="str">
        <f>IFERROR(IF(AF28=1,VLOOKUP(AF$2,활동내용입력!$B$4:$F$27,5,FALSE),""),"")</f>
        <v/>
      </c>
      <c r="BK28" s="35" t="str">
        <f t="shared" si="2"/>
        <v/>
      </c>
      <c r="BL28" s="36">
        <f t="shared" si="1"/>
        <v>0</v>
      </c>
      <c r="BM28" s="25"/>
    </row>
    <row r="29" spans="1:65" x14ac:dyDescent="0.3">
      <c r="A29" s="51">
        <v>25</v>
      </c>
      <c r="B29" s="53"/>
      <c r="C29" s="33"/>
      <c r="D29" s="33"/>
      <c r="E29" s="33"/>
      <c r="F29" s="33"/>
      <c r="G29" s="33"/>
      <c r="H29" s="33"/>
      <c r="I29" s="33"/>
      <c r="J29" s="33"/>
      <c r="K29" s="33"/>
      <c r="L29" s="33"/>
      <c r="M29" s="33"/>
      <c r="N29" s="33"/>
      <c r="O29" s="33"/>
      <c r="P29" s="33"/>
      <c r="Q29" s="33"/>
      <c r="R29" s="33"/>
      <c r="S29" s="33"/>
      <c r="T29" s="33"/>
      <c r="U29" s="33"/>
      <c r="V29" s="33"/>
      <c r="W29" s="33"/>
      <c r="X29" s="33"/>
      <c r="Y29" s="33"/>
      <c r="Z29" s="33"/>
      <c r="AA29" s="33"/>
      <c r="AB29" s="33"/>
      <c r="AC29" s="33"/>
      <c r="AD29" s="33"/>
      <c r="AE29" s="33"/>
      <c r="AF29" s="33"/>
      <c r="AG29" s="34" t="str">
        <f>IFERROR(IF(C29=1,VLOOKUP(C$2,활동내용입력!$B$4:$F$27,5,FALSE),""),"")</f>
        <v/>
      </c>
      <c r="AH29" s="34" t="str">
        <f>IFERROR(IF(D29=1,VLOOKUP(D$2,활동내용입력!$B$4:$F$27,5,FALSE),""),"")</f>
        <v/>
      </c>
      <c r="AI29" s="34" t="str">
        <f>IFERROR(IF(E29=1,VLOOKUP(E$2,활동내용입력!$B$4:$F$27,5,FALSE),""),"")</f>
        <v/>
      </c>
      <c r="AJ29" s="34" t="str">
        <f>IFERROR(IF(F29=1,VLOOKUP(F$2,활동내용입력!$B$4:$F$27,5,FALSE),""),"")</f>
        <v/>
      </c>
      <c r="AK29" s="34" t="str">
        <f>IFERROR(IF(G29=1,VLOOKUP(G$2,활동내용입력!$B$4:$F$27,5,FALSE),""),"")</f>
        <v/>
      </c>
      <c r="AL29" s="34" t="str">
        <f>IFERROR(IF(H29=1,VLOOKUP(H$2,활동내용입력!$B$4:$F$27,5,FALSE),""),"")</f>
        <v/>
      </c>
      <c r="AM29" s="34" t="str">
        <f>IFERROR(IF(I29=1,VLOOKUP(I$2,활동내용입력!$B$4:$F$27,5,FALSE),""),"")</f>
        <v/>
      </c>
      <c r="AN29" s="34" t="str">
        <f>IFERROR(IF(J29=1,VLOOKUP(J$2,활동내용입력!$B$4:$F$27,5,FALSE),""),"")</f>
        <v/>
      </c>
      <c r="AO29" s="34" t="str">
        <f>IFERROR(IF(K29=1,VLOOKUP(K$2,활동내용입력!$B$4:$F$27,5,FALSE),""),"")</f>
        <v/>
      </c>
      <c r="AP29" s="34" t="str">
        <f>IFERROR(IF(L29=1,VLOOKUP(L$2,활동내용입력!$B$4:$F$27,5,FALSE),""),"")</f>
        <v/>
      </c>
      <c r="AQ29" s="34" t="str">
        <f>IFERROR(IF(M29=1,VLOOKUP(M$2,활동내용입력!$B$4:$F$27,5,FALSE),""),"")</f>
        <v/>
      </c>
      <c r="AR29" s="34" t="str">
        <f>IFERROR(IF(N29=1,VLOOKUP(N$2,활동내용입력!$B$4:$F$27,5,FALSE),""),"")</f>
        <v/>
      </c>
      <c r="AS29" s="34" t="str">
        <f>IFERROR(IF(O29=1,VLOOKUP(O$2,활동내용입력!$B$4:$F$27,5,FALSE),""),"")</f>
        <v/>
      </c>
      <c r="AT29" s="34" t="str">
        <f>IFERROR(IF(P29=1,VLOOKUP(P$2,활동내용입력!$B$4:$F$27,5,FALSE),""),"")</f>
        <v/>
      </c>
      <c r="AU29" s="34" t="str">
        <f>IFERROR(IF(Q29=1,VLOOKUP(Q$2,활동내용입력!$B$4:$F$27,5,FALSE),""),"")</f>
        <v/>
      </c>
      <c r="AV29" s="34" t="str">
        <f>IFERROR(IF(R29=1,VLOOKUP(R$2,활동내용입력!$B$4:$F$27,5,FALSE),""),"")</f>
        <v/>
      </c>
      <c r="AW29" s="34" t="str">
        <f>IFERROR(IF(S29=1,VLOOKUP(S$2,활동내용입력!$B$4:$F$27,5,FALSE),""),"")</f>
        <v/>
      </c>
      <c r="AX29" s="34" t="str">
        <f>IFERROR(IF(T29=1,VLOOKUP(T$2,활동내용입력!$B$4:$F$27,5,FALSE),""),"")</f>
        <v/>
      </c>
      <c r="AY29" s="34" t="str">
        <f>IFERROR(IF(U29=1,VLOOKUP(U$2,활동내용입력!$B$4:$F$27,5,FALSE),""),"")</f>
        <v/>
      </c>
      <c r="AZ29" s="34" t="str">
        <f>IFERROR(IF(V29=1,VLOOKUP(V$2,활동내용입력!$B$4:$F$27,5,FALSE),""),"")</f>
        <v/>
      </c>
      <c r="BA29" s="34" t="str">
        <f>IFERROR(IF(W29=1,VLOOKUP(W$2,활동내용입력!$B$4:$F$27,5,FALSE),""),"")</f>
        <v/>
      </c>
      <c r="BB29" s="34" t="str">
        <f>IFERROR(IF(X29=1,VLOOKUP(X$2,활동내용입력!$B$4:$F$27,5,FALSE),""),"")</f>
        <v/>
      </c>
      <c r="BC29" s="34" t="str">
        <f>IFERROR(IF(Y29=1,VLOOKUP(Y$2,활동내용입력!$B$4:$F$27,5,FALSE),""),"")</f>
        <v/>
      </c>
      <c r="BD29" s="34" t="str">
        <f>IFERROR(IF(Z29=1,VLOOKUP(Z$2,활동내용입력!$B$4:$F$27,5,FALSE),""),"")</f>
        <v/>
      </c>
      <c r="BE29" s="34" t="str">
        <f>IFERROR(IF(AA29=1,VLOOKUP(AA$2,활동내용입력!$B$4:$F$27,5,FALSE),""),"")</f>
        <v/>
      </c>
      <c r="BF29" s="34" t="str">
        <f>IFERROR(IF(AB29=1,VLOOKUP(AB$2,활동내용입력!$B$4:$F$27,5,FALSE),""),"")</f>
        <v/>
      </c>
      <c r="BG29" s="34" t="str">
        <f>IFERROR(IF(AC29=1,VLOOKUP(AC$2,활동내용입력!$B$4:$F$27,5,FALSE),""),"")</f>
        <v/>
      </c>
      <c r="BH29" s="34" t="str">
        <f>IFERROR(IF(AD29=1,VLOOKUP(AD$2,활동내용입력!$B$4:$F$27,5,FALSE),""),"")</f>
        <v/>
      </c>
      <c r="BI29" s="34" t="str">
        <f>IFERROR(IF(AE29=1,VLOOKUP(AE$2,활동내용입력!$B$4:$F$27,5,FALSE),""),"")</f>
        <v/>
      </c>
      <c r="BJ29" s="34" t="str">
        <f>IFERROR(IF(AF29=1,VLOOKUP(AF$2,활동내용입력!$B$4:$F$27,5,FALSE),""),"")</f>
        <v/>
      </c>
      <c r="BK29" s="35" t="str">
        <f t="shared" si="2"/>
        <v/>
      </c>
      <c r="BL29" s="36">
        <f t="shared" si="1"/>
        <v>0</v>
      </c>
      <c r="BM29" s="25"/>
    </row>
    <row r="30" spans="1:65" x14ac:dyDescent="0.3">
      <c r="A30" s="51">
        <v>26</v>
      </c>
      <c r="B30" s="53"/>
      <c r="C30" s="33"/>
      <c r="D30" s="33"/>
      <c r="E30" s="33"/>
      <c r="F30" s="33"/>
      <c r="G30" s="33"/>
      <c r="H30" s="33"/>
      <c r="I30" s="33"/>
      <c r="J30" s="33"/>
      <c r="K30" s="33"/>
      <c r="L30" s="33"/>
      <c r="M30" s="33"/>
      <c r="N30" s="33"/>
      <c r="O30" s="33"/>
      <c r="P30" s="33"/>
      <c r="Q30" s="33"/>
      <c r="R30" s="33"/>
      <c r="S30" s="33"/>
      <c r="T30" s="33"/>
      <c r="U30" s="33"/>
      <c r="V30" s="33"/>
      <c r="W30" s="33"/>
      <c r="X30" s="33"/>
      <c r="Y30" s="33"/>
      <c r="Z30" s="33"/>
      <c r="AA30" s="33"/>
      <c r="AB30" s="33"/>
      <c r="AC30" s="33"/>
      <c r="AD30" s="33"/>
      <c r="AE30" s="33"/>
      <c r="AF30" s="33"/>
      <c r="AG30" s="34" t="str">
        <f>IFERROR(IF(C30=1,VLOOKUP(C$2,활동내용입력!$B$4:$F$27,5,FALSE),""),"")</f>
        <v/>
      </c>
      <c r="AH30" s="34" t="str">
        <f>IFERROR(IF(D30=1,VLOOKUP(D$2,활동내용입력!$B$4:$F$27,5,FALSE),""),"")</f>
        <v/>
      </c>
      <c r="AI30" s="34" t="str">
        <f>IFERROR(IF(E30=1,VLOOKUP(E$2,활동내용입력!$B$4:$F$27,5,FALSE),""),"")</f>
        <v/>
      </c>
      <c r="AJ30" s="34" t="str">
        <f>IFERROR(IF(F30=1,VLOOKUP(F$2,활동내용입력!$B$4:$F$27,5,FALSE),""),"")</f>
        <v/>
      </c>
      <c r="AK30" s="34" t="str">
        <f>IFERROR(IF(G30=1,VLOOKUP(G$2,활동내용입력!$B$4:$F$27,5,FALSE),""),"")</f>
        <v/>
      </c>
      <c r="AL30" s="34" t="str">
        <f>IFERROR(IF(H30=1,VLOOKUP(H$2,활동내용입력!$B$4:$F$27,5,FALSE),""),"")</f>
        <v/>
      </c>
      <c r="AM30" s="34" t="str">
        <f>IFERROR(IF(I30=1,VLOOKUP(I$2,활동내용입력!$B$4:$F$27,5,FALSE),""),"")</f>
        <v/>
      </c>
      <c r="AN30" s="34" t="str">
        <f>IFERROR(IF(J30=1,VLOOKUP(J$2,활동내용입력!$B$4:$F$27,5,FALSE),""),"")</f>
        <v/>
      </c>
      <c r="AO30" s="34" t="str">
        <f>IFERROR(IF(K30=1,VLOOKUP(K$2,활동내용입력!$B$4:$F$27,5,FALSE),""),"")</f>
        <v/>
      </c>
      <c r="AP30" s="34" t="str">
        <f>IFERROR(IF(L30=1,VLOOKUP(L$2,활동내용입력!$B$4:$F$27,5,FALSE),""),"")</f>
        <v/>
      </c>
      <c r="AQ30" s="34" t="str">
        <f>IFERROR(IF(M30=1,VLOOKUP(M$2,활동내용입력!$B$4:$F$27,5,FALSE),""),"")</f>
        <v/>
      </c>
      <c r="AR30" s="34" t="str">
        <f>IFERROR(IF(N30=1,VLOOKUP(N$2,활동내용입력!$B$4:$F$27,5,FALSE),""),"")</f>
        <v/>
      </c>
      <c r="AS30" s="34" t="str">
        <f>IFERROR(IF(O30=1,VLOOKUP(O$2,활동내용입력!$B$4:$F$27,5,FALSE),""),"")</f>
        <v/>
      </c>
      <c r="AT30" s="34" t="str">
        <f>IFERROR(IF(P30=1,VLOOKUP(P$2,활동내용입력!$B$4:$F$27,5,FALSE),""),"")</f>
        <v/>
      </c>
      <c r="AU30" s="34" t="str">
        <f>IFERROR(IF(Q30=1,VLOOKUP(Q$2,활동내용입력!$B$4:$F$27,5,FALSE),""),"")</f>
        <v/>
      </c>
      <c r="AV30" s="34" t="str">
        <f>IFERROR(IF(R30=1,VLOOKUP(R$2,활동내용입력!$B$4:$F$27,5,FALSE),""),"")</f>
        <v/>
      </c>
      <c r="AW30" s="34" t="str">
        <f>IFERROR(IF(S30=1,VLOOKUP(S$2,활동내용입력!$B$4:$F$27,5,FALSE),""),"")</f>
        <v/>
      </c>
      <c r="AX30" s="34" t="str">
        <f>IFERROR(IF(T30=1,VLOOKUP(T$2,활동내용입력!$B$4:$F$27,5,FALSE),""),"")</f>
        <v/>
      </c>
      <c r="AY30" s="34" t="str">
        <f>IFERROR(IF(U30=1,VLOOKUP(U$2,활동내용입력!$B$4:$F$27,5,FALSE),""),"")</f>
        <v/>
      </c>
      <c r="AZ30" s="34" t="str">
        <f>IFERROR(IF(V30=1,VLOOKUP(V$2,활동내용입력!$B$4:$F$27,5,FALSE),""),"")</f>
        <v/>
      </c>
      <c r="BA30" s="34" t="str">
        <f>IFERROR(IF(W30=1,VLOOKUP(W$2,활동내용입력!$B$4:$F$27,5,FALSE),""),"")</f>
        <v/>
      </c>
      <c r="BB30" s="34" t="str">
        <f>IFERROR(IF(X30=1,VLOOKUP(X$2,활동내용입력!$B$4:$F$27,5,FALSE),""),"")</f>
        <v/>
      </c>
      <c r="BC30" s="34" t="str">
        <f>IFERROR(IF(Y30=1,VLOOKUP(Y$2,활동내용입력!$B$4:$F$27,5,FALSE),""),"")</f>
        <v/>
      </c>
      <c r="BD30" s="34" t="str">
        <f>IFERROR(IF(Z30=1,VLOOKUP(Z$2,활동내용입력!$B$4:$F$27,5,FALSE),""),"")</f>
        <v/>
      </c>
      <c r="BE30" s="34" t="str">
        <f>IFERROR(IF(AA30=1,VLOOKUP(AA$2,활동내용입력!$B$4:$F$27,5,FALSE),""),"")</f>
        <v/>
      </c>
      <c r="BF30" s="34" t="str">
        <f>IFERROR(IF(AB30=1,VLOOKUP(AB$2,활동내용입력!$B$4:$F$27,5,FALSE),""),"")</f>
        <v/>
      </c>
      <c r="BG30" s="34" t="str">
        <f>IFERROR(IF(AC30=1,VLOOKUP(AC$2,활동내용입력!$B$4:$F$27,5,FALSE),""),"")</f>
        <v/>
      </c>
      <c r="BH30" s="34" t="str">
        <f>IFERROR(IF(AD30=1,VLOOKUP(AD$2,활동내용입력!$B$4:$F$27,5,FALSE),""),"")</f>
        <v/>
      </c>
      <c r="BI30" s="34" t="str">
        <f>IFERROR(IF(AE30=1,VLOOKUP(AE$2,활동내용입력!$B$4:$F$27,5,FALSE),""),"")</f>
        <v/>
      </c>
      <c r="BJ30" s="34" t="str">
        <f>IFERROR(IF(AF30=1,VLOOKUP(AF$2,활동내용입력!$B$4:$F$27,5,FALSE),""),"")</f>
        <v/>
      </c>
      <c r="BK30" s="35" t="str">
        <f t="shared" si="2"/>
        <v/>
      </c>
      <c r="BL30" s="36">
        <f t="shared" si="1"/>
        <v>0</v>
      </c>
      <c r="BM30" s="25"/>
    </row>
    <row r="31" spans="1:65" x14ac:dyDescent="0.3">
      <c r="A31" s="51">
        <v>27</v>
      </c>
      <c r="B31" s="53"/>
      <c r="C31" s="33"/>
      <c r="D31" s="33"/>
      <c r="E31" s="33"/>
      <c r="F31" s="33"/>
      <c r="G31" s="33"/>
      <c r="H31" s="33"/>
      <c r="I31" s="33"/>
      <c r="J31" s="33"/>
      <c r="K31" s="33"/>
      <c r="L31" s="33"/>
      <c r="M31" s="33"/>
      <c r="N31" s="33"/>
      <c r="O31" s="33"/>
      <c r="P31" s="33"/>
      <c r="Q31" s="33"/>
      <c r="R31" s="33"/>
      <c r="S31" s="33"/>
      <c r="T31" s="33"/>
      <c r="U31" s="33"/>
      <c r="V31" s="33"/>
      <c r="W31" s="33"/>
      <c r="X31" s="33"/>
      <c r="Y31" s="33"/>
      <c r="Z31" s="33"/>
      <c r="AA31" s="33"/>
      <c r="AB31" s="33"/>
      <c r="AC31" s="33"/>
      <c r="AD31" s="33"/>
      <c r="AE31" s="33"/>
      <c r="AF31" s="33"/>
      <c r="AG31" s="34" t="str">
        <f>IFERROR(IF(C31=1,VLOOKUP(C$2,활동내용입력!$B$4:$F$27,5,FALSE),""),"")</f>
        <v/>
      </c>
      <c r="AH31" s="34" t="str">
        <f>IFERROR(IF(D31=1,VLOOKUP(D$2,활동내용입력!$B$4:$F$27,5,FALSE),""),"")</f>
        <v/>
      </c>
      <c r="AI31" s="34" t="str">
        <f>IFERROR(IF(E31=1,VLOOKUP(E$2,활동내용입력!$B$4:$F$27,5,FALSE),""),"")</f>
        <v/>
      </c>
      <c r="AJ31" s="34" t="str">
        <f>IFERROR(IF(F31=1,VLOOKUP(F$2,활동내용입력!$B$4:$F$27,5,FALSE),""),"")</f>
        <v/>
      </c>
      <c r="AK31" s="34" t="str">
        <f>IFERROR(IF(G31=1,VLOOKUP(G$2,활동내용입력!$B$4:$F$27,5,FALSE),""),"")</f>
        <v/>
      </c>
      <c r="AL31" s="34" t="str">
        <f>IFERROR(IF(H31=1,VLOOKUP(H$2,활동내용입력!$B$4:$F$27,5,FALSE),""),"")</f>
        <v/>
      </c>
      <c r="AM31" s="34" t="str">
        <f>IFERROR(IF(I31=1,VLOOKUP(I$2,활동내용입력!$B$4:$F$27,5,FALSE),""),"")</f>
        <v/>
      </c>
      <c r="AN31" s="34" t="str">
        <f>IFERROR(IF(J31=1,VLOOKUP(J$2,활동내용입력!$B$4:$F$27,5,FALSE),""),"")</f>
        <v/>
      </c>
      <c r="AO31" s="34" t="str">
        <f>IFERROR(IF(K31=1,VLOOKUP(K$2,활동내용입력!$B$4:$F$27,5,FALSE),""),"")</f>
        <v/>
      </c>
      <c r="AP31" s="34" t="str">
        <f>IFERROR(IF(L31=1,VLOOKUP(L$2,활동내용입력!$B$4:$F$27,5,FALSE),""),"")</f>
        <v/>
      </c>
      <c r="AQ31" s="34" t="str">
        <f>IFERROR(IF(M31=1,VLOOKUP(M$2,활동내용입력!$B$4:$F$27,5,FALSE),""),"")</f>
        <v/>
      </c>
      <c r="AR31" s="34" t="str">
        <f>IFERROR(IF(N31=1,VLOOKUP(N$2,활동내용입력!$B$4:$F$27,5,FALSE),""),"")</f>
        <v/>
      </c>
      <c r="AS31" s="34" t="str">
        <f>IFERROR(IF(O31=1,VLOOKUP(O$2,활동내용입력!$B$4:$F$27,5,FALSE),""),"")</f>
        <v/>
      </c>
      <c r="AT31" s="34" t="str">
        <f>IFERROR(IF(P31=1,VLOOKUP(P$2,활동내용입력!$B$4:$F$27,5,FALSE),""),"")</f>
        <v/>
      </c>
      <c r="AU31" s="34" t="str">
        <f>IFERROR(IF(Q31=1,VLOOKUP(Q$2,활동내용입력!$B$4:$F$27,5,FALSE),""),"")</f>
        <v/>
      </c>
      <c r="AV31" s="34" t="str">
        <f>IFERROR(IF(R31=1,VLOOKUP(R$2,활동내용입력!$B$4:$F$27,5,FALSE),""),"")</f>
        <v/>
      </c>
      <c r="AW31" s="34" t="str">
        <f>IFERROR(IF(S31=1,VLOOKUP(S$2,활동내용입력!$B$4:$F$27,5,FALSE),""),"")</f>
        <v/>
      </c>
      <c r="AX31" s="34" t="str">
        <f>IFERROR(IF(T31=1,VLOOKUP(T$2,활동내용입력!$B$4:$F$27,5,FALSE),""),"")</f>
        <v/>
      </c>
      <c r="AY31" s="34" t="str">
        <f>IFERROR(IF(U31=1,VLOOKUP(U$2,활동내용입력!$B$4:$F$27,5,FALSE),""),"")</f>
        <v/>
      </c>
      <c r="AZ31" s="34" t="str">
        <f>IFERROR(IF(V31=1,VLOOKUP(V$2,활동내용입력!$B$4:$F$27,5,FALSE),""),"")</f>
        <v/>
      </c>
      <c r="BA31" s="34" t="str">
        <f>IFERROR(IF(W31=1,VLOOKUP(W$2,활동내용입력!$B$4:$F$27,5,FALSE),""),"")</f>
        <v/>
      </c>
      <c r="BB31" s="34" t="str">
        <f>IFERROR(IF(X31=1,VLOOKUP(X$2,활동내용입력!$B$4:$F$27,5,FALSE),""),"")</f>
        <v/>
      </c>
      <c r="BC31" s="34" t="str">
        <f>IFERROR(IF(Y31=1,VLOOKUP(Y$2,활동내용입력!$B$4:$F$27,5,FALSE),""),"")</f>
        <v/>
      </c>
      <c r="BD31" s="34" t="str">
        <f>IFERROR(IF(Z31=1,VLOOKUP(Z$2,활동내용입력!$B$4:$F$27,5,FALSE),""),"")</f>
        <v/>
      </c>
      <c r="BE31" s="34" t="str">
        <f>IFERROR(IF(AA31=1,VLOOKUP(AA$2,활동내용입력!$B$4:$F$27,5,FALSE),""),"")</f>
        <v/>
      </c>
      <c r="BF31" s="34" t="str">
        <f>IFERROR(IF(AB31=1,VLOOKUP(AB$2,활동내용입력!$B$4:$F$27,5,FALSE),""),"")</f>
        <v/>
      </c>
      <c r="BG31" s="34" t="str">
        <f>IFERROR(IF(AC31=1,VLOOKUP(AC$2,활동내용입력!$B$4:$F$27,5,FALSE),""),"")</f>
        <v/>
      </c>
      <c r="BH31" s="34" t="str">
        <f>IFERROR(IF(AD31=1,VLOOKUP(AD$2,활동내용입력!$B$4:$F$27,5,FALSE),""),"")</f>
        <v/>
      </c>
      <c r="BI31" s="34" t="str">
        <f>IFERROR(IF(AE31=1,VLOOKUP(AE$2,활동내용입력!$B$4:$F$27,5,FALSE),""),"")</f>
        <v/>
      </c>
      <c r="BJ31" s="34" t="str">
        <f>IFERROR(IF(AF31=1,VLOOKUP(AF$2,활동내용입력!$B$4:$F$27,5,FALSE),""),"")</f>
        <v/>
      </c>
      <c r="BK31" s="35" t="str">
        <f t="shared" si="2"/>
        <v/>
      </c>
      <c r="BL31" s="36">
        <f t="shared" si="1"/>
        <v>0</v>
      </c>
      <c r="BM31" s="25"/>
    </row>
    <row r="32" spans="1:65" x14ac:dyDescent="0.3">
      <c r="A32" s="51">
        <v>28</v>
      </c>
      <c r="B32" s="5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4" t="str">
        <f>IFERROR(IF(C32=1,VLOOKUP(C$2,활동내용입력!$B$4:$F$27,5,FALSE),""),"")</f>
        <v/>
      </c>
      <c r="AH32" s="34" t="str">
        <f>IFERROR(IF(D32=1,VLOOKUP(D$2,활동내용입력!$B$4:$F$27,5,FALSE),""),"")</f>
        <v/>
      </c>
      <c r="AI32" s="34" t="str">
        <f>IFERROR(IF(E32=1,VLOOKUP(E$2,활동내용입력!$B$4:$F$27,5,FALSE),""),"")</f>
        <v/>
      </c>
      <c r="AJ32" s="34" t="str">
        <f>IFERROR(IF(F32=1,VLOOKUP(F$2,활동내용입력!$B$4:$F$27,5,FALSE),""),"")</f>
        <v/>
      </c>
      <c r="AK32" s="34" t="str">
        <f>IFERROR(IF(G32=1,VLOOKUP(G$2,활동내용입력!$B$4:$F$27,5,FALSE),""),"")</f>
        <v/>
      </c>
      <c r="AL32" s="34" t="str">
        <f>IFERROR(IF(H32=1,VLOOKUP(H$2,활동내용입력!$B$4:$F$27,5,FALSE),""),"")</f>
        <v/>
      </c>
      <c r="AM32" s="34" t="str">
        <f>IFERROR(IF(I32=1,VLOOKUP(I$2,활동내용입력!$B$4:$F$27,5,FALSE),""),"")</f>
        <v/>
      </c>
      <c r="AN32" s="34" t="str">
        <f>IFERROR(IF(J32=1,VLOOKUP(J$2,활동내용입력!$B$4:$F$27,5,FALSE),""),"")</f>
        <v/>
      </c>
      <c r="AO32" s="34" t="str">
        <f>IFERROR(IF(K32=1,VLOOKUP(K$2,활동내용입력!$B$4:$F$27,5,FALSE),""),"")</f>
        <v/>
      </c>
      <c r="AP32" s="34" t="str">
        <f>IFERROR(IF(L32=1,VLOOKUP(L$2,활동내용입력!$B$4:$F$27,5,FALSE),""),"")</f>
        <v/>
      </c>
      <c r="AQ32" s="34" t="str">
        <f>IFERROR(IF(M32=1,VLOOKUP(M$2,활동내용입력!$B$4:$F$27,5,FALSE),""),"")</f>
        <v/>
      </c>
      <c r="AR32" s="34" t="str">
        <f>IFERROR(IF(N32=1,VLOOKUP(N$2,활동내용입력!$B$4:$F$27,5,FALSE),""),"")</f>
        <v/>
      </c>
      <c r="AS32" s="34" t="str">
        <f>IFERROR(IF(O32=1,VLOOKUP(O$2,활동내용입력!$B$4:$F$27,5,FALSE),""),"")</f>
        <v/>
      </c>
      <c r="AT32" s="34" t="str">
        <f>IFERROR(IF(P32=1,VLOOKUP(P$2,활동내용입력!$B$4:$F$27,5,FALSE),""),"")</f>
        <v/>
      </c>
      <c r="AU32" s="34" t="str">
        <f>IFERROR(IF(Q32=1,VLOOKUP(Q$2,활동내용입력!$B$4:$F$27,5,FALSE),""),"")</f>
        <v/>
      </c>
      <c r="AV32" s="34" t="str">
        <f>IFERROR(IF(R32=1,VLOOKUP(R$2,활동내용입력!$B$4:$F$27,5,FALSE),""),"")</f>
        <v/>
      </c>
      <c r="AW32" s="34" t="str">
        <f>IFERROR(IF(S32=1,VLOOKUP(S$2,활동내용입력!$B$4:$F$27,5,FALSE),""),"")</f>
        <v/>
      </c>
      <c r="AX32" s="34" t="str">
        <f>IFERROR(IF(T32=1,VLOOKUP(T$2,활동내용입력!$B$4:$F$27,5,FALSE),""),"")</f>
        <v/>
      </c>
      <c r="AY32" s="34" t="str">
        <f>IFERROR(IF(U32=1,VLOOKUP(U$2,활동내용입력!$B$4:$F$27,5,FALSE),""),"")</f>
        <v/>
      </c>
      <c r="AZ32" s="34" t="str">
        <f>IFERROR(IF(V32=1,VLOOKUP(V$2,활동내용입력!$B$4:$F$27,5,FALSE),""),"")</f>
        <v/>
      </c>
      <c r="BA32" s="34" t="str">
        <f>IFERROR(IF(W32=1,VLOOKUP(W$2,활동내용입력!$B$4:$F$27,5,FALSE),""),"")</f>
        <v/>
      </c>
      <c r="BB32" s="34" t="str">
        <f>IFERROR(IF(X32=1,VLOOKUP(X$2,활동내용입력!$B$4:$F$27,5,FALSE),""),"")</f>
        <v/>
      </c>
      <c r="BC32" s="34" t="str">
        <f>IFERROR(IF(Y32=1,VLOOKUP(Y$2,활동내용입력!$B$4:$F$27,5,FALSE),""),"")</f>
        <v/>
      </c>
      <c r="BD32" s="34" t="str">
        <f>IFERROR(IF(Z32=1,VLOOKUP(Z$2,활동내용입력!$B$4:$F$27,5,FALSE),""),"")</f>
        <v/>
      </c>
      <c r="BE32" s="34" t="str">
        <f>IFERROR(IF(AA32=1,VLOOKUP(AA$2,활동내용입력!$B$4:$F$27,5,FALSE),""),"")</f>
        <v/>
      </c>
      <c r="BF32" s="34" t="str">
        <f>IFERROR(IF(AB32=1,VLOOKUP(AB$2,활동내용입력!$B$4:$F$27,5,FALSE),""),"")</f>
        <v/>
      </c>
      <c r="BG32" s="34" t="str">
        <f>IFERROR(IF(AC32=1,VLOOKUP(AC$2,활동내용입력!$B$4:$F$27,5,FALSE),""),"")</f>
        <v/>
      </c>
      <c r="BH32" s="34" t="str">
        <f>IFERROR(IF(AD32=1,VLOOKUP(AD$2,활동내용입력!$B$4:$F$27,5,FALSE),""),"")</f>
        <v/>
      </c>
      <c r="BI32" s="34" t="str">
        <f>IFERROR(IF(AE32=1,VLOOKUP(AE$2,활동내용입력!$B$4:$F$27,5,FALSE),""),"")</f>
        <v/>
      </c>
      <c r="BJ32" s="34" t="str">
        <f>IFERROR(IF(AF32=1,VLOOKUP(AF$2,활동내용입력!$B$4:$F$27,5,FALSE),""),"")</f>
        <v/>
      </c>
      <c r="BK32" s="35" t="str">
        <f t="shared" si="2"/>
        <v/>
      </c>
      <c r="BL32" s="36">
        <f t="shared" si="1"/>
        <v>0</v>
      </c>
      <c r="BM32" s="25"/>
    </row>
    <row r="33" spans="1:65" x14ac:dyDescent="0.3">
      <c r="A33" s="51">
        <v>29</v>
      </c>
      <c r="B33" s="53"/>
      <c r="C33" s="33"/>
      <c r="D33" s="33"/>
      <c r="E33" s="33"/>
      <c r="F33" s="33"/>
      <c r="G33" s="33"/>
      <c r="H33" s="33"/>
      <c r="I33" s="33"/>
      <c r="J33" s="33"/>
      <c r="K33" s="33"/>
      <c r="L33" s="33"/>
      <c r="M33" s="33"/>
      <c r="N33" s="33"/>
      <c r="O33" s="33"/>
      <c r="P33" s="33"/>
      <c r="Q33" s="33"/>
      <c r="R33" s="33"/>
      <c r="S33" s="33"/>
      <c r="T33" s="33"/>
      <c r="U33" s="33"/>
      <c r="V33" s="33"/>
      <c r="W33" s="33"/>
      <c r="X33" s="33"/>
      <c r="Y33" s="33"/>
      <c r="Z33" s="33"/>
      <c r="AA33" s="33"/>
      <c r="AB33" s="33"/>
      <c r="AC33" s="33"/>
      <c r="AD33" s="33"/>
      <c r="AE33" s="33"/>
      <c r="AF33" s="33"/>
      <c r="AG33" s="34" t="str">
        <f>IFERROR(IF(C33=1,VLOOKUP(C$2,활동내용입력!$B$4:$F$27,5,FALSE),""),"")</f>
        <v/>
      </c>
      <c r="AH33" s="34" t="str">
        <f>IFERROR(IF(D33=1,VLOOKUP(D$2,활동내용입력!$B$4:$F$27,5,FALSE),""),"")</f>
        <v/>
      </c>
      <c r="AI33" s="34" t="str">
        <f>IFERROR(IF(E33=1,VLOOKUP(E$2,활동내용입력!$B$4:$F$27,5,FALSE),""),"")</f>
        <v/>
      </c>
      <c r="AJ33" s="34" t="str">
        <f>IFERROR(IF(F33=1,VLOOKUP(F$2,활동내용입력!$B$4:$F$27,5,FALSE),""),"")</f>
        <v/>
      </c>
      <c r="AK33" s="34" t="str">
        <f>IFERROR(IF(G33=1,VLOOKUP(G$2,활동내용입력!$B$4:$F$27,5,FALSE),""),"")</f>
        <v/>
      </c>
      <c r="AL33" s="34" t="str">
        <f>IFERROR(IF(H33=1,VLOOKUP(H$2,활동내용입력!$B$4:$F$27,5,FALSE),""),"")</f>
        <v/>
      </c>
      <c r="AM33" s="34" t="str">
        <f>IFERROR(IF(I33=1,VLOOKUP(I$2,활동내용입력!$B$4:$F$27,5,FALSE),""),"")</f>
        <v/>
      </c>
      <c r="AN33" s="34" t="str">
        <f>IFERROR(IF(J33=1,VLOOKUP(J$2,활동내용입력!$B$4:$F$27,5,FALSE),""),"")</f>
        <v/>
      </c>
      <c r="AO33" s="34" t="str">
        <f>IFERROR(IF(K33=1,VLOOKUP(K$2,활동내용입력!$B$4:$F$27,5,FALSE),""),"")</f>
        <v/>
      </c>
      <c r="AP33" s="34" t="str">
        <f>IFERROR(IF(L33=1,VLOOKUP(L$2,활동내용입력!$B$4:$F$27,5,FALSE),""),"")</f>
        <v/>
      </c>
      <c r="AQ33" s="34" t="str">
        <f>IFERROR(IF(M33=1,VLOOKUP(M$2,활동내용입력!$B$4:$F$27,5,FALSE),""),"")</f>
        <v/>
      </c>
      <c r="AR33" s="34" t="str">
        <f>IFERROR(IF(N33=1,VLOOKUP(N$2,활동내용입력!$B$4:$F$27,5,FALSE),""),"")</f>
        <v/>
      </c>
      <c r="AS33" s="34" t="str">
        <f>IFERROR(IF(O33=1,VLOOKUP(O$2,활동내용입력!$B$4:$F$27,5,FALSE),""),"")</f>
        <v/>
      </c>
      <c r="AT33" s="34" t="str">
        <f>IFERROR(IF(P33=1,VLOOKUP(P$2,활동내용입력!$B$4:$F$27,5,FALSE),""),"")</f>
        <v/>
      </c>
      <c r="AU33" s="34" t="str">
        <f>IFERROR(IF(Q33=1,VLOOKUP(Q$2,활동내용입력!$B$4:$F$27,5,FALSE),""),"")</f>
        <v/>
      </c>
      <c r="AV33" s="34" t="str">
        <f>IFERROR(IF(R33=1,VLOOKUP(R$2,활동내용입력!$B$4:$F$27,5,FALSE),""),"")</f>
        <v/>
      </c>
      <c r="AW33" s="34" t="str">
        <f>IFERROR(IF(S33=1,VLOOKUP(S$2,활동내용입력!$B$4:$F$27,5,FALSE),""),"")</f>
        <v/>
      </c>
      <c r="AX33" s="34" t="str">
        <f>IFERROR(IF(T33=1,VLOOKUP(T$2,활동내용입력!$B$4:$F$27,5,FALSE),""),"")</f>
        <v/>
      </c>
      <c r="AY33" s="34" t="str">
        <f>IFERROR(IF(U33=1,VLOOKUP(U$2,활동내용입력!$B$4:$F$27,5,FALSE),""),"")</f>
        <v/>
      </c>
      <c r="AZ33" s="34" t="str">
        <f>IFERROR(IF(V33=1,VLOOKUP(V$2,활동내용입력!$B$4:$F$27,5,FALSE),""),"")</f>
        <v/>
      </c>
      <c r="BA33" s="34" t="str">
        <f>IFERROR(IF(W33=1,VLOOKUP(W$2,활동내용입력!$B$4:$F$27,5,FALSE),""),"")</f>
        <v/>
      </c>
      <c r="BB33" s="34" t="str">
        <f>IFERROR(IF(X33=1,VLOOKUP(X$2,활동내용입력!$B$4:$F$27,5,FALSE),""),"")</f>
        <v/>
      </c>
      <c r="BC33" s="34" t="str">
        <f>IFERROR(IF(Y33=1,VLOOKUP(Y$2,활동내용입력!$B$4:$F$27,5,FALSE),""),"")</f>
        <v/>
      </c>
      <c r="BD33" s="34" t="str">
        <f>IFERROR(IF(Z33=1,VLOOKUP(Z$2,활동내용입력!$B$4:$F$27,5,FALSE),""),"")</f>
        <v/>
      </c>
      <c r="BE33" s="34" t="str">
        <f>IFERROR(IF(AA33=1,VLOOKUP(AA$2,활동내용입력!$B$4:$F$27,5,FALSE),""),"")</f>
        <v/>
      </c>
      <c r="BF33" s="34" t="str">
        <f>IFERROR(IF(AB33=1,VLOOKUP(AB$2,활동내용입력!$B$4:$F$27,5,FALSE),""),"")</f>
        <v/>
      </c>
      <c r="BG33" s="34" t="str">
        <f>IFERROR(IF(AC33=1,VLOOKUP(AC$2,활동내용입력!$B$4:$F$27,5,FALSE),""),"")</f>
        <v/>
      </c>
      <c r="BH33" s="34" t="str">
        <f>IFERROR(IF(AD33=1,VLOOKUP(AD$2,활동내용입력!$B$4:$F$27,5,FALSE),""),"")</f>
        <v/>
      </c>
      <c r="BI33" s="34" t="str">
        <f>IFERROR(IF(AE33=1,VLOOKUP(AE$2,활동내용입력!$B$4:$F$27,5,FALSE),""),"")</f>
        <v/>
      </c>
      <c r="BJ33" s="34" t="str">
        <f>IFERROR(IF(AF33=1,VLOOKUP(AF$2,활동내용입력!$B$4:$F$27,5,FALSE),""),"")</f>
        <v/>
      </c>
      <c r="BK33" s="35" t="str">
        <f t="shared" si="2"/>
        <v/>
      </c>
      <c r="BL33" s="36">
        <f t="shared" si="1"/>
        <v>0</v>
      </c>
      <c r="BM33" s="25"/>
    </row>
    <row r="34" spans="1:65" x14ac:dyDescent="0.3">
      <c r="A34" s="51">
        <v>30</v>
      </c>
      <c r="B34" s="53"/>
      <c r="C34" s="33"/>
      <c r="D34" s="33"/>
      <c r="E34" s="33"/>
      <c r="F34" s="33"/>
      <c r="G34" s="33"/>
      <c r="H34" s="33"/>
      <c r="I34" s="33"/>
      <c r="J34" s="33"/>
      <c r="K34" s="33"/>
      <c r="L34" s="33"/>
      <c r="M34" s="33"/>
      <c r="N34" s="33"/>
      <c r="O34" s="33"/>
      <c r="P34" s="33"/>
      <c r="Q34" s="33"/>
      <c r="R34" s="33"/>
      <c r="S34" s="33"/>
      <c r="T34" s="33"/>
      <c r="U34" s="33"/>
      <c r="V34" s="33"/>
      <c r="W34" s="33"/>
      <c r="X34" s="33"/>
      <c r="Y34" s="33"/>
      <c r="Z34" s="33"/>
      <c r="AA34" s="33"/>
      <c r="AB34" s="33"/>
      <c r="AC34" s="33"/>
      <c r="AD34" s="33"/>
      <c r="AE34" s="33"/>
      <c r="AF34" s="33"/>
      <c r="AG34" s="34" t="str">
        <f>IFERROR(IF(C34=1,VLOOKUP(C$2,활동내용입력!$B$4:$F$27,5,FALSE),""),"")</f>
        <v/>
      </c>
      <c r="AH34" s="34" t="str">
        <f>IFERROR(IF(D34=1,VLOOKUP(D$2,활동내용입력!$B$4:$F$27,5,FALSE),""),"")</f>
        <v/>
      </c>
      <c r="AI34" s="34" t="str">
        <f>IFERROR(IF(E34=1,VLOOKUP(E$2,활동내용입력!$B$4:$F$27,5,FALSE),""),"")</f>
        <v/>
      </c>
      <c r="AJ34" s="34" t="str">
        <f>IFERROR(IF(F34=1,VLOOKUP(F$2,활동내용입력!$B$4:$F$27,5,FALSE),""),"")</f>
        <v/>
      </c>
      <c r="AK34" s="34" t="str">
        <f>IFERROR(IF(G34=1,VLOOKUP(G$2,활동내용입력!$B$4:$F$27,5,FALSE),""),"")</f>
        <v/>
      </c>
      <c r="AL34" s="34" t="str">
        <f>IFERROR(IF(H34=1,VLOOKUP(H$2,활동내용입력!$B$4:$F$27,5,FALSE),""),"")</f>
        <v/>
      </c>
      <c r="AM34" s="34" t="str">
        <f>IFERROR(IF(I34=1,VLOOKUP(I$2,활동내용입력!$B$4:$F$27,5,FALSE),""),"")</f>
        <v/>
      </c>
      <c r="AN34" s="34" t="str">
        <f>IFERROR(IF(J34=1,VLOOKUP(J$2,활동내용입력!$B$4:$F$27,5,FALSE),""),"")</f>
        <v/>
      </c>
      <c r="AO34" s="34" t="str">
        <f>IFERROR(IF(K34=1,VLOOKUP(K$2,활동내용입력!$B$4:$F$27,5,FALSE),""),"")</f>
        <v/>
      </c>
      <c r="AP34" s="34" t="str">
        <f>IFERROR(IF(L34=1,VLOOKUP(L$2,활동내용입력!$B$4:$F$27,5,FALSE),""),"")</f>
        <v/>
      </c>
      <c r="AQ34" s="34" t="str">
        <f>IFERROR(IF(M34=1,VLOOKUP(M$2,활동내용입력!$B$4:$F$27,5,FALSE),""),"")</f>
        <v/>
      </c>
      <c r="AR34" s="34" t="str">
        <f>IFERROR(IF(N34=1,VLOOKUP(N$2,활동내용입력!$B$4:$F$27,5,FALSE),""),"")</f>
        <v/>
      </c>
      <c r="AS34" s="34" t="str">
        <f>IFERROR(IF(O34=1,VLOOKUP(O$2,활동내용입력!$B$4:$F$27,5,FALSE),""),"")</f>
        <v/>
      </c>
      <c r="AT34" s="34" t="str">
        <f>IFERROR(IF(P34=1,VLOOKUP(P$2,활동내용입력!$B$4:$F$27,5,FALSE),""),"")</f>
        <v/>
      </c>
      <c r="AU34" s="34" t="str">
        <f>IFERROR(IF(Q34=1,VLOOKUP(Q$2,활동내용입력!$B$4:$F$27,5,FALSE),""),"")</f>
        <v/>
      </c>
      <c r="AV34" s="34" t="str">
        <f>IFERROR(IF(R34=1,VLOOKUP(R$2,활동내용입력!$B$4:$F$27,5,FALSE),""),"")</f>
        <v/>
      </c>
      <c r="AW34" s="34" t="str">
        <f>IFERROR(IF(S34=1,VLOOKUP(S$2,활동내용입력!$B$4:$F$27,5,FALSE),""),"")</f>
        <v/>
      </c>
      <c r="AX34" s="34" t="str">
        <f>IFERROR(IF(T34=1,VLOOKUP(T$2,활동내용입력!$B$4:$F$27,5,FALSE),""),"")</f>
        <v/>
      </c>
      <c r="AY34" s="34" t="str">
        <f>IFERROR(IF(U34=1,VLOOKUP(U$2,활동내용입력!$B$4:$F$27,5,FALSE),""),"")</f>
        <v/>
      </c>
      <c r="AZ34" s="34" t="str">
        <f>IFERROR(IF(V34=1,VLOOKUP(V$2,활동내용입력!$B$4:$F$27,5,FALSE),""),"")</f>
        <v/>
      </c>
      <c r="BA34" s="34" t="str">
        <f>IFERROR(IF(W34=1,VLOOKUP(W$2,활동내용입력!$B$4:$F$27,5,FALSE),""),"")</f>
        <v/>
      </c>
      <c r="BB34" s="34" t="str">
        <f>IFERROR(IF(X34=1,VLOOKUP(X$2,활동내용입력!$B$4:$F$27,5,FALSE),""),"")</f>
        <v/>
      </c>
      <c r="BC34" s="34" t="str">
        <f>IFERROR(IF(Y34=1,VLOOKUP(Y$2,활동내용입력!$B$4:$F$27,5,FALSE),""),"")</f>
        <v/>
      </c>
      <c r="BD34" s="34" t="str">
        <f>IFERROR(IF(Z34=1,VLOOKUP(Z$2,활동내용입력!$B$4:$F$27,5,FALSE),""),"")</f>
        <v/>
      </c>
      <c r="BE34" s="34" t="str">
        <f>IFERROR(IF(AA34=1,VLOOKUP(AA$2,활동내용입력!$B$4:$F$27,5,FALSE),""),"")</f>
        <v/>
      </c>
      <c r="BF34" s="34" t="str">
        <f>IFERROR(IF(AB34=1,VLOOKUP(AB$2,활동내용입력!$B$4:$F$27,5,FALSE),""),"")</f>
        <v/>
      </c>
      <c r="BG34" s="34" t="str">
        <f>IFERROR(IF(AC34=1,VLOOKUP(AC$2,활동내용입력!$B$4:$F$27,5,FALSE),""),"")</f>
        <v/>
      </c>
      <c r="BH34" s="34" t="str">
        <f>IFERROR(IF(AD34=1,VLOOKUP(AD$2,활동내용입력!$B$4:$F$27,5,FALSE),""),"")</f>
        <v/>
      </c>
      <c r="BI34" s="34" t="str">
        <f>IFERROR(IF(AE34=1,VLOOKUP(AE$2,활동내용입력!$B$4:$F$27,5,FALSE),""),"")</f>
        <v/>
      </c>
      <c r="BJ34" s="34" t="str">
        <f>IFERROR(IF(AF34=1,VLOOKUP(AF$2,활동내용입력!$B$4:$F$27,5,FALSE),""),"")</f>
        <v/>
      </c>
      <c r="BK34" s="35" t="str">
        <f t="shared" si="2"/>
        <v/>
      </c>
      <c r="BL34" s="36">
        <f t="shared" si="1"/>
        <v>0</v>
      </c>
      <c r="BM34" s="25"/>
    </row>
    <row r="35" spans="1:65" x14ac:dyDescent="0.3">
      <c r="A35" s="51">
        <v>31</v>
      </c>
      <c r="B35" s="53"/>
      <c r="C35" s="33"/>
      <c r="D35" s="33"/>
      <c r="E35" s="33"/>
      <c r="F35" s="33"/>
      <c r="G35" s="33"/>
      <c r="H35" s="33"/>
      <c r="I35" s="33"/>
      <c r="J35" s="33"/>
      <c r="K35" s="33"/>
      <c r="L35" s="33"/>
      <c r="M35" s="33"/>
      <c r="N35" s="33"/>
      <c r="O35" s="33"/>
      <c r="P35" s="33"/>
      <c r="Q35" s="33"/>
      <c r="R35" s="33"/>
      <c r="S35" s="33"/>
      <c r="T35" s="33"/>
      <c r="U35" s="33"/>
      <c r="V35" s="33"/>
      <c r="W35" s="33"/>
      <c r="X35" s="33"/>
      <c r="Y35" s="33"/>
      <c r="Z35" s="33"/>
      <c r="AA35" s="33"/>
      <c r="AB35" s="33"/>
      <c r="AC35" s="33"/>
      <c r="AD35" s="33"/>
      <c r="AE35" s="33"/>
      <c r="AF35" s="33"/>
      <c r="AG35" s="34" t="str">
        <f>IFERROR(IF(C35=1,VLOOKUP(C$2,활동내용입력!$B$4:$F$27,5,FALSE),""),"")</f>
        <v/>
      </c>
      <c r="AH35" s="34" t="str">
        <f>IFERROR(IF(D35=1,VLOOKUP(D$2,활동내용입력!$B$4:$F$27,5,FALSE),""),"")</f>
        <v/>
      </c>
      <c r="AI35" s="34" t="str">
        <f>IFERROR(IF(E35=1,VLOOKUP(E$2,활동내용입력!$B$4:$F$27,5,FALSE),""),"")</f>
        <v/>
      </c>
      <c r="AJ35" s="34" t="str">
        <f>IFERROR(IF(F35=1,VLOOKUP(F$2,활동내용입력!$B$4:$F$27,5,FALSE),""),"")</f>
        <v/>
      </c>
      <c r="AK35" s="34" t="str">
        <f>IFERROR(IF(G35=1,VLOOKUP(G$2,활동내용입력!$B$4:$F$27,5,FALSE),""),"")</f>
        <v/>
      </c>
      <c r="AL35" s="34" t="str">
        <f>IFERROR(IF(H35=1,VLOOKUP(H$2,활동내용입력!$B$4:$F$27,5,FALSE),""),"")</f>
        <v/>
      </c>
      <c r="AM35" s="34" t="str">
        <f>IFERROR(IF(I35=1,VLOOKUP(I$2,활동내용입력!$B$4:$F$27,5,FALSE),""),"")</f>
        <v/>
      </c>
      <c r="AN35" s="34" t="str">
        <f>IFERROR(IF(J35=1,VLOOKUP(J$2,활동내용입력!$B$4:$F$27,5,FALSE),""),"")</f>
        <v/>
      </c>
      <c r="AO35" s="34" t="str">
        <f>IFERROR(IF(K35=1,VLOOKUP(K$2,활동내용입력!$B$4:$F$27,5,FALSE),""),"")</f>
        <v/>
      </c>
      <c r="AP35" s="34" t="str">
        <f>IFERROR(IF(L35=1,VLOOKUP(L$2,활동내용입력!$B$4:$F$27,5,FALSE),""),"")</f>
        <v/>
      </c>
      <c r="AQ35" s="34" t="str">
        <f>IFERROR(IF(M35=1,VLOOKUP(M$2,활동내용입력!$B$4:$F$27,5,FALSE),""),"")</f>
        <v/>
      </c>
      <c r="AR35" s="34" t="str">
        <f>IFERROR(IF(N35=1,VLOOKUP(N$2,활동내용입력!$B$4:$F$27,5,FALSE),""),"")</f>
        <v/>
      </c>
      <c r="AS35" s="34" t="str">
        <f>IFERROR(IF(O35=1,VLOOKUP(O$2,활동내용입력!$B$4:$F$27,5,FALSE),""),"")</f>
        <v/>
      </c>
      <c r="AT35" s="34" t="str">
        <f>IFERROR(IF(P35=1,VLOOKUP(P$2,활동내용입력!$B$4:$F$27,5,FALSE),""),"")</f>
        <v/>
      </c>
      <c r="AU35" s="34" t="str">
        <f>IFERROR(IF(Q35=1,VLOOKUP(Q$2,활동내용입력!$B$4:$F$27,5,FALSE),""),"")</f>
        <v/>
      </c>
      <c r="AV35" s="34" t="str">
        <f>IFERROR(IF(R35=1,VLOOKUP(R$2,활동내용입력!$B$4:$F$27,5,FALSE),""),"")</f>
        <v/>
      </c>
      <c r="AW35" s="34" t="str">
        <f>IFERROR(IF(S35=1,VLOOKUP(S$2,활동내용입력!$B$4:$F$27,5,FALSE),""),"")</f>
        <v/>
      </c>
      <c r="AX35" s="34" t="str">
        <f>IFERROR(IF(T35=1,VLOOKUP(T$2,활동내용입력!$B$4:$F$27,5,FALSE),""),"")</f>
        <v/>
      </c>
      <c r="AY35" s="34" t="str">
        <f>IFERROR(IF(U35=1,VLOOKUP(U$2,활동내용입력!$B$4:$F$27,5,FALSE),""),"")</f>
        <v/>
      </c>
      <c r="AZ35" s="34" t="str">
        <f>IFERROR(IF(V35=1,VLOOKUP(V$2,활동내용입력!$B$4:$F$27,5,FALSE),""),"")</f>
        <v/>
      </c>
      <c r="BA35" s="34" t="str">
        <f>IFERROR(IF(W35=1,VLOOKUP(W$2,활동내용입력!$B$4:$F$27,5,FALSE),""),"")</f>
        <v/>
      </c>
      <c r="BB35" s="34" t="str">
        <f>IFERROR(IF(X35=1,VLOOKUP(X$2,활동내용입력!$B$4:$F$27,5,FALSE),""),"")</f>
        <v/>
      </c>
      <c r="BC35" s="34" t="str">
        <f>IFERROR(IF(Y35=1,VLOOKUP(Y$2,활동내용입력!$B$4:$F$27,5,FALSE),""),"")</f>
        <v/>
      </c>
      <c r="BD35" s="34" t="str">
        <f>IFERROR(IF(Z35=1,VLOOKUP(Z$2,활동내용입력!$B$4:$F$27,5,FALSE),""),"")</f>
        <v/>
      </c>
      <c r="BE35" s="34" t="str">
        <f>IFERROR(IF(AA35=1,VLOOKUP(AA$2,활동내용입력!$B$4:$F$27,5,FALSE),""),"")</f>
        <v/>
      </c>
      <c r="BF35" s="34" t="str">
        <f>IFERROR(IF(AB35=1,VLOOKUP(AB$2,활동내용입력!$B$4:$F$27,5,FALSE),""),"")</f>
        <v/>
      </c>
      <c r="BG35" s="34" t="str">
        <f>IFERROR(IF(AC35=1,VLOOKUP(AC$2,활동내용입력!$B$4:$F$27,5,FALSE),""),"")</f>
        <v/>
      </c>
      <c r="BH35" s="34" t="str">
        <f>IFERROR(IF(AD35=1,VLOOKUP(AD$2,활동내용입력!$B$4:$F$27,5,FALSE),""),"")</f>
        <v/>
      </c>
      <c r="BI35" s="34" t="str">
        <f>IFERROR(IF(AE35=1,VLOOKUP(AE$2,활동내용입력!$B$4:$F$27,5,FALSE),""),"")</f>
        <v/>
      </c>
      <c r="BJ35" s="34" t="str">
        <f>IFERROR(IF(AF35=1,VLOOKUP(AF$2,활동내용입력!$B$4:$F$27,5,FALSE),""),"")</f>
        <v/>
      </c>
      <c r="BK35" s="35" t="str">
        <f t="shared" si="2"/>
        <v/>
      </c>
      <c r="BL35" s="36">
        <f t="shared" si="1"/>
        <v>0</v>
      </c>
      <c r="BM35" s="25"/>
    </row>
    <row r="36" spans="1:65" x14ac:dyDescent="0.3">
      <c r="A36" s="51">
        <v>32</v>
      </c>
      <c r="B36" s="53"/>
      <c r="C36" s="33"/>
      <c r="D36" s="33"/>
      <c r="E36" s="33"/>
      <c r="F36" s="33"/>
      <c r="G36" s="33"/>
      <c r="H36" s="33"/>
      <c r="I36" s="33"/>
      <c r="J36" s="33"/>
      <c r="K36" s="33"/>
      <c r="L36" s="33"/>
      <c r="M36" s="33"/>
      <c r="N36" s="33"/>
      <c r="O36" s="33"/>
      <c r="P36" s="33"/>
      <c r="Q36" s="33"/>
      <c r="R36" s="33"/>
      <c r="S36" s="33"/>
      <c r="T36" s="33"/>
      <c r="U36" s="33"/>
      <c r="V36" s="33"/>
      <c r="W36" s="33"/>
      <c r="X36" s="33"/>
      <c r="Y36" s="33"/>
      <c r="Z36" s="33"/>
      <c r="AA36" s="33"/>
      <c r="AB36" s="33"/>
      <c r="AC36" s="33"/>
      <c r="AD36" s="33"/>
      <c r="AE36" s="33"/>
      <c r="AF36" s="33"/>
      <c r="AG36" s="34" t="str">
        <f>IFERROR(IF(C36=1,VLOOKUP(C$2,활동내용입력!$B$4:$F$27,5,FALSE),""),"")</f>
        <v/>
      </c>
      <c r="AH36" s="34" t="str">
        <f>IFERROR(IF(D36=1,VLOOKUP(D$2,활동내용입력!$B$4:$F$27,5,FALSE),""),"")</f>
        <v/>
      </c>
      <c r="AI36" s="34" t="str">
        <f>IFERROR(IF(E36=1,VLOOKUP(E$2,활동내용입력!$B$4:$F$27,5,FALSE),""),"")</f>
        <v/>
      </c>
      <c r="AJ36" s="34" t="str">
        <f>IFERROR(IF(F36=1,VLOOKUP(F$2,활동내용입력!$B$4:$F$27,5,FALSE),""),"")</f>
        <v/>
      </c>
      <c r="AK36" s="34" t="str">
        <f>IFERROR(IF(G36=1,VLOOKUP(G$2,활동내용입력!$B$4:$F$27,5,FALSE),""),"")</f>
        <v/>
      </c>
      <c r="AL36" s="34" t="str">
        <f>IFERROR(IF(H36=1,VLOOKUP(H$2,활동내용입력!$B$4:$F$27,5,FALSE),""),"")</f>
        <v/>
      </c>
      <c r="AM36" s="34" t="str">
        <f>IFERROR(IF(I36=1,VLOOKUP(I$2,활동내용입력!$B$4:$F$27,5,FALSE),""),"")</f>
        <v/>
      </c>
      <c r="AN36" s="34" t="str">
        <f>IFERROR(IF(J36=1,VLOOKUP(J$2,활동내용입력!$B$4:$F$27,5,FALSE),""),"")</f>
        <v/>
      </c>
      <c r="AO36" s="34" t="str">
        <f>IFERROR(IF(K36=1,VLOOKUP(K$2,활동내용입력!$B$4:$F$27,5,FALSE),""),"")</f>
        <v/>
      </c>
      <c r="AP36" s="34" t="str">
        <f>IFERROR(IF(L36=1,VLOOKUP(L$2,활동내용입력!$B$4:$F$27,5,FALSE),""),"")</f>
        <v/>
      </c>
      <c r="AQ36" s="34" t="str">
        <f>IFERROR(IF(M36=1,VLOOKUP(M$2,활동내용입력!$B$4:$F$27,5,FALSE),""),"")</f>
        <v/>
      </c>
      <c r="AR36" s="34" t="str">
        <f>IFERROR(IF(N36=1,VLOOKUP(N$2,활동내용입력!$B$4:$F$27,5,FALSE),""),"")</f>
        <v/>
      </c>
      <c r="AS36" s="34" t="str">
        <f>IFERROR(IF(O36=1,VLOOKUP(O$2,활동내용입력!$B$4:$F$27,5,FALSE),""),"")</f>
        <v/>
      </c>
      <c r="AT36" s="34" t="str">
        <f>IFERROR(IF(P36=1,VLOOKUP(P$2,활동내용입력!$B$4:$F$27,5,FALSE),""),"")</f>
        <v/>
      </c>
      <c r="AU36" s="34" t="str">
        <f>IFERROR(IF(Q36=1,VLOOKUP(Q$2,활동내용입력!$B$4:$F$27,5,FALSE),""),"")</f>
        <v/>
      </c>
      <c r="AV36" s="34" t="str">
        <f>IFERROR(IF(R36=1,VLOOKUP(R$2,활동내용입력!$B$4:$F$27,5,FALSE),""),"")</f>
        <v/>
      </c>
      <c r="AW36" s="34" t="str">
        <f>IFERROR(IF(S36=1,VLOOKUP(S$2,활동내용입력!$B$4:$F$27,5,FALSE),""),"")</f>
        <v/>
      </c>
      <c r="AX36" s="34" t="str">
        <f>IFERROR(IF(T36=1,VLOOKUP(T$2,활동내용입력!$B$4:$F$27,5,FALSE),""),"")</f>
        <v/>
      </c>
      <c r="AY36" s="34" t="str">
        <f>IFERROR(IF(U36=1,VLOOKUP(U$2,활동내용입력!$B$4:$F$27,5,FALSE),""),"")</f>
        <v/>
      </c>
      <c r="AZ36" s="34" t="str">
        <f>IFERROR(IF(V36=1,VLOOKUP(V$2,활동내용입력!$B$4:$F$27,5,FALSE),""),"")</f>
        <v/>
      </c>
      <c r="BA36" s="34" t="str">
        <f>IFERROR(IF(W36=1,VLOOKUP(W$2,활동내용입력!$B$4:$F$27,5,FALSE),""),"")</f>
        <v/>
      </c>
      <c r="BB36" s="34" t="str">
        <f>IFERROR(IF(X36=1,VLOOKUP(X$2,활동내용입력!$B$4:$F$27,5,FALSE),""),"")</f>
        <v/>
      </c>
      <c r="BC36" s="34" t="str">
        <f>IFERROR(IF(Y36=1,VLOOKUP(Y$2,활동내용입력!$B$4:$F$27,5,FALSE),""),"")</f>
        <v/>
      </c>
      <c r="BD36" s="34" t="str">
        <f>IFERROR(IF(Z36=1,VLOOKUP(Z$2,활동내용입력!$B$4:$F$27,5,FALSE),""),"")</f>
        <v/>
      </c>
      <c r="BE36" s="34" t="str">
        <f>IFERROR(IF(AA36=1,VLOOKUP(AA$2,활동내용입력!$B$4:$F$27,5,FALSE),""),"")</f>
        <v/>
      </c>
      <c r="BF36" s="34" t="str">
        <f>IFERROR(IF(AB36=1,VLOOKUP(AB$2,활동내용입력!$B$4:$F$27,5,FALSE),""),"")</f>
        <v/>
      </c>
      <c r="BG36" s="34" t="str">
        <f>IFERROR(IF(AC36=1,VLOOKUP(AC$2,활동내용입력!$B$4:$F$27,5,FALSE),""),"")</f>
        <v/>
      </c>
      <c r="BH36" s="34" t="str">
        <f>IFERROR(IF(AD36=1,VLOOKUP(AD$2,활동내용입력!$B$4:$F$27,5,FALSE),""),"")</f>
        <v/>
      </c>
      <c r="BI36" s="34" t="str">
        <f>IFERROR(IF(AE36=1,VLOOKUP(AE$2,활동내용입력!$B$4:$F$27,5,FALSE),""),"")</f>
        <v/>
      </c>
      <c r="BJ36" s="34" t="str">
        <f>IFERROR(IF(AF36=1,VLOOKUP(AF$2,활동내용입력!$B$4:$F$27,5,FALSE),""),"")</f>
        <v/>
      </c>
      <c r="BK36" s="35" t="str">
        <f t="shared" si="2"/>
        <v/>
      </c>
      <c r="BL36" s="36">
        <f t="shared" si="1"/>
        <v>0</v>
      </c>
      <c r="BM36" s="25"/>
    </row>
    <row r="37" spans="1:65" x14ac:dyDescent="0.3">
      <c r="A37" s="51">
        <v>33</v>
      </c>
      <c r="B37" s="53"/>
      <c r="C37" s="33"/>
      <c r="D37" s="33"/>
      <c r="E37" s="33"/>
      <c r="F37" s="33"/>
      <c r="G37" s="33"/>
      <c r="H37" s="33"/>
      <c r="I37" s="33"/>
      <c r="J37" s="33"/>
      <c r="K37" s="33"/>
      <c r="L37" s="33"/>
      <c r="M37" s="33"/>
      <c r="N37" s="33"/>
      <c r="O37" s="33"/>
      <c r="P37" s="33"/>
      <c r="Q37" s="33"/>
      <c r="R37" s="33"/>
      <c r="S37" s="33"/>
      <c r="T37" s="33"/>
      <c r="U37" s="33"/>
      <c r="V37" s="33"/>
      <c r="W37" s="33"/>
      <c r="X37" s="33"/>
      <c r="Y37" s="33"/>
      <c r="Z37" s="33"/>
      <c r="AA37" s="33"/>
      <c r="AB37" s="33"/>
      <c r="AC37" s="33"/>
      <c r="AD37" s="33"/>
      <c r="AE37" s="33"/>
      <c r="AF37" s="33"/>
      <c r="AG37" s="34" t="str">
        <f>IFERROR(IF(C37=1,VLOOKUP(C$2,활동내용입력!$B$4:$F$27,5,FALSE),""),"")</f>
        <v/>
      </c>
      <c r="AH37" s="34" t="str">
        <f>IFERROR(IF(D37=1,VLOOKUP(D$2,활동내용입력!$B$4:$F$27,5,FALSE),""),"")</f>
        <v/>
      </c>
      <c r="AI37" s="34" t="str">
        <f>IFERROR(IF(E37=1,VLOOKUP(E$2,활동내용입력!$B$4:$F$27,5,FALSE),""),"")</f>
        <v/>
      </c>
      <c r="AJ37" s="34" t="str">
        <f>IFERROR(IF(F37=1,VLOOKUP(F$2,활동내용입력!$B$4:$F$27,5,FALSE),""),"")</f>
        <v/>
      </c>
      <c r="AK37" s="34" t="str">
        <f>IFERROR(IF(G37=1,VLOOKUP(G$2,활동내용입력!$B$4:$F$27,5,FALSE),""),"")</f>
        <v/>
      </c>
      <c r="AL37" s="34" t="str">
        <f>IFERROR(IF(H37=1,VLOOKUP(H$2,활동내용입력!$B$4:$F$27,5,FALSE),""),"")</f>
        <v/>
      </c>
      <c r="AM37" s="34" t="str">
        <f>IFERROR(IF(I37=1,VLOOKUP(I$2,활동내용입력!$B$4:$F$27,5,FALSE),""),"")</f>
        <v/>
      </c>
      <c r="AN37" s="34" t="str">
        <f>IFERROR(IF(J37=1,VLOOKUP(J$2,활동내용입력!$B$4:$F$27,5,FALSE),""),"")</f>
        <v/>
      </c>
      <c r="AO37" s="34" t="str">
        <f>IFERROR(IF(K37=1,VLOOKUP(K$2,활동내용입력!$B$4:$F$27,5,FALSE),""),"")</f>
        <v/>
      </c>
      <c r="AP37" s="34" t="str">
        <f>IFERROR(IF(L37=1,VLOOKUP(L$2,활동내용입력!$B$4:$F$27,5,FALSE),""),"")</f>
        <v/>
      </c>
      <c r="AQ37" s="34" t="str">
        <f>IFERROR(IF(M37=1,VLOOKUP(M$2,활동내용입력!$B$4:$F$27,5,FALSE),""),"")</f>
        <v/>
      </c>
      <c r="AR37" s="34" t="str">
        <f>IFERROR(IF(N37=1,VLOOKUP(N$2,활동내용입력!$B$4:$F$27,5,FALSE),""),"")</f>
        <v/>
      </c>
      <c r="AS37" s="34" t="str">
        <f>IFERROR(IF(O37=1,VLOOKUP(O$2,활동내용입력!$B$4:$F$27,5,FALSE),""),"")</f>
        <v/>
      </c>
      <c r="AT37" s="34" t="str">
        <f>IFERROR(IF(P37=1,VLOOKUP(P$2,활동내용입력!$B$4:$F$27,5,FALSE),""),"")</f>
        <v/>
      </c>
      <c r="AU37" s="34" t="str">
        <f>IFERROR(IF(Q37=1,VLOOKUP(Q$2,활동내용입력!$B$4:$F$27,5,FALSE),""),"")</f>
        <v/>
      </c>
      <c r="AV37" s="34" t="str">
        <f>IFERROR(IF(R37=1,VLOOKUP(R$2,활동내용입력!$B$4:$F$27,5,FALSE),""),"")</f>
        <v/>
      </c>
      <c r="AW37" s="34" t="str">
        <f>IFERROR(IF(S37=1,VLOOKUP(S$2,활동내용입력!$B$4:$F$27,5,FALSE),""),"")</f>
        <v/>
      </c>
      <c r="AX37" s="34" t="str">
        <f>IFERROR(IF(T37=1,VLOOKUP(T$2,활동내용입력!$B$4:$F$27,5,FALSE),""),"")</f>
        <v/>
      </c>
      <c r="AY37" s="34" t="str">
        <f>IFERROR(IF(U37=1,VLOOKUP(U$2,활동내용입력!$B$4:$F$27,5,FALSE),""),"")</f>
        <v/>
      </c>
      <c r="AZ37" s="34" t="str">
        <f>IFERROR(IF(V37=1,VLOOKUP(V$2,활동내용입력!$B$4:$F$27,5,FALSE),""),"")</f>
        <v/>
      </c>
      <c r="BA37" s="34" t="str">
        <f>IFERROR(IF(W37=1,VLOOKUP(W$2,활동내용입력!$B$4:$F$27,5,FALSE),""),"")</f>
        <v/>
      </c>
      <c r="BB37" s="34" t="str">
        <f>IFERROR(IF(X37=1,VLOOKUP(X$2,활동내용입력!$B$4:$F$27,5,FALSE),""),"")</f>
        <v/>
      </c>
      <c r="BC37" s="34" t="str">
        <f>IFERROR(IF(Y37=1,VLOOKUP(Y$2,활동내용입력!$B$4:$F$27,5,FALSE),""),"")</f>
        <v/>
      </c>
      <c r="BD37" s="34" t="str">
        <f>IFERROR(IF(Z37=1,VLOOKUP(Z$2,활동내용입력!$B$4:$F$27,5,FALSE),""),"")</f>
        <v/>
      </c>
      <c r="BE37" s="34" t="str">
        <f>IFERROR(IF(AA37=1,VLOOKUP(AA$2,활동내용입력!$B$4:$F$27,5,FALSE),""),"")</f>
        <v/>
      </c>
      <c r="BF37" s="34" t="str">
        <f>IFERROR(IF(AB37=1,VLOOKUP(AB$2,활동내용입력!$B$4:$F$27,5,FALSE),""),"")</f>
        <v/>
      </c>
      <c r="BG37" s="34" t="str">
        <f>IFERROR(IF(AC37=1,VLOOKUP(AC$2,활동내용입력!$B$4:$F$27,5,FALSE),""),"")</f>
        <v/>
      </c>
      <c r="BH37" s="34" t="str">
        <f>IFERROR(IF(AD37=1,VLOOKUP(AD$2,활동내용입력!$B$4:$F$27,5,FALSE),""),"")</f>
        <v/>
      </c>
      <c r="BI37" s="34" t="str">
        <f>IFERROR(IF(AE37=1,VLOOKUP(AE$2,활동내용입력!$B$4:$F$27,5,FALSE),""),"")</f>
        <v/>
      </c>
      <c r="BJ37" s="34" t="str">
        <f>IFERROR(IF(AF37=1,VLOOKUP(AF$2,활동내용입력!$B$4:$F$27,5,FALSE),""),"")</f>
        <v/>
      </c>
      <c r="BK37" s="35" t="str">
        <f t="shared" si="2"/>
        <v/>
      </c>
      <c r="BL37" s="36">
        <f t="shared" si="1"/>
        <v>0</v>
      </c>
      <c r="BM37" s="25"/>
    </row>
    <row r="38" spans="1:65" x14ac:dyDescent="0.3">
      <c r="A38" s="51">
        <v>34</v>
      </c>
      <c r="B38" s="53"/>
      <c r="C38" s="33"/>
      <c r="D38" s="33"/>
      <c r="E38" s="33"/>
      <c r="F38" s="33"/>
      <c r="G38" s="33"/>
      <c r="H38" s="33"/>
      <c r="I38" s="33"/>
      <c r="J38" s="33"/>
      <c r="K38" s="33"/>
      <c r="L38" s="33"/>
      <c r="M38" s="33"/>
      <c r="N38" s="33"/>
      <c r="O38" s="33"/>
      <c r="P38" s="33"/>
      <c r="Q38" s="33"/>
      <c r="R38" s="33"/>
      <c r="S38" s="33"/>
      <c r="T38" s="33"/>
      <c r="U38" s="33"/>
      <c r="V38" s="33"/>
      <c r="W38" s="33"/>
      <c r="X38" s="33"/>
      <c r="Y38" s="33"/>
      <c r="Z38" s="33"/>
      <c r="AA38" s="33"/>
      <c r="AB38" s="33"/>
      <c r="AC38" s="33"/>
      <c r="AD38" s="33"/>
      <c r="AE38" s="33"/>
      <c r="AF38" s="33"/>
      <c r="AG38" s="34" t="str">
        <f>IFERROR(IF(C38=1,VLOOKUP(C$2,활동내용입력!$B$4:$F$27,5,FALSE),""),"")</f>
        <v/>
      </c>
      <c r="AH38" s="34" t="str">
        <f>IFERROR(IF(D38=1,VLOOKUP(D$2,활동내용입력!$B$4:$F$27,5,FALSE),""),"")</f>
        <v/>
      </c>
      <c r="AI38" s="34" t="str">
        <f>IFERROR(IF(E38=1,VLOOKUP(E$2,활동내용입력!$B$4:$F$27,5,FALSE),""),"")</f>
        <v/>
      </c>
      <c r="AJ38" s="34" t="str">
        <f>IFERROR(IF(F38=1,VLOOKUP(F$2,활동내용입력!$B$4:$F$27,5,FALSE),""),"")</f>
        <v/>
      </c>
      <c r="AK38" s="34" t="str">
        <f>IFERROR(IF(G38=1,VLOOKUP(G$2,활동내용입력!$B$4:$F$27,5,FALSE),""),"")</f>
        <v/>
      </c>
      <c r="AL38" s="34" t="str">
        <f>IFERROR(IF(H38=1,VLOOKUP(H$2,활동내용입력!$B$4:$F$27,5,FALSE),""),"")</f>
        <v/>
      </c>
      <c r="AM38" s="34" t="str">
        <f>IFERROR(IF(I38=1,VLOOKUP(I$2,활동내용입력!$B$4:$F$27,5,FALSE),""),"")</f>
        <v/>
      </c>
      <c r="AN38" s="34" t="str">
        <f>IFERROR(IF(J38=1,VLOOKUP(J$2,활동내용입력!$B$4:$F$27,5,FALSE),""),"")</f>
        <v/>
      </c>
      <c r="AO38" s="34" t="str">
        <f>IFERROR(IF(K38=1,VLOOKUP(K$2,활동내용입력!$B$4:$F$27,5,FALSE),""),"")</f>
        <v/>
      </c>
      <c r="AP38" s="34" t="str">
        <f>IFERROR(IF(L38=1,VLOOKUP(L$2,활동내용입력!$B$4:$F$27,5,FALSE),""),"")</f>
        <v/>
      </c>
      <c r="AQ38" s="34" t="str">
        <f>IFERROR(IF(M38=1,VLOOKUP(M$2,활동내용입력!$B$4:$F$27,5,FALSE),""),"")</f>
        <v/>
      </c>
      <c r="AR38" s="34" t="str">
        <f>IFERROR(IF(N38=1,VLOOKUP(N$2,활동내용입력!$B$4:$F$27,5,FALSE),""),"")</f>
        <v/>
      </c>
      <c r="AS38" s="34" t="str">
        <f>IFERROR(IF(O38=1,VLOOKUP(O$2,활동내용입력!$B$4:$F$27,5,FALSE),""),"")</f>
        <v/>
      </c>
      <c r="AT38" s="34" t="str">
        <f>IFERROR(IF(P38=1,VLOOKUP(P$2,활동내용입력!$B$4:$F$27,5,FALSE),""),"")</f>
        <v/>
      </c>
      <c r="AU38" s="34" t="str">
        <f>IFERROR(IF(Q38=1,VLOOKUP(Q$2,활동내용입력!$B$4:$F$27,5,FALSE),""),"")</f>
        <v/>
      </c>
      <c r="AV38" s="34" t="str">
        <f>IFERROR(IF(R38=1,VLOOKUP(R$2,활동내용입력!$B$4:$F$27,5,FALSE),""),"")</f>
        <v/>
      </c>
      <c r="AW38" s="34" t="str">
        <f>IFERROR(IF(S38=1,VLOOKUP(S$2,활동내용입력!$B$4:$F$27,5,FALSE),""),"")</f>
        <v/>
      </c>
      <c r="AX38" s="34" t="str">
        <f>IFERROR(IF(T38=1,VLOOKUP(T$2,활동내용입력!$B$4:$F$27,5,FALSE),""),"")</f>
        <v/>
      </c>
      <c r="AY38" s="34" t="str">
        <f>IFERROR(IF(U38=1,VLOOKUP(U$2,활동내용입력!$B$4:$F$27,5,FALSE),""),"")</f>
        <v/>
      </c>
      <c r="AZ38" s="34" t="str">
        <f>IFERROR(IF(V38=1,VLOOKUP(V$2,활동내용입력!$B$4:$F$27,5,FALSE),""),"")</f>
        <v/>
      </c>
      <c r="BA38" s="34" t="str">
        <f>IFERROR(IF(W38=1,VLOOKUP(W$2,활동내용입력!$B$4:$F$27,5,FALSE),""),"")</f>
        <v/>
      </c>
      <c r="BB38" s="34" t="str">
        <f>IFERROR(IF(X38=1,VLOOKUP(X$2,활동내용입력!$B$4:$F$27,5,FALSE),""),"")</f>
        <v/>
      </c>
      <c r="BC38" s="34" t="str">
        <f>IFERROR(IF(Y38=1,VLOOKUP(Y$2,활동내용입력!$B$4:$F$27,5,FALSE),""),"")</f>
        <v/>
      </c>
      <c r="BD38" s="34" t="str">
        <f>IFERROR(IF(Z38=1,VLOOKUP(Z$2,활동내용입력!$B$4:$F$27,5,FALSE),""),"")</f>
        <v/>
      </c>
      <c r="BE38" s="34" t="str">
        <f>IFERROR(IF(AA38=1,VLOOKUP(AA$2,활동내용입력!$B$4:$F$27,5,FALSE),""),"")</f>
        <v/>
      </c>
      <c r="BF38" s="34" t="str">
        <f>IFERROR(IF(AB38=1,VLOOKUP(AB$2,활동내용입력!$B$4:$F$27,5,FALSE),""),"")</f>
        <v/>
      </c>
      <c r="BG38" s="34" t="str">
        <f>IFERROR(IF(AC38=1,VLOOKUP(AC$2,활동내용입력!$B$4:$F$27,5,FALSE),""),"")</f>
        <v/>
      </c>
      <c r="BH38" s="34" t="str">
        <f>IFERROR(IF(AD38=1,VLOOKUP(AD$2,활동내용입력!$B$4:$F$27,5,FALSE),""),"")</f>
        <v/>
      </c>
      <c r="BI38" s="34" t="str">
        <f>IFERROR(IF(AE38=1,VLOOKUP(AE$2,활동내용입력!$B$4:$F$27,5,FALSE),""),"")</f>
        <v/>
      </c>
      <c r="BJ38" s="34" t="str">
        <f>IFERROR(IF(AF38=1,VLOOKUP(AF$2,활동내용입력!$B$4:$F$27,5,FALSE),""),"")</f>
        <v/>
      </c>
      <c r="BK38" s="35" t="str">
        <f t="shared" si="2"/>
        <v/>
      </c>
      <c r="BL38" s="36">
        <f t="shared" si="1"/>
        <v>0</v>
      </c>
      <c r="BM38" s="25"/>
    </row>
    <row r="39" spans="1:65" x14ac:dyDescent="0.3">
      <c r="A39" s="51">
        <v>35</v>
      </c>
      <c r="B39" s="53"/>
      <c r="C39" s="33"/>
      <c r="D39" s="33"/>
      <c r="E39" s="33"/>
      <c r="F39" s="33"/>
      <c r="G39" s="33"/>
      <c r="H39" s="33"/>
      <c r="I39" s="33"/>
      <c r="J39" s="33"/>
      <c r="K39" s="33"/>
      <c r="L39" s="33"/>
      <c r="M39" s="33"/>
      <c r="N39" s="33"/>
      <c r="O39" s="33"/>
      <c r="P39" s="33"/>
      <c r="Q39" s="33"/>
      <c r="R39" s="33"/>
      <c r="S39" s="33"/>
      <c r="T39" s="33"/>
      <c r="U39" s="33"/>
      <c r="V39" s="33"/>
      <c r="W39" s="33"/>
      <c r="X39" s="33"/>
      <c r="Y39" s="33"/>
      <c r="Z39" s="33"/>
      <c r="AA39" s="33"/>
      <c r="AB39" s="33"/>
      <c r="AC39" s="33"/>
      <c r="AD39" s="33"/>
      <c r="AE39" s="33"/>
      <c r="AF39" s="33"/>
      <c r="AG39" s="34" t="str">
        <f>IFERROR(IF(C39=1,VLOOKUP(C$2,활동내용입력!$B$4:$F$27,5,FALSE),""),"")</f>
        <v/>
      </c>
      <c r="AH39" s="34" t="str">
        <f>IFERROR(IF(D39=1,VLOOKUP(D$2,활동내용입력!$B$4:$F$27,5,FALSE),""),"")</f>
        <v/>
      </c>
      <c r="AI39" s="34" t="str">
        <f>IFERROR(IF(E39=1,VLOOKUP(E$2,활동내용입력!$B$4:$F$27,5,FALSE),""),"")</f>
        <v/>
      </c>
      <c r="AJ39" s="34" t="str">
        <f>IFERROR(IF(F39=1,VLOOKUP(F$2,활동내용입력!$B$4:$F$27,5,FALSE),""),"")</f>
        <v/>
      </c>
      <c r="AK39" s="34" t="str">
        <f>IFERROR(IF(G39=1,VLOOKUP(G$2,활동내용입력!$B$4:$F$27,5,FALSE),""),"")</f>
        <v/>
      </c>
      <c r="AL39" s="34" t="str">
        <f>IFERROR(IF(H39=1,VLOOKUP(H$2,활동내용입력!$B$4:$F$27,5,FALSE),""),"")</f>
        <v/>
      </c>
      <c r="AM39" s="34" t="str">
        <f>IFERROR(IF(I39=1,VLOOKUP(I$2,활동내용입력!$B$4:$F$27,5,FALSE),""),"")</f>
        <v/>
      </c>
      <c r="AN39" s="34" t="str">
        <f>IFERROR(IF(J39=1,VLOOKUP(J$2,활동내용입력!$B$4:$F$27,5,FALSE),""),"")</f>
        <v/>
      </c>
      <c r="AO39" s="34" t="str">
        <f>IFERROR(IF(K39=1,VLOOKUP(K$2,활동내용입력!$B$4:$F$27,5,FALSE),""),"")</f>
        <v/>
      </c>
      <c r="AP39" s="34" t="str">
        <f>IFERROR(IF(L39=1,VLOOKUP(L$2,활동내용입력!$B$4:$F$27,5,FALSE),""),"")</f>
        <v/>
      </c>
      <c r="AQ39" s="34" t="str">
        <f>IFERROR(IF(M39=1,VLOOKUP(M$2,활동내용입력!$B$4:$F$27,5,FALSE),""),"")</f>
        <v/>
      </c>
      <c r="AR39" s="34" t="str">
        <f>IFERROR(IF(N39=1,VLOOKUP(N$2,활동내용입력!$B$4:$F$27,5,FALSE),""),"")</f>
        <v/>
      </c>
      <c r="AS39" s="34" t="str">
        <f>IFERROR(IF(O39=1,VLOOKUP(O$2,활동내용입력!$B$4:$F$27,5,FALSE),""),"")</f>
        <v/>
      </c>
      <c r="AT39" s="34" t="str">
        <f>IFERROR(IF(P39=1,VLOOKUP(P$2,활동내용입력!$B$4:$F$27,5,FALSE),""),"")</f>
        <v/>
      </c>
      <c r="AU39" s="34" t="str">
        <f>IFERROR(IF(Q39=1,VLOOKUP(Q$2,활동내용입력!$B$4:$F$27,5,FALSE),""),"")</f>
        <v/>
      </c>
      <c r="AV39" s="34" t="str">
        <f>IFERROR(IF(R39=1,VLOOKUP(R$2,활동내용입력!$B$4:$F$27,5,FALSE),""),"")</f>
        <v/>
      </c>
      <c r="AW39" s="34" t="str">
        <f>IFERROR(IF(S39=1,VLOOKUP(S$2,활동내용입력!$B$4:$F$27,5,FALSE),""),"")</f>
        <v/>
      </c>
      <c r="AX39" s="34" t="str">
        <f>IFERROR(IF(T39=1,VLOOKUP(T$2,활동내용입력!$B$4:$F$27,5,FALSE),""),"")</f>
        <v/>
      </c>
      <c r="AY39" s="34" t="str">
        <f>IFERROR(IF(U39=1,VLOOKUP(U$2,활동내용입력!$B$4:$F$27,5,FALSE),""),"")</f>
        <v/>
      </c>
      <c r="AZ39" s="34" t="str">
        <f>IFERROR(IF(V39=1,VLOOKUP(V$2,활동내용입력!$B$4:$F$27,5,FALSE),""),"")</f>
        <v/>
      </c>
      <c r="BA39" s="34" t="str">
        <f>IFERROR(IF(W39=1,VLOOKUP(W$2,활동내용입력!$B$4:$F$27,5,FALSE),""),"")</f>
        <v/>
      </c>
      <c r="BB39" s="34" t="str">
        <f>IFERROR(IF(X39=1,VLOOKUP(X$2,활동내용입력!$B$4:$F$27,5,FALSE),""),"")</f>
        <v/>
      </c>
      <c r="BC39" s="34" t="str">
        <f>IFERROR(IF(Y39=1,VLOOKUP(Y$2,활동내용입력!$B$4:$F$27,5,FALSE),""),"")</f>
        <v/>
      </c>
      <c r="BD39" s="34" t="str">
        <f>IFERROR(IF(Z39=1,VLOOKUP(Z$2,활동내용입력!$B$4:$F$27,5,FALSE),""),"")</f>
        <v/>
      </c>
      <c r="BE39" s="34" t="str">
        <f>IFERROR(IF(AA39=1,VLOOKUP(AA$2,활동내용입력!$B$4:$F$27,5,FALSE),""),"")</f>
        <v/>
      </c>
      <c r="BF39" s="34" t="str">
        <f>IFERROR(IF(AB39=1,VLOOKUP(AB$2,활동내용입력!$B$4:$F$27,5,FALSE),""),"")</f>
        <v/>
      </c>
      <c r="BG39" s="34" t="str">
        <f>IFERROR(IF(AC39=1,VLOOKUP(AC$2,활동내용입력!$B$4:$F$27,5,FALSE),""),"")</f>
        <v/>
      </c>
      <c r="BH39" s="34" t="str">
        <f>IFERROR(IF(AD39=1,VLOOKUP(AD$2,활동내용입력!$B$4:$F$27,5,FALSE),""),"")</f>
        <v/>
      </c>
      <c r="BI39" s="34" t="str">
        <f>IFERROR(IF(AE39=1,VLOOKUP(AE$2,활동내용입력!$B$4:$F$27,5,FALSE),""),"")</f>
        <v/>
      </c>
      <c r="BJ39" s="34" t="str">
        <f>IFERROR(IF(AF39=1,VLOOKUP(AF$2,활동내용입력!$B$4:$F$27,5,FALSE),""),"")</f>
        <v/>
      </c>
      <c r="BK39" s="35" t="str">
        <f t="shared" si="2"/>
        <v/>
      </c>
      <c r="BL39" s="36">
        <f t="shared" si="1"/>
        <v>0</v>
      </c>
      <c r="BM39" s="25"/>
    </row>
    <row r="40" spans="1:65" x14ac:dyDescent="0.3">
      <c r="A40" s="51">
        <v>36</v>
      </c>
      <c r="B40" s="53"/>
      <c r="C40" s="33"/>
      <c r="D40" s="33"/>
      <c r="E40" s="33"/>
      <c r="F40" s="33"/>
      <c r="G40" s="33"/>
      <c r="H40" s="33"/>
      <c r="I40" s="33"/>
      <c r="J40" s="33"/>
      <c r="K40" s="33"/>
      <c r="L40" s="33"/>
      <c r="M40" s="33"/>
      <c r="N40" s="33"/>
      <c r="O40" s="33"/>
      <c r="P40" s="33"/>
      <c r="Q40" s="33"/>
      <c r="R40" s="33"/>
      <c r="S40" s="33"/>
      <c r="T40" s="33"/>
      <c r="U40" s="33"/>
      <c r="V40" s="33"/>
      <c r="W40" s="33"/>
      <c r="X40" s="33"/>
      <c r="Y40" s="33"/>
      <c r="Z40" s="33"/>
      <c r="AA40" s="33"/>
      <c r="AB40" s="33"/>
      <c r="AC40" s="33"/>
      <c r="AD40" s="33"/>
      <c r="AE40" s="33"/>
      <c r="AF40" s="33"/>
      <c r="AG40" s="34" t="str">
        <f>IFERROR(IF(C40=1,VLOOKUP(C$2,활동내용입력!$B$4:$F$27,5,FALSE),""),"")</f>
        <v/>
      </c>
      <c r="AH40" s="34" t="str">
        <f>IFERROR(IF(D40=1,VLOOKUP(D$2,활동내용입력!$B$4:$F$27,5,FALSE),""),"")</f>
        <v/>
      </c>
      <c r="AI40" s="34" t="str">
        <f>IFERROR(IF(E40=1,VLOOKUP(E$2,활동내용입력!$B$4:$F$27,5,FALSE),""),"")</f>
        <v/>
      </c>
      <c r="AJ40" s="34" t="str">
        <f>IFERROR(IF(F40=1,VLOOKUP(F$2,활동내용입력!$B$4:$F$27,5,FALSE),""),"")</f>
        <v/>
      </c>
      <c r="AK40" s="34" t="str">
        <f>IFERROR(IF(G40=1,VLOOKUP(G$2,활동내용입력!$B$4:$F$27,5,FALSE),""),"")</f>
        <v/>
      </c>
      <c r="AL40" s="34" t="str">
        <f>IFERROR(IF(H40=1,VLOOKUP(H$2,활동내용입력!$B$4:$F$27,5,FALSE),""),"")</f>
        <v/>
      </c>
      <c r="AM40" s="34" t="str">
        <f>IFERROR(IF(I40=1,VLOOKUP(I$2,활동내용입력!$B$4:$F$27,5,FALSE),""),"")</f>
        <v/>
      </c>
      <c r="AN40" s="34" t="str">
        <f>IFERROR(IF(J40=1,VLOOKUP(J$2,활동내용입력!$B$4:$F$27,5,FALSE),""),"")</f>
        <v/>
      </c>
      <c r="AO40" s="34" t="str">
        <f>IFERROR(IF(K40=1,VLOOKUP(K$2,활동내용입력!$B$4:$F$27,5,FALSE),""),"")</f>
        <v/>
      </c>
      <c r="AP40" s="34" t="str">
        <f>IFERROR(IF(L40=1,VLOOKUP(L$2,활동내용입력!$B$4:$F$27,5,FALSE),""),"")</f>
        <v/>
      </c>
      <c r="AQ40" s="34" t="str">
        <f>IFERROR(IF(M40=1,VLOOKUP(M$2,활동내용입력!$B$4:$F$27,5,FALSE),""),"")</f>
        <v/>
      </c>
      <c r="AR40" s="34" t="str">
        <f>IFERROR(IF(N40=1,VLOOKUP(N$2,활동내용입력!$B$4:$F$27,5,FALSE),""),"")</f>
        <v/>
      </c>
      <c r="AS40" s="34" t="str">
        <f>IFERROR(IF(O40=1,VLOOKUP(O$2,활동내용입력!$B$4:$F$27,5,FALSE),""),"")</f>
        <v/>
      </c>
      <c r="AT40" s="34" t="str">
        <f>IFERROR(IF(P40=1,VLOOKUP(P$2,활동내용입력!$B$4:$F$27,5,FALSE),""),"")</f>
        <v/>
      </c>
      <c r="AU40" s="34" t="str">
        <f>IFERROR(IF(Q40=1,VLOOKUP(Q$2,활동내용입력!$B$4:$F$27,5,FALSE),""),"")</f>
        <v/>
      </c>
      <c r="AV40" s="34" t="str">
        <f>IFERROR(IF(R40=1,VLOOKUP(R$2,활동내용입력!$B$4:$F$27,5,FALSE),""),"")</f>
        <v/>
      </c>
      <c r="AW40" s="34" t="str">
        <f>IFERROR(IF(S40=1,VLOOKUP(S$2,활동내용입력!$B$4:$F$27,5,FALSE),""),"")</f>
        <v/>
      </c>
      <c r="AX40" s="34" t="str">
        <f>IFERROR(IF(T40=1,VLOOKUP(T$2,활동내용입력!$B$4:$F$27,5,FALSE),""),"")</f>
        <v/>
      </c>
      <c r="AY40" s="34" t="str">
        <f>IFERROR(IF(U40=1,VLOOKUP(U$2,활동내용입력!$B$4:$F$27,5,FALSE),""),"")</f>
        <v/>
      </c>
      <c r="AZ40" s="34" t="str">
        <f>IFERROR(IF(V40=1,VLOOKUP(V$2,활동내용입력!$B$4:$F$27,5,FALSE),""),"")</f>
        <v/>
      </c>
      <c r="BA40" s="34" t="str">
        <f>IFERROR(IF(W40=1,VLOOKUP(W$2,활동내용입력!$B$4:$F$27,5,FALSE),""),"")</f>
        <v/>
      </c>
      <c r="BB40" s="34" t="str">
        <f>IFERROR(IF(X40=1,VLOOKUP(X$2,활동내용입력!$B$4:$F$27,5,FALSE),""),"")</f>
        <v/>
      </c>
      <c r="BC40" s="34" t="str">
        <f>IFERROR(IF(Y40=1,VLOOKUP(Y$2,활동내용입력!$B$4:$F$27,5,FALSE),""),"")</f>
        <v/>
      </c>
      <c r="BD40" s="34" t="str">
        <f>IFERROR(IF(Z40=1,VLOOKUP(Z$2,활동내용입력!$B$4:$F$27,5,FALSE),""),"")</f>
        <v/>
      </c>
      <c r="BE40" s="34" t="str">
        <f>IFERROR(IF(AA40=1,VLOOKUP(AA$2,활동내용입력!$B$4:$F$27,5,FALSE),""),"")</f>
        <v/>
      </c>
      <c r="BF40" s="34" t="str">
        <f>IFERROR(IF(AB40=1,VLOOKUP(AB$2,활동내용입력!$B$4:$F$27,5,FALSE),""),"")</f>
        <v/>
      </c>
      <c r="BG40" s="34" t="str">
        <f>IFERROR(IF(AC40=1,VLOOKUP(AC$2,활동내용입력!$B$4:$F$27,5,FALSE),""),"")</f>
        <v/>
      </c>
      <c r="BH40" s="34" t="str">
        <f>IFERROR(IF(AD40=1,VLOOKUP(AD$2,활동내용입력!$B$4:$F$27,5,FALSE),""),"")</f>
        <v/>
      </c>
      <c r="BI40" s="34" t="str">
        <f>IFERROR(IF(AE40=1,VLOOKUP(AE$2,활동내용입력!$B$4:$F$27,5,FALSE),""),"")</f>
        <v/>
      </c>
      <c r="BJ40" s="34" t="str">
        <f>IFERROR(IF(AF40=1,VLOOKUP(AF$2,활동내용입력!$B$4:$F$27,5,FALSE),""),"")</f>
        <v/>
      </c>
      <c r="BK40" s="35" t="str">
        <f t="shared" si="2"/>
        <v/>
      </c>
      <c r="BL40" s="36">
        <f t="shared" si="1"/>
        <v>0</v>
      </c>
      <c r="BM40" s="25"/>
    </row>
    <row r="41" spans="1:65" x14ac:dyDescent="0.3">
      <c r="A41" s="51">
        <v>37</v>
      </c>
      <c r="B41" s="53"/>
      <c r="C41" s="33"/>
      <c r="D41" s="33"/>
      <c r="E41" s="33"/>
      <c r="F41" s="33"/>
      <c r="G41" s="33"/>
      <c r="H41" s="33"/>
      <c r="I41" s="33"/>
      <c r="J41" s="33"/>
      <c r="K41" s="33"/>
      <c r="L41" s="33"/>
      <c r="M41" s="33"/>
      <c r="N41" s="33"/>
      <c r="O41" s="33"/>
      <c r="P41" s="33"/>
      <c r="Q41" s="33"/>
      <c r="R41" s="33"/>
      <c r="S41" s="33"/>
      <c r="T41" s="33"/>
      <c r="U41" s="33"/>
      <c r="V41" s="33"/>
      <c r="W41" s="33"/>
      <c r="X41" s="33"/>
      <c r="Y41" s="33"/>
      <c r="Z41" s="33"/>
      <c r="AA41" s="33"/>
      <c r="AB41" s="33"/>
      <c r="AC41" s="33"/>
      <c r="AD41" s="33"/>
      <c r="AE41" s="33"/>
      <c r="AF41" s="33"/>
      <c r="AG41" s="34" t="str">
        <f>IFERROR(IF(C41=1,VLOOKUP(C$2,활동내용입력!$B$4:$F$27,5,FALSE),""),"")</f>
        <v/>
      </c>
      <c r="AH41" s="34" t="str">
        <f>IFERROR(IF(D41=1,VLOOKUP(D$2,활동내용입력!$B$4:$F$27,5,FALSE),""),"")</f>
        <v/>
      </c>
      <c r="AI41" s="34" t="str">
        <f>IFERROR(IF(E41=1,VLOOKUP(E$2,활동내용입력!$B$4:$F$27,5,FALSE),""),"")</f>
        <v/>
      </c>
      <c r="AJ41" s="34" t="str">
        <f>IFERROR(IF(F41=1,VLOOKUP(F$2,활동내용입력!$B$4:$F$27,5,FALSE),""),"")</f>
        <v/>
      </c>
      <c r="AK41" s="34" t="str">
        <f>IFERROR(IF(G41=1,VLOOKUP(G$2,활동내용입력!$B$4:$F$27,5,FALSE),""),"")</f>
        <v/>
      </c>
      <c r="AL41" s="34" t="str">
        <f>IFERROR(IF(H41=1,VLOOKUP(H$2,활동내용입력!$B$4:$F$27,5,FALSE),""),"")</f>
        <v/>
      </c>
      <c r="AM41" s="34" t="str">
        <f>IFERROR(IF(I41=1,VLOOKUP(I$2,활동내용입력!$B$4:$F$27,5,FALSE),""),"")</f>
        <v/>
      </c>
      <c r="AN41" s="34" t="str">
        <f>IFERROR(IF(J41=1,VLOOKUP(J$2,활동내용입력!$B$4:$F$27,5,FALSE),""),"")</f>
        <v/>
      </c>
      <c r="AO41" s="34" t="str">
        <f>IFERROR(IF(K41=1,VLOOKUP(K$2,활동내용입력!$B$4:$F$27,5,FALSE),""),"")</f>
        <v/>
      </c>
      <c r="AP41" s="34" t="str">
        <f>IFERROR(IF(L41=1,VLOOKUP(L$2,활동내용입력!$B$4:$F$27,5,FALSE),""),"")</f>
        <v/>
      </c>
      <c r="AQ41" s="34" t="str">
        <f>IFERROR(IF(M41=1,VLOOKUP(M$2,활동내용입력!$B$4:$F$27,5,FALSE),""),"")</f>
        <v/>
      </c>
      <c r="AR41" s="34" t="str">
        <f>IFERROR(IF(N41=1,VLOOKUP(N$2,활동내용입력!$B$4:$F$27,5,FALSE),""),"")</f>
        <v/>
      </c>
      <c r="AS41" s="34" t="str">
        <f>IFERROR(IF(O41=1,VLOOKUP(O$2,활동내용입력!$B$4:$F$27,5,FALSE),""),"")</f>
        <v/>
      </c>
      <c r="AT41" s="34" t="str">
        <f>IFERROR(IF(P41=1,VLOOKUP(P$2,활동내용입력!$B$4:$F$27,5,FALSE),""),"")</f>
        <v/>
      </c>
      <c r="AU41" s="34" t="str">
        <f>IFERROR(IF(Q41=1,VLOOKUP(Q$2,활동내용입력!$B$4:$F$27,5,FALSE),""),"")</f>
        <v/>
      </c>
      <c r="AV41" s="34" t="str">
        <f>IFERROR(IF(R41=1,VLOOKUP(R$2,활동내용입력!$B$4:$F$27,5,FALSE),""),"")</f>
        <v/>
      </c>
      <c r="AW41" s="34" t="str">
        <f>IFERROR(IF(S41=1,VLOOKUP(S$2,활동내용입력!$B$4:$F$27,5,FALSE),""),"")</f>
        <v/>
      </c>
      <c r="AX41" s="34" t="str">
        <f>IFERROR(IF(T41=1,VLOOKUP(T$2,활동내용입력!$B$4:$F$27,5,FALSE),""),"")</f>
        <v/>
      </c>
      <c r="AY41" s="34" t="str">
        <f>IFERROR(IF(U41=1,VLOOKUP(U$2,활동내용입력!$B$4:$F$27,5,FALSE),""),"")</f>
        <v/>
      </c>
      <c r="AZ41" s="34" t="str">
        <f>IFERROR(IF(V41=1,VLOOKUP(V$2,활동내용입력!$B$4:$F$27,5,FALSE),""),"")</f>
        <v/>
      </c>
      <c r="BA41" s="34" t="str">
        <f>IFERROR(IF(W41=1,VLOOKUP(W$2,활동내용입력!$B$4:$F$27,5,FALSE),""),"")</f>
        <v/>
      </c>
      <c r="BB41" s="34" t="str">
        <f>IFERROR(IF(X41=1,VLOOKUP(X$2,활동내용입력!$B$4:$F$27,5,FALSE),""),"")</f>
        <v/>
      </c>
      <c r="BC41" s="34" t="str">
        <f>IFERROR(IF(Y41=1,VLOOKUP(Y$2,활동내용입력!$B$4:$F$27,5,FALSE),""),"")</f>
        <v/>
      </c>
      <c r="BD41" s="34" t="str">
        <f>IFERROR(IF(Z41=1,VLOOKUP(Z$2,활동내용입력!$B$4:$F$27,5,FALSE),""),"")</f>
        <v/>
      </c>
      <c r="BE41" s="34" t="str">
        <f>IFERROR(IF(AA41=1,VLOOKUP(AA$2,활동내용입력!$B$4:$F$27,5,FALSE),""),"")</f>
        <v/>
      </c>
      <c r="BF41" s="34" t="str">
        <f>IFERROR(IF(AB41=1,VLOOKUP(AB$2,활동내용입력!$B$4:$F$27,5,FALSE),""),"")</f>
        <v/>
      </c>
      <c r="BG41" s="34" t="str">
        <f>IFERROR(IF(AC41=1,VLOOKUP(AC$2,활동내용입력!$B$4:$F$27,5,FALSE),""),"")</f>
        <v/>
      </c>
      <c r="BH41" s="34" t="str">
        <f>IFERROR(IF(AD41=1,VLOOKUP(AD$2,활동내용입력!$B$4:$F$27,5,FALSE),""),"")</f>
        <v/>
      </c>
      <c r="BI41" s="34" t="str">
        <f>IFERROR(IF(AE41=1,VLOOKUP(AE$2,활동내용입력!$B$4:$F$27,5,FALSE),""),"")</f>
        <v/>
      </c>
      <c r="BJ41" s="34" t="str">
        <f>IFERROR(IF(AF41=1,VLOOKUP(AF$2,활동내용입력!$B$4:$F$27,5,FALSE),""),"")</f>
        <v/>
      </c>
      <c r="BK41" s="35" t="str">
        <f t="shared" si="2"/>
        <v/>
      </c>
      <c r="BL41" s="36">
        <f t="shared" si="1"/>
        <v>0</v>
      </c>
      <c r="BM41" s="25"/>
    </row>
    <row r="42" spans="1:65" x14ac:dyDescent="0.3">
      <c r="A42" s="51">
        <v>38</v>
      </c>
      <c r="B42" s="54"/>
      <c r="C42" s="33"/>
      <c r="D42" s="33"/>
      <c r="E42" s="33"/>
      <c r="F42" s="33"/>
      <c r="G42" s="33"/>
      <c r="H42" s="33"/>
      <c r="I42" s="33"/>
      <c r="J42" s="33"/>
      <c r="K42" s="33"/>
      <c r="L42" s="33"/>
      <c r="M42" s="33"/>
      <c r="N42" s="33"/>
      <c r="O42" s="33"/>
      <c r="P42" s="33"/>
      <c r="Q42" s="33"/>
      <c r="R42" s="33"/>
      <c r="S42" s="33"/>
      <c r="T42" s="33"/>
      <c r="U42" s="33"/>
      <c r="V42" s="33"/>
      <c r="W42" s="33"/>
      <c r="X42" s="33"/>
      <c r="Y42" s="33"/>
      <c r="Z42" s="33"/>
      <c r="AA42" s="33"/>
      <c r="AB42" s="33"/>
      <c r="AC42" s="33"/>
      <c r="AD42" s="33"/>
      <c r="AE42" s="33"/>
      <c r="AF42" s="33"/>
      <c r="AG42" s="34" t="str">
        <f>IFERROR(IF(C42=1,VLOOKUP(C$2,활동내용입력!$B$4:$F$27,5,FALSE),""),"")</f>
        <v/>
      </c>
      <c r="AH42" s="34" t="str">
        <f>IFERROR(IF(D42=1,VLOOKUP(D$2,활동내용입력!$B$4:$F$27,5,FALSE),""),"")</f>
        <v/>
      </c>
      <c r="AI42" s="34" t="str">
        <f>IFERROR(IF(E42=1,VLOOKUP(E$2,활동내용입력!$B$4:$F$27,5,FALSE),""),"")</f>
        <v/>
      </c>
      <c r="AJ42" s="34" t="str">
        <f>IFERROR(IF(F42=1,VLOOKUP(F$2,활동내용입력!$B$4:$F$27,5,FALSE),""),"")</f>
        <v/>
      </c>
      <c r="AK42" s="34" t="str">
        <f>IFERROR(IF(G42=1,VLOOKUP(G$2,활동내용입력!$B$4:$F$27,5,FALSE),""),"")</f>
        <v/>
      </c>
      <c r="AL42" s="34" t="str">
        <f>IFERROR(IF(H42=1,VLOOKUP(H$2,활동내용입력!$B$4:$F$27,5,FALSE),""),"")</f>
        <v/>
      </c>
      <c r="AM42" s="34" t="str">
        <f>IFERROR(IF(I42=1,VLOOKUP(I$2,활동내용입력!$B$4:$F$27,5,FALSE),""),"")</f>
        <v/>
      </c>
      <c r="AN42" s="34" t="str">
        <f>IFERROR(IF(J42=1,VLOOKUP(J$2,활동내용입력!$B$4:$F$27,5,FALSE),""),"")</f>
        <v/>
      </c>
      <c r="AO42" s="34" t="str">
        <f>IFERROR(IF(K42=1,VLOOKUP(K$2,활동내용입력!$B$4:$F$27,5,FALSE),""),"")</f>
        <v/>
      </c>
      <c r="AP42" s="34" t="str">
        <f>IFERROR(IF(L42=1,VLOOKUP(L$2,활동내용입력!$B$4:$F$27,5,FALSE),""),"")</f>
        <v/>
      </c>
      <c r="AQ42" s="34" t="str">
        <f>IFERROR(IF(M42=1,VLOOKUP(M$2,활동내용입력!$B$4:$F$27,5,FALSE),""),"")</f>
        <v/>
      </c>
      <c r="AR42" s="34" t="str">
        <f>IFERROR(IF(N42=1,VLOOKUP(N$2,활동내용입력!$B$4:$F$27,5,FALSE),""),"")</f>
        <v/>
      </c>
      <c r="AS42" s="34" t="str">
        <f>IFERROR(IF(O42=1,VLOOKUP(O$2,활동내용입력!$B$4:$F$27,5,FALSE),""),"")</f>
        <v/>
      </c>
      <c r="AT42" s="34" t="str">
        <f>IFERROR(IF(P42=1,VLOOKUP(P$2,활동내용입력!$B$4:$F$27,5,FALSE),""),"")</f>
        <v/>
      </c>
      <c r="AU42" s="34" t="str">
        <f>IFERROR(IF(Q42=1,VLOOKUP(Q$2,활동내용입력!$B$4:$F$27,5,FALSE),""),"")</f>
        <v/>
      </c>
      <c r="AV42" s="34" t="str">
        <f>IFERROR(IF(R42=1,VLOOKUP(R$2,활동내용입력!$B$4:$F$27,5,FALSE),""),"")</f>
        <v/>
      </c>
      <c r="AW42" s="34" t="str">
        <f>IFERROR(IF(S42=1,VLOOKUP(S$2,활동내용입력!$B$4:$F$27,5,FALSE),""),"")</f>
        <v/>
      </c>
      <c r="AX42" s="34" t="str">
        <f>IFERROR(IF(T42=1,VLOOKUP(T$2,활동내용입력!$B$4:$F$27,5,FALSE),""),"")</f>
        <v/>
      </c>
      <c r="AY42" s="34" t="str">
        <f>IFERROR(IF(U42=1,VLOOKUP(U$2,활동내용입력!$B$4:$F$27,5,FALSE),""),"")</f>
        <v/>
      </c>
      <c r="AZ42" s="34" t="str">
        <f>IFERROR(IF(V42=1,VLOOKUP(V$2,활동내용입력!$B$4:$F$27,5,FALSE),""),"")</f>
        <v/>
      </c>
      <c r="BA42" s="34" t="str">
        <f>IFERROR(IF(W42=1,VLOOKUP(W$2,활동내용입력!$B$4:$F$27,5,FALSE),""),"")</f>
        <v/>
      </c>
      <c r="BB42" s="34" t="str">
        <f>IFERROR(IF(X42=1,VLOOKUP(X$2,활동내용입력!$B$4:$F$27,5,FALSE),""),"")</f>
        <v/>
      </c>
      <c r="BC42" s="34" t="str">
        <f>IFERROR(IF(Y42=1,VLOOKUP(Y$2,활동내용입력!$B$4:$F$27,5,FALSE),""),"")</f>
        <v/>
      </c>
      <c r="BD42" s="34" t="str">
        <f>IFERROR(IF(Z42=1,VLOOKUP(Z$2,활동내용입력!$B$4:$F$27,5,FALSE),""),"")</f>
        <v/>
      </c>
      <c r="BE42" s="34" t="str">
        <f>IFERROR(IF(AA42=1,VLOOKUP(AA$2,활동내용입력!$B$4:$F$27,5,FALSE),""),"")</f>
        <v/>
      </c>
      <c r="BF42" s="34" t="str">
        <f>IFERROR(IF(AB42=1,VLOOKUP(AB$2,활동내용입력!$B$4:$F$27,5,FALSE),""),"")</f>
        <v/>
      </c>
      <c r="BG42" s="34" t="str">
        <f>IFERROR(IF(AC42=1,VLOOKUP(AC$2,활동내용입력!$B$4:$F$27,5,FALSE),""),"")</f>
        <v/>
      </c>
      <c r="BH42" s="34" t="str">
        <f>IFERROR(IF(AD42=1,VLOOKUP(AD$2,활동내용입력!$B$4:$F$27,5,FALSE),""),"")</f>
        <v/>
      </c>
      <c r="BI42" s="34" t="str">
        <f>IFERROR(IF(AE42=1,VLOOKUP(AE$2,활동내용입력!$B$4:$F$27,5,FALSE),""),"")</f>
        <v/>
      </c>
      <c r="BJ42" s="34" t="str">
        <f>IFERROR(IF(AF42=1,VLOOKUP(AF$2,활동내용입력!$B$4:$F$27,5,FALSE),""),"")</f>
        <v/>
      </c>
      <c r="BK42" s="35" t="str">
        <f t="shared" si="2"/>
        <v/>
      </c>
      <c r="BL42" s="36">
        <f t="shared" si="1"/>
        <v>0</v>
      </c>
      <c r="BM42" s="25"/>
    </row>
    <row r="43" spans="1:65" x14ac:dyDescent="0.3">
      <c r="A43" s="51">
        <v>39</v>
      </c>
      <c r="B43" s="54"/>
      <c r="C43" s="33"/>
      <c r="D43" s="33"/>
      <c r="E43" s="33"/>
      <c r="F43" s="33"/>
      <c r="G43" s="33"/>
      <c r="H43" s="33"/>
      <c r="I43" s="33"/>
      <c r="J43" s="33"/>
      <c r="K43" s="33"/>
      <c r="L43" s="33"/>
      <c r="M43" s="33"/>
      <c r="N43" s="33"/>
      <c r="O43" s="33"/>
      <c r="P43" s="33"/>
      <c r="Q43" s="33"/>
      <c r="R43" s="33"/>
      <c r="S43" s="33"/>
      <c r="T43" s="33"/>
      <c r="U43" s="33"/>
      <c r="V43" s="33"/>
      <c r="W43" s="33"/>
      <c r="X43" s="33"/>
      <c r="Y43" s="33"/>
      <c r="Z43" s="33"/>
      <c r="AA43" s="33"/>
      <c r="AB43" s="33"/>
      <c r="AC43" s="33"/>
      <c r="AD43" s="33"/>
      <c r="AE43" s="33"/>
      <c r="AF43" s="33"/>
      <c r="AG43" s="34" t="str">
        <f>IFERROR(IF(C43=1,VLOOKUP(C$2,활동내용입력!$B$4:$F$27,5,FALSE),""),"")</f>
        <v/>
      </c>
      <c r="AH43" s="34" t="str">
        <f>IFERROR(IF(D43=1,VLOOKUP(D$2,활동내용입력!$B$4:$F$27,5,FALSE),""),"")</f>
        <v/>
      </c>
      <c r="AI43" s="34" t="str">
        <f>IFERROR(IF(E43=1,VLOOKUP(E$2,활동내용입력!$B$4:$F$27,5,FALSE),""),"")</f>
        <v/>
      </c>
      <c r="AJ43" s="34" t="str">
        <f>IFERROR(IF(F43=1,VLOOKUP(F$2,활동내용입력!$B$4:$F$27,5,FALSE),""),"")</f>
        <v/>
      </c>
      <c r="AK43" s="34" t="str">
        <f>IFERROR(IF(G43=1,VLOOKUP(G$2,활동내용입력!$B$4:$F$27,5,FALSE),""),"")</f>
        <v/>
      </c>
      <c r="AL43" s="34" t="str">
        <f>IFERROR(IF(H43=1,VLOOKUP(H$2,활동내용입력!$B$4:$F$27,5,FALSE),""),"")</f>
        <v/>
      </c>
      <c r="AM43" s="34" t="str">
        <f>IFERROR(IF(I43=1,VLOOKUP(I$2,활동내용입력!$B$4:$F$27,5,FALSE),""),"")</f>
        <v/>
      </c>
      <c r="AN43" s="34" t="str">
        <f>IFERROR(IF(J43=1,VLOOKUP(J$2,활동내용입력!$B$4:$F$27,5,FALSE),""),"")</f>
        <v/>
      </c>
      <c r="AO43" s="34" t="str">
        <f>IFERROR(IF(K43=1,VLOOKUP(K$2,활동내용입력!$B$4:$F$27,5,FALSE),""),"")</f>
        <v/>
      </c>
      <c r="AP43" s="34" t="str">
        <f>IFERROR(IF(L43=1,VLOOKUP(L$2,활동내용입력!$B$4:$F$27,5,FALSE),""),"")</f>
        <v/>
      </c>
      <c r="AQ43" s="34" t="str">
        <f>IFERROR(IF(M43=1,VLOOKUP(M$2,활동내용입력!$B$4:$F$27,5,FALSE),""),"")</f>
        <v/>
      </c>
      <c r="AR43" s="34" t="str">
        <f>IFERROR(IF(N43=1,VLOOKUP(N$2,활동내용입력!$B$4:$F$27,5,FALSE),""),"")</f>
        <v/>
      </c>
      <c r="AS43" s="34" t="str">
        <f>IFERROR(IF(O43=1,VLOOKUP(O$2,활동내용입력!$B$4:$F$27,5,FALSE),""),"")</f>
        <v/>
      </c>
      <c r="AT43" s="34" t="str">
        <f>IFERROR(IF(P43=1,VLOOKUP(P$2,활동내용입력!$B$4:$F$27,5,FALSE),""),"")</f>
        <v/>
      </c>
      <c r="AU43" s="34" t="str">
        <f>IFERROR(IF(Q43=1,VLOOKUP(Q$2,활동내용입력!$B$4:$F$27,5,FALSE),""),"")</f>
        <v/>
      </c>
      <c r="AV43" s="34" t="str">
        <f>IFERROR(IF(R43=1,VLOOKUP(R$2,활동내용입력!$B$4:$F$27,5,FALSE),""),"")</f>
        <v/>
      </c>
      <c r="AW43" s="34" t="str">
        <f>IFERROR(IF(S43=1,VLOOKUP(S$2,활동내용입력!$B$4:$F$27,5,FALSE),""),"")</f>
        <v/>
      </c>
      <c r="AX43" s="34" t="str">
        <f>IFERROR(IF(T43=1,VLOOKUP(T$2,활동내용입력!$B$4:$F$27,5,FALSE),""),"")</f>
        <v/>
      </c>
      <c r="AY43" s="34" t="str">
        <f>IFERROR(IF(U43=1,VLOOKUP(U$2,활동내용입력!$B$4:$F$27,5,FALSE),""),"")</f>
        <v/>
      </c>
      <c r="AZ43" s="34" t="str">
        <f>IFERROR(IF(V43=1,VLOOKUP(V$2,활동내용입력!$B$4:$F$27,5,FALSE),""),"")</f>
        <v/>
      </c>
      <c r="BA43" s="34" t="str">
        <f>IFERROR(IF(W43=1,VLOOKUP(W$2,활동내용입력!$B$4:$F$27,5,FALSE),""),"")</f>
        <v/>
      </c>
      <c r="BB43" s="34" t="str">
        <f>IFERROR(IF(X43=1,VLOOKUP(X$2,활동내용입력!$B$4:$F$27,5,FALSE),""),"")</f>
        <v/>
      </c>
      <c r="BC43" s="34" t="str">
        <f>IFERROR(IF(Y43=1,VLOOKUP(Y$2,활동내용입력!$B$4:$F$27,5,FALSE),""),"")</f>
        <v/>
      </c>
      <c r="BD43" s="34" t="str">
        <f>IFERROR(IF(Z43=1,VLOOKUP(Z$2,활동내용입력!$B$4:$F$27,5,FALSE),""),"")</f>
        <v/>
      </c>
      <c r="BE43" s="34" t="str">
        <f>IFERROR(IF(AA43=1,VLOOKUP(AA$2,활동내용입력!$B$4:$F$27,5,FALSE),""),"")</f>
        <v/>
      </c>
      <c r="BF43" s="34" t="str">
        <f>IFERROR(IF(AB43=1,VLOOKUP(AB$2,활동내용입력!$B$4:$F$27,5,FALSE),""),"")</f>
        <v/>
      </c>
      <c r="BG43" s="34" t="str">
        <f>IFERROR(IF(AC43=1,VLOOKUP(AC$2,활동내용입력!$B$4:$F$27,5,FALSE),""),"")</f>
        <v/>
      </c>
      <c r="BH43" s="34" t="str">
        <f>IFERROR(IF(AD43=1,VLOOKUP(AD$2,활동내용입력!$B$4:$F$27,5,FALSE),""),"")</f>
        <v/>
      </c>
      <c r="BI43" s="34" t="str">
        <f>IFERROR(IF(AE43=1,VLOOKUP(AE$2,활동내용입력!$B$4:$F$27,5,FALSE),""),"")</f>
        <v/>
      </c>
      <c r="BJ43" s="34" t="str">
        <f>IFERROR(IF(AF43=1,VLOOKUP(AF$2,활동내용입력!$B$4:$F$27,5,FALSE),""),"")</f>
        <v/>
      </c>
      <c r="BK43" s="35" t="str">
        <f t="shared" si="2"/>
        <v/>
      </c>
      <c r="BL43" s="36">
        <f t="shared" si="1"/>
        <v>0</v>
      </c>
      <c r="BM43" s="25"/>
    </row>
    <row r="44" spans="1:65" x14ac:dyDescent="0.3">
      <c r="A44" s="51">
        <v>40</v>
      </c>
      <c r="B44" s="54"/>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4" t="str">
        <f>IFERROR(IF(C44=1,VLOOKUP(C$2,활동내용입력!$B$4:$F$27,5,FALSE),""),"")</f>
        <v/>
      </c>
      <c r="AH44" s="34" t="str">
        <f>IFERROR(IF(D44=1,VLOOKUP(D$2,활동내용입력!$B$4:$F$27,5,FALSE),""),"")</f>
        <v/>
      </c>
      <c r="AI44" s="34" t="str">
        <f>IFERROR(IF(E44=1,VLOOKUP(E$2,활동내용입력!$B$4:$F$27,5,FALSE),""),"")</f>
        <v/>
      </c>
      <c r="AJ44" s="34" t="str">
        <f>IFERROR(IF(F44=1,VLOOKUP(F$2,활동내용입력!$B$4:$F$27,5,FALSE),""),"")</f>
        <v/>
      </c>
      <c r="AK44" s="34" t="str">
        <f>IFERROR(IF(G44=1,VLOOKUP(G$2,활동내용입력!$B$4:$F$27,5,FALSE),""),"")</f>
        <v/>
      </c>
      <c r="AL44" s="34" t="str">
        <f>IFERROR(IF(H44=1,VLOOKUP(H$2,활동내용입력!$B$4:$F$27,5,FALSE),""),"")</f>
        <v/>
      </c>
      <c r="AM44" s="34" t="str">
        <f>IFERROR(IF(I44=1,VLOOKUP(I$2,활동내용입력!$B$4:$F$27,5,FALSE),""),"")</f>
        <v/>
      </c>
      <c r="AN44" s="34" t="str">
        <f>IFERROR(IF(J44=1,VLOOKUP(J$2,활동내용입력!$B$4:$F$27,5,FALSE),""),"")</f>
        <v/>
      </c>
      <c r="AO44" s="34" t="str">
        <f>IFERROR(IF(K44=1,VLOOKUP(K$2,활동내용입력!$B$4:$F$27,5,FALSE),""),"")</f>
        <v/>
      </c>
      <c r="AP44" s="34" t="str">
        <f>IFERROR(IF(L44=1,VLOOKUP(L$2,활동내용입력!$B$4:$F$27,5,FALSE),""),"")</f>
        <v/>
      </c>
      <c r="AQ44" s="34" t="str">
        <f>IFERROR(IF(M44=1,VLOOKUP(M$2,활동내용입력!$B$4:$F$27,5,FALSE),""),"")</f>
        <v/>
      </c>
      <c r="AR44" s="34" t="str">
        <f>IFERROR(IF(N44=1,VLOOKUP(N$2,활동내용입력!$B$4:$F$27,5,FALSE),""),"")</f>
        <v/>
      </c>
      <c r="AS44" s="34" t="str">
        <f>IFERROR(IF(O44=1,VLOOKUP(O$2,활동내용입력!$B$4:$F$27,5,FALSE),""),"")</f>
        <v/>
      </c>
      <c r="AT44" s="34" t="str">
        <f>IFERROR(IF(P44=1,VLOOKUP(P$2,활동내용입력!$B$4:$F$27,5,FALSE),""),"")</f>
        <v/>
      </c>
      <c r="AU44" s="34" t="str">
        <f>IFERROR(IF(Q44=1,VLOOKUP(Q$2,활동내용입력!$B$4:$F$27,5,FALSE),""),"")</f>
        <v/>
      </c>
      <c r="AV44" s="34" t="str">
        <f>IFERROR(IF(R44=1,VLOOKUP(R$2,활동내용입력!$B$4:$F$27,5,FALSE),""),"")</f>
        <v/>
      </c>
      <c r="AW44" s="34" t="str">
        <f>IFERROR(IF(S44=1,VLOOKUP(S$2,활동내용입력!$B$4:$F$27,5,FALSE),""),"")</f>
        <v/>
      </c>
      <c r="AX44" s="34" t="str">
        <f>IFERROR(IF(T44=1,VLOOKUP(T$2,활동내용입력!$B$4:$F$27,5,FALSE),""),"")</f>
        <v/>
      </c>
      <c r="AY44" s="34" t="str">
        <f>IFERROR(IF(U44=1,VLOOKUP(U$2,활동내용입력!$B$4:$F$27,5,FALSE),""),"")</f>
        <v/>
      </c>
      <c r="AZ44" s="34" t="str">
        <f>IFERROR(IF(V44=1,VLOOKUP(V$2,활동내용입력!$B$4:$F$27,5,FALSE),""),"")</f>
        <v/>
      </c>
      <c r="BA44" s="34" t="str">
        <f>IFERROR(IF(W44=1,VLOOKUP(W$2,활동내용입력!$B$4:$F$27,5,FALSE),""),"")</f>
        <v/>
      </c>
      <c r="BB44" s="34" t="str">
        <f>IFERROR(IF(X44=1,VLOOKUP(X$2,활동내용입력!$B$4:$F$27,5,FALSE),""),"")</f>
        <v/>
      </c>
      <c r="BC44" s="34" t="str">
        <f>IFERROR(IF(Y44=1,VLOOKUP(Y$2,활동내용입력!$B$4:$F$27,5,FALSE),""),"")</f>
        <v/>
      </c>
      <c r="BD44" s="34" t="str">
        <f>IFERROR(IF(Z44=1,VLOOKUP(Z$2,활동내용입력!$B$4:$F$27,5,FALSE),""),"")</f>
        <v/>
      </c>
      <c r="BE44" s="34" t="str">
        <f>IFERROR(IF(AA44=1,VLOOKUP(AA$2,활동내용입력!$B$4:$F$27,5,FALSE),""),"")</f>
        <v/>
      </c>
      <c r="BF44" s="34" t="str">
        <f>IFERROR(IF(AB44=1,VLOOKUP(AB$2,활동내용입력!$B$4:$F$27,5,FALSE),""),"")</f>
        <v/>
      </c>
      <c r="BG44" s="34" t="str">
        <f>IFERROR(IF(AC44=1,VLOOKUP(AC$2,활동내용입력!$B$4:$F$27,5,FALSE),""),"")</f>
        <v/>
      </c>
      <c r="BH44" s="34" t="str">
        <f>IFERROR(IF(AD44=1,VLOOKUP(AD$2,활동내용입력!$B$4:$F$27,5,FALSE),""),"")</f>
        <v/>
      </c>
      <c r="BI44" s="34" t="str">
        <f>IFERROR(IF(AE44=1,VLOOKUP(AE$2,활동내용입력!$B$4:$F$27,5,FALSE),""),"")</f>
        <v/>
      </c>
      <c r="BJ44" s="34" t="str">
        <f>IFERROR(IF(AF44=1,VLOOKUP(AF$2,활동내용입력!$B$4:$F$27,5,FALSE),""),"")</f>
        <v/>
      </c>
      <c r="BK44" s="35" t="str">
        <f t="shared" si="2"/>
        <v/>
      </c>
      <c r="BL44" s="36">
        <f t="shared" si="1"/>
        <v>0</v>
      </c>
      <c r="BM44" s="25"/>
    </row>
  </sheetData>
  <sheetProtection password="C7E8" sheet="1" objects="1" scenarios="1" selectLockedCells="1"/>
  <mergeCells count="6">
    <mergeCell ref="BL2:BL4"/>
    <mergeCell ref="A3:B3"/>
    <mergeCell ref="A4:B4"/>
    <mergeCell ref="A1:I1"/>
    <mergeCell ref="J1:W1"/>
    <mergeCell ref="X1:AF1"/>
  </mergeCells>
  <phoneticPr fontId="2" type="noConversion"/>
  <printOptions horizontalCentered="1" verticalCentered="1"/>
  <pageMargins left="0.70866141732283472" right="0.70866141732283472" top="0.74803149606299213" bottom="0.74803149606299213" header="0.31496062992125984" footer="0.31496062992125984"/>
  <pageSetup paperSize="9" scale="77"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B1:G44"/>
  <sheetViews>
    <sheetView showZeros="0" tabSelected="1" workbookViewId="0">
      <pane xSplit="3" ySplit="4" topLeftCell="D5" activePane="bottomRight" state="frozen"/>
      <selection pane="topRight" activeCell="E1" sqref="E1"/>
      <selection pane="bottomLeft" activeCell="A4" sqref="A4"/>
      <selection pane="bottomRight" activeCell="D5" sqref="D5"/>
    </sheetView>
  </sheetViews>
  <sheetFormatPr defaultColWidth="9" defaultRowHeight="16.5" x14ac:dyDescent="0.3"/>
  <cols>
    <col min="1" max="1" width="4.25" style="1" customWidth="1"/>
    <col min="2" max="2" width="4.75" style="3" customWidth="1"/>
    <col min="3" max="3" width="8.5" style="3" customWidth="1"/>
    <col min="4" max="4" width="71.375" style="1" customWidth="1"/>
    <col min="5" max="5" width="9" style="1" hidden="1" customWidth="1"/>
    <col min="6" max="6" width="7.25" style="1" customWidth="1"/>
    <col min="7" max="7" width="27.375" style="1" customWidth="1"/>
    <col min="8" max="16384" width="9" style="1"/>
  </cols>
  <sheetData>
    <row r="1" spans="2:7" ht="24" customHeight="1" x14ac:dyDescent="0.3">
      <c r="B1" s="73" t="s">
        <v>46</v>
      </c>
      <c r="C1" s="73"/>
      <c r="D1" s="73"/>
      <c r="E1" s="73"/>
      <c r="F1" s="73"/>
      <c r="G1" s="15" t="s">
        <v>47</v>
      </c>
    </row>
    <row r="2" spans="2:7" ht="50.25" customHeight="1" x14ac:dyDescent="0.3">
      <c r="B2" s="72" t="s">
        <v>61</v>
      </c>
      <c r="C2" s="72"/>
      <c r="D2" s="72"/>
      <c r="E2" s="72"/>
      <c r="F2" s="72"/>
    </row>
    <row r="3" spans="2:7" ht="29.25" customHeight="1" x14ac:dyDescent="0.3">
      <c r="B3" s="74" t="s">
        <v>62</v>
      </c>
      <c r="C3" s="74"/>
      <c r="D3" s="74"/>
      <c r="E3" s="74"/>
      <c r="F3" s="75"/>
    </row>
    <row r="4" spans="2:7" ht="25.5" customHeight="1" x14ac:dyDescent="0.3">
      <c r="B4" s="2" t="s">
        <v>0</v>
      </c>
      <c r="C4" s="2" t="s">
        <v>40</v>
      </c>
      <c r="D4" s="6" t="s">
        <v>41</v>
      </c>
      <c r="E4" s="16"/>
      <c r="F4" s="17" t="s">
        <v>49</v>
      </c>
    </row>
    <row r="5" spans="2:7" ht="192" x14ac:dyDescent="0.3">
      <c r="B5" s="2">
        <f>활동항목선택!A5</f>
        <v>1</v>
      </c>
      <c r="C5" s="2" t="str">
        <f>활동항목선택!B5</f>
        <v>김경선</v>
      </c>
      <c r="D5" s="45" t="s">
        <v>137</v>
      </c>
      <c r="E5" s="4" t="str">
        <f>활동항목선택!BK5</f>
        <v xml:space="preserve">행복한 삶과 자아존중감 활동(2019.03.19., 2019.08.27.)을 통해 자아 존중감의 의미와 중요성을 이해하고, 자아 존중감 검사를 통해 자신의 자아 존중감 정도를 확인하고 이를 높이기 위한 방법을 생각해 봄.
나를 찾아가는 여행 활동(2019.03.26., 2019.04.02.)을 통해 내가 생각하는 나의 모습과 타인이 생각하는 나의 모습을 기록해보며 자신을 종합적으로 파악해봄.
꿈과 비전 활동(2019.04.09., 2019.04.16., 2019.09.03., 2019.09.06.)을 통해 꿈과 비전의 차이점을 알아보고 행복 그래프 그리기, 진화하는 나의 꿈 기록하기 활동을 통해 꿈을 갖는 이유에 대해 이해하며 삶의 목표를 설정하는 것의 중요성을 이해함.
공공질서의식교육(2019.05.07.)을 통한 공공질서의식, 공동체의식 등 더불어 살아가는 민주 시민으로서 자질을 향상시키는 계기를 마련함.
미래 사회와 직업 세계의 변화에 대한 학습(2019.06.11., 2019.07.15., 2019.10.15., 2019.10.22.)을 통해 미래의 유망 직업, 색다른 직업, 신생 직업을 알아보고 직업 세계의 변화를 예측해 봄.
장기진로 계획수립 활동(2019.09.10., 2019.09.17.)을 통해 자신의 진로 목표에 따른 진로 비전하우스를 설계해보고, 자신의 비전하우스에 대해 모둠별로 이야기해 보며 봄.
취업 구직서류 작성교육(2019.12.24.)을 통해 이력서, 자기소개서에 들어가야할 내용과 작성방법을 이해하고 본인의 이력서와 자기소개서를 직접 작성함.
</v>
      </c>
      <c r="F5" s="18">
        <f>IF(활동항목선택!BL5=0,"",활동항목선택!BL5)</f>
        <v>7</v>
      </c>
    </row>
    <row r="6" spans="2:7" x14ac:dyDescent="0.3">
      <c r="B6" s="2">
        <f>활동항목선택!A6</f>
        <v>2</v>
      </c>
      <c r="C6" s="2" t="str">
        <f>활동항목선택!B6</f>
        <v>김민규</v>
      </c>
      <c r="D6" s="45"/>
      <c r="E6" s="4" t="str">
        <f>활동항목선택!BK6</f>
        <v/>
      </c>
      <c r="F6" s="18" t="str">
        <f>IF(활동항목선택!BL6=0,"",활동항목선택!BL6)</f>
        <v/>
      </c>
    </row>
    <row r="7" spans="2:7" x14ac:dyDescent="0.3">
      <c r="B7" s="2">
        <f>활동항목선택!A7</f>
        <v>3</v>
      </c>
      <c r="C7" s="2" t="str">
        <f>활동항목선택!B7</f>
        <v>김종원</v>
      </c>
      <c r="D7" s="45"/>
      <c r="E7" s="4" t="str">
        <f>활동항목선택!BK7</f>
        <v/>
      </c>
      <c r="F7" s="18" t="str">
        <f>IF(활동항목선택!BL7=0,"",활동항목선택!BL7)</f>
        <v/>
      </c>
    </row>
    <row r="8" spans="2:7" x14ac:dyDescent="0.3">
      <c r="B8" s="2">
        <f>활동항목선택!A8</f>
        <v>4</v>
      </c>
      <c r="C8" s="2" t="str">
        <f>활동항목선택!B8</f>
        <v>김형은</v>
      </c>
      <c r="D8" s="45"/>
      <c r="E8" s="4" t="str">
        <f>활동항목선택!BK8</f>
        <v/>
      </c>
      <c r="F8" s="18" t="str">
        <f>IF(활동항목선택!BL8=0,"",활동항목선택!BL8)</f>
        <v/>
      </c>
    </row>
    <row r="9" spans="2:7" x14ac:dyDescent="0.3">
      <c r="B9" s="2">
        <f>활동항목선택!A9</f>
        <v>5</v>
      </c>
      <c r="C9" s="2" t="str">
        <f>활동항목선택!B9</f>
        <v>민호영</v>
      </c>
      <c r="D9" s="45"/>
      <c r="E9" s="4" t="str">
        <f>활동항목선택!BK9</f>
        <v/>
      </c>
      <c r="F9" s="18" t="str">
        <f>IF(활동항목선택!BL9=0,"",활동항목선택!BL9)</f>
        <v/>
      </c>
    </row>
    <row r="10" spans="2:7" x14ac:dyDescent="0.3">
      <c r="B10" s="2">
        <f>활동항목선택!A10</f>
        <v>6</v>
      </c>
      <c r="C10" s="2" t="str">
        <f>활동항목선택!B10</f>
        <v>박승준</v>
      </c>
      <c r="D10" s="45"/>
      <c r="E10" s="4" t="str">
        <f>활동항목선택!BK10</f>
        <v/>
      </c>
      <c r="F10" s="18" t="str">
        <f>IF(활동항목선택!BL10=0,"",활동항목선택!BL10)</f>
        <v/>
      </c>
    </row>
    <row r="11" spans="2:7" x14ac:dyDescent="0.3">
      <c r="B11" s="2">
        <f>활동항목선택!A11</f>
        <v>7</v>
      </c>
      <c r="C11" s="2" t="str">
        <f>활동항목선택!B11</f>
        <v>박주영</v>
      </c>
      <c r="D11" s="45"/>
      <c r="E11" s="4" t="str">
        <f>활동항목선택!BK11</f>
        <v/>
      </c>
      <c r="F11" s="18" t="str">
        <f>IF(활동항목선택!BL11=0,"",활동항목선택!BL11)</f>
        <v/>
      </c>
    </row>
    <row r="12" spans="2:7" x14ac:dyDescent="0.3">
      <c r="B12" s="2">
        <f>활동항목선택!A12</f>
        <v>8</v>
      </c>
      <c r="C12" s="2" t="str">
        <f>활동항목선택!B12</f>
        <v>박준건</v>
      </c>
      <c r="D12" s="45"/>
      <c r="E12" s="4" t="str">
        <f>활동항목선택!BK12</f>
        <v/>
      </c>
      <c r="F12" s="18" t="str">
        <f>IF(활동항목선택!BL12=0,"",활동항목선택!BL12)</f>
        <v/>
      </c>
    </row>
    <row r="13" spans="2:7" x14ac:dyDescent="0.3">
      <c r="B13" s="2">
        <f>활동항목선택!A13</f>
        <v>9</v>
      </c>
      <c r="C13" s="2" t="str">
        <f>활동항목선택!B13</f>
        <v>서혜민</v>
      </c>
      <c r="D13" s="45"/>
      <c r="E13" s="4" t="str">
        <f>활동항목선택!BK13</f>
        <v/>
      </c>
      <c r="F13" s="18" t="str">
        <f>IF(활동항목선택!BL13=0,"",활동항목선택!BL13)</f>
        <v/>
      </c>
    </row>
    <row r="14" spans="2:7" x14ac:dyDescent="0.3">
      <c r="B14" s="2">
        <f>활동항목선택!A14</f>
        <v>10</v>
      </c>
      <c r="C14" s="2" t="str">
        <f>활동항목선택!B14</f>
        <v>소준우</v>
      </c>
      <c r="D14" s="45"/>
      <c r="E14" s="4" t="str">
        <f>활동항목선택!BK14</f>
        <v/>
      </c>
      <c r="F14" s="18" t="str">
        <f>IF(활동항목선택!BL14=0,"",활동항목선택!BL14)</f>
        <v/>
      </c>
    </row>
    <row r="15" spans="2:7" x14ac:dyDescent="0.3">
      <c r="B15" s="2">
        <f>활동항목선택!A15</f>
        <v>11</v>
      </c>
      <c r="C15" s="2" t="str">
        <f>활동항목선택!B15</f>
        <v>송완우</v>
      </c>
      <c r="D15" s="45"/>
      <c r="E15" s="4" t="str">
        <f>활동항목선택!BK15</f>
        <v/>
      </c>
      <c r="F15" s="18" t="str">
        <f>IF(활동항목선택!BL15=0,"",활동항목선택!BL15)</f>
        <v/>
      </c>
    </row>
    <row r="16" spans="2:7" x14ac:dyDescent="0.3">
      <c r="B16" s="2">
        <f>활동항목선택!A16</f>
        <v>12</v>
      </c>
      <c r="C16" s="2" t="str">
        <f>활동항목선택!B16</f>
        <v>양재원</v>
      </c>
      <c r="D16" s="45"/>
      <c r="E16" s="4" t="str">
        <f>활동항목선택!BK16</f>
        <v/>
      </c>
      <c r="F16" s="18" t="str">
        <f>IF(활동항목선택!BL16=0,"",활동항목선택!BL16)</f>
        <v/>
      </c>
    </row>
    <row r="17" spans="2:6" x14ac:dyDescent="0.3">
      <c r="B17" s="2">
        <f>활동항목선택!A17</f>
        <v>13</v>
      </c>
      <c r="C17" s="2" t="str">
        <f>활동항목선택!B17</f>
        <v>용은재</v>
      </c>
      <c r="D17" s="45"/>
      <c r="E17" s="4" t="str">
        <f>활동항목선택!BK17</f>
        <v/>
      </c>
      <c r="F17" s="18" t="str">
        <f>IF(활동항목선택!BL17=0,"",활동항목선택!BL17)</f>
        <v/>
      </c>
    </row>
    <row r="18" spans="2:6" x14ac:dyDescent="0.3">
      <c r="B18" s="2">
        <f>활동항목선택!A18</f>
        <v>14</v>
      </c>
      <c r="C18" s="2" t="str">
        <f>활동항목선택!B18</f>
        <v>이상호</v>
      </c>
      <c r="D18" s="45"/>
      <c r="E18" s="4" t="str">
        <f>활동항목선택!BK18</f>
        <v/>
      </c>
      <c r="F18" s="18" t="str">
        <f>IF(활동항목선택!BL18=0,"",활동항목선택!BL18)</f>
        <v/>
      </c>
    </row>
    <row r="19" spans="2:6" x14ac:dyDescent="0.3">
      <c r="B19" s="2">
        <f>활동항목선택!A19</f>
        <v>15</v>
      </c>
      <c r="C19" s="2" t="str">
        <f>활동항목선택!B19</f>
        <v>이형석</v>
      </c>
      <c r="D19" s="45"/>
      <c r="E19" s="5" t="str">
        <f>활동항목선택!BK19</f>
        <v/>
      </c>
      <c r="F19" s="18" t="str">
        <f>IF(활동항목선택!BL19=0,"",활동항목선택!BL19)</f>
        <v/>
      </c>
    </row>
    <row r="20" spans="2:6" x14ac:dyDescent="0.3">
      <c r="B20" s="2">
        <f>활동항목선택!A20</f>
        <v>16</v>
      </c>
      <c r="C20" s="2" t="str">
        <f>활동항목선택!B20</f>
        <v>이후윤</v>
      </c>
      <c r="D20" s="45"/>
      <c r="E20" s="5" t="str">
        <f>활동항목선택!BK20</f>
        <v/>
      </c>
      <c r="F20" s="18" t="str">
        <f>IF(활동항목선택!BL20=0,"",활동항목선택!BL20)</f>
        <v/>
      </c>
    </row>
    <row r="21" spans="2:6" x14ac:dyDescent="0.3">
      <c r="B21" s="2">
        <f>활동항목선택!A21</f>
        <v>17</v>
      </c>
      <c r="C21" s="2" t="str">
        <f>활동항목선택!B21</f>
        <v>임수정</v>
      </c>
      <c r="D21" s="45"/>
      <c r="E21" s="5" t="str">
        <f>활동항목선택!BK21</f>
        <v/>
      </c>
      <c r="F21" s="18" t="str">
        <f>IF(활동항목선택!BL21=0,"",활동항목선택!BL21)</f>
        <v/>
      </c>
    </row>
    <row r="22" spans="2:6" x14ac:dyDescent="0.3">
      <c r="B22" s="2">
        <f>활동항목선택!A22</f>
        <v>18</v>
      </c>
      <c r="C22" s="2" t="str">
        <f>활동항목선택!B22</f>
        <v>주민지</v>
      </c>
      <c r="D22" s="45"/>
      <c r="E22" s="5" t="str">
        <f>활동항목선택!BK22</f>
        <v/>
      </c>
      <c r="F22" s="18" t="str">
        <f>IF(활동항목선택!BL22=0,"",활동항목선택!BL22)</f>
        <v/>
      </c>
    </row>
    <row r="23" spans="2:6" x14ac:dyDescent="0.3">
      <c r="B23" s="2">
        <f>활동항목선택!A23</f>
        <v>19</v>
      </c>
      <c r="C23" s="2" t="str">
        <f>활동항목선택!B23</f>
        <v>최정우</v>
      </c>
      <c r="D23" s="45"/>
      <c r="E23" s="5" t="str">
        <f>활동항목선택!BK23</f>
        <v/>
      </c>
      <c r="F23" s="18" t="str">
        <f>IF(활동항목선택!BL23=0,"",활동항목선택!BL23)</f>
        <v/>
      </c>
    </row>
    <row r="24" spans="2:6" x14ac:dyDescent="0.3">
      <c r="B24" s="2">
        <f>활동항목선택!A24</f>
        <v>20</v>
      </c>
      <c r="C24" s="2">
        <f>활동항목선택!B24</f>
        <v>0</v>
      </c>
      <c r="D24" s="45"/>
      <c r="E24" s="5" t="str">
        <f>활동항목선택!BK24</f>
        <v/>
      </c>
      <c r="F24" s="18" t="str">
        <f>IF(활동항목선택!BL24=0,"",활동항목선택!BL24)</f>
        <v/>
      </c>
    </row>
    <row r="25" spans="2:6" x14ac:dyDescent="0.3">
      <c r="B25" s="2">
        <f>활동항목선택!A25</f>
        <v>21</v>
      </c>
      <c r="C25" s="2">
        <f>활동항목선택!B25</f>
        <v>0</v>
      </c>
      <c r="D25" s="45"/>
      <c r="E25" s="5" t="str">
        <f>활동항목선택!BK25</f>
        <v/>
      </c>
      <c r="F25" s="18" t="str">
        <f>IF(활동항목선택!BL25=0,"",활동항목선택!BL25)</f>
        <v/>
      </c>
    </row>
    <row r="26" spans="2:6" x14ac:dyDescent="0.3">
      <c r="B26" s="2">
        <f>활동항목선택!A26</f>
        <v>22</v>
      </c>
      <c r="C26" s="2">
        <f>활동항목선택!B26</f>
        <v>0</v>
      </c>
      <c r="D26" s="45"/>
      <c r="E26" s="5" t="str">
        <f>활동항목선택!BK26</f>
        <v/>
      </c>
      <c r="F26" s="18" t="str">
        <f>IF(활동항목선택!BL26=0,"",활동항목선택!BL26)</f>
        <v/>
      </c>
    </row>
    <row r="27" spans="2:6" x14ac:dyDescent="0.3">
      <c r="B27" s="2">
        <f>활동항목선택!A27</f>
        <v>23</v>
      </c>
      <c r="C27" s="2">
        <f>활동항목선택!B27</f>
        <v>0</v>
      </c>
      <c r="D27" s="45"/>
      <c r="E27" s="5" t="str">
        <f>활동항목선택!BK27</f>
        <v/>
      </c>
      <c r="F27" s="18" t="str">
        <f>IF(활동항목선택!BL27=0,"",활동항목선택!BL27)</f>
        <v/>
      </c>
    </row>
    <row r="28" spans="2:6" x14ac:dyDescent="0.3">
      <c r="B28" s="2">
        <f>활동항목선택!A28</f>
        <v>24</v>
      </c>
      <c r="C28" s="2">
        <f>활동항목선택!B28</f>
        <v>0</v>
      </c>
      <c r="D28" s="45"/>
      <c r="E28" s="5" t="str">
        <f>활동항목선택!BK28</f>
        <v/>
      </c>
      <c r="F28" s="18" t="str">
        <f>IF(활동항목선택!BL28=0,"",활동항목선택!BL28)</f>
        <v/>
      </c>
    </row>
    <row r="29" spans="2:6" x14ac:dyDescent="0.3">
      <c r="B29" s="2">
        <f>활동항목선택!A29</f>
        <v>25</v>
      </c>
      <c r="C29" s="2">
        <f>활동항목선택!B29</f>
        <v>0</v>
      </c>
      <c r="D29" s="45"/>
      <c r="E29" s="5" t="str">
        <f>활동항목선택!BK29</f>
        <v/>
      </c>
      <c r="F29" s="18" t="str">
        <f>IF(활동항목선택!BL29=0,"",활동항목선택!BL29)</f>
        <v/>
      </c>
    </row>
    <row r="30" spans="2:6" x14ac:dyDescent="0.3">
      <c r="B30" s="2">
        <f>활동항목선택!A30</f>
        <v>26</v>
      </c>
      <c r="C30" s="2">
        <f>활동항목선택!B30</f>
        <v>0</v>
      </c>
      <c r="D30" s="45"/>
      <c r="E30" s="5" t="str">
        <f>활동항목선택!BK30</f>
        <v/>
      </c>
      <c r="F30" s="18" t="str">
        <f>IF(활동항목선택!BL30=0,"",활동항목선택!BL30)</f>
        <v/>
      </c>
    </row>
    <row r="31" spans="2:6" x14ac:dyDescent="0.3">
      <c r="B31" s="2">
        <f>활동항목선택!A31</f>
        <v>27</v>
      </c>
      <c r="C31" s="2">
        <f>활동항목선택!B31</f>
        <v>0</v>
      </c>
      <c r="D31" s="45"/>
      <c r="E31" s="5" t="str">
        <f>활동항목선택!BK31</f>
        <v/>
      </c>
      <c r="F31" s="18" t="str">
        <f>IF(활동항목선택!BL31=0,"",활동항목선택!BL31)</f>
        <v/>
      </c>
    </row>
    <row r="32" spans="2:6" x14ac:dyDescent="0.3">
      <c r="B32" s="2">
        <f>활동항목선택!A32</f>
        <v>28</v>
      </c>
      <c r="C32" s="2">
        <f>활동항목선택!B32</f>
        <v>0</v>
      </c>
      <c r="D32" s="45"/>
      <c r="E32" s="5" t="str">
        <f>활동항목선택!BK32</f>
        <v/>
      </c>
      <c r="F32" s="18" t="str">
        <f>IF(활동항목선택!BL32=0,"",활동항목선택!BL32)</f>
        <v/>
      </c>
    </row>
    <row r="33" spans="2:6" x14ac:dyDescent="0.3">
      <c r="B33" s="2">
        <f>활동항목선택!A33</f>
        <v>29</v>
      </c>
      <c r="C33" s="2">
        <f>활동항목선택!B33</f>
        <v>0</v>
      </c>
      <c r="D33" s="45"/>
      <c r="E33" s="5" t="str">
        <f>활동항목선택!BK33</f>
        <v/>
      </c>
      <c r="F33" s="18" t="str">
        <f>IF(활동항목선택!BL33=0,"",활동항목선택!BL33)</f>
        <v/>
      </c>
    </row>
    <row r="34" spans="2:6" x14ac:dyDescent="0.3">
      <c r="B34" s="2">
        <f>활동항목선택!A34</f>
        <v>30</v>
      </c>
      <c r="C34" s="2">
        <f>활동항목선택!B34</f>
        <v>0</v>
      </c>
      <c r="D34" s="45"/>
      <c r="E34" s="5" t="str">
        <f>활동항목선택!BK34</f>
        <v/>
      </c>
      <c r="F34" s="18" t="str">
        <f>IF(활동항목선택!BL34=0,"",활동항목선택!BL34)</f>
        <v/>
      </c>
    </row>
    <row r="35" spans="2:6" x14ac:dyDescent="0.3">
      <c r="B35" s="2">
        <f>활동항목선택!A35</f>
        <v>31</v>
      </c>
      <c r="C35" s="2">
        <f>활동항목선택!B35</f>
        <v>0</v>
      </c>
      <c r="D35" s="45"/>
      <c r="E35" s="5" t="str">
        <f>활동항목선택!BK35</f>
        <v/>
      </c>
      <c r="F35" s="18" t="str">
        <f>IF(활동항목선택!BL35=0,"",활동항목선택!BL35)</f>
        <v/>
      </c>
    </row>
    <row r="36" spans="2:6" x14ac:dyDescent="0.3">
      <c r="B36" s="2">
        <f>활동항목선택!A36</f>
        <v>32</v>
      </c>
      <c r="C36" s="2">
        <f>활동항목선택!B36</f>
        <v>0</v>
      </c>
      <c r="D36" s="45"/>
      <c r="E36" s="5" t="str">
        <f>활동항목선택!BK36</f>
        <v/>
      </c>
      <c r="F36" s="18" t="str">
        <f>IF(활동항목선택!BL36=0,"",활동항목선택!BL36)</f>
        <v/>
      </c>
    </row>
    <row r="37" spans="2:6" x14ac:dyDescent="0.3">
      <c r="B37" s="2">
        <f>활동항목선택!A37</f>
        <v>33</v>
      </c>
      <c r="C37" s="2">
        <f>활동항목선택!B37</f>
        <v>0</v>
      </c>
      <c r="D37" s="45"/>
      <c r="E37" s="5" t="str">
        <f>활동항목선택!BK37</f>
        <v/>
      </c>
      <c r="F37" s="18" t="str">
        <f>IF(활동항목선택!BL37=0,"",활동항목선택!BL37)</f>
        <v/>
      </c>
    </row>
    <row r="38" spans="2:6" x14ac:dyDescent="0.3">
      <c r="B38" s="2">
        <f>활동항목선택!A38</f>
        <v>34</v>
      </c>
      <c r="C38" s="2">
        <f>활동항목선택!B38</f>
        <v>0</v>
      </c>
      <c r="D38" s="45"/>
      <c r="E38" s="5" t="str">
        <f>활동항목선택!BK38</f>
        <v/>
      </c>
      <c r="F38" s="18" t="str">
        <f>IF(활동항목선택!BL38=0,"",활동항목선택!BL38)</f>
        <v/>
      </c>
    </row>
    <row r="39" spans="2:6" x14ac:dyDescent="0.3">
      <c r="B39" s="2">
        <f>활동항목선택!A39</f>
        <v>35</v>
      </c>
      <c r="C39" s="2">
        <f>활동항목선택!B39</f>
        <v>0</v>
      </c>
      <c r="D39" s="45"/>
      <c r="E39" s="5" t="str">
        <f>활동항목선택!BK39</f>
        <v/>
      </c>
      <c r="F39" s="18" t="str">
        <f>IF(활동항목선택!BL39=0,"",활동항목선택!BL39)</f>
        <v/>
      </c>
    </row>
    <row r="40" spans="2:6" x14ac:dyDescent="0.3">
      <c r="B40" s="2">
        <f>활동항목선택!A40</f>
        <v>36</v>
      </c>
      <c r="C40" s="2">
        <f>활동항목선택!B40</f>
        <v>0</v>
      </c>
      <c r="D40" s="45"/>
      <c r="E40" s="5" t="str">
        <f>활동항목선택!BK40</f>
        <v/>
      </c>
      <c r="F40" s="18" t="str">
        <f>IF(활동항목선택!BL40=0,"",활동항목선택!BL40)</f>
        <v/>
      </c>
    </row>
    <row r="41" spans="2:6" x14ac:dyDescent="0.3">
      <c r="B41" s="2">
        <f>활동항목선택!A41</f>
        <v>37</v>
      </c>
      <c r="C41" s="2">
        <f>활동항목선택!B41</f>
        <v>0</v>
      </c>
      <c r="D41" s="45"/>
      <c r="E41" s="5" t="str">
        <f>활동항목선택!BK41</f>
        <v/>
      </c>
      <c r="F41" s="18" t="str">
        <f>IF(활동항목선택!BL41=0,"",활동항목선택!BL41)</f>
        <v/>
      </c>
    </row>
    <row r="42" spans="2:6" x14ac:dyDescent="0.3">
      <c r="B42" s="2">
        <f>활동항목선택!A42</f>
        <v>38</v>
      </c>
      <c r="C42" s="2">
        <f>활동항목선택!B42</f>
        <v>0</v>
      </c>
      <c r="D42" s="45"/>
      <c r="E42" s="5" t="str">
        <f>활동항목선택!BK42</f>
        <v/>
      </c>
      <c r="F42" s="18" t="str">
        <f>IF(활동항목선택!BL42=0,"",활동항목선택!BL42)</f>
        <v/>
      </c>
    </row>
    <row r="43" spans="2:6" x14ac:dyDescent="0.3">
      <c r="B43" s="2">
        <f>활동항목선택!A43</f>
        <v>39</v>
      </c>
      <c r="C43" s="2">
        <f>활동항목선택!B43</f>
        <v>0</v>
      </c>
      <c r="D43" s="45"/>
      <c r="E43" s="5" t="str">
        <f>활동항목선택!BK43</f>
        <v/>
      </c>
      <c r="F43" s="18" t="str">
        <f>IF(활동항목선택!BL43=0,"",활동항목선택!BL43)</f>
        <v/>
      </c>
    </row>
    <row r="44" spans="2:6" x14ac:dyDescent="0.3">
      <c r="B44" s="2">
        <f>활동항목선택!A44</f>
        <v>40</v>
      </c>
      <c r="C44" s="2">
        <f>활동항목선택!B44</f>
        <v>0</v>
      </c>
      <c r="D44" s="45"/>
      <c r="E44" s="5" t="str">
        <f>활동항목선택!BK44</f>
        <v/>
      </c>
      <c r="F44" s="18" t="str">
        <f>IF(활동항목선택!BL44=0,"",활동항목선택!BL44)</f>
        <v/>
      </c>
    </row>
  </sheetData>
  <sheetProtection password="C7E8" sheet="1" objects="1" scenarios="1" selectLockedCells="1"/>
  <mergeCells count="3">
    <mergeCell ref="B2:F2"/>
    <mergeCell ref="B1:F1"/>
    <mergeCell ref="B3:F3"/>
  </mergeCells>
  <phoneticPr fontId="2" type="noConversion"/>
  <printOptions horizontalCentered="1"/>
  <pageMargins left="0.31496062992125984" right="0.31496062992125984" top="0.55118110236220474" bottom="0.35433070866141736"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vt:i4>
      </vt:variant>
      <vt:variant>
        <vt:lpstr>이름이 지정된 범위</vt:lpstr>
      </vt:variant>
      <vt:variant>
        <vt:i4>4</vt:i4>
      </vt:variant>
    </vt:vector>
  </HeadingPairs>
  <TitlesOfParts>
    <vt:vector size="7" baseType="lpstr">
      <vt:lpstr>활동내용입력</vt:lpstr>
      <vt:lpstr>활동항목선택</vt:lpstr>
      <vt:lpstr>진로활동특기사항</vt:lpstr>
      <vt:lpstr>활동내용입력!Criteria</vt:lpstr>
      <vt:lpstr>진로활동특기사항!Print_Area</vt:lpstr>
      <vt:lpstr>활동내용입력!Print_Area</vt:lpstr>
      <vt:lpstr>활동항목선택!Print_Area</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Registered User</dc:creator>
  <cp:lastModifiedBy>dongyoun lee</cp:lastModifiedBy>
  <cp:lastPrinted>2015-12-20T09:39:39Z</cp:lastPrinted>
  <dcterms:created xsi:type="dcterms:W3CDTF">2014-01-02T02:34:46Z</dcterms:created>
  <dcterms:modified xsi:type="dcterms:W3CDTF">2019-12-27T05:50:36Z</dcterms:modified>
</cp:coreProperties>
</file>