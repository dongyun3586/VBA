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codeName="ThisWorkbook" defaultThemeVersion="124226"/>
  <mc:AlternateContent xmlns:mc="http://schemas.openxmlformats.org/markup-compatibility/2006">
    <mc:Choice Requires="x15">
      <x15ac:absPath xmlns:x15ac="http://schemas.microsoft.com/office/spreadsheetml/2010/11/ac" url="C:\Users\goodl\Google 드라이브\01학교업무\01_담임업무\학생생활기록부(생기부)\생기부입력 프로그램\"/>
    </mc:Choice>
  </mc:AlternateContent>
  <xr:revisionPtr revIDLastSave="0" documentId="13_ncr:1_{F3E10CEC-533A-4CFC-8EFB-7A8DA1ACDFB1}" xr6:coauthVersionLast="34" xr6:coauthVersionMax="34" xr10:uidLastSave="{00000000-0000-0000-0000-000000000000}"/>
  <bookViews>
    <workbookView xWindow="-12" yWindow="348" windowWidth="12660" windowHeight="9060" tabRatio="666" activeTab="2" xr2:uid="{00000000-000D-0000-FFFF-FFFF00000000}"/>
  </bookViews>
  <sheets>
    <sheet name="활동내용입력" sheetId="1" r:id="rId1"/>
    <sheet name="활동항목선택" sheetId="8" r:id="rId2"/>
    <sheet name="정보세특내용" sheetId="12" r:id="rId3"/>
  </sheets>
  <definedNames>
    <definedName name="_xlnm._FilterDatabase" localSheetId="0" hidden="1">활동내용입력!$B$3:$H$65</definedName>
    <definedName name="_xlnm.Print_Area" localSheetId="2">정보세특내용!$B$4:$D$44</definedName>
    <definedName name="_xlnm.Print_Area" localSheetId="0">활동내용입력!$B$2:$H$63</definedName>
    <definedName name="_xlnm.Print_Area" localSheetId="1">활동항목선택!$A$1:$BJ$44</definedName>
  </definedNames>
  <calcPr calcId="179021"/>
</workbook>
</file>

<file path=xl/calcChain.xml><?xml version="1.0" encoding="utf-8"?>
<calcChain xmlns="http://schemas.openxmlformats.org/spreadsheetml/2006/main">
  <c r="CN6" i="8" l="1"/>
  <c r="CN7" i="8"/>
  <c r="CN8" i="8"/>
  <c r="CN9" i="8"/>
  <c r="CN10" i="8"/>
  <c r="CN11" i="8"/>
  <c r="CN12" i="8"/>
  <c r="CN13" i="8"/>
  <c r="CN14" i="8"/>
  <c r="CN15" i="8"/>
  <c r="CN16" i="8"/>
  <c r="CN17" i="8"/>
  <c r="CN18" i="8"/>
  <c r="CN19" i="8"/>
  <c r="CN20" i="8"/>
  <c r="CN21" i="8"/>
  <c r="CN22" i="8"/>
  <c r="CN23" i="8"/>
  <c r="CN24" i="8"/>
  <c r="CN25" i="8"/>
  <c r="CN26" i="8"/>
  <c r="CN27" i="8"/>
  <c r="CN28" i="8"/>
  <c r="CN29" i="8"/>
  <c r="CN30" i="8"/>
  <c r="CN31" i="8"/>
  <c r="CN32" i="8"/>
  <c r="CN33" i="8"/>
  <c r="CN34" i="8"/>
  <c r="CN35" i="8"/>
  <c r="CN36" i="8"/>
  <c r="CN37" i="8"/>
  <c r="CN38" i="8"/>
  <c r="CN39" i="8"/>
  <c r="CN40" i="8"/>
  <c r="CN41" i="8"/>
  <c r="CN42" i="8"/>
  <c r="CN43" i="8"/>
  <c r="CN44" i="8"/>
  <c r="CN5" i="8"/>
  <c r="B6" i="12" l="1"/>
  <c r="C6" i="12"/>
  <c r="B7" i="12"/>
  <c r="C7" i="12"/>
  <c r="B8" i="12"/>
  <c r="C8" i="12"/>
  <c r="B9" i="12"/>
  <c r="C9" i="12"/>
  <c r="B10" i="12"/>
  <c r="C10" i="12"/>
  <c r="B11" i="12"/>
  <c r="C11" i="12"/>
  <c r="B12" i="12"/>
  <c r="C12" i="12"/>
  <c r="B13" i="12"/>
  <c r="C13" i="12"/>
  <c r="B14" i="12"/>
  <c r="C14" i="12"/>
  <c r="B15" i="12"/>
  <c r="C15" i="12"/>
  <c r="B16" i="12"/>
  <c r="C16" i="12"/>
  <c r="B17" i="12"/>
  <c r="C17" i="12"/>
  <c r="B18" i="12"/>
  <c r="C18" i="12"/>
  <c r="B19" i="12"/>
  <c r="C19" i="12"/>
  <c r="B20" i="12"/>
  <c r="C20" i="12"/>
  <c r="B21" i="12"/>
  <c r="C21" i="12"/>
  <c r="B22" i="12"/>
  <c r="C22" i="12"/>
  <c r="B23" i="12"/>
  <c r="C23" i="12"/>
  <c r="B24" i="12"/>
  <c r="C24" i="12"/>
  <c r="B25" i="12"/>
  <c r="C25" i="12"/>
  <c r="B26" i="12"/>
  <c r="C26" i="12"/>
  <c r="B27" i="12"/>
  <c r="C27" i="12"/>
  <c r="B28" i="12"/>
  <c r="C28" i="12"/>
  <c r="B29" i="12"/>
  <c r="C29" i="12"/>
  <c r="B30" i="12"/>
  <c r="C30" i="12"/>
  <c r="B31" i="12"/>
  <c r="C31" i="12"/>
  <c r="B32" i="12"/>
  <c r="C32" i="12"/>
  <c r="B33" i="12"/>
  <c r="C33" i="12"/>
  <c r="B34" i="12"/>
  <c r="C34" i="12"/>
  <c r="B35" i="12"/>
  <c r="C35" i="12"/>
  <c r="B36" i="12"/>
  <c r="C36" i="12"/>
  <c r="B37" i="12"/>
  <c r="C37" i="12"/>
  <c r="B38" i="12"/>
  <c r="C38" i="12"/>
  <c r="B39" i="12"/>
  <c r="C39" i="12"/>
  <c r="B40" i="12"/>
  <c r="C40" i="12"/>
  <c r="B41" i="12"/>
  <c r="C41" i="12"/>
  <c r="B42" i="12"/>
  <c r="C42" i="12"/>
  <c r="B43" i="12"/>
  <c r="C43" i="12"/>
  <c r="B44" i="12"/>
  <c r="C44" i="12"/>
  <c r="C5" i="12"/>
  <c r="B5" i="12"/>
  <c r="BK6" i="8" l="1"/>
  <c r="BL6" i="8"/>
  <c r="BM6" i="8"/>
  <c r="BN6" i="8"/>
  <c r="BO6" i="8"/>
  <c r="BP6" i="8"/>
  <c r="BQ6" i="8"/>
  <c r="BR6" i="8"/>
  <c r="BS6" i="8"/>
  <c r="BT6" i="8"/>
  <c r="BK7" i="8"/>
  <c r="BL7" i="8"/>
  <c r="BM7" i="8"/>
  <c r="BN7" i="8"/>
  <c r="BO7" i="8"/>
  <c r="BP7" i="8"/>
  <c r="BQ7" i="8"/>
  <c r="BR7" i="8"/>
  <c r="BS7" i="8"/>
  <c r="BT7" i="8"/>
  <c r="BK8" i="8"/>
  <c r="BL8" i="8"/>
  <c r="BM8" i="8"/>
  <c r="BN8" i="8"/>
  <c r="BO8" i="8"/>
  <c r="BP8" i="8"/>
  <c r="BQ8" i="8"/>
  <c r="BR8" i="8"/>
  <c r="BS8" i="8"/>
  <c r="BT8" i="8"/>
  <c r="BK9" i="8"/>
  <c r="BL9" i="8"/>
  <c r="BM9" i="8"/>
  <c r="BN9" i="8"/>
  <c r="BO9" i="8"/>
  <c r="BP9" i="8"/>
  <c r="BQ9" i="8"/>
  <c r="BR9" i="8"/>
  <c r="BS9" i="8"/>
  <c r="BT9" i="8"/>
  <c r="BK10" i="8"/>
  <c r="BL10" i="8"/>
  <c r="BM10" i="8"/>
  <c r="BN10" i="8"/>
  <c r="BO10" i="8"/>
  <c r="BP10" i="8"/>
  <c r="BQ10" i="8"/>
  <c r="BR10" i="8"/>
  <c r="BS10" i="8"/>
  <c r="BT10" i="8"/>
  <c r="BK11" i="8"/>
  <c r="BL11" i="8"/>
  <c r="BM11" i="8"/>
  <c r="BN11" i="8"/>
  <c r="BO11" i="8"/>
  <c r="BP11" i="8"/>
  <c r="BQ11" i="8"/>
  <c r="BR11" i="8"/>
  <c r="BS11" i="8"/>
  <c r="BT11" i="8"/>
  <c r="BK12" i="8"/>
  <c r="BL12" i="8"/>
  <c r="BM12" i="8"/>
  <c r="BN12" i="8"/>
  <c r="BO12" i="8"/>
  <c r="BP12" i="8"/>
  <c r="BQ12" i="8"/>
  <c r="BR12" i="8"/>
  <c r="BS12" i="8"/>
  <c r="BT12" i="8"/>
  <c r="BK13" i="8"/>
  <c r="BL13" i="8"/>
  <c r="BM13" i="8"/>
  <c r="BN13" i="8"/>
  <c r="BO13" i="8"/>
  <c r="BP13" i="8"/>
  <c r="BQ13" i="8"/>
  <c r="BR13" i="8"/>
  <c r="BS13" i="8"/>
  <c r="BT13" i="8"/>
  <c r="BK14" i="8"/>
  <c r="BL14" i="8"/>
  <c r="BM14" i="8"/>
  <c r="BN14" i="8"/>
  <c r="BO14" i="8"/>
  <c r="BP14" i="8"/>
  <c r="BQ14" i="8"/>
  <c r="BR14" i="8"/>
  <c r="BS14" i="8"/>
  <c r="BT14" i="8"/>
  <c r="BK15" i="8"/>
  <c r="BL15" i="8"/>
  <c r="BM15" i="8"/>
  <c r="BN15" i="8"/>
  <c r="BO15" i="8"/>
  <c r="BP15" i="8"/>
  <c r="BQ15" i="8"/>
  <c r="BR15" i="8"/>
  <c r="BS15" i="8"/>
  <c r="BT15" i="8"/>
  <c r="BK16" i="8"/>
  <c r="BL16" i="8"/>
  <c r="BM16" i="8"/>
  <c r="BN16" i="8"/>
  <c r="BO16" i="8"/>
  <c r="BP16" i="8"/>
  <c r="BQ16" i="8"/>
  <c r="BR16" i="8"/>
  <c r="BS16" i="8"/>
  <c r="BT16" i="8"/>
  <c r="BK17" i="8"/>
  <c r="BL17" i="8"/>
  <c r="BM17" i="8"/>
  <c r="BN17" i="8"/>
  <c r="BO17" i="8"/>
  <c r="BP17" i="8"/>
  <c r="BQ17" i="8"/>
  <c r="BR17" i="8"/>
  <c r="BS17" i="8"/>
  <c r="BT17" i="8"/>
  <c r="BK18" i="8"/>
  <c r="BL18" i="8"/>
  <c r="BM18" i="8"/>
  <c r="BN18" i="8"/>
  <c r="BO18" i="8"/>
  <c r="BP18" i="8"/>
  <c r="BQ18" i="8"/>
  <c r="BR18" i="8"/>
  <c r="BS18" i="8"/>
  <c r="BT18" i="8"/>
  <c r="BK19" i="8"/>
  <c r="BL19" i="8"/>
  <c r="BM19" i="8"/>
  <c r="BN19" i="8"/>
  <c r="BO19" i="8"/>
  <c r="BP19" i="8"/>
  <c r="BQ19" i="8"/>
  <c r="BR19" i="8"/>
  <c r="BS19" i="8"/>
  <c r="BT19" i="8"/>
  <c r="BK20" i="8"/>
  <c r="BL20" i="8"/>
  <c r="BM20" i="8"/>
  <c r="BN20" i="8"/>
  <c r="BO20" i="8"/>
  <c r="BP20" i="8"/>
  <c r="BQ20" i="8"/>
  <c r="BR20" i="8"/>
  <c r="BS20" i="8"/>
  <c r="BT20" i="8"/>
  <c r="BK21" i="8"/>
  <c r="BL21" i="8"/>
  <c r="BM21" i="8"/>
  <c r="BN21" i="8"/>
  <c r="BO21" i="8"/>
  <c r="BP21" i="8"/>
  <c r="BQ21" i="8"/>
  <c r="BR21" i="8"/>
  <c r="BS21" i="8"/>
  <c r="BT21" i="8"/>
  <c r="BK22" i="8"/>
  <c r="BL22" i="8"/>
  <c r="BM22" i="8"/>
  <c r="BN22" i="8"/>
  <c r="BO22" i="8"/>
  <c r="BP22" i="8"/>
  <c r="BQ22" i="8"/>
  <c r="BR22" i="8"/>
  <c r="BS22" i="8"/>
  <c r="BT22" i="8"/>
  <c r="BK23" i="8"/>
  <c r="BL23" i="8"/>
  <c r="BM23" i="8"/>
  <c r="BN23" i="8"/>
  <c r="BO23" i="8"/>
  <c r="BP23" i="8"/>
  <c r="BQ23" i="8"/>
  <c r="BR23" i="8"/>
  <c r="BS23" i="8"/>
  <c r="BT23" i="8"/>
  <c r="BK24" i="8"/>
  <c r="BL24" i="8"/>
  <c r="BM24" i="8"/>
  <c r="BN24" i="8"/>
  <c r="BO24" i="8"/>
  <c r="BP24" i="8"/>
  <c r="BQ24" i="8"/>
  <c r="BR24" i="8"/>
  <c r="BS24" i="8"/>
  <c r="BT24" i="8"/>
  <c r="BK25" i="8"/>
  <c r="BL25" i="8"/>
  <c r="BM25" i="8"/>
  <c r="BN25" i="8"/>
  <c r="BO25" i="8"/>
  <c r="BP25" i="8"/>
  <c r="BQ25" i="8"/>
  <c r="BR25" i="8"/>
  <c r="BS25" i="8"/>
  <c r="BT25" i="8"/>
  <c r="BK26" i="8"/>
  <c r="BL26" i="8"/>
  <c r="BM26" i="8"/>
  <c r="BN26" i="8"/>
  <c r="BO26" i="8"/>
  <c r="BP26" i="8"/>
  <c r="BQ26" i="8"/>
  <c r="BR26" i="8"/>
  <c r="BS26" i="8"/>
  <c r="BT26" i="8"/>
  <c r="BK27" i="8"/>
  <c r="BL27" i="8"/>
  <c r="BM27" i="8"/>
  <c r="BN27" i="8"/>
  <c r="BO27" i="8"/>
  <c r="BP27" i="8"/>
  <c r="BQ27" i="8"/>
  <c r="BR27" i="8"/>
  <c r="BS27" i="8"/>
  <c r="BT27" i="8"/>
  <c r="BK28" i="8"/>
  <c r="BL28" i="8"/>
  <c r="BM28" i="8"/>
  <c r="BN28" i="8"/>
  <c r="BO28" i="8"/>
  <c r="BP28" i="8"/>
  <c r="BQ28" i="8"/>
  <c r="BR28" i="8"/>
  <c r="BS28" i="8"/>
  <c r="BT28" i="8"/>
  <c r="BK29" i="8"/>
  <c r="BL29" i="8"/>
  <c r="BM29" i="8"/>
  <c r="BN29" i="8"/>
  <c r="BO29" i="8"/>
  <c r="BP29" i="8"/>
  <c r="BQ29" i="8"/>
  <c r="BR29" i="8"/>
  <c r="BS29" i="8"/>
  <c r="BT29" i="8"/>
  <c r="BK30" i="8"/>
  <c r="BL30" i="8"/>
  <c r="BM30" i="8"/>
  <c r="BN30" i="8"/>
  <c r="BO30" i="8"/>
  <c r="BP30" i="8"/>
  <c r="BQ30" i="8"/>
  <c r="BR30" i="8"/>
  <c r="BS30" i="8"/>
  <c r="BT30" i="8"/>
  <c r="BK31" i="8"/>
  <c r="BL31" i="8"/>
  <c r="BM31" i="8"/>
  <c r="BN31" i="8"/>
  <c r="BO31" i="8"/>
  <c r="BP31" i="8"/>
  <c r="BQ31" i="8"/>
  <c r="BR31" i="8"/>
  <c r="BS31" i="8"/>
  <c r="BT31" i="8"/>
  <c r="BK32" i="8"/>
  <c r="BL32" i="8"/>
  <c r="BM32" i="8"/>
  <c r="BN32" i="8"/>
  <c r="BO32" i="8"/>
  <c r="BP32" i="8"/>
  <c r="BQ32" i="8"/>
  <c r="BR32" i="8"/>
  <c r="BS32" i="8"/>
  <c r="BT32" i="8"/>
  <c r="BK33" i="8"/>
  <c r="BL33" i="8"/>
  <c r="BM33" i="8"/>
  <c r="BN33" i="8"/>
  <c r="BO33" i="8"/>
  <c r="BP33" i="8"/>
  <c r="BQ33" i="8"/>
  <c r="BR33" i="8"/>
  <c r="BS33" i="8"/>
  <c r="BT33" i="8"/>
  <c r="BK34" i="8"/>
  <c r="BL34" i="8"/>
  <c r="BM34" i="8"/>
  <c r="BN34" i="8"/>
  <c r="BO34" i="8"/>
  <c r="BP34" i="8"/>
  <c r="BQ34" i="8"/>
  <c r="BR34" i="8"/>
  <c r="BS34" i="8"/>
  <c r="BT34" i="8"/>
  <c r="BK35" i="8"/>
  <c r="BL35" i="8"/>
  <c r="BM35" i="8"/>
  <c r="BN35" i="8"/>
  <c r="BO35" i="8"/>
  <c r="BP35" i="8"/>
  <c r="BQ35" i="8"/>
  <c r="BR35" i="8"/>
  <c r="BS35" i="8"/>
  <c r="BT35" i="8"/>
  <c r="BK36" i="8"/>
  <c r="BL36" i="8"/>
  <c r="BM36" i="8"/>
  <c r="BN36" i="8"/>
  <c r="BO36" i="8"/>
  <c r="BP36" i="8"/>
  <c r="BQ36" i="8"/>
  <c r="BR36" i="8"/>
  <c r="BS36" i="8"/>
  <c r="BT36" i="8"/>
  <c r="BK37" i="8"/>
  <c r="BL37" i="8"/>
  <c r="BM37" i="8"/>
  <c r="BN37" i="8"/>
  <c r="BO37" i="8"/>
  <c r="BP37" i="8"/>
  <c r="BQ37" i="8"/>
  <c r="BR37" i="8"/>
  <c r="BS37" i="8"/>
  <c r="BT37" i="8"/>
  <c r="BK38" i="8"/>
  <c r="BL38" i="8"/>
  <c r="BM38" i="8"/>
  <c r="BN38" i="8"/>
  <c r="BO38" i="8"/>
  <c r="BP38" i="8"/>
  <c r="BQ38" i="8"/>
  <c r="BR38" i="8"/>
  <c r="BS38" i="8"/>
  <c r="BT38" i="8"/>
  <c r="BK39" i="8"/>
  <c r="BL39" i="8"/>
  <c r="BM39" i="8"/>
  <c r="BN39" i="8"/>
  <c r="BO39" i="8"/>
  <c r="BP39" i="8"/>
  <c r="BQ39" i="8"/>
  <c r="BR39" i="8"/>
  <c r="BS39" i="8"/>
  <c r="BT39" i="8"/>
  <c r="BK40" i="8"/>
  <c r="BL40" i="8"/>
  <c r="BM40" i="8"/>
  <c r="BN40" i="8"/>
  <c r="BO40" i="8"/>
  <c r="BP40" i="8"/>
  <c r="BQ40" i="8"/>
  <c r="BR40" i="8"/>
  <c r="BS40" i="8"/>
  <c r="BT40" i="8"/>
  <c r="BK41" i="8"/>
  <c r="BL41" i="8"/>
  <c r="BM41" i="8"/>
  <c r="BN41" i="8"/>
  <c r="BO41" i="8"/>
  <c r="BP41" i="8"/>
  <c r="BQ41" i="8"/>
  <c r="BR41" i="8"/>
  <c r="BS41" i="8"/>
  <c r="BT41" i="8"/>
  <c r="BK42" i="8"/>
  <c r="BL42" i="8"/>
  <c r="BM42" i="8"/>
  <c r="BN42" i="8"/>
  <c r="BO42" i="8"/>
  <c r="BP42" i="8"/>
  <c r="BQ42" i="8"/>
  <c r="BR42" i="8"/>
  <c r="BS42" i="8"/>
  <c r="BT42" i="8"/>
  <c r="BK43" i="8"/>
  <c r="BL43" i="8"/>
  <c r="BM43" i="8"/>
  <c r="BN43" i="8"/>
  <c r="BO43" i="8"/>
  <c r="BP43" i="8"/>
  <c r="BQ43" i="8"/>
  <c r="BR43" i="8"/>
  <c r="BS43" i="8"/>
  <c r="BT43" i="8"/>
  <c r="BK44" i="8"/>
  <c r="BL44" i="8"/>
  <c r="BM44" i="8"/>
  <c r="BN44" i="8"/>
  <c r="BO44" i="8"/>
  <c r="BP44" i="8"/>
  <c r="BQ44" i="8"/>
  <c r="BR44" i="8"/>
  <c r="BS44" i="8"/>
  <c r="BT44" i="8"/>
  <c r="BN5" i="8"/>
  <c r="BM5" i="8"/>
  <c r="BL5" i="8"/>
  <c r="BK5" i="8"/>
  <c r="BU6" i="8"/>
  <c r="BV6" i="8"/>
  <c r="BW6" i="8"/>
  <c r="BX6" i="8"/>
  <c r="BY6" i="8"/>
  <c r="BZ6" i="8"/>
  <c r="CA6" i="8"/>
  <c r="CB6" i="8"/>
  <c r="CC6" i="8"/>
  <c r="CD6" i="8"/>
  <c r="CE6" i="8"/>
  <c r="CF6" i="8"/>
  <c r="CG6" i="8"/>
  <c r="CH6" i="8"/>
  <c r="CI6" i="8"/>
  <c r="CJ6" i="8"/>
  <c r="CK6" i="8"/>
  <c r="CL6" i="8"/>
  <c r="CM6" i="8"/>
  <c r="CO6" i="8"/>
  <c r="CP6" i="8"/>
  <c r="CQ6" i="8"/>
  <c r="CR6" i="8"/>
  <c r="CS6" i="8"/>
  <c r="CT6" i="8"/>
  <c r="CU6" i="8"/>
  <c r="CV6" i="8"/>
  <c r="CW6" i="8"/>
  <c r="CX6" i="8"/>
  <c r="CY6" i="8"/>
  <c r="CZ6" i="8"/>
  <c r="DA6" i="8"/>
  <c r="DB6" i="8"/>
  <c r="DC6" i="8"/>
  <c r="DD6" i="8"/>
  <c r="DE6" i="8"/>
  <c r="DF6" i="8"/>
  <c r="DG6" i="8"/>
  <c r="DH6" i="8"/>
  <c r="DI6" i="8"/>
  <c r="DJ6" i="8"/>
  <c r="DK6" i="8"/>
  <c r="DL6" i="8"/>
  <c r="DM6" i="8"/>
  <c r="DN6" i="8"/>
  <c r="DO6" i="8"/>
  <c r="DP6" i="8"/>
  <c r="DQ6" i="8"/>
  <c r="DR6" i="8"/>
  <c r="BU7" i="8"/>
  <c r="BV7" i="8"/>
  <c r="BW7" i="8"/>
  <c r="BX7" i="8"/>
  <c r="BY7" i="8"/>
  <c r="BZ7" i="8"/>
  <c r="CA7" i="8"/>
  <c r="CB7" i="8"/>
  <c r="CC7" i="8"/>
  <c r="CD7" i="8"/>
  <c r="CE7" i="8"/>
  <c r="CF7" i="8"/>
  <c r="CG7" i="8"/>
  <c r="CH7" i="8"/>
  <c r="CI7" i="8"/>
  <c r="CJ7" i="8"/>
  <c r="CK7" i="8"/>
  <c r="CL7" i="8"/>
  <c r="CM7" i="8"/>
  <c r="CO7" i="8"/>
  <c r="CP7" i="8"/>
  <c r="CQ7" i="8"/>
  <c r="CR7" i="8"/>
  <c r="CS7" i="8"/>
  <c r="CT7" i="8"/>
  <c r="CU7" i="8"/>
  <c r="CV7" i="8"/>
  <c r="CW7" i="8"/>
  <c r="CX7" i="8"/>
  <c r="CY7" i="8"/>
  <c r="CZ7" i="8"/>
  <c r="DA7" i="8"/>
  <c r="DB7" i="8"/>
  <c r="DC7" i="8"/>
  <c r="DD7" i="8"/>
  <c r="DE7" i="8"/>
  <c r="DF7" i="8"/>
  <c r="DG7" i="8"/>
  <c r="DH7" i="8"/>
  <c r="DI7" i="8"/>
  <c r="DJ7" i="8"/>
  <c r="DK7" i="8"/>
  <c r="DL7" i="8"/>
  <c r="DM7" i="8"/>
  <c r="DN7" i="8"/>
  <c r="DO7" i="8"/>
  <c r="DP7" i="8"/>
  <c r="DQ7" i="8"/>
  <c r="DR7" i="8"/>
  <c r="BU8" i="8"/>
  <c r="BV8" i="8"/>
  <c r="BW8" i="8"/>
  <c r="BX8" i="8"/>
  <c r="BY8" i="8"/>
  <c r="BZ8" i="8"/>
  <c r="CA8" i="8"/>
  <c r="CB8" i="8"/>
  <c r="CC8" i="8"/>
  <c r="CD8" i="8"/>
  <c r="CE8" i="8"/>
  <c r="CF8" i="8"/>
  <c r="CG8" i="8"/>
  <c r="CH8" i="8"/>
  <c r="CI8" i="8"/>
  <c r="CJ8" i="8"/>
  <c r="CK8" i="8"/>
  <c r="CL8" i="8"/>
  <c r="CM8" i="8"/>
  <c r="CO8" i="8"/>
  <c r="CP8" i="8"/>
  <c r="CQ8" i="8"/>
  <c r="CR8" i="8"/>
  <c r="CS8" i="8"/>
  <c r="CT8" i="8"/>
  <c r="CU8" i="8"/>
  <c r="CV8" i="8"/>
  <c r="CW8" i="8"/>
  <c r="CX8" i="8"/>
  <c r="CY8" i="8"/>
  <c r="CZ8" i="8"/>
  <c r="DA8" i="8"/>
  <c r="DB8" i="8"/>
  <c r="DC8" i="8"/>
  <c r="DD8" i="8"/>
  <c r="DE8" i="8"/>
  <c r="DF8" i="8"/>
  <c r="DG8" i="8"/>
  <c r="DH8" i="8"/>
  <c r="DI8" i="8"/>
  <c r="DJ8" i="8"/>
  <c r="DK8" i="8"/>
  <c r="DL8" i="8"/>
  <c r="DM8" i="8"/>
  <c r="DN8" i="8"/>
  <c r="DO8" i="8"/>
  <c r="DP8" i="8"/>
  <c r="DQ8" i="8"/>
  <c r="DR8" i="8"/>
  <c r="BU9" i="8"/>
  <c r="BV9" i="8"/>
  <c r="BW9" i="8"/>
  <c r="BX9" i="8"/>
  <c r="BY9" i="8"/>
  <c r="BZ9" i="8"/>
  <c r="CA9" i="8"/>
  <c r="CB9" i="8"/>
  <c r="CC9" i="8"/>
  <c r="CD9" i="8"/>
  <c r="CE9" i="8"/>
  <c r="CF9" i="8"/>
  <c r="CG9" i="8"/>
  <c r="CH9" i="8"/>
  <c r="CI9" i="8"/>
  <c r="CJ9" i="8"/>
  <c r="CK9" i="8"/>
  <c r="CL9" i="8"/>
  <c r="CM9" i="8"/>
  <c r="CO9" i="8"/>
  <c r="CP9" i="8"/>
  <c r="CQ9" i="8"/>
  <c r="CR9" i="8"/>
  <c r="CS9" i="8"/>
  <c r="CT9" i="8"/>
  <c r="CU9" i="8"/>
  <c r="CV9" i="8"/>
  <c r="CW9" i="8"/>
  <c r="CX9" i="8"/>
  <c r="CY9" i="8"/>
  <c r="CZ9" i="8"/>
  <c r="DA9" i="8"/>
  <c r="DB9" i="8"/>
  <c r="DC9" i="8"/>
  <c r="DD9" i="8"/>
  <c r="DE9" i="8"/>
  <c r="DF9" i="8"/>
  <c r="DG9" i="8"/>
  <c r="DH9" i="8"/>
  <c r="DI9" i="8"/>
  <c r="DJ9" i="8"/>
  <c r="DK9" i="8"/>
  <c r="DL9" i="8"/>
  <c r="DM9" i="8"/>
  <c r="DN9" i="8"/>
  <c r="DO9" i="8"/>
  <c r="DP9" i="8"/>
  <c r="DQ9" i="8"/>
  <c r="DR9" i="8"/>
  <c r="BU10" i="8"/>
  <c r="BV10" i="8"/>
  <c r="BW10" i="8"/>
  <c r="BX10" i="8"/>
  <c r="BY10" i="8"/>
  <c r="BZ10" i="8"/>
  <c r="CA10" i="8"/>
  <c r="CB10" i="8"/>
  <c r="CC10" i="8"/>
  <c r="CD10" i="8"/>
  <c r="CE10" i="8"/>
  <c r="CF10" i="8"/>
  <c r="CG10" i="8"/>
  <c r="CH10" i="8"/>
  <c r="CI10" i="8"/>
  <c r="CJ10" i="8"/>
  <c r="CK10" i="8"/>
  <c r="CL10" i="8"/>
  <c r="CM10" i="8"/>
  <c r="CO10" i="8"/>
  <c r="CP10" i="8"/>
  <c r="CQ10" i="8"/>
  <c r="CR10" i="8"/>
  <c r="CS10" i="8"/>
  <c r="CT10" i="8"/>
  <c r="CU10" i="8"/>
  <c r="CV10" i="8"/>
  <c r="CW10" i="8"/>
  <c r="CX10" i="8"/>
  <c r="CY10" i="8"/>
  <c r="CZ10" i="8"/>
  <c r="DA10" i="8"/>
  <c r="DB10" i="8"/>
  <c r="DC10" i="8"/>
  <c r="DD10" i="8"/>
  <c r="DE10" i="8"/>
  <c r="DF10" i="8"/>
  <c r="DG10" i="8"/>
  <c r="DH10" i="8"/>
  <c r="DI10" i="8"/>
  <c r="DJ10" i="8"/>
  <c r="DK10" i="8"/>
  <c r="DL10" i="8"/>
  <c r="DM10" i="8"/>
  <c r="DN10" i="8"/>
  <c r="DO10" i="8"/>
  <c r="DP10" i="8"/>
  <c r="DQ10" i="8"/>
  <c r="DR10" i="8"/>
  <c r="BU11" i="8"/>
  <c r="BV11" i="8"/>
  <c r="BW11" i="8"/>
  <c r="BX11" i="8"/>
  <c r="BY11" i="8"/>
  <c r="BZ11" i="8"/>
  <c r="CA11" i="8"/>
  <c r="CB11" i="8"/>
  <c r="CC11" i="8"/>
  <c r="CD11" i="8"/>
  <c r="CE11" i="8"/>
  <c r="CF11" i="8"/>
  <c r="CG11" i="8"/>
  <c r="CH11" i="8"/>
  <c r="CI11" i="8"/>
  <c r="CJ11" i="8"/>
  <c r="CK11" i="8"/>
  <c r="CL11" i="8"/>
  <c r="CM11" i="8"/>
  <c r="CO11" i="8"/>
  <c r="CP11" i="8"/>
  <c r="CQ11" i="8"/>
  <c r="CR11" i="8"/>
  <c r="CS11" i="8"/>
  <c r="CT11" i="8"/>
  <c r="CU11" i="8"/>
  <c r="CV11" i="8"/>
  <c r="CW11" i="8"/>
  <c r="CX11" i="8"/>
  <c r="CY11" i="8"/>
  <c r="CZ11" i="8"/>
  <c r="DA11" i="8"/>
  <c r="DB11" i="8"/>
  <c r="DC11" i="8"/>
  <c r="DD11" i="8"/>
  <c r="DE11" i="8"/>
  <c r="DF11" i="8"/>
  <c r="DG11" i="8"/>
  <c r="DH11" i="8"/>
  <c r="DI11" i="8"/>
  <c r="DJ11" i="8"/>
  <c r="DK11" i="8"/>
  <c r="DL11" i="8"/>
  <c r="DM11" i="8"/>
  <c r="DN11" i="8"/>
  <c r="DO11" i="8"/>
  <c r="DP11" i="8"/>
  <c r="DQ11" i="8"/>
  <c r="DR11" i="8"/>
  <c r="BU12" i="8"/>
  <c r="BV12" i="8"/>
  <c r="BW12" i="8"/>
  <c r="BX12" i="8"/>
  <c r="BY12" i="8"/>
  <c r="BZ12" i="8"/>
  <c r="CA12" i="8"/>
  <c r="CB12" i="8"/>
  <c r="CC12" i="8"/>
  <c r="CD12" i="8"/>
  <c r="CE12" i="8"/>
  <c r="CF12" i="8"/>
  <c r="CG12" i="8"/>
  <c r="CH12" i="8"/>
  <c r="CI12" i="8"/>
  <c r="CJ12" i="8"/>
  <c r="CK12" i="8"/>
  <c r="CL12" i="8"/>
  <c r="CM12" i="8"/>
  <c r="CO12" i="8"/>
  <c r="CP12" i="8"/>
  <c r="CQ12" i="8"/>
  <c r="CR12" i="8"/>
  <c r="CS12" i="8"/>
  <c r="CT12" i="8"/>
  <c r="CU12" i="8"/>
  <c r="CV12" i="8"/>
  <c r="CW12" i="8"/>
  <c r="CX12" i="8"/>
  <c r="CY12" i="8"/>
  <c r="CZ12" i="8"/>
  <c r="DA12" i="8"/>
  <c r="DB12" i="8"/>
  <c r="DC12" i="8"/>
  <c r="DD12" i="8"/>
  <c r="DE12" i="8"/>
  <c r="DF12" i="8"/>
  <c r="DG12" i="8"/>
  <c r="DH12" i="8"/>
  <c r="DI12" i="8"/>
  <c r="DJ12" i="8"/>
  <c r="DK12" i="8"/>
  <c r="DL12" i="8"/>
  <c r="DM12" i="8"/>
  <c r="DN12" i="8"/>
  <c r="DO12" i="8"/>
  <c r="DP12" i="8"/>
  <c r="DQ12" i="8"/>
  <c r="DR12" i="8"/>
  <c r="BU13" i="8"/>
  <c r="BV13" i="8"/>
  <c r="BW13" i="8"/>
  <c r="BX13" i="8"/>
  <c r="BY13" i="8"/>
  <c r="BZ13" i="8"/>
  <c r="CA13" i="8"/>
  <c r="CB13" i="8"/>
  <c r="CC13" i="8"/>
  <c r="CD13" i="8"/>
  <c r="CE13" i="8"/>
  <c r="CF13" i="8"/>
  <c r="CG13" i="8"/>
  <c r="CH13" i="8"/>
  <c r="CI13" i="8"/>
  <c r="CJ13" i="8"/>
  <c r="CK13" i="8"/>
  <c r="CL13" i="8"/>
  <c r="CM13" i="8"/>
  <c r="CO13" i="8"/>
  <c r="CP13" i="8"/>
  <c r="CQ13" i="8"/>
  <c r="CR13" i="8"/>
  <c r="CS13" i="8"/>
  <c r="CT13" i="8"/>
  <c r="CU13" i="8"/>
  <c r="CV13" i="8"/>
  <c r="CW13" i="8"/>
  <c r="CX13" i="8"/>
  <c r="CY13" i="8"/>
  <c r="CZ13" i="8"/>
  <c r="DA13" i="8"/>
  <c r="DB13" i="8"/>
  <c r="DC13" i="8"/>
  <c r="DD13" i="8"/>
  <c r="DE13" i="8"/>
  <c r="DF13" i="8"/>
  <c r="DG13" i="8"/>
  <c r="DH13" i="8"/>
  <c r="DI13" i="8"/>
  <c r="DJ13" i="8"/>
  <c r="DK13" i="8"/>
  <c r="DL13" i="8"/>
  <c r="DM13" i="8"/>
  <c r="DN13" i="8"/>
  <c r="DO13" i="8"/>
  <c r="DP13" i="8"/>
  <c r="DQ13" i="8"/>
  <c r="DR13" i="8"/>
  <c r="BU14" i="8"/>
  <c r="BV14" i="8"/>
  <c r="BW14" i="8"/>
  <c r="BX14" i="8"/>
  <c r="BY14" i="8"/>
  <c r="BZ14" i="8"/>
  <c r="CA14" i="8"/>
  <c r="CB14" i="8"/>
  <c r="CC14" i="8"/>
  <c r="CD14" i="8"/>
  <c r="CE14" i="8"/>
  <c r="CF14" i="8"/>
  <c r="CG14" i="8"/>
  <c r="CH14" i="8"/>
  <c r="CI14" i="8"/>
  <c r="CJ14" i="8"/>
  <c r="CK14" i="8"/>
  <c r="CL14" i="8"/>
  <c r="CM14" i="8"/>
  <c r="CO14" i="8"/>
  <c r="CP14" i="8"/>
  <c r="CQ14" i="8"/>
  <c r="CR14" i="8"/>
  <c r="CS14" i="8"/>
  <c r="CT14" i="8"/>
  <c r="CU14" i="8"/>
  <c r="CV14" i="8"/>
  <c r="CW14" i="8"/>
  <c r="CX14" i="8"/>
  <c r="CY14" i="8"/>
  <c r="CZ14" i="8"/>
  <c r="DA14" i="8"/>
  <c r="DB14" i="8"/>
  <c r="DC14" i="8"/>
  <c r="DD14" i="8"/>
  <c r="DE14" i="8"/>
  <c r="DF14" i="8"/>
  <c r="DG14" i="8"/>
  <c r="DH14" i="8"/>
  <c r="DI14" i="8"/>
  <c r="DJ14" i="8"/>
  <c r="DK14" i="8"/>
  <c r="DL14" i="8"/>
  <c r="DM14" i="8"/>
  <c r="DN14" i="8"/>
  <c r="DO14" i="8"/>
  <c r="DP14" i="8"/>
  <c r="DQ14" i="8"/>
  <c r="DR14" i="8"/>
  <c r="BU15" i="8"/>
  <c r="BV15" i="8"/>
  <c r="BW15" i="8"/>
  <c r="BX15" i="8"/>
  <c r="BY15" i="8"/>
  <c r="BZ15" i="8"/>
  <c r="CA15" i="8"/>
  <c r="CB15" i="8"/>
  <c r="CC15" i="8"/>
  <c r="CD15" i="8"/>
  <c r="CE15" i="8"/>
  <c r="CF15" i="8"/>
  <c r="CG15" i="8"/>
  <c r="CH15" i="8"/>
  <c r="CI15" i="8"/>
  <c r="CJ15" i="8"/>
  <c r="CK15" i="8"/>
  <c r="CL15" i="8"/>
  <c r="CM15" i="8"/>
  <c r="CO15" i="8"/>
  <c r="CP15" i="8"/>
  <c r="CQ15" i="8"/>
  <c r="CR15" i="8"/>
  <c r="CS15" i="8"/>
  <c r="CT15" i="8"/>
  <c r="CU15" i="8"/>
  <c r="CV15" i="8"/>
  <c r="CW15" i="8"/>
  <c r="CX15" i="8"/>
  <c r="CY15" i="8"/>
  <c r="CZ15" i="8"/>
  <c r="DA15" i="8"/>
  <c r="DB15" i="8"/>
  <c r="DC15" i="8"/>
  <c r="DD15" i="8"/>
  <c r="DE15" i="8"/>
  <c r="DF15" i="8"/>
  <c r="DG15" i="8"/>
  <c r="DH15" i="8"/>
  <c r="DI15" i="8"/>
  <c r="DJ15" i="8"/>
  <c r="DK15" i="8"/>
  <c r="DL15" i="8"/>
  <c r="DM15" i="8"/>
  <c r="DN15" i="8"/>
  <c r="DO15" i="8"/>
  <c r="DP15" i="8"/>
  <c r="DQ15" i="8"/>
  <c r="DR15" i="8"/>
  <c r="BU16" i="8"/>
  <c r="BV16" i="8"/>
  <c r="BW16" i="8"/>
  <c r="BX16" i="8"/>
  <c r="BY16" i="8"/>
  <c r="BZ16" i="8"/>
  <c r="CA16" i="8"/>
  <c r="CB16" i="8"/>
  <c r="CC16" i="8"/>
  <c r="CD16" i="8"/>
  <c r="CE16" i="8"/>
  <c r="CF16" i="8"/>
  <c r="CG16" i="8"/>
  <c r="CH16" i="8"/>
  <c r="CI16" i="8"/>
  <c r="CJ16" i="8"/>
  <c r="CK16" i="8"/>
  <c r="CL16" i="8"/>
  <c r="CM16" i="8"/>
  <c r="CO16" i="8"/>
  <c r="CP16" i="8"/>
  <c r="CQ16" i="8"/>
  <c r="CR16" i="8"/>
  <c r="CS16" i="8"/>
  <c r="CT16" i="8"/>
  <c r="CU16" i="8"/>
  <c r="CV16" i="8"/>
  <c r="CW16" i="8"/>
  <c r="CX16" i="8"/>
  <c r="CY16" i="8"/>
  <c r="CZ16" i="8"/>
  <c r="DA16" i="8"/>
  <c r="DB16" i="8"/>
  <c r="DC16" i="8"/>
  <c r="DD16" i="8"/>
  <c r="DE16" i="8"/>
  <c r="DF16" i="8"/>
  <c r="DG16" i="8"/>
  <c r="DH16" i="8"/>
  <c r="DI16" i="8"/>
  <c r="DJ16" i="8"/>
  <c r="DK16" i="8"/>
  <c r="DL16" i="8"/>
  <c r="DM16" i="8"/>
  <c r="DN16" i="8"/>
  <c r="DO16" i="8"/>
  <c r="DP16" i="8"/>
  <c r="DQ16" i="8"/>
  <c r="DR16" i="8"/>
  <c r="BU17" i="8"/>
  <c r="BV17" i="8"/>
  <c r="BW17" i="8"/>
  <c r="BX17" i="8"/>
  <c r="BY17" i="8"/>
  <c r="BZ17" i="8"/>
  <c r="CA17" i="8"/>
  <c r="CB17" i="8"/>
  <c r="CC17" i="8"/>
  <c r="CD17" i="8"/>
  <c r="CE17" i="8"/>
  <c r="CF17" i="8"/>
  <c r="CG17" i="8"/>
  <c r="CH17" i="8"/>
  <c r="CI17" i="8"/>
  <c r="CJ17" i="8"/>
  <c r="CK17" i="8"/>
  <c r="CL17" i="8"/>
  <c r="CM17" i="8"/>
  <c r="CO17" i="8"/>
  <c r="CP17" i="8"/>
  <c r="CQ17" i="8"/>
  <c r="CR17" i="8"/>
  <c r="CS17" i="8"/>
  <c r="CT17" i="8"/>
  <c r="CU17" i="8"/>
  <c r="CV17" i="8"/>
  <c r="CW17" i="8"/>
  <c r="CX17" i="8"/>
  <c r="CY17" i="8"/>
  <c r="CZ17" i="8"/>
  <c r="DA17" i="8"/>
  <c r="DB17" i="8"/>
  <c r="DC17" i="8"/>
  <c r="DD17" i="8"/>
  <c r="DE17" i="8"/>
  <c r="DF17" i="8"/>
  <c r="DG17" i="8"/>
  <c r="DH17" i="8"/>
  <c r="DI17" i="8"/>
  <c r="DJ17" i="8"/>
  <c r="DK17" i="8"/>
  <c r="DL17" i="8"/>
  <c r="DM17" i="8"/>
  <c r="DN17" i="8"/>
  <c r="DO17" i="8"/>
  <c r="DP17" i="8"/>
  <c r="DQ17" i="8"/>
  <c r="DR17" i="8"/>
  <c r="BU18" i="8"/>
  <c r="BV18" i="8"/>
  <c r="BW18" i="8"/>
  <c r="BX18" i="8"/>
  <c r="BY18" i="8"/>
  <c r="BZ18" i="8"/>
  <c r="CA18" i="8"/>
  <c r="CB18" i="8"/>
  <c r="CC18" i="8"/>
  <c r="CD18" i="8"/>
  <c r="CE18" i="8"/>
  <c r="CF18" i="8"/>
  <c r="CG18" i="8"/>
  <c r="CH18" i="8"/>
  <c r="CI18" i="8"/>
  <c r="CJ18" i="8"/>
  <c r="CK18" i="8"/>
  <c r="CL18" i="8"/>
  <c r="CM18" i="8"/>
  <c r="CO18" i="8"/>
  <c r="CP18" i="8"/>
  <c r="CQ18" i="8"/>
  <c r="CR18" i="8"/>
  <c r="CS18" i="8"/>
  <c r="CT18" i="8"/>
  <c r="CU18" i="8"/>
  <c r="CV18" i="8"/>
  <c r="CW18" i="8"/>
  <c r="CX18" i="8"/>
  <c r="CY18" i="8"/>
  <c r="CZ18" i="8"/>
  <c r="DA18" i="8"/>
  <c r="DB18" i="8"/>
  <c r="DC18" i="8"/>
  <c r="DD18" i="8"/>
  <c r="DE18" i="8"/>
  <c r="DF18" i="8"/>
  <c r="DG18" i="8"/>
  <c r="DH18" i="8"/>
  <c r="DI18" i="8"/>
  <c r="DJ18" i="8"/>
  <c r="DK18" i="8"/>
  <c r="DL18" i="8"/>
  <c r="DM18" i="8"/>
  <c r="DN18" i="8"/>
  <c r="DO18" i="8"/>
  <c r="DP18" i="8"/>
  <c r="DQ18" i="8"/>
  <c r="DR18" i="8"/>
  <c r="BU19" i="8"/>
  <c r="BV19" i="8"/>
  <c r="BW19" i="8"/>
  <c r="BX19" i="8"/>
  <c r="BY19" i="8"/>
  <c r="BZ19" i="8"/>
  <c r="CA19" i="8"/>
  <c r="CB19" i="8"/>
  <c r="CC19" i="8"/>
  <c r="CD19" i="8"/>
  <c r="CE19" i="8"/>
  <c r="CF19" i="8"/>
  <c r="CG19" i="8"/>
  <c r="CH19" i="8"/>
  <c r="CI19" i="8"/>
  <c r="CJ19" i="8"/>
  <c r="CK19" i="8"/>
  <c r="CL19" i="8"/>
  <c r="CM19" i="8"/>
  <c r="CO19" i="8"/>
  <c r="CP19" i="8"/>
  <c r="CQ19" i="8"/>
  <c r="CR19" i="8"/>
  <c r="CS19" i="8"/>
  <c r="CT19" i="8"/>
  <c r="CU19" i="8"/>
  <c r="CV19" i="8"/>
  <c r="CW19" i="8"/>
  <c r="CX19" i="8"/>
  <c r="CY19" i="8"/>
  <c r="CZ19" i="8"/>
  <c r="DA19" i="8"/>
  <c r="DB19" i="8"/>
  <c r="DC19" i="8"/>
  <c r="DD19" i="8"/>
  <c r="DE19" i="8"/>
  <c r="DF19" i="8"/>
  <c r="DG19" i="8"/>
  <c r="DH19" i="8"/>
  <c r="DI19" i="8"/>
  <c r="DJ19" i="8"/>
  <c r="DK19" i="8"/>
  <c r="DL19" i="8"/>
  <c r="DM19" i="8"/>
  <c r="DN19" i="8"/>
  <c r="DO19" i="8"/>
  <c r="DP19" i="8"/>
  <c r="DQ19" i="8"/>
  <c r="DR19" i="8"/>
  <c r="BU20" i="8"/>
  <c r="BV20" i="8"/>
  <c r="BW20" i="8"/>
  <c r="BX20" i="8"/>
  <c r="BY20" i="8"/>
  <c r="BZ20" i="8"/>
  <c r="CA20" i="8"/>
  <c r="CB20" i="8"/>
  <c r="CC20" i="8"/>
  <c r="CD20" i="8"/>
  <c r="CE20" i="8"/>
  <c r="CF20" i="8"/>
  <c r="CG20" i="8"/>
  <c r="CH20" i="8"/>
  <c r="CI20" i="8"/>
  <c r="CJ20" i="8"/>
  <c r="CK20" i="8"/>
  <c r="CL20" i="8"/>
  <c r="CM20" i="8"/>
  <c r="CO20" i="8"/>
  <c r="CP20" i="8"/>
  <c r="CQ20" i="8"/>
  <c r="CR20" i="8"/>
  <c r="CS20" i="8"/>
  <c r="CT20" i="8"/>
  <c r="CU20" i="8"/>
  <c r="CV20" i="8"/>
  <c r="CW20" i="8"/>
  <c r="CX20" i="8"/>
  <c r="CY20" i="8"/>
  <c r="CZ20" i="8"/>
  <c r="DA20" i="8"/>
  <c r="DB20" i="8"/>
  <c r="DC20" i="8"/>
  <c r="DD20" i="8"/>
  <c r="DE20" i="8"/>
  <c r="DF20" i="8"/>
  <c r="DG20" i="8"/>
  <c r="DH20" i="8"/>
  <c r="DI20" i="8"/>
  <c r="DJ20" i="8"/>
  <c r="DK20" i="8"/>
  <c r="DL20" i="8"/>
  <c r="DM20" i="8"/>
  <c r="DN20" i="8"/>
  <c r="DO20" i="8"/>
  <c r="DP20" i="8"/>
  <c r="DQ20" i="8"/>
  <c r="DR20" i="8"/>
  <c r="BU21" i="8"/>
  <c r="BV21" i="8"/>
  <c r="BW21" i="8"/>
  <c r="BX21" i="8"/>
  <c r="BY21" i="8"/>
  <c r="BZ21" i="8"/>
  <c r="CA21" i="8"/>
  <c r="CB21" i="8"/>
  <c r="CC21" i="8"/>
  <c r="CD21" i="8"/>
  <c r="CE21" i="8"/>
  <c r="CF21" i="8"/>
  <c r="CG21" i="8"/>
  <c r="CH21" i="8"/>
  <c r="CI21" i="8"/>
  <c r="CJ21" i="8"/>
  <c r="CK21" i="8"/>
  <c r="CL21" i="8"/>
  <c r="CM21" i="8"/>
  <c r="CO21" i="8"/>
  <c r="CP21" i="8"/>
  <c r="CQ21" i="8"/>
  <c r="CR21" i="8"/>
  <c r="CS21" i="8"/>
  <c r="CT21" i="8"/>
  <c r="CU21" i="8"/>
  <c r="CV21" i="8"/>
  <c r="CW21" i="8"/>
  <c r="CX21" i="8"/>
  <c r="CY21" i="8"/>
  <c r="CZ21" i="8"/>
  <c r="DA21" i="8"/>
  <c r="DB21" i="8"/>
  <c r="DC21" i="8"/>
  <c r="DD21" i="8"/>
  <c r="DE21" i="8"/>
  <c r="DF21" i="8"/>
  <c r="DG21" i="8"/>
  <c r="DH21" i="8"/>
  <c r="DI21" i="8"/>
  <c r="DJ21" i="8"/>
  <c r="DK21" i="8"/>
  <c r="DL21" i="8"/>
  <c r="DM21" i="8"/>
  <c r="DN21" i="8"/>
  <c r="DO21" i="8"/>
  <c r="DP21" i="8"/>
  <c r="DQ21" i="8"/>
  <c r="DR21" i="8"/>
  <c r="BU22" i="8"/>
  <c r="BV22" i="8"/>
  <c r="BW22" i="8"/>
  <c r="BX22" i="8"/>
  <c r="BY22" i="8"/>
  <c r="BZ22" i="8"/>
  <c r="CA22" i="8"/>
  <c r="CB22" i="8"/>
  <c r="CC22" i="8"/>
  <c r="CD22" i="8"/>
  <c r="CE22" i="8"/>
  <c r="CF22" i="8"/>
  <c r="CG22" i="8"/>
  <c r="CH22" i="8"/>
  <c r="CI22" i="8"/>
  <c r="CJ22" i="8"/>
  <c r="CK22" i="8"/>
  <c r="CL22" i="8"/>
  <c r="CM22" i="8"/>
  <c r="CO22" i="8"/>
  <c r="CP22" i="8"/>
  <c r="CQ22" i="8"/>
  <c r="CR22" i="8"/>
  <c r="CS22" i="8"/>
  <c r="CT22" i="8"/>
  <c r="CU22" i="8"/>
  <c r="CV22" i="8"/>
  <c r="CW22" i="8"/>
  <c r="CX22" i="8"/>
  <c r="CY22" i="8"/>
  <c r="CZ22" i="8"/>
  <c r="DA22" i="8"/>
  <c r="DB22" i="8"/>
  <c r="DC22" i="8"/>
  <c r="DD22" i="8"/>
  <c r="DE22" i="8"/>
  <c r="DF22" i="8"/>
  <c r="DG22" i="8"/>
  <c r="DH22" i="8"/>
  <c r="DI22" i="8"/>
  <c r="DJ22" i="8"/>
  <c r="DK22" i="8"/>
  <c r="DL22" i="8"/>
  <c r="DM22" i="8"/>
  <c r="DN22" i="8"/>
  <c r="DO22" i="8"/>
  <c r="DP22" i="8"/>
  <c r="DQ22" i="8"/>
  <c r="DR22" i="8"/>
  <c r="BU23" i="8"/>
  <c r="BV23" i="8"/>
  <c r="BW23" i="8"/>
  <c r="BX23" i="8"/>
  <c r="BY23" i="8"/>
  <c r="BZ23" i="8"/>
  <c r="CA23" i="8"/>
  <c r="CB23" i="8"/>
  <c r="CC23" i="8"/>
  <c r="CD23" i="8"/>
  <c r="CE23" i="8"/>
  <c r="CF23" i="8"/>
  <c r="CG23" i="8"/>
  <c r="CH23" i="8"/>
  <c r="CI23" i="8"/>
  <c r="CJ23" i="8"/>
  <c r="CK23" i="8"/>
  <c r="CL23" i="8"/>
  <c r="CM23" i="8"/>
  <c r="CO23" i="8"/>
  <c r="CP23" i="8"/>
  <c r="CQ23" i="8"/>
  <c r="CR23" i="8"/>
  <c r="CS23" i="8"/>
  <c r="CT23" i="8"/>
  <c r="CU23" i="8"/>
  <c r="CV23" i="8"/>
  <c r="CW23" i="8"/>
  <c r="CX23" i="8"/>
  <c r="CY23" i="8"/>
  <c r="CZ23" i="8"/>
  <c r="DA23" i="8"/>
  <c r="DB23" i="8"/>
  <c r="DC23" i="8"/>
  <c r="DD23" i="8"/>
  <c r="DE23" i="8"/>
  <c r="DF23" i="8"/>
  <c r="DG23" i="8"/>
  <c r="DH23" i="8"/>
  <c r="DI23" i="8"/>
  <c r="DJ23" i="8"/>
  <c r="DK23" i="8"/>
  <c r="DL23" i="8"/>
  <c r="DM23" i="8"/>
  <c r="DN23" i="8"/>
  <c r="DO23" i="8"/>
  <c r="DP23" i="8"/>
  <c r="DQ23" i="8"/>
  <c r="DR23" i="8"/>
  <c r="BU24" i="8"/>
  <c r="BV24" i="8"/>
  <c r="BW24" i="8"/>
  <c r="BX24" i="8"/>
  <c r="BY24" i="8"/>
  <c r="BZ24" i="8"/>
  <c r="CA24" i="8"/>
  <c r="CB24" i="8"/>
  <c r="CC24" i="8"/>
  <c r="CD24" i="8"/>
  <c r="CE24" i="8"/>
  <c r="CF24" i="8"/>
  <c r="CG24" i="8"/>
  <c r="CH24" i="8"/>
  <c r="CI24" i="8"/>
  <c r="CJ24" i="8"/>
  <c r="CK24" i="8"/>
  <c r="CL24" i="8"/>
  <c r="CM24" i="8"/>
  <c r="CO24" i="8"/>
  <c r="CP24" i="8"/>
  <c r="CQ24" i="8"/>
  <c r="CR24" i="8"/>
  <c r="CS24" i="8"/>
  <c r="CT24" i="8"/>
  <c r="CU24" i="8"/>
  <c r="CV24" i="8"/>
  <c r="CW24" i="8"/>
  <c r="CX24" i="8"/>
  <c r="CY24" i="8"/>
  <c r="CZ24" i="8"/>
  <c r="DA24" i="8"/>
  <c r="DB24" i="8"/>
  <c r="DC24" i="8"/>
  <c r="DD24" i="8"/>
  <c r="DE24" i="8"/>
  <c r="DF24" i="8"/>
  <c r="DG24" i="8"/>
  <c r="DH24" i="8"/>
  <c r="DI24" i="8"/>
  <c r="DJ24" i="8"/>
  <c r="DK24" i="8"/>
  <c r="DL24" i="8"/>
  <c r="DM24" i="8"/>
  <c r="DN24" i="8"/>
  <c r="DO24" i="8"/>
  <c r="DP24" i="8"/>
  <c r="DQ24" i="8"/>
  <c r="DR24" i="8"/>
  <c r="BU25" i="8"/>
  <c r="BV25" i="8"/>
  <c r="BW25" i="8"/>
  <c r="BX25" i="8"/>
  <c r="BY25" i="8"/>
  <c r="BZ25" i="8"/>
  <c r="CA25" i="8"/>
  <c r="CB25" i="8"/>
  <c r="CC25" i="8"/>
  <c r="CD25" i="8"/>
  <c r="CE25" i="8"/>
  <c r="CF25" i="8"/>
  <c r="CG25" i="8"/>
  <c r="CH25" i="8"/>
  <c r="CI25" i="8"/>
  <c r="CJ25" i="8"/>
  <c r="CK25" i="8"/>
  <c r="CL25" i="8"/>
  <c r="CM25" i="8"/>
  <c r="CO25" i="8"/>
  <c r="CP25" i="8"/>
  <c r="CQ25" i="8"/>
  <c r="CR25" i="8"/>
  <c r="CS25" i="8"/>
  <c r="CT25" i="8"/>
  <c r="CU25" i="8"/>
  <c r="CV25" i="8"/>
  <c r="CW25" i="8"/>
  <c r="CX25" i="8"/>
  <c r="CY25" i="8"/>
  <c r="CZ25" i="8"/>
  <c r="DA25" i="8"/>
  <c r="DB25" i="8"/>
  <c r="DC25" i="8"/>
  <c r="DD25" i="8"/>
  <c r="DE25" i="8"/>
  <c r="DF25" i="8"/>
  <c r="DG25" i="8"/>
  <c r="DH25" i="8"/>
  <c r="DI25" i="8"/>
  <c r="DJ25" i="8"/>
  <c r="DK25" i="8"/>
  <c r="DL25" i="8"/>
  <c r="DM25" i="8"/>
  <c r="DN25" i="8"/>
  <c r="DO25" i="8"/>
  <c r="DP25" i="8"/>
  <c r="DQ25" i="8"/>
  <c r="DR25" i="8"/>
  <c r="BU26" i="8"/>
  <c r="BV26" i="8"/>
  <c r="BW26" i="8"/>
  <c r="BX26" i="8"/>
  <c r="BY26" i="8"/>
  <c r="BZ26" i="8"/>
  <c r="CA26" i="8"/>
  <c r="CB26" i="8"/>
  <c r="CC26" i="8"/>
  <c r="CD26" i="8"/>
  <c r="CE26" i="8"/>
  <c r="CF26" i="8"/>
  <c r="CG26" i="8"/>
  <c r="CH26" i="8"/>
  <c r="CI26" i="8"/>
  <c r="CJ26" i="8"/>
  <c r="CK26" i="8"/>
  <c r="CL26" i="8"/>
  <c r="CM26" i="8"/>
  <c r="CO26" i="8"/>
  <c r="CP26" i="8"/>
  <c r="CQ26" i="8"/>
  <c r="CR26" i="8"/>
  <c r="CS26" i="8"/>
  <c r="CT26" i="8"/>
  <c r="CU26" i="8"/>
  <c r="CV26" i="8"/>
  <c r="CW26" i="8"/>
  <c r="CX26" i="8"/>
  <c r="CY26" i="8"/>
  <c r="CZ26" i="8"/>
  <c r="DA26" i="8"/>
  <c r="DB26" i="8"/>
  <c r="DC26" i="8"/>
  <c r="DD26" i="8"/>
  <c r="DE26" i="8"/>
  <c r="DF26" i="8"/>
  <c r="DG26" i="8"/>
  <c r="DH26" i="8"/>
  <c r="DI26" i="8"/>
  <c r="DJ26" i="8"/>
  <c r="DK26" i="8"/>
  <c r="DL26" i="8"/>
  <c r="DM26" i="8"/>
  <c r="DN26" i="8"/>
  <c r="DO26" i="8"/>
  <c r="DP26" i="8"/>
  <c r="DQ26" i="8"/>
  <c r="DR26" i="8"/>
  <c r="BU27" i="8"/>
  <c r="BV27" i="8"/>
  <c r="BW27" i="8"/>
  <c r="BX27" i="8"/>
  <c r="BY27" i="8"/>
  <c r="BZ27" i="8"/>
  <c r="CA27" i="8"/>
  <c r="CB27" i="8"/>
  <c r="CC27" i="8"/>
  <c r="CD27" i="8"/>
  <c r="CE27" i="8"/>
  <c r="CF27" i="8"/>
  <c r="CG27" i="8"/>
  <c r="CH27" i="8"/>
  <c r="CI27" i="8"/>
  <c r="CJ27" i="8"/>
  <c r="CK27" i="8"/>
  <c r="CL27" i="8"/>
  <c r="CM27" i="8"/>
  <c r="CO27" i="8"/>
  <c r="CP27" i="8"/>
  <c r="CQ27" i="8"/>
  <c r="CR27" i="8"/>
  <c r="CS27" i="8"/>
  <c r="CT27" i="8"/>
  <c r="CU27" i="8"/>
  <c r="CV27" i="8"/>
  <c r="CW27" i="8"/>
  <c r="CX27" i="8"/>
  <c r="CY27" i="8"/>
  <c r="CZ27" i="8"/>
  <c r="DA27" i="8"/>
  <c r="DB27" i="8"/>
  <c r="DC27" i="8"/>
  <c r="DD27" i="8"/>
  <c r="DE27" i="8"/>
  <c r="DF27" i="8"/>
  <c r="DG27" i="8"/>
  <c r="DH27" i="8"/>
  <c r="DI27" i="8"/>
  <c r="DJ27" i="8"/>
  <c r="DK27" i="8"/>
  <c r="DL27" i="8"/>
  <c r="DM27" i="8"/>
  <c r="DN27" i="8"/>
  <c r="DO27" i="8"/>
  <c r="DP27" i="8"/>
  <c r="DQ27" i="8"/>
  <c r="DR27" i="8"/>
  <c r="BU28" i="8"/>
  <c r="BV28" i="8"/>
  <c r="BW28" i="8"/>
  <c r="BX28" i="8"/>
  <c r="BY28" i="8"/>
  <c r="BZ28" i="8"/>
  <c r="CA28" i="8"/>
  <c r="CB28" i="8"/>
  <c r="CC28" i="8"/>
  <c r="CD28" i="8"/>
  <c r="CE28" i="8"/>
  <c r="CF28" i="8"/>
  <c r="CG28" i="8"/>
  <c r="CH28" i="8"/>
  <c r="CI28" i="8"/>
  <c r="CJ28" i="8"/>
  <c r="CK28" i="8"/>
  <c r="CL28" i="8"/>
  <c r="CM28" i="8"/>
  <c r="CO28" i="8"/>
  <c r="CP28" i="8"/>
  <c r="CQ28" i="8"/>
  <c r="CR28" i="8"/>
  <c r="CS28" i="8"/>
  <c r="CT28" i="8"/>
  <c r="CU28" i="8"/>
  <c r="CV28" i="8"/>
  <c r="CW28" i="8"/>
  <c r="CX28" i="8"/>
  <c r="CY28" i="8"/>
  <c r="CZ28" i="8"/>
  <c r="DA28" i="8"/>
  <c r="DB28" i="8"/>
  <c r="DC28" i="8"/>
  <c r="DD28" i="8"/>
  <c r="DE28" i="8"/>
  <c r="DF28" i="8"/>
  <c r="DG28" i="8"/>
  <c r="DH28" i="8"/>
  <c r="DI28" i="8"/>
  <c r="DJ28" i="8"/>
  <c r="DK28" i="8"/>
  <c r="DL28" i="8"/>
  <c r="DM28" i="8"/>
  <c r="DN28" i="8"/>
  <c r="DO28" i="8"/>
  <c r="DP28" i="8"/>
  <c r="DQ28" i="8"/>
  <c r="DR28" i="8"/>
  <c r="BU29" i="8"/>
  <c r="BV29" i="8"/>
  <c r="BW29" i="8"/>
  <c r="BX29" i="8"/>
  <c r="BY29" i="8"/>
  <c r="BZ29" i="8"/>
  <c r="CA29" i="8"/>
  <c r="CB29" i="8"/>
  <c r="CC29" i="8"/>
  <c r="CD29" i="8"/>
  <c r="CE29" i="8"/>
  <c r="CF29" i="8"/>
  <c r="CG29" i="8"/>
  <c r="CH29" i="8"/>
  <c r="CI29" i="8"/>
  <c r="CJ29" i="8"/>
  <c r="CK29" i="8"/>
  <c r="CL29" i="8"/>
  <c r="CM29" i="8"/>
  <c r="CO29" i="8"/>
  <c r="CP29" i="8"/>
  <c r="CQ29" i="8"/>
  <c r="CR29" i="8"/>
  <c r="CS29" i="8"/>
  <c r="CT29" i="8"/>
  <c r="CU29" i="8"/>
  <c r="CV29" i="8"/>
  <c r="CW29" i="8"/>
  <c r="CX29" i="8"/>
  <c r="CY29" i="8"/>
  <c r="CZ29" i="8"/>
  <c r="DA29" i="8"/>
  <c r="DB29" i="8"/>
  <c r="DC29" i="8"/>
  <c r="DD29" i="8"/>
  <c r="DE29" i="8"/>
  <c r="DF29" i="8"/>
  <c r="DG29" i="8"/>
  <c r="DH29" i="8"/>
  <c r="DI29" i="8"/>
  <c r="DJ29" i="8"/>
  <c r="DK29" i="8"/>
  <c r="DL29" i="8"/>
  <c r="DM29" i="8"/>
  <c r="DN29" i="8"/>
  <c r="DO29" i="8"/>
  <c r="DP29" i="8"/>
  <c r="DQ29" i="8"/>
  <c r="DR29" i="8"/>
  <c r="BU30" i="8"/>
  <c r="BV30" i="8"/>
  <c r="BW30" i="8"/>
  <c r="BX30" i="8"/>
  <c r="BY30" i="8"/>
  <c r="BZ30" i="8"/>
  <c r="CA30" i="8"/>
  <c r="CB30" i="8"/>
  <c r="CC30" i="8"/>
  <c r="CD30" i="8"/>
  <c r="CE30" i="8"/>
  <c r="CF30" i="8"/>
  <c r="CG30" i="8"/>
  <c r="CH30" i="8"/>
  <c r="CI30" i="8"/>
  <c r="CJ30" i="8"/>
  <c r="CK30" i="8"/>
  <c r="CL30" i="8"/>
  <c r="CM30" i="8"/>
  <c r="CO30" i="8"/>
  <c r="CP30" i="8"/>
  <c r="CQ30" i="8"/>
  <c r="CR30" i="8"/>
  <c r="CS30" i="8"/>
  <c r="CT30" i="8"/>
  <c r="CU30" i="8"/>
  <c r="CV30" i="8"/>
  <c r="CW30" i="8"/>
  <c r="CX30" i="8"/>
  <c r="CY30" i="8"/>
  <c r="CZ30" i="8"/>
  <c r="DA30" i="8"/>
  <c r="DB30" i="8"/>
  <c r="DC30" i="8"/>
  <c r="DD30" i="8"/>
  <c r="DE30" i="8"/>
  <c r="DF30" i="8"/>
  <c r="DG30" i="8"/>
  <c r="DH30" i="8"/>
  <c r="DI30" i="8"/>
  <c r="DJ30" i="8"/>
  <c r="DK30" i="8"/>
  <c r="DL30" i="8"/>
  <c r="DM30" i="8"/>
  <c r="DN30" i="8"/>
  <c r="DO30" i="8"/>
  <c r="DP30" i="8"/>
  <c r="DQ30" i="8"/>
  <c r="DR30" i="8"/>
  <c r="BU31" i="8"/>
  <c r="BV31" i="8"/>
  <c r="BW31" i="8"/>
  <c r="BX31" i="8"/>
  <c r="BY31" i="8"/>
  <c r="BZ31" i="8"/>
  <c r="CA31" i="8"/>
  <c r="CB31" i="8"/>
  <c r="CC31" i="8"/>
  <c r="CD31" i="8"/>
  <c r="CE31" i="8"/>
  <c r="CF31" i="8"/>
  <c r="CG31" i="8"/>
  <c r="CH31" i="8"/>
  <c r="CI31" i="8"/>
  <c r="CJ31" i="8"/>
  <c r="CK31" i="8"/>
  <c r="CL31" i="8"/>
  <c r="CM31" i="8"/>
  <c r="CO31" i="8"/>
  <c r="CP31" i="8"/>
  <c r="CQ31" i="8"/>
  <c r="CR31" i="8"/>
  <c r="CS31" i="8"/>
  <c r="CT31" i="8"/>
  <c r="CU31" i="8"/>
  <c r="CV31" i="8"/>
  <c r="CW31" i="8"/>
  <c r="CX31" i="8"/>
  <c r="CY31" i="8"/>
  <c r="CZ31" i="8"/>
  <c r="DA31" i="8"/>
  <c r="DB31" i="8"/>
  <c r="DC31" i="8"/>
  <c r="DD31" i="8"/>
  <c r="DE31" i="8"/>
  <c r="DF31" i="8"/>
  <c r="DG31" i="8"/>
  <c r="DH31" i="8"/>
  <c r="DI31" i="8"/>
  <c r="DJ31" i="8"/>
  <c r="DK31" i="8"/>
  <c r="DL31" i="8"/>
  <c r="DM31" i="8"/>
  <c r="DN31" i="8"/>
  <c r="DO31" i="8"/>
  <c r="DP31" i="8"/>
  <c r="DQ31" i="8"/>
  <c r="DR31" i="8"/>
  <c r="BU32" i="8"/>
  <c r="BV32" i="8"/>
  <c r="BW32" i="8"/>
  <c r="BX32" i="8"/>
  <c r="BY32" i="8"/>
  <c r="BZ32" i="8"/>
  <c r="CA32" i="8"/>
  <c r="CB32" i="8"/>
  <c r="CC32" i="8"/>
  <c r="CD32" i="8"/>
  <c r="CE32" i="8"/>
  <c r="CF32" i="8"/>
  <c r="CG32" i="8"/>
  <c r="CH32" i="8"/>
  <c r="CI32" i="8"/>
  <c r="CJ32" i="8"/>
  <c r="CK32" i="8"/>
  <c r="CL32" i="8"/>
  <c r="CM32" i="8"/>
  <c r="CO32" i="8"/>
  <c r="CP32" i="8"/>
  <c r="CQ32" i="8"/>
  <c r="CR32" i="8"/>
  <c r="CS32" i="8"/>
  <c r="CT32" i="8"/>
  <c r="CU32" i="8"/>
  <c r="CV32" i="8"/>
  <c r="CW32" i="8"/>
  <c r="CX32" i="8"/>
  <c r="CY32" i="8"/>
  <c r="CZ32" i="8"/>
  <c r="DA32" i="8"/>
  <c r="DB32" i="8"/>
  <c r="DC32" i="8"/>
  <c r="DD32" i="8"/>
  <c r="DE32" i="8"/>
  <c r="DF32" i="8"/>
  <c r="DG32" i="8"/>
  <c r="DH32" i="8"/>
  <c r="DI32" i="8"/>
  <c r="DJ32" i="8"/>
  <c r="DK32" i="8"/>
  <c r="DL32" i="8"/>
  <c r="DM32" i="8"/>
  <c r="DN32" i="8"/>
  <c r="DO32" i="8"/>
  <c r="DP32" i="8"/>
  <c r="DQ32" i="8"/>
  <c r="DR32" i="8"/>
  <c r="BU33" i="8"/>
  <c r="BV33" i="8"/>
  <c r="BW33" i="8"/>
  <c r="BX33" i="8"/>
  <c r="BY33" i="8"/>
  <c r="BZ33" i="8"/>
  <c r="CA33" i="8"/>
  <c r="CB33" i="8"/>
  <c r="CC33" i="8"/>
  <c r="CD33" i="8"/>
  <c r="CE33" i="8"/>
  <c r="CF33" i="8"/>
  <c r="CG33" i="8"/>
  <c r="CH33" i="8"/>
  <c r="CI33" i="8"/>
  <c r="CJ33" i="8"/>
  <c r="CK33" i="8"/>
  <c r="CL33" i="8"/>
  <c r="CM33" i="8"/>
  <c r="CO33" i="8"/>
  <c r="CP33" i="8"/>
  <c r="CQ33" i="8"/>
  <c r="CR33" i="8"/>
  <c r="CS33" i="8"/>
  <c r="CT33" i="8"/>
  <c r="CU33" i="8"/>
  <c r="CV33" i="8"/>
  <c r="CW33" i="8"/>
  <c r="CX33" i="8"/>
  <c r="CY33" i="8"/>
  <c r="CZ33" i="8"/>
  <c r="DA33" i="8"/>
  <c r="DB33" i="8"/>
  <c r="DC33" i="8"/>
  <c r="DD33" i="8"/>
  <c r="DE33" i="8"/>
  <c r="DF33" i="8"/>
  <c r="DG33" i="8"/>
  <c r="DH33" i="8"/>
  <c r="DI33" i="8"/>
  <c r="DJ33" i="8"/>
  <c r="DK33" i="8"/>
  <c r="DL33" i="8"/>
  <c r="DM33" i="8"/>
  <c r="DN33" i="8"/>
  <c r="DO33" i="8"/>
  <c r="DP33" i="8"/>
  <c r="DQ33" i="8"/>
  <c r="DR33" i="8"/>
  <c r="BU34" i="8"/>
  <c r="BV34" i="8"/>
  <c r="BW34" i="8"/>
  <c r="BX34" i="8"/>
  <c r="BY34" i="8"/>
  <c r="BZ34" i="8"/>
  <c r="CA34" i="8"/>
  <c r="CB34" i="8"/>
  <c r="CC34" i="8"/>
  <c r="CD34" i="8"/>
  <c r="CE34" i="8"/>
  <c r="CF34" i="8"/>
  <c r="CG34" i="8"/>
  <c r="CH34" i="8"/>
  <c r="CI34" i="8"/>
  <c r="CJ34" i="8"/>
  <c r="CK34" i="8"/>
  <c r="CL34" i="8"/>
  <c r="CM34" i="8"/>
  <c r="CO34" i="8"/>
  <c r="CP34" i="8"/>
  <c r="CQ34" i="8"/>
  <c r="CR34" i="8"/>
  <c r="CS34" i="8"/>
  <c r="CT34" i="8"/>
  <c r="CU34" i="8"/>
  <c r="CV34" i="8"/>
  <c r="CW34" i="8"/>
  <c r="CX34" i="8"/>
  <c r="CY34" i="8"/>
  <c r="CZ34" i="8"/>
  <c r="DA34" i="8"/>
  <c r="DB34" i="8"/>
  <c r="DC34" i="8"/>
  <c r="DD34" i="8"/>
  <c r="DE34" i="8"/>
  <c r="DF34" i="8"/>
  <c r="DG34" i="8"/>
  <c r="DH34" i="8"/>
  <c r="DI34" i="8"/>
  <c r="DJ34" i="8"/>
  <c r="DK34" i="8"/>
  <c r="DL34" i="8"/>
  <c r="DM34" i="8"/>
  <c r="DN34" i="8"/>
  <c r="DO34" i="8"/>
  <c r="DP34" i="8"/>
  <c r="DQ34" i="8"/>
  <c r="DR34" i="8"/>
  <c r="BU35" i="8"/>
  <c r="BV35" i="8"/>
  <c r="BW35" i="8"/>
  <c r="BX35" i="8"/>
  <c r="BY35" i="8"/>
  <c r="BZ35" i="8"/>
  <c r="CA35" i="8"/>
  <c r="CB35" i="8"/>
  <c r="CC35" i="8"/>
  <c r="CD35" i="8"/>
  <c r="CE35" i="8"/>
  <c r="CF35" i="8"/>
  <c r="CG35" i="8"/>
  <c r="CH35" i="8"/>
  <c r="CI35" i="8"/>
  <c r="CJ35" i="8"/>
  <c r="CK35" i="8"/>
  <c r="CL35" i="8"/>
  <c r="CM35" i="8"/>
  <c r="CO35" i="8"/>
  <c r="CP35" i="8"/>
  <c r="CQ35" i="8"/>
  <c r="CR35" i="8"/>
  <c r="CS35" i="8"/>
  <c r="CT35" i="8"/>
  <c r="CU35" i="8"/>
  <c r="CV35" i="8"/>
  <c r="CW35" i="8"/>
  <c r="CX35" i="8"/>
  <c r="CY35" i="8"/>
  <c r="CZ35" i="8"/>
  <c r="DA35" i="8"/>
  <c r="DB35" i="8"/>
  <c r="DC35" i="8"/>
  <c r="DD35" i="8"/>
  <c r="DE35" i="8"/>
  <c r="DF35" i="8"/>
  <c r="DG35" i="8"/>
  <c r="DH35" i="8"/>
  <c r="DI35" i="8"/>
  <c r="DJ35" i="8"/>
  <c r="DK35" i="8"/>
  <c r="DL35" i="8"/>
  <c r="DM35" i="8"/>
  <c r="DN35" i="8"/>
  <c r="DO35" i="8"/>
  <c r="DP35" i="8"/>
  <c r="DQ35" i="8"/>
  <c r="DR35" i="8"/>
  <c r="BU36" i="8"/>
  <c r="BV36" i="8"/>
  <c r="BW36" i="8"/>
  <c r="BX36" i="8"/>
  <c r="BY36" i="8"/>
  <c r="BZ36" i="8"/>
  <c r="CA36" i="8"/>
  <c r="CB36" i="8"/>
  <c r="CC36" i="8"/>
  <c r="CD36" i="8"/>
  <c r="CE36" i="8"/>
  <c r="CF36" i="8"/>
  <c r="CG36" i="8"/>
  <c r="CH36" i="8"/>
  <c r="CI36" i="8"/>
  <c r="CJ36" i="8"/>
  <c r="CK36" i="8"/>
  <c r="CL36" i="8"/>
  <c r="CM36" i="8"/>
  <c r="CO36" i="8"/>
  <c r="CP36" i="8"/>
  <c r="CQ36" i="8"/>
  <c r="CR36" i="8"/>
  <c r="CS36" i="8"/>
  <c r="CT36" i="8"/>
  <c r="CU36" i="8"/>
  <c r="CV36" i="8"/>
  <c r="CW36" i="8"/>
  <c r="CX36" i="8"/>
  <c r="CY36" i="8"/>
  <c r="CZ36" i="8"/>
  <c r="DA36" i="8"/>
  <c r="DB36" i="8"/>
  <c r="DC36" i="8"/>
  <c r="DD36" i="8"/>
  <c r="DE36" i="8"/>
  <c r="DF36" i="8"/>
  <c r="DG36" i="8"/>
  <c r="DH36" i="8"/>
  <c r="DI36" i="8"/>
  <c r="DJ36" i="8"/>
  <c r="DK36" i="8"/>
  <c r="DL36" i="8"/>
  <c r="DM36" i="8"/>
  <c r="DN36" i="8"/>
  <c r="DO36" i="8"/>
  <c r="DP36" i="8"/>
  <c r="DQ36" i="8"/>
  <c r="DR36" i="8"/>
  <c r="BU37" i="8"/>
  <c r="BV37" i="8"/>
  <c r="BW37" i="8"/>
  <c r="BX37" i="8"/>
  <c r="BY37" i="8"/>
  <c r="BZ37" i="8"/>
  <c r="CA37" i="8"/>
  <c r="CB37" i="8"/>
  <c r="CC37" i="8"/>
  <c r="CD37" i="8"/>
  <c r="CE37" i="8"/>
  <c r="CF37" i="8"/>
  <c r="CG37" i="8"/>
  <c r="CH37" i="8"/>
  <c r="CI37" i="8"/>
  <c r="CJ37" i="8"/>
  <c r="CK37" i="8"/>
  <c r="CL37" i="8"/>
  <c r="CM37" i="8"/>
  <c r="CO37" i="8"/>
  <c r="CP37" i="8"/>
  <c r="CQ37" i="8"/>
  <c r="CR37" i="8"/>
  <c r="CS37" i="8"/>
  <c r="CT37" i="8"/>
  <c r="CU37" i="8"/>
  <c r="CV37" i="8"/>
  <c r="CW37" i="8"/>
  <c r="CX37" i="8"/>
  <c r="CY37" i="8"/>
  <c r="CZ37" i="8"/>
  <c r="DA37" i="8"/>
  <c r="DB37" i="8"/>
  <c r="DC37" i="8"/>
  <c r="DD37" i="8"/>
  <c r="DE37" i="8"/>
  <c r="DF37" i="8"/>
  <c r="DG37" i="8"/>
  <c r="DH37" i="8"/>
  <c r="DI37" i="8"/>
  <c r="DJ37" i="8"/>
  <c r="DK37" i="8"/>
  <c r="DL37" i="8"/>
  <c r="DM37" i="8"/>
  <c r="DN37" i="8"/>
  <c r="DO37" i="8"/>
  <c r="DP37" i="8"/>
  <c r="DQ37" i="8"/>
  <c r="DR37" i="8"/>
  <c r="BU38" i="8"/>
  <c r="BV38" i="8"/>
  <c r="BW38" i="8"/>
  <c r="BX38" i="8"/>
  <c r="BY38" i="8"/>
  <c r="BZ38" i="8"/>
  <c r="CA38" i="8"/>
  <c r="CB38" i="8"/>
  <c r="CC38" i="8"/>
  <c r="CD38" i="8"/>
  <c r="CE38" i="8"/>
  <c r="CF38" i="8"/>
  <c r="CG38" i="8"/>
  <c r="CH38" i="8"/>
  <c r="CI38" i="8"/>
  <c r="CJ38" i="8"/>
  <c r="CK38" i="8"/>
  <c r="CL38" i="8"/>
  <c r="CM38" i="8"/>
  <c r="CO38" i="8"/>
  <c r="CP38" i="8"/>
  <c r="CQ38" i="8"/>
  <c r="CR38" i="8"/>
  <c r="CS38" i="8"/>
  <c r="CT38" i="8"/>
  <c r="CU38" i="8"/>
  <c r="CV38" i="8"/>
  <c r="CW38" i="8"/>
  <c r="CX38" i="8"/>
  <c r="CY38" i="8"/>
  <c r="CZ38" i="8"/>
  <c r="DA38" i="8"/>
  <c r="DB38" i="8"/>
  <c r="DC38" i="8"/>
  <c r="DD38" i="8"/>
  <c r="DE38" i="8"/>
  <c r="DF38" i="8"/>
  <c r="DG38" i="8"/>
  <c r="DH38" i="8"/>
  <c r="DI38" i="8"/>
  <c r="DJ38" i="8"/>
  <c r="DK38" i="8"/>
  <c r="DL38" i="8"/>
  <c r="DM38" i="8"/>
  <c r="DN38" i="8"/>
  <c r="DO38" i="8"/>
  <c r="DP38" i="8"/>
  <c r="DQ38" i="8"/>
  <c r="DR38" i="8"/>
  <c r="BU39" i="8"/>
  <c r="BV39" i="8"/>
  <c r="BW39" i="8"/>
  <c r="BX39" i="8"/>
  <c r="BY39" i="8"/>
  <c r="BZ39" i="8"/>
  <c r="CA39" i="8"/>
  <c r="CB39" i="8"/>
  <c r="CC39" i="8"/>
  <c r="CD39" i="8"/>
  <c r="CE39" i="8"/>
  <c r="CF39" i="8"/>
  <c r="CG39" i="8"/>
  <c r="CH39" i="8"/>
  <c r="CI39" i="8"/>
  <c r="CJ39" i="8"/>
  <c r="CK39" i="8"/>
  <c r="CL39" i="8"/>
  <c r="CM39" i="8"/>
  <c r="CO39" i="8"/>
  <c r="CP39" i="8"/>
  <c r="CQ39" i="8"/>
  <c r="CR39" i="8"/>
  <c r="CS39" i="8"/>
  <c r="CT39" i="8"/>
  <c r="CU39" i="8"/>
  <c r="CV39" i="8"/>
  <c r="CW39" i="8"/>
  <c r="CX39" i="8"/>
  <c r="CY39" i="8"/>
  <c r="CZ39" i="8"/>
  <c r="DA39" i="8"/>
  <c r="DB39" i="8"/>
  <c r="DC39" i="8"/>
  <c r="DD39" i="8"/>
  <c r="DE39" i="8"/>
  <c r="DF39" i="8"/>
  <c r="DG39" i="8"/>
  <c r="DH39" i="8"/>
  <c r="DI39" i="8"/>
  <c r="DJ39" i="8"/>
  <c r="DK39" i="8"/>
  <c r="DL39" i="8"/>
  <c r="DM39" i="8"/>
  <c r="DN39" i="8"/>
  <c r="DO39" i="8"/>
  <c r="DP39" i="8"/>
  <c r="DQ39" i="8"/>
  <c r="DR39" i="8"/>
  <c r="BU40" i="8"/>
  <c r="BV40" i="8"/>
  <c r="BW40" i="8"/>
  <c r="BX40" i="8"/>
  <c r="BY40" i="8"/>
  <c r="BZ40" i="8"/>
  <c r="CA40" i="8"/>
  <c r="CB40" i="8"/>
  <c r="CC40" i="8"/>
  <c r="CD40" i="8"/>
  <c r="CE40" i="8"/>
  <c r="CF40" i="8"/>
  <c r="CG40" i="8"/>
  <c r="CH40" i="8"/>
  <c r="CI40" i="8"/>
  <c r="CJ40" i="8"/>
  <c r="CK40" i="8"/>
  <c r="CL40" i="8"/>
  <c r="CM40" i="8"/>
  <c r="CO40" i="8"/>
  <c r="CP40" i="8"/>
  <c r="CQ40" i="8"/>
  <c r="CR40" i="8"/>
  <c r="CS40" i="8"/>
  <c r="CT40" i="8"/>
  <c r="CU40" i="8"/>
  <c r="CV40" i="8"/>
  <c r="CW40" i="8"/>
  <c r="CX40" i="8"/>
  <c r="CY40" i="8"/>
  <c r="CZ40" i="8"/>
  <c r="DA40" i="8"/>
  <c r="DB40" i="8"/>
  <c r="DC40" i="8"/>
  <c r="DD40" i="8"/>
  <c r="DE40" i="8"/>
  <c r="DF40" i="8"/>
  <c r="DG40" i="8"/>
  <c r="DH40" i="8"/>
  <c r="DI40" i="8"/>
  <c r="DJ40" i="8"/>
  <c r="DK40" i="8"/>
  <c r="DL40" i="8"/>
  <c r="DM40" i="8"/>
  <c r="DN40" i="8"/>
  <c r="DO40" i="8"/>
  <c r="DP40" i="8"/>
  <c r="DQ40" i="8"/>
  <c r="DR40" i="8"/>
  <c r="BU41" i="8"/>
  <c r="BV41" i="8"/>
  <c r="BW41" i="8"/>
  <c r="BX41" i="8"/>
  <c r="BY41" i="8"/>
  <c r="BZ41" i="8"/>
  <c r="CA41" i="8"/>
  <c r="CB41" i="8"/>
  <c r="CC41" i="8"/>
  <c r="CD41" i="8"/>
  <c r="CE41" i="8"/>
  <c r="CF41" i="8"/>
  <c r="CG41" i="8"/>
  <c r="CH41" i="8"/>
  <c r="CI41" i="8"/>
  <c r="CJ41" i="8"/>
  <c r="CK41" i="8"/>
  <c r="CL41" i="8"/>
  <c r="CM41" i="8"/>
  <c r="CO41" i="8"/>
  <c r="CP41" i="8"/>
  <c r="CQ41" i="8"/>
  <c r="CR41" i="8"/>
  <c r="CS41" i="8"/>
  <c r="CT41" i="8"/>
  <c r="CU41" i="8"/>
  <c r="CV41" i="8"/>
  <c r="CW41" i="8"/>
  <c r="CX41" i="8"/>
  <c r="CY41" i="8"/>
  <c r="CZ41" i="8"/>
  <c r="DA41" i="8"/>
  <c r="DB41" i="8"/>
  <c r="DC41" i="8"/>
  <c r="DD41" i="8"/>
  <c r="DE41" i="8"/>
  <c r="DF41" i="8"/>
  <c r="DG41" i="8"/>
  <c r="DH41" i="8"/>
  <c r="DI41" i="8"/>
  <c r="DJ41" i="8"/>
  <c r="DK41" i="8"/>
  <c r="DL41" i="8"/>
  <c r="DM41" i="8"/>
  <c r="DN41" i="8"/>
  <c r="DO41" i="8"/>
  <c r="DP41" i="8"/>
  <c r="DQ41" i="8"/>
  <c r="DR41" i="8"/>
  <c r="BU42" i="8"/>
  <c r="BV42" i="8"/>
  <c r="BW42" i="8"/>
  <c r="BX42" i="8"/>
  <c r="BY42" i="8"/>
  <c r="BZ42" i="8"/>
  <c r="CA42" i="8"/>
  <c r="CB42" i="8"/>
  <c r="CC42" i="8"/>
  <c r="CD42" i="8"/>
  <c r="CE42" i="8"/>
  <c r="CF42" i="8"/>
  <c r="CG42" i="8"/>
  <c r="CH42" i="8"/>
  <c r="CI42" i="8"/>
  <c r="CJ42" i="8"/>
  <c r="CK42" i="8"/>
  <c r="CL42" i="8"/>
  <c r="CM42" i="8"/>
  <c r="CO42" i="8"/>
  <c r="CP42" i="8"/>
  <c r="CQ42" i="8"/>
  <c r="CR42" i="8"/>
  <c r="CS42" i="8"/>
  <c r="CT42" i="8"/>
  <c r="CU42" i="8"/>
  <c r="CV42" i="8"/>
  <c r="CW42" i="8"/>
  <c r="CX42" i="8"/>
  <c r="CY42" i="8"/>
  <c r="CZ42" i="8"/>
  <c r="DA42" i="8"/>
  <c r="DB42" i="8"/>
  <c r="DC42" i="8"/>
  <c r="DD42" i="8"/>
  <c r="DE42" i="8"/>
  <c r="DF42" i="8"/>
  <c r="DG42" i="8"/>
  <c r="DH42" i="8"/>
  <c r="DI42" i="8"/>
  <c r="DJ42" i="8"/>
  <c r="DK42" i="8"/>
  <c r="DL42" i="8"/>
  <c r="DM42" i="8"/>
  <c r="DN42" i="8"/>
  <c r="DO42" i="8"/>
  <c r="DP42" i="8"/>
  <c r="DQ42" i="8"/>
  <c r="DR42" i="8"/>
  <c r="BU43" i="8"/>
  <c r="BV43" i="8"/>
  <c r="BW43" i="8"/>
  <c r="BX43" i="8"/>
  <c r="BY43" i="8"/>
  <c r="BZ43" i="8"/>
  <c r="CA43" i="8"/>
  <c r="CB43" i="8"/>
  <c r="CC43" i="8"/>
  <c r="CD43" i="8"/>
  <c r="CE43" i="8"/>
  <c r="CF43" i="8"/>
  <c r="CG43" i="8"/>
  <c r="CH43" i="8"/>
  <c r="CI43" i="8"/>
  <c r="CJ43" i="8"/>
  <c r="CK43" i="8"/>
  <c r="CL43" i="8"/>
  <c r="CM43" i="8"/>
  <c r="CO43" i="8"/>
  <c r="CP43" i="8"/>
  <c r="CQ43" i="8"/>
  <c r="CR43" i="8"/>
  <c r="CS43" i="8"/>
  <c r="CT43" i="8"/>
  <c r="CU43" i="8"/>
  <c r="CV43" i="8"/>
  <c r="CW43" i="8"/>
  <c r="CX43" i="8"/>
  <c r="CY43" i="8"/>
  <c r="CZ43" i="8"/>
  <c r="DA43" i="8"/>
  <c r="DB43" i="8"/>
  <c r="DC43" i="8"/>
  <c r="DD43" i="8"/>
  <c r="DE43" i="8"/>
  <c r="DF43" i="8"/>
  <c r="DG43" i="8"/>
  <c r="DH43" i="8"/>
  <c r="DI43" i="8"/>
  <c r="DJ43" i="8"/>
  <c r="DK43" i="8"/>
  <c r="DL43" i="8"/>
  <c r="DM43" i="8"/>
  <c r="DN43" i="8"/>
  <c r="DO43" i="8"/>
  <c r="DP43" i="8"/>
  <c r="DQ43" i="8"/>
  <c r="DR43" i="8"/>
  <c r="BU44" i="8"/>
  <c r="BV44" i="8"/>
  <c r="BW44" i="8"/>
  <c r="BX44" i="8"/>
  <c r="BY44" i="8"/>
  <c r="BZ44" i="8"/>
  <c r="CA44" i="8"/>
  <c r="CB44" i="8"/>
  <c r="CC44" i="8"/>
  <c r="CD44" i="8"/>
  <c r="CE44" i="8"/>
  <c r="CF44" i="8"/>
  <c r="CG44" i="8"/>
  <c r="CH44" i="8"/>
  <c r="CI44" i="8"/>
  <c r="CJ44" i="8"/>
  <c r="CK44" i="8"/>
  <c r="CL44" i="8"/>
  <c r="CM44" i="8"/>
  <c r="CO44" i="8"/>
  <c r="CP44" i="8"/>
  <c r="CQ44" i="8"/>
  <c r="CR44" i="8"/>
  <c r="CS44" i="8"/>
  <c r="CT44" i="8"/>
  <c r="CU44" i="8"/>
  <c r="CV44" i="8"/>
  <c r="CW44" i="8"/>
  <c r="CX44" i="8"/>
  <c r="CY44" i="8"/>
  <c r="CZ44" i="8"/>
  <c r="DA44" i="8"/>
  <c r="DB44" i="8"/>
  <c r="DC44" i="8"/>
  <c r="DD44" i="8"/>
  <c r="DE44" i="8"/>
  <c r="DF44" i="8"/>
  <c r="DG44" i="8"/>
  <c r="DH44" i="8"/>
  <c r="DI44" i="8"/>
  <c r="DJ44" i="8"/>
  <c r="DK44" i="8"/>
  <c r="DL44" i="8"/>
  <c r="DM44" i="8"/>
  <c r="DN44" i="8"/>
  <c r="DO44" i="8"/>
  <c r="DP44" i="8"/>
  <c r="DQ44" i="8"/>
  <c r="DR44"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M5" i="8"/>
  <c r="CL5" i="8"/>
  <c r="CK5" i="8"/>
  <c r="CJ5" i="8"/>
  <c r="CI5" i="8"/>
  <c r="CH5" i="8"/>
  <c r="CG5" i="8"/>
  <c r="CF5" i="8"/>
  <c r="CE5" i="8"/>
  <c r="CD5" i="8"/>
  <c r="CC5" i="8"/>
  <c r="CB5" i="8"/>
  <c r="CA5" i="8"/>
  <c r="BZ5" i="8"/>
  <c r="BY5" i="8"/>
  <c r="BX5" i="8"/>
  <c r="BW5" i="8"/>
  <c r="BV5" i="8"/>
  <c r="BU5" i="8"/>
  <c r="BT5" i="8"/>
  <c r="BS5" i="8"/>
  <c r="BR5" i="8"/>
  <c r="BQ5" i="8"/>
  <c r="BP5" i="8"/>
  <c r="BO5"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D3" i="8"/>
  <c r="C3" i="8"/>
  <c r="DS43" i="8" l="1"/>
  <c r="E43" i="12" s="1"/>
  <c r="DS42" i="8"/>
  <c r="E42" i="12" s="1"/>
  <c r="DS39" i="8"/>
  <c r="E39" i="12" s="1"/>
  <c r="DS5" i="8"/>
  <c r="DS44" i="8"/>
  <c r="E44" i="12" s="1"/>
  <c r="DS41" i="8"/>
  <c r="E41" i="12" s="1"/>
  <c r="DS40" i="8"/>
  <c r="E40" i="12" s="1"/>
  <c r="DS38" i="8"/>
  <c r="E38" i="12" s="1"/>
  <c r="DS37" i="8"/>
  <c r="E37" i="12" s="1"/>
  <c r="DS36" i="8"/>
  <c r="E36" i="12" s="1"/>
  <c r="DS35" i="8"/>
  <c r="E35" i="12" s="1"/>
  <c r="DS34" i="8"/>
  <c r="E34" i="12" s="1"/>
  <c r="DS33" i="8"/>
  <c r="E33" i="12" s="1"/>
  <c r="DS32" i="8"/>
  <c r="E32" i="12" s="1"/>
  <c r="DS31" i="8"/>
  <c r="E31" i="12" s="1"/>
  <c r="DS30" i="8"/>
  <c r="E30" i="12" s="1"/>
  <c r="DS29" i="8"/>
  <c r="E29" i="12" s="1"/>
  <c r="DS28" i="8"/>
  <c r="E28" i="12" s="1"/>
  <c r="DS27" i="8"/>
  <c r="E27" i="12" s="1"/>
  <c r="DS26" i="8"/>
  <c r="E26" i="12" s="1"/>
  <c r="DS25" i="8"/>
  <c r="E25" i="12" s="1"/>
  <c r="DS24" i="8"/>
  <c r="E24" i="12" s="1"/>
  <c r="DS23" i="8"/>
  <c r="E23" i="12" s="1"/>
  <c r="DS22" i="8"/>
  <c r="E22" i="12" s="1"/>
  <c r="DS21" i="8"/>
  <c r="E21" i="12" s="1"/>
  <c r="DS20" i="8"/>
  <c r="E20" i="12" s="1"/>
  <c r="DS19" i="8"/>
  <c r="E19" i="12" s="1"/>
  <c r="DS18" i="8"/>
  <c r="E18" i="12" s="1"/>
  <c r="DS17" i="8"/>
  <c r="E17" i="12" s="1"/>
  <c r="DS16" i="8"/>
  <c r="E16" i="12" s="1"/>
  <c r="DS15" i="8"/>
  <c r="E15" i="12" s="1"/>
  <c r="DS14" i="8"/>
  <c r="E14" i="12" s="1"/>
  <c r="DS13" i="8"/>
  <c r="E13" i="12" s="1"/>
  <c r="DS12" i="8"/>
  <c r="E12" i="12" s="1"/>
  <c r="DS11" i="8"/>
  <c r="E11" i="12" s="1"/>
  <c r="DS10" i="8"/>
  <c r="E10" i="12" s="1"/>
  <c r="DS9" i="8"/>
  <c r="E9" i="12" s="1"/>
  <c r="DS8" i="8"/>
  <c r="E8" i="12" s="1"/>
  <c r="DS7" i="8"/>
  <c r="E7" i="12" s="1"/>
  <c r="DS6" i="8"/>
  <c r="E6" i="12" s="1"/>
  <c r="DR2" i="8"/>
  <c r="DN2" i="8"/>
  <c r="DO2" i="8"/>
  <c r="DP2" i="8"/>
  <c r="DQ2" i="8"/>
  <c r="DD2" i="8"/>
  <c r="DE2" i="8"/>
  <c r="DF2" i="8"/>
  <c r="DG2" i="8"/>
  <c r="DH2" i="8"/>
  <c r="DI2" i="8"/>
  <c r="DJ2" i="8"/>
  <c r="DK2" i="8"/>
  <c r="DL2" i="8"/>
  <c r="DM2" i="8"/>
  <c r="BL2" i="8"/>
  <c r="BM2" i="8"/>
  <c r="BN2" i="8"/>
  <c r="BO2" i="8"/>
  <c r="BP2" i="8"/>
  <c r="BQ2" i="8"/>
  <c r="BR2" i="8"/>
  <c r="BS2" i="8"/>
  <c r="BT2" i="8"/>
  <c r="BU2" i="8"/>
  <c r="BV2" i="8"/>
  <c r="BW2" i="8"/>
  <c r="BX2" i="8"/>
  <c r="BY2" i="8"/>
  <c r="BZ2" i="8"/>
  <c r="CA2" i="8"/>
  <c r="CB2" i="8"/>
  <c r="CC2" i="8"/>
  <c r="CD2" i="8"/>
  <c r="CE2" i="8"/>
  <c r="CF2" i="8"/>
  <c r="CG2" i="8"/>
  <c r="CH2" i="8"/>
  <c r="CI2" i="8"/>
  <c r="CJ2" i="8"/>
  <c r="CK2" i="8"/>
  <c r="CL2" i="8"/>
  <c r="CM2" i="8"/>
  <c r="CN2" i="8"/>
  <c r="CO2" i="8"/>
  <c r="CP2" i="8"/>
  <c r="CQ2" i="8"/>
  <c r="CR2" i="8"/>
  <c r="CS2" i="8"/>
  <c r="CT2" i="8"/>
  <c r="CU2" i="8"/>
  <c r="CV2" i="8"/>
  <c r="CW2" i="8"/>
  <c r="CX2" i="8"/>
  <c r="CY2" i="8"/>
  <c r="CZ2" i="8"/>
  <c r="DA2" i="8"/>
  <c r="DB2" i="8"/>
  <c r="DC2" i="8"/>
  <c r="BK2" i="8"/>
  <c r="BL3" i="8"/>
  <c r="BM3" i="8"/>
  <c r="BN3" i="8"/>
  <c r="BO3" i="8"/>
  <c r="BP3" i="8"/>
  <c r="BQ3" i="8"/>
  <c r="BR3" i="8"/>
  <c r="BS3" i="8"/>
  <c r="BT3" i="8"/>
  <c r="BU3" i="8"/>
  <c r="BV3" i="8"/>
  <c r="BW3" i="8"/>
  <c r="BX3" i="8"/>
  <c r="BY3" i="8"/>
  <c r="BZ3" i="8"/>
  <c r="CA3" i="8"/>
  <c r="CB3" i="8"/>
  <c r="CC3" i="8"/>
  <c r="CD3" i="8"/>
  <c r="CE3" i="8"/>
  <c r="CF3" i="8"/>
  <c r="CG3" i="8"/>
  <c r="CH3" i="8"/>
  <c r="CI3" i="8"/>
  <c r="CJ3" i="8"/>
  <c r="CK3" i="8"/>
  <c r="CL3" i="8"/>
  <c r="CM3" i="8"/>
  <c r="CN3" i="8"/>
  <c r="CO3" i="8"/>
  <c r="CP3" i="8"/>
  <c r="CQ3" i="8"/>
  <c r="CR3" i="8"/>
  <c r="CS3" i="8"/>
  <c r="CT3" i="8"/>
  <c r="CV3" i="8"/>
  <c r="CW3" i="8"/>
  <c r="CX3" i="8"/>
  <c r="CY3" i="8"/>
  <c r="CZ3" i="8"/>
  <c r="DA3" i="8"/>
  <c r="DB3" i="8"/>
  <c r="DC3" i="8"/>
  <c r="DD3" i="8"/>
  <c r="DE3" i="8"/>
  <c r="DF3" i="8"/>
  <c r="DG3" i="8"/>
  <c r="DH3" i="8"/>
  <c r="DI3" i="8"/>
  <c r="DJ3" i="8"/>
  <c r="DK3" i="8"/>
  <c r="DL3" i="8"/>
  <c r="DM3" i="8"/>
  <c r="DN3" i="8"/>
  <c r="DO3" i="8"/>
  <c r="DP3" i="8"/>
  <c r="DQ3" i="8"/>
  <c r="DR3" i="8"/>
  <c r="D4" i="8"/>
  <c r="BL4" i="8" s="1"/>
  <c r="E4" i="8"/>
  <c r="BM4" i="8" s="1"/>
  <c r="F4" i="8"/>
  <c r="BN4" i="8" s="1"/>
  <c r="G4" i="8"/>
  <c r="BO4" i="8" s="1"/>
  <c r="H4" i="8"/>
  <c r="BP4" i="8" s="1"/>
  <c r="I4" i="8"/>
  <c r="BQ4" i="8" s="1"/>
  <c r="J4" i="8"/>
  <c r="BR4" i="8" s="1"/>
  <c r="K4" i="8"/>
  <c r="BS4" i="8" s="1"/>
  <c r="L4" i="8"/>
  <c r="BT4" i="8" s="1"/>
  <c r="M4" i="8"/>
  <c r="BU4" i="8" s="1"/>
  <c r="N4" i="8"/>
  <c r="BV4" i="8" s="1"/>
  <c r="O4" i="8"/>
  <c r="BW4" i="8" s="1"/>
  <c r="P4" i="8"/>
  <c r="BX4" i="8" s="1"/>
  <c r="Q4" i="8"/>
  <c r="BY4" i="8" s="1"/>
  <c r="R4" i="8"/>
  <c r="BZ4" i="8" s="1"/>
  <c r="S4" i="8"/>
  <c r="CA4" i="8" s="1"/>
  <c r="T4" i="8"/>
  <c r="CB4" i="8" s="1"/>
  <c r="U4" i="8"/>
  <c r="CC4" i="8" s="1"/>
  <c r="V4" i="8"/>
  <c r="CD4" i="8" s="1"/>
  <c r="W4" i="8"/>
  <c r="CE4" i="8" s="1"/>
  <c r="X4" i="8"/>
  <c r="CF4" i="8" s="1"/>
  <c r="Y4" i="8"/>
  <c r="CG4" i="8" s="1"/>
  <c r="Z4" i="8"/>
  <c r="CH4" i="8" s="1"/>
  <c r="AA4" i="8"/>
  <c r="CI4" i="8" s="1"/>
  <c r="AB4" i="8"/>
  <c r="CJ4" i="8" s="1"/>
  <c r="AC4" i="8"/>
  <c r="CK4" i="8" s="1"/>
  <c r="AD4" i="8"/>
  <c r="CL4" i="8" s="1"/>
  <c r="AE4" i="8"/>
  <c r="CM4" i="8" s="1"/>
  <c r="AF4" i="8"/>
  <c r="CN4" i="8" s="1"/>
  <c r="AG4" i="8"/>
  <c r="CO4" i="8" s="1"/>
  <c r="AH4" i="8"/>
  <c r="CP4" i="8" s="1"/>
  <c r="AI4" i="8"/>
  <c r="CQ4" i="8" s="1"/>
  <c r="AJ4" i="8"/>
  <c r="CR4" i="8" s="1"/>
  <c r="AK4" i="8"/>
  <c r="CS4" i="8" s="1"/>
  <c r="AL4" i="8"/>
  <c r="CT4" i="8" s="1"/>
  <c r="AM4" i="8"/>
  <c r="AN4" i="8"/>
  <c r="CV4" i="8" s="1"/>
  <c r="AO4" i="8"/>
  <c r="CW4" i="8" s="1"/>
  <c r="AP4" i="8"/>
  <c r="CX4" i="8" s="1"/>
  <c r="AQ4" i="8"/>
  <c r="CY4" i="8" s="1"/>
  <c r="AR4" i="8"/>
  <c r="CZ4" i="8" s="1"/>
  <c r="AS4" i="8"/>
  <c r="DA4" i="8" s="1"/>
  <c r="AT4" i="8"/>
  <c r="DB4" i="8" s="1"/>
  <c r="AU4" i="8"/>
  <c r="DC4" i="8" s="1"/>
  <c r="AV4" i="8"/>
  <c r="DD4" i="8" s="1"/>
  <c r="AW4" i="8"/>
  <c r="DE4" i="8" s="1"/>
  <c r="AX4" i="8"/>
  <c r="DF4" i="8" s="1"/>
  <c r="AY4" i="8"/>
  <c r="DG4" i="8" s="1"/>
  <c r="AZ4" i="8"/>
  <c r="DH4" i="8" s="1"/>
  <c r="BA4" i="8"/>
  <c r="DI4" i="8" s="1"/>
  <c r="BB4" i="8"/>
  <c r="DJ4" i="8" s="1"/>
  <c r="BC4" i="8"/>
  <c r="DK4" i="8" s="1"/>
  <c r="BD4" i="8"/>
  <c r="DL4" i="8" s="1"/>
  <c r="BE4" i="8"/>
  <c r="DM4" i="8" s="1"/>
  <c r="BF4" i="8"/>
  <c r="DN4" i="8" s="1"/>
  <c r="BG4" i="8"/>
  <c r="DO4" i="8" s="1"/>
  <c r="BH4" i="8"/>
  <c r="DP4" i="8" s="1"/>
  <c r="BI4" i="8"/>
  <c r="DQ4" i="8" s="1"/>
  <c r="BJ4" i="8"/>
  <c r="DR4" i="8" s="1"/>
  <c r="C4" i="8"/>
  <c r="BK4" i="8" s="1"/>
  <c r="BK3" i="8"/>
  <c r="E5" i="12" l="1"/>
  <c r="CU4" i="8"/>
  <c r="CU3" i="8"/>
  <c r="DT6" i="8" l="1"/>
  <c r="F6" i="12" s="1"/>
  <c r="DT7" i="8"/>
  <c r="F7" i="12" s="1"/>
  <c r="DT8" i="8"/>
  <c r="F8" i="12" s="1"/>
  <c r="DT9" i="8"/>
  <c r="F9" i="12" s="1"/>
  <c r="DT10" i="8"/>
  <c r="F10" i="12" s="1"/>
  <c r="DT11" i="8"/>
  <c r="F11" i="12" s="1"/>
  <c r="DT12" i="8"/>
  <c r="F12" i="12" s="1"/>
  <c r="DT13" i="8"/>
  <c r="F13" i="12" s="1"/>
  <c r="DT14" i="8"/>
  <c r="F14" i="12" s="1"/>
  <c r="DT15" i="8"/>
  <c r="F15" i="12" s="1"/>
  <c r="DT16" i="8"/>
  <c r="F16" i="12" s="1"/>
  <c r="DT17" i="8"/>
  <c r="F17" i="12" s="1"/>
  <c r="DT18" i="8"/>
  <c r="F18" i="12" s="1"/>
  <c r="DT19" i="8"/>
  <c r="F19" i="12" s="1"/>
  <c r="DT20" i="8"/>
  <c r="F20" i="12" s="1"/>
  <c r="DT21" i="8"/>
  <c r="F21" i="12" s="1"/>
  <c r="DT22" i="8"/>
  <c r="F22" i="12" s="1"/>
  <c r="DT23" i="8"/>
  <c r="F23" i="12" s="1"/>
  <c r="DT24" i="8"/>
  <c r="F24" i="12" s="1"/>
  <c r="DT25" i="8"/>
  <c r="F25" i="12" s="1"/>
  <c r="DT26" i="8"/>
  <c r="F26" i="12" s="1"/>
  <c r="DT27" i="8"/>
  <c r="F27" i="12" s="1"/>
  <c r="DT28" i="8"/>
  <c r="F28" i="12" s="1"/>
  <c r="DT29" i="8"/>
  <c r="F29" i="12" s="1"/>
  <c r="DT30" i="8"/>
  <c r="F30" i="12" s="1"/>
  <c r="DT31" i="8"/>
  <c r="F31" i="12" s="1"/>
  <c r="DT32" i="8"/>
  <c r="F32" i="12" s="1"/>
  <c r="DT33" i="8"/>
  <c r="F33" i="12" s="1"/>
  <c r="DT34" i="8"/>
  <c r="F34" i="12" s="1"/>
  <c r="DT35" i="8"/>
  <c r="F35" i="12" s="1"/>
  <c r="DT36" i="8"/>
  <c r="F36" i="12" s="1"/>
  <c r="DT37" i="8"/>
  <c r="F37" i="12" s="1"/>
  <c r="DT38" i="8"/>
  <c r="F38" i="12" s="1"/>
  <c r="DT39" i="8"/>
  <c r="F39" i="12" s="1"/>
  <c r="DT40" i="8"/>
  <c r="F40" i="12" s="1"/>
  <c r="DT41" i="8"/>
  <c r="F41" i="12" s="1"/>
  <c r="DT42" i="8"/>
  <c r="F42" i="12" s="1"/>
  <c r="DT43" i="8"/>
  <c r="F43" i="12" s="1"/>
  <c r="DT44" i="8"/>
  <c r="F44" i="12" s="1"/>
  <c r="DT5" i="8"/>
  <c r="F5" i="12" s="1"/>
</calcChain>
</file>

<file path=xl/sharedStrings.xml><?xml version="1.0" encoding="utf-8"?>
<sst xmlns="http://schemas.openxmlformats.org/spreadsheetml/2006/main" count="249" uniqueCount="248">
  <si>
    <t>번호</t>
    <phoneticPr fontId="2" type="noConversion"/>
  </si>
  <si>
    <t>영역</t>
    <phoneticPr fontId="2" type="noConversion"/>
  </si>
  <si>
    <t>활동내용</t>
    <phoneticPr fontId="2" type="noConversion"/>
  </si>
  <si>
    <t>친구사랑주간(2013.03.18-2013.03.22)에 친구사랑 작품 만들기 활동에서 참신한 아이디어를 내고 적극적으로 참여함으로써 친구의 소중함과 더불어 우정의 중요성에 대해 깨달음.</t>
    <phoneticPr fontId="2" type="noConversion"/>
  </si>
  <si>
    <t>학교폭력 추방결의대회(2013.03.18)을 통해 타인의 인권을 존중하고 배려하는 자세의 중요성을 인식하고 서로의 소중함을 깨달아 따뜻한 학교 만들기 실천을 다짐함.</t>
    <phoneticPr fontId="2" type="noConversion"/>
  </si>
  <si>
    <t>무감독시험 양심 결의대회(2013.03.18)를 통해 스스로 법질서와 규율을 지키는 양심적인 행동의 소중함에 대해 깨닫는 계기가 됨.</t>
    <phoneticPr fontId="2" type="noConversion"/>
  </si>
  <si>
    <t>가족사랑주간(2013.05.06-2013.05.10)을 통해 가족의 소중함을 깨닫고 가족에 대한 애뜻한 사랑을 표현하고 실천하는 계기를 마련함.</t>
    <phoneticPr fontId="2" type="noConversion"/>
  </si>
  <si>
    <t>학교사랑주간(2013.05.27-2013.05.31)에 실시한 작품활동에서 참신한 아이디어를 내고 적극적으로 참여함으로써 학교 사랑을 실천하고 학교 폭력 문제를 근본적으로 해결하고자 노력함.</t>
    <phoneticPr fontId="2" type="noConversion"/>
  </si>
  <si>
    <t>계수한마음축제(2013.10.24)에서 도우미 역할을 하여 행사의 원활한 운영에 기여함.</t>
    <phoneticPr fontId="2" type="noConversion"/>
  </si>
  <si>
    <t>효체험학습활동(2013.10.04)을 통하여 부모님의 마음을 이해하게 되었으며 작은 것에서 부터 효를 실천할 수 있는 일이 다양하고 어렵지 않다는 것을 깨닫고 실천할 수 있는 좋은 계기가 됨.</t>
    <phoneticPr fontId="2" type="noConversion"/>
  </si>
  <si>
    <t>선택한 개수</t>
    <phoneticPr fontId="2" type="noConversion"/>
  </si>
  <si>
    <t>문화체험활동(2013.10.11)을 통해 다양한 한국민속문화의 역사와 내용에 대한 폭넓은 이해와 한국민속문화의 소중함을 새롭게 깨닫고 더욱 계승발전시켜야 함을 느끼는 계기가 됨.</t>
    <phoneticPr fontId="2" type="noConversion"/>
  </si>
  <si>
    <t>축제 장기자랑 참여(10.24)</t>
    <phoneticPr fontId="2" type="noConversion"/>
  </si>
  <si>
    <t>친구사랑주간 작품만들기</t>
    <phoneticPr fontId="2" type="noConversion"/>
  </si>
  <si>
    <t>친구사랑주간 쪽지쓰기</t>
    <phoneticPr fontId="2" type="noConversion"/>
  </si>
  <si>
    <t>학교폭력추방결의대회</t>
    <phoneticPr fontId="2" type="noConversion"/>
  </si>
  <si>
    <t>무감독양심결의대회</t>
    <phoneticPr fontId="2" type="noConversion"/>
  </si>
  <si>
    <t>가족사랑주간 실천</t>
    <phoneticPr fontId="2" type="noConversion"/>
  </si>
  <si>
    <t>학교사랑주간 작품활동</t>
    <phoneticPr fontId="2" type="noConversion"/>
  </si>
  <si>
    <t>효체험활동</t>
    <phoneticPr fontId="2" type="noConversion"/>
  </si>
  <si>
    <t>민속촌 문화체험활동</t>
    <phoneticPr fontId="2" type="noConversion"/>
  </si>
  <si>
    <t>축제 도우미</t>
    <phoneticPr fontId="2" type="noConversion"/>
  </si>
  <si>
    <t>친구사랑주간(2013.03.18-2013.03.22) 중 친구에게 쪽지쓰기(2013.03.18)을 통해 우정에 대해 생각해볼 수 있는 계기를 마련함으로써 학교 폭력 문제를 근본적으로 해결하고자 노력함.</t>
    <phoneticPr fontId="2" type="noConversion"/>
  </si>
  <si>
    <t>계수한마음축제(2013.10.24) 장기자랑에서 댄스부문으로 참여하여 즐겁고 보람찬 축제가 될 수 있도록 기여함.</t>
    <phoneticPr fontId="2" type="noConversion"/>
  </si>
  <si>
    <t>서부수학원리탐구대회</t>
    <phoneticPr fontId="2" type="noConversion"/>
  </si>
  <si>
    <t>인천광역시 서부교육지원청 주최 제3회 서부수학원리탐구대회(2013.10.26) 나눔마당 체험활동에 참여하여 직접 체험하고 만들며 수학의 원리를 탐구함.</t>
    <phoneticPr fontId="2" type="noConversion"/>
  </si>
  <si>
    <t>순번</t>
    <phoneticPr fontId="2" type="noConversion"/>
  </si>
  <si>
    <t>생명존중교육</t>
    <phoneticPr fontId="2" type="noConversion"/>
  </si>
  <si>
    <t>인천아시안게임 성화봉송맞이</t>
    <phoneticPr fontId="2" type="noConversion"/>
  </si>
  <si>
    <t>교내 합창대회 주도</t>
    <phoneticPr fontId="2" type="noConversion"/>
  </si>
  <si>
    <t>교내 합창대회 지휘</t>
    <phoneticPr fontId="2" type="noConversion"/>
  </si>
  <si>
    <t>교내 합창대회 반주</t>
    <phoneticPr fontId="2" type="noConversion"/>
  </si>
  <si>
    <t>교내 합창대회 개사</t>
    <phoneticPr fontId="2" type="noConversion"/>
  </si>
  <si>
    <t>교내 합창대회 적극성</t>
    <phoneticPr fontId="2" type="noConversion"/>
  </si>
  <si>
    <t>개인별 활동항목 선택하기</t>
    <phoneticPr fontId="2" type="noConversion"/>
  </si>
  <si>
    <t>교내합창대회 MR편집</t>
    <phoneticPr fontId="2" type="noConversion"/>
  </si>
  <si>
    <t>교내합창대회 표어제작</t>
    <phoneticPr fontId="2" type="noConversion"/>
  </si>
  <si>
    <t xml:space="preserve">      활동
      항목
  성명</t>
    <phoneticPr fontId="2" type="noConversion"/>
  </si>
  <si>
    <t>성명</t>
    <phoneticPr fontId="2" type="noConversion"/>
  </si>
  <si>
    <t>일자</t>
    <phoneticPr fontId="2" type="noConversion"/>
  </si>
  <si>
    <t>교내합창대회 안무</t>
    <phoneticPr fontId="2" type="noConversion"/>
  </si>
  <si>
    <t>학생문화회관 문화체험</t>
    <phoneticPr fontId="2" type="noConversion"/>
  </si>
  <si>
    <t>자율활동 특기사항</t>
    <phoneticPr fontId="2" type="noConversion"/>
  </si>
  <si>
    <t>학습일기쓰기</t>
    <phoneticPr fontId="2" type="noConversion"/>
  </si>
  <si>
    <t>붙이기</t>
    <phoneticPr fontId="2" type="noConversion"/>
  </si>
  <si>
    <t>붙이기1</t>
    <phoneticPr fontId="2" type="noConversion"/>
  </si>
  <si>
    <t>제작 : 인천계수중학교 이쌍철</t>
    <phoneticPr fontId="2" type="noConversion"/>
  </si>
  <si>
    <t>선택항목개수</t>
    <phoneticPr fontId="2" type="noConversion"/>
  </si>
  <si>
    <t>자율활동 특기사항(나이스 복사용)</t>
    <phoneticPr fontId="2" type="noConversion"/>
  </si>
  <si>
    <t>청렴교육(2014.03.06.)을 통해 청렴의 의미를 이해하게 되었으며 청렴한 생활을 실천할 수 있는 계기가 됨.</t>
    <phoneticPr fontId="2" type="noConversion"/>
  </si>
  <si>
    <t>청렴교육(2014.03.13.) 동영상을 시청하고 청렴도 자가진단지를 활용해 자신의 청렴도를  파악할 수 있는 인지능력이 생김.</t>
    <phoneticPr fontId="2" type="noConversion"/>
  </si>
  <si>
    <t>2014학년도 학습일기 쓰기대회(2014.04.04.-2014.12.22.)에 참가하여 스스로의 학습과정을 꾸준히 기록하고 반성함으로써 올바른 학습습관을 정립하고자 노력하였으며, 자기주도 학습능력을 신장함.</t>
    <phoneticPr fontId="2" type="noConversion"/>
  </si>
  <si>
    <t>다문화와 관련된 영화를 감상(2014.04.10.) 하고 영화 속에 나타난 다문화의 여러 가지 요소를 탐색하거나 발견함으로써 다문화에 대한 자신의 긍정적인 사고의 확장에 영향을 끼침.</t>
    <phoneticPr fontId="2" type="noConversion"/>
  </si>
  <si>
    <t>통일교육(2014.05.08.)에 참여하여 6.25전쟁 당시 끊어진 철길을 통해 민족분단의 아픔을 이해하고 느끼게 되었으며 남북화해와 통일의 초석이 될 수 있는 남북 교류의 사례를 알게 됨으로써 통일의 필요성을 깨달은 소중한 시간을 가지게 됨.</t>
    <phoneticPr fontId="2" type="noConversion"/>
  </si>
  <si>
    <t xml:space="preserve">통일교육(2014.05.22.)을 통해 통일을 향한 남북농업협력과 지원사업인 통일 딸기에 대해 호기심이 많이 생기게 되었으며 이러한 남북한의 활발한 교류가 평화통일의 밑거름이 된다는 것을 알게 됨.   </t>
    <phoneticPr fontId="2" type="noConversion"/>
  </si>
  <si>
    <t>안전교육(2014.06.30.)을 통해 교통안전사고, 학교 및 가정에서의 안전사고, 약물오남용 사고, 식중독사고 등을 일상생활 속에서 예방할 수 있는 수칙에 대한 인식을 일깨우고 실천하고자 하는 마음을 다지게 됨.</t>
    <phoneticPr fontId="2" type="noConversion"/>
  </si>
  <si>
    <t>학교폭력 예방교육(2014.07.21.)을 통해 학교폭력의 유형과 예방방법을 알게 되었으며 타인의 인권을 존중하고 배려하는 자세의 중요성을 인식하고 서로의 소중함을 깨닫고 실천함.</t>
    <phoneticPr fontId="2" type="noConversion"/>
  </si>
  <si>
    <t>안전교육(2014.07.21.)을 통해 일상생활 속의 안전사고 및 여름철 물놀이 관련 안전사고에 대한 예방법과 사고 시 대처방법을 재인식하고 실천할 수 있는 자신감을 얻게 됨.</t>
    <phoneticPr fontId="2" type="noConversion"/>
  </si>
  <si>
    <t>학교폭력 예방교육(2014.08.28.)을 통해 학교폭력으로부터 자신을 스스로 지키고 나아가 피해 당하는 친구를 도와주는 '학교폭력 멈춰' 프로그램에 대해 이해하고 실천함으로써 학교폭력에 적극적으로 대처하고 협력하는 태도를 기름.</t>
    <phoneticPr fontId="2" type="noConversion"/>
  </si>
  <si>
    <t>학교폭력 예방교육(2014.09.04.)에 참여하여 상대방을 존중하고 약자를 보호하는 친구관계를 형성함으로써 학교폭력을 예방하는데 기여할 수 있도록 노력함.</t>
    <phoneticPr fontId="2" type="noConversion"/>
  </si>
  <si>
    <t>환경교육(2014.09.18.)에서 우표를 통해 일상생활에서 쉽게 실천할 수 있는 에너지 절약 방법을  이해함으로써 가정경제는 물론 우리의 환경과 지구를 살릴 수 있는 아름다운 행진에 동참할 것을 다짐함.</t>
    <phoneticPr fontId="2" type="noConversion"/>
  </si>
  <si>
    <t xml:space="preserve">2014 인천아시안게임 성화봉송맞이 문화행사(2014.09.19.)에 참여하여 아시안게임의 성공적인 개최와 모든 참가국의 아름다운 선전을 기원하며 성화봉송단을 맞이함과 동시에 신명 난 축하공연 행사에 즐겁게 참여함.  </t>
    <phoneticPr fontId="2" type="noConversion"/>
  </si>
  <si>
    <t>환경교육(2014.09.25.)을 통해 일상생활 속에서 일회용품 사용을 줄일 수 있는 여러 가지 쉬운 사례들을 새삼스럽게 깨닫고 평소에 무심코 지나쳤던 자신을 되돌아 보고 반성하는 계기가 됨.</t>
    <phoneticPr fontId="2" type="noConversion"/>
  </si>
  <si>
    <t>독도 관련 기본 교육(2014.10.02.)을 통해 독도의 지리적 위치와 독도의 여러 가지 가치에 대해 알고 역사적인 지도 자료를 살펴 봄으로써 독도가 우리땅인 이유와 일본의 저의를 명확히 이해하게 됨.</t>
    <phoneticPr fontId="2" type="noConversion"/>
  </si>
  <si>
    <t>독도 관련 기본 교육(2014.10.16.)에서 대한민국 정부의 독도에 대한 기본 입장에서 밝힌 내용을 통해 역사적 근거를 구체적으로 알게 됨으로써 독도는 우리나라의 고유영토임을 확고하게 인식함.</t>
    <phoneticPr fontId="2" type="noConversion"/>
  </si>
  <si>
    <t xml:space="preserve">학생문화회관 문화체험(2014.10.29.)에 참여하여 성악 및 오케스트라에 대한 기초지식 및 공연관람 요령을 듣고 공연 시 올바른 관람 태도를 유지하며 아름다운 정서함양을 도모함. </t>
    <phoneticPr fontId="2" type="noConversion"/>
  </si>
  <si>
    <t xml:space="preserve">인성교육(2014.11.06.)을 통해 일상생활에서 행할 수 있는 여러 가지 효의 실천 방법 중에서 평소 작은 것에도 부모님께 감사하는 마음을 가지거나 표시함으로써 효의 실천이 시작될 수 있음을 깨닫게 됨. </t>
    <phoneticPr fontId="2" type="noConversion"/>
  </si>
  <si>
    <t>건전노래 부르기 경연대회(2014.12.30.)에 참가하기 위해 율동을 준비하는 등 조화롭고 즐거운 합창이 될 수 있도록 주도하여 학년 우수상을 받는데 기여함.</t>
    <phoneticPr fontId="2" type="noConversion"/>
  </si>
  <si>
    <t>건전노래 부르기 경연대회(2014.12.30.)에서 지휘자로서 역량을 발휘해 조화롭고 즐거운 합창이 될 수 있도록 하여 학년 우수상을 받는데 기여함.</t>
    <phoneticPr fontId="2" type="noConversion"/>
  </si>
  <si>
    <t>건전노래 부르기 경연대회(2014.12.30.)에서 반주자로서 역량을 발휘해 조화롭고 즐거운 합창이 될 수 있도록 하여 학년 우수상을 받는데 기여함.</t>
    <phoneticPr fontId="2" type="noConversion"/>
  </si>
  <si>
    <t>건전노래 부르기 경연대회(2014.12.30.)를 준비하기 위해 MR을 탐색하고 편집하는 등 급우들이 역량을 최대한 발휘해 조화롭고 즐거운 합창이 될 수 있도록 하여 학년 우수상을 받는데 기여함.</t>
    <phoneticPr fontId="2" type="noConversion"/>
  </si>
  <si>
    <t>건전노래 부르기 경연대회(2014.12.30.)를 준비하기 위해 안무를 구성하여 알려주는 등 급우들이 역량을 최대한 발휘해 조화롭고 즐거운 합창이 될 수 있도록 하여 학년 우수상을 받는데 기여함.</t>
    <phoneticPr fontId="2" type="noConversion"/>
  </si>
  <si>
    <t>생명존중교육(2014.12.31.)에서 청소년들의 자살 징후와 자살로 인한 사회적 문제에 대한 인식을 새롭게 함으로써 주변 친구들의 건강한 삶을 함께 만들어가는 사람으로 거듭남.</t>
    <phoneticPr fontId="2" type="noConversion"/>
  </si>
  <si>
    <t>안전교육(2014.12.31.)을 통해 일상생활 속의 안전사고 및 겨울철 화재 관련 안전사고와 빙상 안전사고에 대한 예방법과 사고 시 대처방법을 확인하고 실천할 수 있게 됨.</t>
    <phoneticPr fontId="2" type="noConversion"/>
  </si>
  <si>
    <t>학교폭력 예방교육(2014.09.11.) 활동에 참여하여 느낌말 목록표와 욕구목록표를 작성함으로써 욕구가 만족될 때 사용하는 말이 많을수록 보다 긍정적이고 행복한 학교생활로 이어져 학교폭력예방에 큰 도움이 될 수 있음을 깨닫고 이를 실천하고자 하는 의욕이 생김.</t>
    <phoneticPr fontId="2" type="noConversion"/>
  </si>
  <si>
    <t xml:space="preserve">인성교육(2014.10.30.)을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t>
    <phoneticPr fontId="2" type="noConversion"/>
  </si>
  <si>
    <t>건전노래 부르기 경연대회(2014.12.30.)에 적극적으로 참여하여 자신을 비롯한 주변 친구들의 행복한 학교생활을 위해 학교폭력 없는 학교를 만들기 위해 다같이 노력하고 실천해야 한다는 의식을 일깨우게 됨.</t>
    <phoneticPr fontId="2" type="noConversion"/>
  </si>
  <si>
    <t>학교폭력예방교육(2014.12.31.)에 참여하여 학교폭력 전반에 걸친 다양한 학교폭력의 유형과 대처방법을 재인식하고 학교폭력 근절을 위해 힘써 노력함.</t>
    <phoneticPr fontId="2" type="noConversion"/>
  </si>
  <si>
    <t>건전노래 부르기 경연대회(2014.12.30.)에서 학교폭력 예방의 중요성과 실천의지를 다질 수 있는 훌륭한 내용으로 개사하여 학년 우수상을 받는데 기여함.</t>
    <phoneticPr fontId="2" type="noConversion"/>
  </si>
  <si>
    <t>건전노래 부르기 경연대회(2014.12.30.)를 준비하는 과정에서 학교폭력예방 메세지를 강조하는 표어를 제작 준비하는 등 급우들이 역량을 최대한 발휘해 조화롭고 즐거운 합창이 될 수 있도록 하여 학년 우수상을 받는데 기여함.</t>
    <phoneticPr fontId="2" type="noConversion"/>
  </si>
  <si>
    <t>교내수학경시대회(2015.05.16.)에 참가하여 수학과목에 대한 학습 동기를 높이고 단계에 맞는 심화학습을 통해 수학적 힘을 신장시킴.</t>
    <phoneticPr fontId="2" type="noConversion"/>
  </si>
  <si>
    <t>청렴교육1</t>
    <phoneticPr fontId="2" type="noConversion"/>
  </si>
  <si>
    <t>청렴교육2</t>
    <phoneticPr fontId="2" type="noConversion"/>
  </si>
  <si>
    <t>다문화교육2</t>
    <phoneticPr fontId="2" type="noConversion"/>
  </si>
  <si>
    <t>통일교육1</t>
    <phoneticPr fontId="2" type="noConversion"/>
  </si>
  <si>
    <t>통일교육2</t>
    <phoneticPr fontId="2" type="noConversion"/>
  </si>
  <si>
    <t>학교폭력예방교육2</t>
    <phoneticPr fontId="2" type="noConversion"/>
  </si>
  <si>
    <t>학교폭력예방교육3</t>
    <phoneticPr fontId="2" type="noConversion"/>
  </si>
  <si>
    <t>학교폭력예방교육4</t>
    <phoneticPr fontId="2" type="noConversion"/>
  </si>
  <si>
    <t>환경교육1</t>
    <phoneticPr fontId="2" type="noConversion"/>
  </si>
  <si>
    <t>환경교육2</t>
    <phoneticPr fontId="2" type="noConversion"/>
  </si>
  <si>
    <t>독도교육1</t>
    <phoneticPr fontId="2" type="noConversion"/>
  </si>
  <si>
    <t>독도교육2</t>
    <phoneticPr fontId="2" type="noConversion"/>
  </si>
  <si>
    <t>인성교육1</t>
    <phoneticPr fontId="2" type="noConversion"/>
  </si>
  <si>
    <t>인성교육2</t>
    <phoneticPr fontId="2" type="noConversion"/>
  </si>
  <si>
    <t>장애인이해교육1</t>
    <phoneticPr fontId="2" type="noConversion"/>
  </si>
  <si>
    <t>장애인이해교육2</t>
    <phoneticPr fontId="2" type="noConversion"/>
  </si>
  <si>
    <t>안전교육1</t>
    <phoneticPr fontId="2" type="noConversion"/>
  </si>
  <si>
    <t>안전교육2</t>
    <phoneticPr fontId="2" type="noConversion"/>
  </si>
  <si>
    <t>안전교육3</t>
    <phoneticPr fontId="2" type="noConversion"/>
  </si>
  <si>
    <t>학교폭력예방교육5</t>
    <phoneticPr fontId="2" type="noConversion"/>
  </si>
  <si>
    <t>교내수학경시대회1</t>
    <phoneticPr fontId="2" type="noConversion"/>
  </si>
  <si>
    <t>학교폭력예방교육6</t>
    <phoneticPr fontId="2" type="noConversion"/>
  </si>
  <si>
    <t>다문화교육3</t>
    <phoneticPr fontId="2" type="noConversion"/>
  </si>
  <si>
    <r>
      <t>자율활동 내용 작성하기</t>
    </r>
    <r>
      <rPr>
        <b/>
        <sz val="11"/>
        <color theme="1"/>
        <rFont val="맑은 고딕"/>
        <family val="3"/>
        <charset val="129"/>
        <scheme val="minor"/>
      </rPr>
      <t xml:space="preserve">(활동내용은 60번 까지 </t>
    </r>
    <r>
      <rPr>
        <b/>
        <u/>
        <sz val="11"/>
        <color theme="1"/>
        <rFont val="맑은 고딕"/>
        <family val="3"/>
        <charset val="129"/>
        <scheme val="minor"/>
      </rPr>
      <t xml:space="preserve">[활동항목선택] </t>
    </r>
    <r>
      <rPr>
        <b/>
        <sz val="11"/>
        <color theme="1"/>
        <rFont val="맑은 고딕"/>
        <family val="3"/>
        <charset val="129"/>
        <scheme val="minor"/>
      </rPr>
      <t>시트에 반영됨.)</t>
    </r>
    <phoneticPr fontId="2" type="noConversion"/>
  </si>
  <si>
    <t>참고해야할 활동별 학생 명단</t>
    <phoneticPr fontId="2" type="noConversion"/>
  </si>
  <si>
    <t xml:space="preserve">다문화교육(2014.04.30.)을 통해 우리 나라와 다른 나라의 문화를 함께 나눔으로써 지구촌의 평화와 번영을 함께 누릴 수 있다는 사실을 새삼 깨달은 계기가 됨. </t>
    <phoneticPr fontId="2" type="noConversion"/>
  </si>
  <si>
    <t>※ 해당학생의 문구 셀을 선택 ▶ 상단 입력 창에서 내용이 충분히 보이도록 입력창 높이를 넓힌 다음 특기
   사항 문구를 블록설정 후 복사[ Ctrl+C ] ▶ 나이스 [특기사항] 입력란에 붙여넣기[ Ctrl+V ]  ▶ 저장( 필
   요 시 추가 수정 편집 후 저장)하면 됩니다.</t>
    <phoneticPr fontId="2" type="noConversion"/>
  </si>
  <si>
    <t xml:space="preserve">  ※ [활동내용입력]시트와 [활동항목선택]시트를 작성하면 본 시트에 자동으로 반영됩니다.</t>
    <phoneticPr fontId="2" type="noConversion"/>
  </si>
  <si>
    <t>※ 활동일자의 순서에 관계없이 무작위로 입력한 후 [일자순으로 정렬하기]를 클릭하면 일자순으로 자동정렬
    되고, [자율활동항목선택] 시트에도 반영됩니다.
    60번까지의 항목 중 [일자]란에 일자가 입력되지 않은 항목은 [일자순으로 정렬하기]에서 제외됩니다.</t>
    <phoneticPr fontId="2" type="noConversion"/>
  </si>
  <si>
    <t>예시문
모아두기
공간임.</t>
    <phoneticPr fontId="2" type="noConversion"/>
  </si>
  <si>
    <t>해당시간에 불참한 학생 명단</t>
    <phoneticPr fontId="2" type="noConversion"/>
  </si>
  <si>
    <t>교시</t>
    <phoneticPr fontId="2" type="noConversion"/>
  </si>
  <si>
    <t>※ 해당 학생의 활동 항목을 선택하여 숫자 " 1 "을 입력하면 [자율활동특기사항] 시트에 반영됨.</t>
    <phoneticPr fontId="2" type="noConversion"/>
  </si>
  <si>
    <t xml:space="preserve"> ※ 해당 시간에 불참한 학생은 입력하지 마세요.</t>
    <phoneticPr fontId="2" type="noConversion"/>
  </si>
  <si>
    <t>장애인이해교육(2014.06.19.)에 참여하여 인권감수성이란 어떤 상황을 인권의 관점에서 바라볼 수 있는, 인권 문제에 민감하게 반응하는, 인권을 침해 받은 사람들에 대해 마음 아파하고 함께 해결 해나가려 하는 마음이라는 개념을 알고 이를 실천하고자 하는 마음이 생김.</t>
    <phoneticPr fontId="2" type="noConversion"/>
  </si>
  <si>
    <t>장애인이해교육(2014.06.26.)을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t>
    <phoneticPr fontId="2" type="noConversion"/>
  </si>
  <si>
    <t>과학의달 행사</t>
    <phoneticPr fontId="2" type="noConversion"/>
  </si>
  <si>
    <t>과학의 달 행사(2015.04.08.)에서 실시하는 각종 대회에 참여하여 자신의 상상력과 탐구력을 바탕으로 과학적 탐구 의욕을 발휘함.</t>
    <phoneticPr fontId="2" type="noConversion"/>
  </si>
  <si>
    <t>다문화교육1</t>
    <phoneticPr fontId="2" type="noConversion"/>
  </si>
  <si>
    <t>다문화교육(2015.05.15.)을 통해 인종차별에 대한 심각성을 깨닫고 자신을 되돌아 볼 수 있는 기회가 되었고 다양한 인종들의 장단점을 상호보완함으로써 세계인류가 화합하고 번영할 수 있음을 알게 됨.</t>
    <phoneticPr fontId="2" type="noConversion"/>
  </si>
  <si>
    <t>교내 합창대회 주도</t>
    <phoneticPr fontId="2" type="noConversion"/>
  </si>
  <si>
    <t>계수합창제(2015.12.30.) 참가를 위한 율동을 준비하는 등 조화롭고 즐거운 합창이 될 수 있도록 주도하여 학년 우수상을 받는데 기여함.</t>
    <phoneticPr fontId="2" type="noConversion"/>
  </si>
  <si>
    <t>교내 합창대회 지휘</t>
    <phoneticPr fontId="2" type="noConversion"/>
  </si>
  <si>
    <t>건전노래 부르기 경연대회(2015.12.30.)에서 지휘자로서 역량을 발휘해 조화롭고 즐거운 합창이 될 수 있도록 하여 학년 우수상을 받는데 기여함.</t>
    <phoneticPr fontId="2" type="noConversion"/>
  </si>
  <si>
    <t>교내 합창대회 반주</t>
    <phoneticPr fontId="2" type="noConversion"/>
  </si>
  <si>
    <t>건전노래 부르기 경연대회(2015.12.30.)에서 반주자로서 역량을 발휘해 조화롭고 즐거운 합창이 될 수 있도록 하여 학년 우수상을 받는데 기여함.</t>
    <phoneticPr fontId="2" type="noConversion"/>
  </si>
  <si>
    <t>교내 합창대회 개사</t>
    <phoneticPr fontId="2" type="noConversion"/>
  </si>
  <si>
    <t>건전노래 부르기 경연대회(2015.12.30.)에서 학교폭력 예방의 중요성과 실천의지를 다질 수 있는 훌륭한 내용으로 개사하여 학년 우수상을 받는데 기여함.</t>
    <phoneticPr fontId="2" type="noConversion"/>
  </si>
  <si>
    <t>교내 합창대회 적극성</t>
    <phoneticPr fontId="2" type="noConversion"/>
  </si>
  <si>
    <t>건전노래 부르기 경연대회(2015.12.30.)에 적극적으로 참여하여 자신을 비롯한 주변 친구들의 행복한 학교생활을 위해 학교폭력 없는 학교를 만들기 위해 다같이 노력하고 실천해야 한다는 의식을 일깨우게 됨.</t>
    <phoneticPr fontId="2" type="noConversion"/>
  </si>
  <si>
    <t>교내합창대회 MR편집</t>
    <phoneticPr fontId="2" type="noConversion"/>
  </si>
  <si>
    <t>건전노래 부르기 경연대회(2015.12.30.)를 준비하기 위해 MR을 탐색하고 편집하는 등 급우들이 역량을 최대한 발휘해 조화롭고 즐거운 합창이 될 수 있도록 하여 학년 우수상을 받는데 기여함.</t>
    <phoneticPr fontId="2" type="noConversion"/>
  </si>
  <si>
    <t>교내합창대회 표어제작</t>
    <phoneticPr fontId="2" type="noConversion"/>
  </si>
  <si>
    <t>건전노래 부르기 경연대회(2015.12.30.)를 준비하는 과정에서 학교폭력예방 메세지를 강조하는 표어를 제작 준비하는 등 급우들이 역량을 최대한 발휘해 조화롭고 즐거운 합창이 될 수 있도록 하여 학년 우수상을 받는데 기여함.</t>
    <phoneticPr fontId="2" type="noConversion"/>
  </si>
  <si>
    <t>교내합창대회 안무</t>
    <phoneticPr fontId="2" type="noConversion"/>
  </si>
  <si>
    <t>건전노래 부르기 경연대회(2015.12.30.)를 준비하기 위해 안무를 구성하여 알려주는 등 급우들이 역량을 최대한 발휘해 조화롭고 즐거운 합창이 될 수 있도록 하여 학년 우수상을 받는데 기여함.</t>
    <phoneticPr fontId="2" type="noConversion"/>
  </si>
  <si>
    <t>안전교육</t>
    <phoneticPr fontId="2" type="noConversion"/>
  </si>
  <si>
    <t>안전교육(2015.12.31.)을 통해 일상생활 중에 발생할 수 있는 안전사고의 사례와 그 예방법과 사고 시 대처방법을 알고 실천할 수 있는 계기가 됨.</t>
    <phoneticPr fontId="2" type="noConversion"/>
  </si>
  <si>
    <t>정보통신교육2</t>
    <phoneticPr fontId="2" type="noConversion"/>
  </si>
  <si>
    <t>정보통신교육(2016.02.04.)에서 저작권과 개인정보 보호의 개념을 이해하고 저작권 및 개인정보 범죄 예방을 위해 타인의 정보와 인권을 존중해야 함을 알게 됨.</t>
    <phoneticPr fontId="2" type="noConversion"/>
  </si>
  <si>
    <t>다문화2</t>
    <phoneticPr fontId="2" type="noConversion"/>
  </si>
  <si>
    <t>다문화교육(2016.02.04.)을 통해 자국의 생활방식이나 문화만이 최고이고 모두 옳다는 사고방식은 위험한 것임을 이해하고 다른 나라의 문화도 그들의 입장에서 자랑스럽고 소중한 것임을 인식하게 됨.</t>
    <phoneticPr fontId="2" type="noConversion"/>
  </si>
  <si>
    <t>생명존중교육(2016.02.04.)을 통해 청소년들의 자살에 대한 심리적 상태를 이해하고 힘들어 하는 주변 친구들에 대한 따뜻한 배려와 도움이 절실히 필요함을 느꼈으며 생명의 소중함을 다시 한번 깨닫는 기회를 가지게 됨.</t>
    <phoneticPr fontId="2" type="noConversion"/>
  </si>
  <si>
    <t>생명존중교육2</t>
    <phoneticPr fontId="2" type="noConversion"/>
  </si>
  <si>
    <t>성교육2</t>
    <phoneticPr fontId="2" type="noConversion"/>
  </si>
  <si>
    <t xml:space="preserve">성교육(2016.02.04.)을 통해 여러가지 성병의 감염 경로와 문제점을 알고 에이즈 환자에 대한 막연한 공포와 두려움은 잘못된 지식과 편견에서 비롯됨을 깨닫고 그들과 함께 삶을 공유할 수 있는 방법을 알게 됨.   </t>
    <phoneticPr fontId="2" type="noConversion"/>
  </si>
  <si>
    <t>성교육1</t>
    <phoneticPr fontId="2" type="noConversion"/>
  </si>
  <si>
    <t>성폭력예방교육(2015.03.12.)을 통해 이성교제 시 지켜야 할 기본수칙을 배우고 성희롱 및 성폭력의 예방방법과 성적자기결정권의 중요성을 인식하게 됨.</t>
    <phoneticPr fontId="2" type="noConversion"/>
  </si>
  <si>
    <t>정보통신교육</t>
    <phoneticPr fontId="2" type="noConversion"/>
  </si>
  <si>
    <t>정보통신교육(2015.03.12.)에서 저작권과 개인정보 보호의 개념을 이해하고 저작권 및 개인정보 범죄 예방을 위해 타인의 정보와 인권을 존중해야 함을 알게 됨.</t>
    <phoneticPr fontId="2" type="noConversion"/>
  </si>
  <si>
    <t>인천과학대제전</t>
    <phoneticPr fontId="2" type="noConversion"/>
  </si>
  <si>
    <t>인천광역시교육청이 주최하고 인천대학교 과학영재교육연구소가 주관하는 ‘제17회 인천과학대제전’에 참여하여 ‘그림이 사라져요’ 프로그램으로 빛의 굴절과 전반사를 적용한 캡슐 만들기 프로그램을 운영 및 체험지도를 함.(2015.11.20.)</t>
    <phoneticPr fontId="2" type="noConversion"/>
  </si>
  <si>
    <t>수리탐구대회</t>
    <phoneticPr fontId="2" type="noConversion"/>
  </si>
  <si>
    <t>2015 제5회 서부수학원리탐구대회(2015.10.17.) 겨룸마당, 어울림마당, 나눔마당에 참가하여 착시와 불가능한 도형에 대하여 탐구한 내용을 발표하고 여러 학생들에게 소개하는 활동에 주도적인 역할을 함.</t>
    <phoneticPr fontId="2" type="noConversion"/>
  </si>
  <si>
    <t>교내체육대회(2015.05.21.) 응원전을 준비하는 과정에서 안무를 구성하여 급우들에게 친절하게 알려주는 등 학급의 단합을 이끌어내는데 기여함.</t>
    <phoneticPr fontId="2" type="noConversion"/>
  </si>
  <si>
    <t>교내체육대회(2015.05.21.)에서 사용할 의상을 준비하고 급우들의 친목과 단합을 이끌어내는데 주도적인 역할을 함.</t>
    <phoneticPr fontId="2" type="noConversion"/>
  </si>
  <si>
    <t>교내체육대회(2015.05.21.)에서 학급 계주 대표로 출전하여 자신의 기량을 발휘하기 위해 최선을 다해 노력함.</t>
    <phoneticPr fontId="2" type="noConversion"/>
  </si>
  <si>
    <t>교내체육대회(2015.05.21.)에 출전한 단체경기 선수들이 서로 화합하여 분발할 수 있도록 리더십을 잘 발휘함.</t>
    <phoneticPr fontId="2" type="noConversion"/>
  </si>
  <si>
    <t>양성평등교육1</t>
    <phoneticPr fontId="2" type="noConversion"/>
  </si>
  <si>
    <t>양성평등교육(2015.05.15.)을 통하여 양성평등의 개념을 올바르게 이해하게 되었으며 일상생활에서 양성평등을 실천할 수 있는 일에 대해 좀 더 구체적으로 생각하고 실천하는 계기가 됨.</t>
    <phoneticPr fontId="2" type="noConversion"/>
  </si>
  <si>
    <t>체육대회 안무 구성/지도</t>
    <phoneticPr fontId="2" type="noConversion"/>
  </si>
  <si>
    <t>체육대회 단합주도</t>
    <phoneticPr fontId="2" type="noConversion"/>
  </si>
  <si>
    <t>체육대회 계주대표</t>
    <phoneticPr fontId="2" type="noConversion"/>
  </si>
  <si>
    <t>체육대회 단체경기 리더</t>
    <phoneticPr fontId="2" type="noConversion"/>
  </si>
  <si>
    <t>장덕축제</t>
    <phoneticPr fontId="2" type="noConversion"/>
  </si>
  <si>
    <t>장덕축제(2016.12.30.)에서 학급체험활동 부스 운영에 자기 주도적으로 참여하였으며, 공연하는 친구들을 응원하며 건전한 공연 관람 문화를 선도함.</t>
    <phoneticPr fontId="2" type="noConversion"/>
  </si>
  <si>
    <t>참여도 및 태도</t>
    <phoneticPr fontId="2" type="noConversion"/>
  </si>
  <si>
    <t>프로그래밍에 흥미와 호기심을 가지고 있고 창의적인 발상으로 문제를 해결하는 능력이 있으며 수업시간 전 과정에 적극적으로 참여함.</t>
    <phoneticPr fontId="2" type="noConversion"/>
  </si>
  <si>
    <r>
      <t>중</t>
    </r>
    <r>
      <rPr>
        <sz val="10"/>
        <color theme="1"/>
        <rFont val="Cambria Math"/>
        <family val="3"/>
      </rPr>
      <t>⋅</t>
    </r>
    <r>
      <rPr>
        <sz val="10"/>
        <color theme="1"/>
        <rFont val="맑은 고딕"/>
        <family val="3"/>
        <charset val="129"/>
        <scheme val="minor"/>
      </rPr>
      <t>고등학교의 ‘세부능력 및 특기사항’란에는 과목별 성취기준에 따른 성취수준의 특성 및 학습활동 참여도 등을 특기할 만한 사항이 있는 과목 및 학생에 대하여 문장으로 입력</t>
    </r>
    <phoneticPr fontId="2" type="noConversion"/>
  </si>
  <si>
    <t>실생활 문제 해결을 위한 소프트웨어를 설계 개발하고 동일한 문제 해결을 위해 개발한 알고리즘과 프로그램의 동작 원리를 비교 분석할 수 있음.</t>
    <phoneticPr fontId="2" type="noConversion"/>
  </si>
  <si>
    <t>Layout&amp;Widget</t>
    <phoneticPr fontId="2" type="noConversion"/>
  </si>
  <si>
    <t>지적 호기심이 풍부하여 프로그램 개발 과정에서 새로운 해결방법을 발견하고 적용하는 것을 좋아함.</t>
    <phoneticPr fontId="2" type="noConversion"/>
  </si>
  <si>
    <t>안드로이드Layout의 구성과 동작 원리를 분석하여 Widget 간의 관계와 역할을 탐색하고, 주어진 문제 해결에 필요한 Layout과 Widget을 선택하여 프로그램을 설계 개발함.</t>
    <phoneticPr fontId="2" type="noConversion"/>
  </si>
  <si>
    <t>명시적 인텐트와 암시적 인텐트를 정확하게 이해하고 인텐트를 이용하여 다른 액티비티에 데이터를 전달하고 돌려받는 과정을 정확하게 활용함.</t>
    <phoneticPr fontId="2" type="noConversion"/>
  </si>
  <si>
    <t>LifeCycle</t>
    <phoneticPr fontId="2" type="noConversion"/>
  </si>
  <si>
    <t>액티비티의 LifeCycle에 대한 학습 과정 중 LifeCycle이 작동 순서와 활용 방법을 정확하게 이해하고 이를 활용하여 다양한 전략을 구사하는 등 유창성이 돋보임.</t>
    <phoneticPr fontId="2" type="noConversion"/>
  </si>
  <si>
    <t>Custom View</t>
    <phoneticPr fontId="2" type="noConversion"/>
  </si>
  <si>
    <t xml:space="preserve">Custom List의 작성 및 동작에 대한 개념을 완벽하게 이해하고 있으며, 이를 바탕으로 다양한 상황에서 다양한 형태의 Custom List를 활용하는 능력이 우수함.  </t>
    <phoneticPr fontId="2" type="noConversion"/>
  </si>
  <si>
    <t>Alert Dialog</t>
    <phoneticPr fontId="2" type="noConversion"/>
  </si>
  <si>
    <t xml:space="preserve">다양한 형태의 Alert Dialog의 생성 방법 및 동작 원리에 대해 정확히 이해하고 있으며, 이를 바탕으로 다양한 상황에서 다양한 형태의 Alert Dialog를 활용하는 능력이 우수함.  </t>
    <phoneticPr fontId="2" type="noConversion"/>
  </si>
  <si>
    <t>Database</t>
    <phoneticPr fontId="2" type="noConversion"/>
  </si>
  <si>
    <t>SQLite Database의 작동 방식을 정확하게 이해하고 있고 데이터베이스를 활용하여 데이터를 저장하고 출력하는 상황에 대한 문제해결능력이 우수함.</t>
    <phoneticPr fontId="2" type="noConversion"/>
  </si>
  <si>
    <t>File Read&amp;Write</t>
    <phoneticPr fontId="2" type="noConversion"/>
  </si>
  <si>
    <t>File을 생성하여 데이터를 저장하는 방법과 File에서 데이터를 불러와 활용하는 능력이 우수함.</t>
    <phoneticPr fontId="2" type="noConversion"/>
  </si>
  <si>
    <t>Multimedia</t>
    <phoneticPr fontId="2" type="noConversion"/>
  </si>
  <si>
    <t>멀티미디어 자료를 활용하는 기본적인 방법과 응용 방법을 이해하고 있으며, 안드로이드 프로그램에서 음악과 사진 등의 멀티미디어 자료를 적절하게 활용함.</t>
    <phoneticPr fontId="2" type="noConversion"/>
  </si>
  <si>
    <t>문제 분석(상)</t>
    <phoneticPr fontId="2" type="noConversion"/>
  </si>
  <si>
    <t>실생활 문제 상황을 분석하여 문제의 현재 상태와 목표 상태를 명확히 정의하고 실생활 문제의 현재 상태에서 목표 상태에 도달하기 위해 수행해야 할 작업을 순서대로 제시할 수 있음.</t>
    <phoneticPr fontId="2" type="noConversion"/>
  </si>
  <si>
    <t>문제 분석(중)</t>
    <phoneticPr fontId="2" type="noConversion"/>
  </si>
  <si>
    <t>문제 상황을 분석하여 문제의 현재 상태와 목표 상태를 설명할 수 있고 문제의 현재 상태에서 목표 상태에 도달하기 위해 수행해야 할 작업이 무엇인지 설명할 수 있음.</t>
    <phoneticPr fontId="2" type="noConversion"/>
  </si>
  <si>
    <t>알고리즘(상1)</t>
    <phoneticPr fontId="2" type="noConversion"/>
  </si>
  <si>
    <t>알고리즘(상2)</t>
    <phoneticPr fontId="2" type="noConversion"/>
  </si>
  <si>
    <t>문제 해결을 위한 다양한 방법과 절차를 탐색하고 해결 절차를 글이나 그림으로 논리적이고 명확하게 표현할 수 있음.</t>
    <phoneticPr fontId="2" type="noConversion"/>
  </si>
  <si>
    <t>제시된 문제를 추상화하여 해결하기 쉬운 형태로 만들고, 그 해법을 탐색하여 알고리즘으로 표현할 수 있음.</t>
    <phoneticPr fontId="2" type="noConversion"/>
  </si>
  <si>
    <t>제시된 문제 해결을 위한 소프트웨어를 설계 개발하고 동일한 문제 해결을 위해 활용 가능한 다양한 알고리즘의 차이를 비교할 수 있음.</t>
    <phoneticPr fontId="2" type="noConversion"/>
  </si>
  <si>
    <t>참여도 및 태도(상)</t>
    <phoneticPr fontId="2" type="noConversion"/>
  </si>
  <si>
    <t>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t>
    <phoneticPr fontId="2" type="noConversion"/>
  </si>
  <si>
    <t>안드로이드 앱 개발에 흥미와 호기심을 가지고 수업시간 전 과정에 적극적으로 참여함.</t>
    <phoneticPr fontId="2" type="noConversion"/>
  </si>
  <si>
    <t>참여도 및 태도(중2)</t>
    <phoneticPr fontId="2" type="noConversion"/>
  </si>
  <si>
    <t>프로젝트 참여도(상)</t>
    <phoneticPr fontId="2" type="noConversion"/>
  </si>
  <si>
    <t>프로젝트 산출물</t>
    <phoneticPr fontId="2" type="noConversion"/>
  </si>
  <si>
    <t>●●● 안드로이드 앱을 개발함.</t>
    <phoneticPr fontId="2" type="noConversion"/>
  </si>
  <si>
    <t>프로젝트 발표1</t>
    <phoneticPr fontId="2" type="noConversion"/>
  </si>
  <si>
    <t>안드로이드 앱 개발에 관련된 산출물 제작 방법을 다른 사람들에게 체계적으로 설명함.</t>
    <phoneticPr fontId="2" type="noConversion"/>
  </si>
  <si>
    <t>프로젝트 발표2</t>
    <phoneticPr fontId="2" type="noConversion"/>
  </si>
  <si>
    <t>프로젝트 산출물을 발표하는 자리에서 프로그램의 동작 과정과 원리를 잘 설명하여 다른 친구들의 공감을 얻음.</t>
    <phoneticPr fontId="2" type="noConversion"/>
  </si>
  <si>
    <t>intent</t>
    <phoneticPr fontId="2" type="noConversion"/>
  </si>
  <si>
    <t>알고리즘(중1)</t>
    <phoneticPr fontId="2" type="noConversion"/>
  </si>
  <si>
    <t>알고리즘(중2)</t>
    <phoneticPr fontId="2" type="noConversion"/>
  </si>
  <si>
    <t>참여도 및 태도(중1)</t>
    <phoneticPr fontId="2" type="noConversion"/>
  </si>
  <si>
    <t>안드로이드 앱 개발 프로젝트 수행 과정에 주도적으로 참여하여 과제를 수행함.</t>
    <phoneticPr fontId="2" type="noConversion"/>
  </si>
  <si>
    <t>구자현</t>
  </si>
  <si>
    <t>김정현</t>
  </si>
  <si>
    <t>김아진</t>
  </si>
  <si>
    <t>송명근</t>
  </si>
  <si>
    <t>김혜연</t>
  </si>
  <si>
    <t>송창준</t>
  </si>
  <si>
    <t>이준</t>
  </si>
  <si>
    <t>이가은</t>
  </si>
  <si>
    <t>소유정</t>
  </si>
  <si>
    <t>양경빈</t>
  </si>
  <si>
    <t>이정빈</t>
  </si>
  <si>
    <t>전형탁</t>
  </si>
  <si>
    <t>조영환</t>
  </si>
  <si>
    <t>이준원</t>
  </si>
  <si>
    <t>최화랑</t>
  </si>
  <si>
    <t>정현동</t>
  </si>
  <si>
    <t>하원호</t>
  </si>
  <si>
    <t xml:space="preserve">File을 생성하여 데이터를 저장하는 방법과 File에서 데이터를 불러와 활용하는 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안드로이드 앱 개발에 흥미와 호기심을 가지고 수업시간 전 과정에 적극적으로 참여함.
●●● 안드로이드 앱을 개발함.
안드로이드 앱 개발에 관련된 산출물 제작 방법을 다른 사람들에게 체계적으로 설명함.
</t>
    <phoneticPr fontId="2" type="noConversion"/>
  </si>
  <si>
    <t xml:space="preserve">SQLite Database의 작동 방식을 정확하게 이해하고 있고 데이터베이스를 활용하여 데이터를 저장하고 출력하는 상황에 대한 문제해결능력이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t>
    <phoneticPr fontId="2" type="noConversion"/>
  </si>
  <si>
    <t xml:space="preserve">안드로이드Layout의 구성과 동작 원리를 분석하여 Widget 간의 관계와 역할을 탐색하고, 주어진 문제 해결에 필요한 Layout과 Widget을 선택하여 프로그램을 설계 개발함.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프로젝트 산출물을 발표하는 자리에서 프로그램의 동작 과정과 원리를 잘 설명하여 다른 친구들의 공감을 얻음.
</t>
    <phoneticPr fontId="2" type="noConversion"/>
  </si>
  <si>
    <t xml:space="preserve">멀티미디어 자료를 활용하는 기본적인 방법과 응용 방법을 이해하고 있으며, 안드로이드 프로그램에서 음악과 사진 등의 멀티미디어 자료를 적절하게 활용함.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안드로이드 앱 개발에 관련된 산출물 제작 방법을 다른 사람들에게 체계적으로 설명함.
</t>
    <phoneticPr fontId="2" type="noConversion"/>
  </si>
  <si>
    <t xml:space="preserve">File을 생성하여 데이터를 저장하는 방법과 File에서 데이터를 불러와 활용하는 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프로젝트 산출물을 발표하는 자리에서 프로그램의 동작 과정과 원리를 잘 설명하여 다른 친구들의 공감을 얻음.
</t>
    <phoneticPr fontId="2" type="noConversion"/>
  </si>
  <si>
    <t xml:space="preserve">SQLite Database의 작동 방식을 정확하게 이해하고 있고 데이터베이스를 활용하여 데이터를 저장하고 출력하는 상황에 대한 문제해결능력이 우수함.
실생활 문제 상황을 분석하여 문제의 현재 상태와 목표 상태를 명확히 정의하고 실생활 문제의 현재 상태에서 목표 상태에 도달하기 위해 수행해야 할 작업을 순서대로 제시할 수 있음.
제시된 문제를 추상화하여 해결하기 쉬운 형태로 만들고, 그 해법을 탐색하여 알고리즘으로 표현할 수 있음.
안드로이드 앱 개발에 흥미와 호기심을 가지고 수업시간 전 과정에 적극적으로 참여함.
●●● 안드로이드 앱을 개발함.
안드로이드 앱 개발에 관련된 산출물 제작 방법을 다른 사람들에게 체계적으로 설명함.
</t>
    <phoneticPr fontId="2" type="noConversion"/>
  </si>
  <si>
    <t xml:space="preserve">다양한 형태의 Alert Dialog의 생성 방법 및 동작 원리에 대해 정확히 이해하고 있으며, 이를 바탕으로 다양한 상황에서 다양한 형태의 Alert Dialog를 활용하는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지적 호기심이 풍부하여 프로그램 개발 과정에서 새로운 해결방법을 발견하고 적용하는 것을 좋아함.
안드로이드 앱 개발 프로젝트 수행 과정에 주도적으로 참여하여 과제를 수행함.
●●● 안드로이드 앱을 개발함.
</t>
    <phoneticPr fontId="2" type="noConversion"/>
  </si>
  <si>
    <t>황도원</t>
    <phoneticPr fontId="2" type="noConversion"/>
  </si>
  <si>
    <t xml:space="preserve">다양한 형태의 Alert Dialog의 생성 방법 및 동작 원리에 대해 정확히 이해하고 있으며, 이를 바탕으로 다양한 상황에서 다양한 형태의 Alert Dialog를 활용하는 능력이 우수함.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안드로이드 앱 개발에 흥미와 호기심을 가지고 수업시간 전 과정에 적극적으로 참여함.
●●● 안드로이드 앱을 개발함.
</t>
    <phoneticPr fontId="2" type="noConversion"/>
  </si>
  <si>
    <t xml:space="preserve">Custom List의 작성 및 동작에 대한 개념을 완벽하게 이해하고 있으며, 이를 바탕으로 다양한 상황에서 다양한 형태의 Custom List를 활용하는 능력이 우수함.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안드로이드 앱을 개발함.
</t>
    <phoneticPr fontId="2" type="noConversion"/>
  </si>
  <si>
    <t xml:space="preserve">액티비티의 LifeCycle에 대한 학습 과정 중 LifeCycle이 작동 순서와 활용 방법을 정확하게 이해하고 이를 활용하여 다양한 전략을 구사하는 등 유창성이 돋보임.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안드로이드 앱 개발에 흥미와 호기심을 가지고 수업시간 전 과정에 적극적으로 참여함.
●●● 안드로이드 앱을 개발함.
</t>
    <phoneticPr fontId="2" type="noConversion"/>
  </si>
  <si>
    <t xml:space="preserve">명시적 인텐트와 암시적 인텐트를 정확하게 이해하고 인텐트를 이용하여 다른 액티비티에 데이터를 전달하고 돌려받는 과정을 정확하게 활용함.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안드로이드 앱을 개발함.
</t>
    <phoneticPr fontId="2" type="noConversion"/>
  </si>
  <si>
    <t xml:space="preserve">Custom List의 작성 및 동작에 대한 개념을 완벽하게 이해하고 있으며, 이를 바탕으로 다양한 상황에서 다양한 형태의 Custom List를 활용하는 능력이 우수함.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 안드로이드 앱을 개발함.
</t>
    <phoneticPr fontId="2" type="noConversion"/>
  </si>
  <si>
    <t xml:space="preserve">액티비티의 LifeCycle에 대한 학습 과정 중 LifeCycle이 작동 순서와 활용 방법을 정확하게 이해하고 이를 활용하여 다양한 전략을 구사하는 등 유창성이 돋보임.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안드로이드 앱 개발에 흥미와 호기심을 가지고 수업시간 전 과정에 적극적으로 참여함.
●●● 안드로이드 앱을 개발함.
</t>
    <phoneticPr fontId="2" type="noConversion"/>
  </si>
  <si>
    <t xml:space="preserve">명시적 인텐트와 암시적 인텐트를 정확하게 이해하고 인텐트를 이용하여 다른 액티비티에 데이터를 전달하고 돌려받는 과정을 정확하게 활용함.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프로젝트 산출물을 발표하는 자리에서 프로그램의 동작 과정과 원리를 잘 설명하여 다른 친구들의 공감을 얻음.
</t>
    <phoneticPr fontId="2" type="noConversion"/>
  </si>
  <si>
    <t xml:space="preserve">안드로이드Layout의 구성과 동작 원리를 분석하여 Widget 간의 관계와 역할을 탐색하고, 주어진 문제 해결에 필요한 Layout과 Widget을 선택하여 프로그램을 설계 개발함.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 안드로이드 앱을 개발함.
</t>
    <phoneticPr fontId="2" type="noConversion"/>
  </si>
  <si>
    <t xml:space="preserve">멀티미디어 자료를 활용하는 기본적인 방법과 응용 방법을 이해하고 있으며, 안드로이드 프로그램에서 음악과 사진 등의 멀티미디어 자료를 적절하게 활용함.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t>
    <phoneticPr fontId="2" type="noConversion"/>
  </si>
  <si>
    <t xml:space="preserve">File을 생성하여 데이터를 저장하는 방법과 File에서 데이터를 불러와 활용하는 능력이 우수함.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안드로이드 앱을 개발함.
프로젝트 산출물을 발표하는 자리에서 프로그램의 동작 과정과 원리를 잘 설명하여 다른 친구들의 공감을 얻음.
</t>
    <phoneticPr fontId="2" type="noConversion"/>
  </si>
  <si>
    <t xml:space="preserve">멀티미디어 자료를 활용하는 기본적인 방법과 응용 방법을 이해하고 있으며, 안드로이드 프로그램에서 음악과 사진 등의 멀티미디어 자료를 적절하게 활용함.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지적 호기심이 풍부하여 프로그램 개발 과정에서 새로운 해결방법을 발견하고 적용하는 것을 좋아함.
●●● 안드로이드 앱을 개발함.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</si>
</sst>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맑은 고딕"/>
      <family val="2"/>
      <charset val="129"/>
      <scheme val="minor"/>
    </font>
    <font>
      <sz val="10"/>
      <color rgb="FF000000"/>
      <name val="맑은 고딕"/>
      <family val="3"/>
      <charset val="129"/>
      <scheme val="minor"/>
    </font>
    <font>
      <sz val="8"/>
      <name val="맑은 고딕"/>
      <family val="2"/>
      <charset val="129"/>
      <scheme val="minor"/>
    </font>
    <font>
      <sz val="10"/>
      <color theme="1"/>
      <name val="맑은 고딕"/>
      <family val="3"/>
      <charset val="129"/>
      <scheme val="minor"/>
    </font>
    <font>
      <sz val="11"/>
      <color theme="1"/>
      <name val="맑은 고딕"/>
      <family val="3"/>
      <charset val="129"/>
      <scheme val="minor"/>
    </font>
    <font>
      <sz val="11"/>
      <name val="돋움"/>
      <family val="3"/>
      <charset val="129"/>
    </font>
    <font>
      <sz val="8"/>
      <color theme="1"/>
      <name val="맑은 고딕"/>
      <family val="2"/>
      <charset val="129"/>
      <scheme val="minor"/>
    </font>
    <font>
      <b/>
      <sz val="11"/>
      <color theme="1"/>
      <name val="맑은 고딕"/>
      <family val="3"/>
      <charset val="129"/>
      <scheme val="minor"/>
    </font>
    <font>
      <b/>
      <sz val="11"/>
      <color rgb="FFFF0000"/>
      <name val="맑은 고딕"/>
      <family val="3"/>
      <charset val="129"/>
      <scheme val="minor"/>
    </font>
    <font>
      <b/>
      <sz val="16"/>
      <color theme="1"/>
      <name val="맑은 고딕"/>
      <family val="3"/>
      <charset val="129"/>
      <scheme val="minor"/>
    </font>
    <font>
      <sz val="10"/>
      <color rgb="FF000000"/>
      <name val="맑은 고딕"/>
      <family val="3"/>
      <charset val="129"/>
    </font>
    <font>
      <sz val="9"/>
      <color theme="1"/>
      <name val="맑은 고딕"/>
      <family val="3"/>
      <charset val="129"/>
      <scheme val="minor"/>
    </font>
    <font>
      <sz val="11"/>
      <color rgb="FF000000"/>
      <name val="맑은 고딕"/>
      <family val="3"/>
      <charset val="129"/>
    </font>
    <font>
      <b/>
      <sz val="10"/>
      <name val="맑은 고딕"/>
      <family val="3"/>
      <charset val="129"/>
      <scheme val="minor"/>
    </font>
    <font>
      <b/>
      <sz val="11"/>
      <color rgb="FFFFFF00"/>
      <name val="맑은 고딕"/>
      <family val="3"/>
      <charset val="129"/>
      <scheme val="minor"/>
    </font>
    <font>
      <b/>
      <u/>
      <sz val="11"/>
      <color theme="1"/>
      <name val="맑은 고딕"/>
      <family val="3"/>
      <charset val="129"/>
      <scheme val="minor"/>
    </font>
    <font>
      <sz val="9"/>
      <color theme="1"/>
      <name val="맑은 고딕"/>
      <family val="2"/>
      <charset val="129"/>
      <scheme val="minor"/>
    </font>
    <font>
      <sz val="10"/>
      <color theme="1"/>
      <name val="맑은 고딕"/>
      <family val="2"/>
      <charset val="129"/>
      <scheme val="minor"/>
    </font>
    <font>
      <sz val="10"/>
      <color theme="1"/>
      <name val="바탕"/>
      <family val="1"/>
      <charset val="129"/>
    </font>
    <font>
      <b/>
      <sz val="12"/>
      <color theme="1"/>
      <name val="맑은 고딕"/>
      <family val="3"/>
      <charset val="129"/>
      <scheme val="minor"/>
    </font>
    <font>
      <b/>
      <sz val="12"/>
      <color theme="0"/>
      <name val="맑은 고딕"/>
      <family val="3"/>
      <charset val="129"/>
      <scheme val="minor"/>
    </font>
    <font>
      <b/>
      <sz val="11"/>
      <color theme="0"/>
      <name val="맑은 고딕"/>
      <family val="3"/>
      <charset val="129"/>
      <scheme val="minor"/>
    </font>
    <font>
      <b/>
      <sz val="9"/>
      <color theme="1"/>
      <name val="맑은 고딕"/>
      <family val="3"/>
      <charset val="129"/>
      <scheme val="minor"/>
    </font>
    <font>
      <sz val="10"/>
      <name val="맑은 고딕"/>
      <family val="2"/>
      <charset val="129"/>
      <scheme val="minor"/>
    </font>
    <font>
      <b/>
      <sz val="16"/>
      <color rgb="FFFF0000"/>
      <name val="맑은 고딕"/>
      <family val="3"/>
      <charset val="129"/>
      <scheme val="minor"/>
    </font>
    <font>
      <b/>
      <sz val="10"/>
      <color theme="1"/>
      <name val="맑은 고딕"/>
      <family val="3"/>
      <charset val="129"/>
      <scheme val="minor"/>
    </font>
    <font>
      <sz val="10"/>
      <color theme="1"/>
      <name val="Cambria Math"/>
      <family val="3"/>
    </font>
  </fonts>
  <fills count="14">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FFFFCC"/>
        <bgColor indexed="64"/>
      </patternFill>
    </fill>
    <fill>
      <patternFill patternType="solid">
        <fgColor theme="9"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FF9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diagonal style="thin">
        <color indexed="64"/>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diagonalDown="1">
      <left style="thin">
        <color indexed="64"/>
      </left>
      <right style="thin">
        <color indexed="64"/>
      </right>
      <top/>
      <bottom/>
      <diagonal style="thin">
        <color indexed="64"/>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alignment vertical="center"/>
    </xf>
    <xf numFmtId="0" fontId="4" fillId="0" borderId="0">
      <alignment vertical="center"/>
    </xf>
    <xf numFmtId="0" fontId="5" fillId="0" borderId="0"/>
    <xf numFmtId="0" fontId="5" fillId="0" borderId="0"/>
  </cellStyleXfs>
  <cellXfs count="83">
    <xf numFmtId="0" fontId="0" fillId="0" borderId="0" xfId="0">
      <alignment vertical="center"/>
    </xf>
    <xf numFmtId="0" fontId="0" fillId="10" borderId="0" xfId="0" applyFill="1">
      <alignment vertical="center"/>
    </xf>
    <xf numFmtId="0" fontId="17" fillId="5" borderId="1" xfId="0" applyFont="1" applyFill="1" applyBorder="1" applyAlignment="1">
      <alignment horizontal="center" vertical="center"/>
    </xf>
    <xf numFmtId="0" fontId="0" fillId="10" borderId="0" xfId="0" applyFill="1" applyAlignment="1">
      <alignment horizontal="left" vertical="center"/>
    </xf>
    <xf numFmtId="0" fontId="17" fillId="10" borderId="0" xfId="0" applyFont="1" applyFill="1" applyAlignment="1">
      <alignment horizontal="center" vertical="center"/>
    </xf>
    <xf numFmtId="0" fontId="17" fillId="5" borderId="1" xfId="0" applyFont="1" applyFill="1" applyBorder="1" applyAlignment="1" applyProtection="1">
      <alignment horizontal="center" vertical="center"/>
    </xf>
    <xf numFmtId="0" fontId="19" fillId="5" borderId="1" xfId="0" applyFont="1" applyFill="1" applyBorder="1" applyAlignment="1" applyProtection="1">
      <alignment horizontal="center" vertical="center"/>
    </xf>
    <xf numFmtId="0" fontId="0" fillId="4" borderId="0" xfId="0" applyFill="1" applyProtection="1">
      <alignment vertical="center"/>
      <protection hidden="1"/>
    </xf>
    <xf numFmtId="0" fontId="0" fillId="4" borderId="0" xfId="0" applyFill="1" applyAlignment="1" applyProtection="1">
      <alignment horizontal="center" vertical="center"/>
      <protection hidden="1"/>
    </xf>
    <xf numFmtId="0" fontId="0" fillId="4" borderId="0" xfId="0" applyFill="1" applyAlignment="1" applyProtection="1">
      <alignment horizontal="left" vertical="center"/>
      <protection hidden="1"/>
    </xf>
    <xf numFmtId="0" fontId="0" fillId="10" borderId="0" xfId="0" applyFill="1" applyProtection="1">
      <alignment vertical="center"/>
      <protection hidden="1"/>
    </xf>
    <xf numFmtId="0" fontId="0" fillId="10" borderId="0" xfId="0" applyFill="1" applyAlignment="1" applyProtection="1">
      <alignment horizontal="center" vertical="center"/>
      <protection hidden="1"/>
    </xf>
    <xf numFmtId="0" fontId="3" fillId="10" borderId="0" xfId="0" applyFont="1" applyFill="1" applyAlignment="1" applyProtection="1">
      <alignment horizontal="center" vertical="center" shrinkToFit="1"/>
      <protection hidden="1"/>
    </xf>
    <xf numFmtId="0" fontId="3" fillId="11" borderId="1" xfId="0" applyFont="1" applyFill="1" applyBorder="1" applyProtection="1">
      <alignment vertical="center"/>
      <protection hidden="1"/>
    </xf>
    <xf numFmtId="0" fontId="3" fillId="11" borderId="1" xfId="0" applyFont="1" applyFill="1" applyBorder="1" applyAlignment="1" applyProtection="1">
      <alignment horizontal="center" vertical="center"/>
      <protection hidden="1"/>
    </xf>
    <xf numFmtId="0" fontId="3" fillId="11" borderId="1" xfId="0" applyFont="1" applyFill="1" applyBorder="1" applyAlignment="1" applyProtection="1">
      <alignment horizontal="center" vertical="center" shrinkToFit="1"/>
      <protection hidden="1"/>
    </xf>
    <xf numFmtId="0" fontId="7" fillId="10" borderId="0" xfId="0" applyFont="1" applyFill="1" applyAlignment="1" applyProtection="1">
      <alignment horizontal="center" vertical="center"/>
      <protection hidden="1"/>
    </xf>
    <xf numFmtId="0" fontId="17" fillId="5" borderId="1" xfId="0" applyFont="1" applyFill="1" applyBorder="1" applyAlignment="1" applyProtection="1">
      <alignment vertical="center" wrapText="1"/>
      <protection locked="0"/>
    </xf>
    <xf numFmtId="0" fontId="11" fillId="5" borderId="1" xfId="0" applyFont="1" applyFill="1" applyBorder="1" applyAlignment="1" applyProtection="1">
      <alignment horizontal="center" vertical="center" shrinkToFit="1"/>
    </xf>
    <xf numFmtId="0" fontId="0" fillId="10" borderId="0" xfId="0" applyFill="1" applyAlignment="1">
      <alignment horizontal="center" vertical="center"/>
    </xf>
    <xf numFmtId="0" fontId="3" fillId="12" borderId="1" xfId="0" applyFont="1" applyFill="1" applyBorder="1" applyAlignment="1" applyProtection="1">
      <alignment horizontal="center" vertical="center"/>
      <protection locked="0"/>
    </xf>
    <xf numFmtId="0" fontId="3" fillId="5" borderId="2" xfId="0" applyFont="1" applyFill="1" applyBorder="1" applyAlignment="1" applyProtection="1">
      <alignment horizontal="center" vertical="center" shrinkToFit="1"/>
      <protection locked="0"/>
    </xf>
    <xf numFmtId="0" fontId="1" fillId="5" borderId="1" xfId="0" applyFont="1" applyFill="1" applyBorder="1" applyAlignment="1" applyProtection="1">
      <alignment horizontal="justify" vertical="center"/>
      <protection locked="0"/>
    </xf>
    <xf numFmtId="0" fontId="3" fillId="5" borderId="1" xfId="0" applyFont="1" applyFill="1" applyBorder="1" applyAlignment="1" applyProtection="1">
      <alignment horizontal="center" vertical="center" shrinkToFit="1"/>
      <protection locked="0"/>
    </xf>
    <xf numFmtId="0" fontId="3" fillId="12" borderId="1" xfId="0" applyFont="1" applyFill="1" applyBorder="1" applyAlignment="1" applyProtection="1">
      <alignment horizontal="center" vertical="center" shrinkToFit="1"/>
      <protection locked="0"/>
    </xf>
    <xf numFmtId="0" fontId="3" fillId="5" borderId="1" xfId="0" applyFont="1" applyFill="1" applyBorder="1" applyAlignment="1" applyProtection="1">
      <alignment vertical="center" wrapText="1"/>
      <protection locked="0"/>
    </xf>
    <xf numFmtId="0" fontId="1" fillId="5" borderId="1" xfId="0" applyFont="1" applyFill="1" applyBorder="1" applyAlignment="1" applyProtection="1">
      <alignment horizontal="left" vertical="center" wrapText="1"/>
      <protection locked="0"/>
    </xf>
    <xf numFmtId="0" fontId="21" fillId="8" borderId="0" xfId="0" applyFont="1" applyFill="1" applyAlignment="1">
      <alignment horizontal="center" vertical="center"/>
    </xf>
    <xf numFmtId="0" fontId="7" fillId="10" borderId="0" xfId="0" applyFont="1" applyFill="1">
      <alignment vertical="center"/>
    </xf>
    <xf numFmtId="0" fontId="22" fillId="9" borderId="1" xfId="0" applyFont="1" applyFill="1" applyBorder="1" applyAlignment="1">
      <alignment horizontal="center" vertical="center" wrapText="1"/>
    </xf>
    <xf numFmtId="0" fontId="7" fillId="9" borderId="1" xfId="0" applyFont="1" applyFill="1" applyBorder="1" applyAlignment="1">
      <alignment horizontal="center" vertical="center" shrinkToFit="1"/>
    </xf>
    <xf numFmtId="0" fontId="0" fillId="5" borderId="0" xfId="0" applyFill="1" applyAlignment="1" applyProtection="1">
      <alignment horizontal="center" vertical="center"/>
    </xf>
    <xf numFmtId="0" fontId="8" fillId="2" borderId="7" xfId="0" applyFont="1" applyFill="1" applyBorder="1" applyAlignment="1" applyProtection="1">
      <alignment vertical="center" wrapText="1"/>
    </xf>
    <xf numFmtId="0" fontId="8" fillId="2" borderId="8" xfId="0" applyFont="1" applyFill="1" applyBorder="1" applyAlignment="1" applyProtection="1">
      <alignment vertical="center" wrapText="1"/>
    </xf>
    <xf numFmtId="0" fontId="0" fillId="4" borderId="0" xfId="0" applyFill="1" applyProtection="1">
      <alignment vertical="center"/>
    </xf>
    <xf numFmtId="0" fontId="0" fillId="7" borderId="1" xfId="0" applyFill="1" applyBorder="1" applyAlignment="1" applyProtection="1">
      <alignment horizontal="center" vertical="center"/>
    </xf>
    <xf numFmtId="0" fontId="0" fillId="7" borderId="1" xfId="0" applyFill="1" applyBorder="1" applyAlignment="1" applyProtection="1">
      <alignment horizontal="left" vertical="center"/>
    </xf>
    <xf numFmtId="0" fontId="6" fillId="5" borderId="1" xfId="0" applyFont="1" applyFill="1" applyBorder="1" applyAlignment="1" applyProtection="1">
      <alignment horizontal="center" vertical="center" wrapText="1"/>
    </xf>
    <xf numFmtId="0" fontId="6" fillId="7" borderId="1" xfId="0" applyFont="1" applyFill="1" applyBorder="1" applyAlignment="1" applyProtection="1">
      <alignment horizontal="center" vertical="center" wrapText="1"/>
    </xf>
    <xf numFmtId="0" fontId="6" fillId="5" borderId="1" xfId="0" applyFont="1" applyFill="1" applyBorder="1" applyAlignment="1" applyProtection="1">
      <alignment horizontal="center" vertical="center" shrinkToFit="1"/>
    </xf>
    <xf numFmtId="0" fontId="3" fillId="6" borderId="1" xfId="0" applyFont="1" applyFill="1" applyBorder="1" applyAlignment="1" applyProtection="1">
      <alignment horizontal="center" vertical="center"/>
      <protection locked="0"/>
    </xf>
    <xf numFmtId="0" fontId="18" fillId="7" borderId="1" xfId="0" applyFont="1" applyFill="1" applyBorder="1" applyAlignment="1" applyProtection="1">
      <alignment horizontal="left" vertical="center" shrinkToFit="1"/>
    </xf>
    <xf numFmtId="0" fontId="13" fillId="9" borderId="1" xfId="0" applyFont="1" applyFill="1" applyBorder="1" applyAlignment="1" applyProtection="1">
      <alignment horizontal="center" vertical="center"/>
    </xf>
    <xf numFmtId="0" fontId="1" fillId="0" borderId="1" xfId="0" applyFont="1" applyBorder="1" applyAlignment="1" applyProtection="1">
      <alignment horizontal="justify" vertical="center"/>
      <protection locked="0"/>
    </xf>
    <xf numFmtId="0" fontId="1" fillId="5" borderId="6" xfId="0" applyFont="1" applyFill="1" applyBorder="1" applyAlignment="1" applyProtection="1">
      <alignment horizontal="justify" vertical="center"/>
      <protection locked="0"/>
    </xf>
    <xf numFmtId="0" fontId="3" fillId="5" borderId="6" xfId="0" applyFont="1" applyFill="1" applyBorder="1" applyAlignment="1" applyProtection="1">
      <alignment vertical="center" wrapText="1"/>
      <protection locked="0"/>
    </xf>
    <xf numFmtId="0" fontId="1" fillId="5" borderId="0" xfId="0" applyFont="1" applyFill="1" applyBorder="1" applyAlignment="1" applyProtection="1">
      <alignment horizontal="justify" vertical="center"/>
      <protection locked="0"/>
    </xf>
    <xf numFmtId="0" fontId="23" fillId="11" borderId="1" xfId="0" applyFont="1" applyFill="1" applyBorder="1" applyAlignment="1" applyProtection="1">
      <alignment horizontal="center" vertical="center"/>
      <protection hidden="1"/>
    </xf>
    <xf numFmtId="0" fontId="3" fillId="13" borderId="1" xfId="0" applyFont="1" applyFill="1" applyBorder="1" applyAlignment="1" applyProtection="1">
      <alignment horizontal="left" vertical="center" wrapText="1" shrinkToFit="1"/>
      <protection locked="0"/>
    </xf>
    <xf numFmtId="0" fontId="16" fillId="5" borderId="1" xfId="0" applyFont="1" applyFill="1" applyBorder="1" applyAlignment="1" applyProtection="1">
      <alignment horizontal="left" vertical="center" wrapText="1"/>
      <protection locked="0"/>
    </xf>
    <xf numFmtId="0" fontId="3" fillId="3" borderId="15" xfId="0" applyFont="1" applyFill="1" applyBorder="1" applyAlignment="1" applyProtection="1">
      <alignment horizontal="center" vertical="center"/>
      <protection hidden="1"/>
    </xf>
    <xf numFmtId="0" fontId="3" fillId="3" borderId="11"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0" fontId="3" fillId="3" borderId="17" xfId="0" applyFont="1" applyFill="1" applyBorder="1" applyAlignment="1" applyProtection="1">
      <alignment horizontal="center" vertical="center"/>
      <protection hidden="1"/>
    </xf>
    <xf numFmtId="0" fontId="3" fillId="12" borderId="2" xfId="0" applyFont="1" applyFill="1" applyBorder="1" applyAlignment="1" applyProtection="1">
      <alignment horizontal="center" vertical="center"/>
      <protection locked="0"/>
    </xf>
    <xf numFmtId="0" fontId="25" fillId="3" borderId="14" xfId="0" applyFont="1" applyFill="1" applyBorder="1" applyAlignment="1" applyProtection="1">
      <alignment horizontal="center" vertical="center"/>
      <protection hidden="1"/>
    </xf>
    <xf numFmtId="0" fontId="25" fillId="3" borderId="11" xfId="0" applyFont="1" applyFill="1" applyBorder="1" applyAlignment="1" applyProtection="1">
      <alignment horizontal="center" vertical="center"/>
      <protection hidden="1"/>
    </xf>
    <xf numFmtId="0" fontId="17" fillId="12" borderId="1" xfId="0" applyFont="1" applyFill="1" applyBorder="1" applyAlignment="1" applyProtection="1">
      <alignment horizontal="center" vertical="center"/>
      <protection locked="0"/>
    </xf>
    <xf numFmtId="0" fontId="17" fillId="0" borderId="1" xfId="0" applyFont="1" applyFill="1" applyBorder="1" applyAlignment="1" applyProtection="1">
      <alignment horizontal="center" vertical="center"/>
    </xf>
    <xf numFmtId="0" fontId="3" fillId="12" borderId="3" xfId="0" applyFont="1" applyFill="1" applyBorder="1" applyAlignment="1" applyProtection="1">
      <alignment horizontal="center" vertical="center"/>
      <protection locked="0"/>
    </xf>
    <xf numFmtId="0" fontId="1" fillId="5" borderId="6" xfId="0" applyFont="1" applyFill="1" applyBorder="1" applyAlignment="1" applyProtection="1">
      <alignment horizontal="justify" vertical="center" wrapText="1"/>
      <protection locked="0"/>
    </xf>
    <xf numFmtId="0" fontId="1" fillId="0" borderId="1" xfId="0" applyFont="1" applyBorder="1" applyAlignment="1" applyProtection="1">
      <alignment horizontal="justify" vertical="center" wrapText="1"/>
      <protection locked="0"/>
    </xf>
    <xf numFmtId="0" fontId="3" fillId="5" borderId="0" xfId="0" applyFont="1" applyFill="1" applyBorder="1" applyAlignment="1" applyProtection="1">
      <alignment vertical="center" wrapText="1"/>
      <protection locked="0"/>
    </xf>
    <xf numFmtId="0" fontId="9" fillId="3" borderId="5" xfId="0" applyFont="1" applyFill="1" applyBorder="1" applyAlignment="1" applyProtection="1">
      <alignment horizontal="center" vertical="top"/>
      <protection hidden="1"/>
    </xf>
    <xf numFmtId="0" fontId="20" fillId="10" borderId="0" xfId="0" applyFont="1" applyFill="1" applyAlignment="1" applyProtection="1">
      <alignment horizontal="center" vertical="center"/>
      <protection hidden="1"/>
    </xf>
    <xf numFmtId="0" fontId="14" fillId="8" borderId="5" xfId="0" applyFont="1" applyFill="1" applyBorder="1" applyAlignment="1" applyProtection="1">
      <alignment horizontal="left" vertical="center" wrapText="1"/>
      <protection hidden="1"/>
    </xf>
    <xf numFmtId="0" fontId="0" fillId="10" borderId="12" xfId="0" applyFill="1" applyBorder="1" applyAlignment="1" applyProtection="1">
      <alignment horizontal="left" vertical="center" wrapText="1"/>
      <protection hidden="1"/>
    </xf>
    <xf numFmtId="0" fontId="25" fillId="3" borderId="13" xfId="0" applyFont="1" applyFill="1" applyBorder="1" applyAlignment="1" applyProtection="1">
      <alignment horizontal="center" vertical="center" wrapText="1"/>
      <protection hidden="1"/>
    </xf>
    <xf numFmtId="0" fontId="25" fillId="3" borderId="14" xfId="0" applyFont="1" applyFill="1" applyBorder="1" applyAlignment="1" applyProtection="1">
      <alignment horizontal="center" vertical="center"/>
      <protection hidden="1"/>
    </xf>
    <xf numFmtId="0" fontId="25" fillId="3" borderId="15" xfId="0" applyFont="1" applyFill="1" applyBorder="1" applyAlignment="1" applyProtection="1">
      <alignment horizontal="center" vertical="center"/>
      <protection hidden="1"/>
    </xf>
    <xf numFmtId="0" fontId="25" fillId="3" borderId="11" xfId="0" applyFont="1" applyFill="1" applyBorder="1" applyAlignment="1" applyProtection="1">
      <alignment horizontal="center" vertical="center"/>
      <protection hidden="1"/>
    </xf>
    <xf numFmtId="0" fontId="7" fillId="9" borderId="1" xfId="0" applyFont="1" applyFill="1" applyBorder="1" applyAlignment="1" applyProtection="1">
      <alignment horizontal="center" vertical="center" wrapText="1"/>
    </xf>
    <xf numFmtId="0" fontId="3" fillId="5" borderId="2" xfId="0" applyFont="1" applyFill="1" applyBorder="1" applyAlignment="1" applyProtection="1">
      <alignment horizontal="center" vertical="center"/>
    </xf>
    <xf numFmtId="0" fontId="3" fillId="5" borderId="9" xfId="0" applyFont="1" applyFill="1" applyBorder="1" applyAlignment="1" applyProtection="1">
      <alignment horizontal="center" vertical="center"/>
    </xf>
    <xf numFmtId="0" fontId="9" fillId="3" borderId="6" xfId="0" applyFont="1" applyFill="1" applyBorder="1" applyAlignment="1" applyProtection="1">
      <alignment horizontal="center" vertical="center"/>
    </xf>
    <xf numFmtId="0" fontId="9" fillId="3" borderId="7" xfId="0" applyFont="1" applyFill="1" applyBorder="1" applyAlignment="1" applyProtection="1">
      <alignment horizontal="center" vertical="center"/>
    </xf>
    <xf numFmtId="0" fontId="3" fillId="5" borderId="4" xfId="0" applyFont="1" applyFill="1" applyBorder="1" applyAlignment="1" applyProtection="1">
      <alignment horizontal="left" vertical="center" wrapText="1"/>
    </xf>
    <xf numFmtId="0" fontId="3" fillId="5" borderId="10" xfId="0" applyFont="1" applyFill="1" applyBorder="1" applyAlignment="1" applyProtection="1">
      <alignment horizontal="left" vertical="center" wrapText="1"/>
    </xf>
    <xf numFmtId="0" fontId="24" fillId="2" borderId="7" xfId="0" applyFont="1" applyFill="1" applyBorder="1" applyAlignment="1" applyProtection="1">
      <alignment horizontal="center" vertical="center" wrapText="1"/>
    </xf>
    <xf numFmtId="0" fontId="14" fillId="8" borderId="7" xfId="0" applyFont="1" applyFill="1" applyBorder="1" applyAlignment="1" applyProtection="1">
      <alignment horizontal="center" vertical="center" wrapText="1"/>
    </xf>
    <xf numFmtId="0" fontId="7" fillId="2" borderId="0" xfId="0" applyFont="1" applyFill="1" applyAlignment="1">
      <alignment horizontal="left" vertical="center" wrapText="1"/>
    </xf>
    <xf numFmtId="0" fontId="14" fillId="8" borderId="0" xfId="0" applyFont="1" applyFill="1" applyAlignment="1" applyProtection="1">
      <alignment horizontal="left" vertical="center" wrapText="1"/>
    </xf>
    <xf numFmtId="0" fontId="9" fillId="3" borderId="5" xfId="0" applyFont="1" applyFill="1" applyBorder="1" applyAlignment="1" applyProtection="1">
      <alignment horizontal="center" vertical="center" wrapText="1"/>
    </xf>
  </cellXfs>
  <cellStyles count="4">
    <cellStyle name="표준" xfId="0" builtinId="0"/>
    <cellStyle name="표준 2" xfId="1" xr:uid="{00000000-0005-0000-0000-000001000000}"/>
    <cellStyle name="표준 2 2" xfId="3" xr:uid="{00000000-0005-0000-0000-000002000000}"/>
    <cellStyle name="표준 3" xfId="2" xr:uid="{00000000-0005-0000-0000-000003000000}"/>
  </cellStyles>
  <dxfs count="0"/>
  <tableStyles count="0" defaultTableStyle="TableStyleMedium9"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441960</xdr:colOff>
          <xdr:row>1</xdr:row>
          <xdr:rowOff>342900</xdr:rowOff>
        </xdr:from>
        <xdr:to>
          <xdr:col>4</xdr:col>
          <xdr:colOff>899160</xdr:colOff>
          <xdr:row>1</xdr:row>
          <xdr:rowOff>601980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000" b="0" i="0" u="none" strike="noStrike" baseline="0">
                  <a:solidFill>
                    <a:srgbClr val="000000"/>
                  </a:solidFill>
                  <a:latin typeface="맑은 고딕"/>
                  <a:ea typeface="맑은 고딕"/>
                </a:rPr>
                <a:t>일자순서대로 정렬하기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1905000</xdr:colOff>
          <xdr:row>2</xdr:row>
          <xdr:rowOff>0</xdr:rowOff>
        </xdr:from>
        <xdr:to>
          <xdr:col>5</xdr:col>
          <xdr:colOff>3185160</xdr:colOff>
          <xdr:row>2</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맞춤법 검사하기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1905000</xdr:colOff>
          <xdr:row>1</xdr:row>
          <xdr:rowOff>350520</xdr:rowOff>
        </xdr:from>
        <xdr:to>
          <xdr:col>5</xdr:col>
          <xdr:colOff>3314700</xdr:colOff>
          <xdr:row>1</xdr:row>
          <xdr:rowOff>601980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맞춤법 검사하기</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0"/>
  <sheetViews>
    <sheetView zoomScaleNormal="100" workbookViewId="0">
      <pane xSplit="2" ySplit="3" topLeftCell="C4" activePane="bottomRight" state="frozen"/>
      <selection pane="topRight" activeCell="C1" sqref="C1"/>
      <selection pane="bottomLeft" activeCell="A4" sqref="A4"/>
      <selection pane="bottomRight" activeCell="F23" sqref="F23"/>
    </sheetView>
  </sheetViews>
  <sheetFormatPr defaultColWidth="9" defaultRowHeight="17.399999999999999" x14ac:dyDescent="0.4"/>
  <cols>
    <col min="1" max="1" width="1.5" style="10" customWidth="1"/>
    <col min="2" max="2" width="5" style="10" customWidth="1"/>
    <col min="3" max="4" width="6.5" style="11" customWidth="1"/>
    <col min="5" max="5" width="18.3984375" style="12" customWidth="1"/>
    <col min="6" max="6" width="54.5" style="10" customWidth="1"/>
    <col min="7" max="8" width="46.3984375" style="10" customWidth="1"/>
    <col min="9" max="16384" width="9" style="10"/>
  </cols>
  <sheetData>
    <row r="1" spans="1:8" ht="12.75" customHeight="1" x14ac:dyDescent="0.4">
      <c r="A1" s="16"/>
      <c r="C1" s="64"/>
      <c r="D1" s="64"/>
      <c r="E1" s="64"/>
    </row>
    <row r="2" spans="1:8" ht="54" customHeight="1" x14ac:dyDescent="0.4">
      <c r="B2" s="63" t="s">
        <v>104</v>
      </c>
      <c r="C2" s="63"/>
      <c r="D2" s="63"/>
      <c r="E2" s="63"/>
      <c r="F2" s="63"/>
      <c r="G2" s="65" t="s">
        <v>109</v>
      </c>
      <c r="H2" s="65"/>
    </row>
    <row r="3" spans="1:8" ht="25.5" customHeight="1" x14ac:dyDescent="0.4">
      <c r="B3" s="13" t="s">
        <v>26</v>
      </c>
      <c r="C3" s="14" t="s">
        <v>39</v>
      </c>
      <c r="D3" s="14" t="s">
        <v>112</v>
      </c>
      <c r="E3" s="15" t="s">
        <v>1</v>
      </c>
      <c r="F3" s="14" t="s">
        <v>2</v>
      </c>
      <c r="G3" s="47" t="s">
        <v>105</v>
      </c>
      <c r="H3" s="47" t="s">
        <v>111</v>
      </c>
    </row>
    <row r="4" spans="1:8" ht="110.4" x14ac:dyDescent="0.4">
      <c r="B4" s="14">
        <v>1</v>
      </c>
      <c r="C4" s="20">
        <v>1</v>
      </c>
      <c r="D4" s="54"/>
      <c r="E4" s="21" t="s">
        <v>171</v>
      </c>
      <c r="F4" s="44" t="s">
        <v>173</v>
      </c>
      <c r="G4" s="48" t="s">
        <v>169</v>
      </c>
      <c r="H4" s="48"/>
    </row>
    <row r="5" spans="1:8" ht="46.8" x14ac:dyDescent="0.4">
      <c r="B5" s="14">
        <v>2</v>
      </c>
      <c r="C5" s="20">
        <v>2</v>
      </c>
      <c r="D5" s="54"/>
      <c r="E5" s="21" t="s">
        <v>207</v>
      </c>
      <c r="F5" s="60" t="s">
        <v>174</v>
      </c>
      <c r="G5" s="48"/>
      <c r="H5" s="48"/>
    </row>
    <row r="6" spans="1:8" ht="46.8" x14ac:dyDescent="0.4">
      <c r="B6" s="14">
        <v>3</v>
      </c>
      <c r="C6" s="20">
        <v>3</v>
      </c>
      <c r="D6" s="54"/>
      <c r="E6" s="21" t="s">
        <v>175</v>
      </c>
      <c r="F6" s="44" t="s">
        <v>176</v>
      </c>
      <c r="G6" s="48"/>
      <c r="H6" s="48"/>
    </row>
    <row r="7" spans="1:8" ht="46.8" x14ac:dyDescent="0.4">
      <c r="B7" s="14">
        <v>4</v>
      </c>
      <c r="C7" s="20">
        <v>4</v>
      </c>
      <c r="D7" s="54"/>
      <c r="E7" s="21" t="s">
        <v>177</v>
      </c>
      <c r="F7" s="44" t="s">
        <v>178</v>
      </c>
      <c r="G7" s="48"/>
      <c r="H7" s="48"/>
    </row>
    <row r="8" spans="1:8" ht="46.8" x14ac:dyDescent="0.4">
      <c r="B8" s="14">
        <v>5</v>
      </c>
      <c r="C8" s="20">
        <v>5</v>
      </c>
      <c r="D8" s="20"/>
      <c r="E8" s="21" t="s">
        <v>179</v>
      </c>
      <c r="F8" s="44" t="s">
        <v>180</v>
      </c>
      <c r="G8" s="48"/>
      <c r="H8" s="48"/>
    </row>
    <row r="9" spans="1:8" ht="46.8" x14ac:dyDescent="0.4">
      <c r="B9" s="14">
        <v>6</v>
      </c>
      <c r="C9" s="20">
        <v>6</v>
      </c>
      <c r="D9" s="59"/>
      <c r="E9" s="21" t="s">
        <v>181</v>
      </c>
      <c r="F9" s="44" t="s">
        <v>182</v>
      </c>
      <c r="G9" s="48"/>
      <c r="H9" s="48"/>
    </row>
    <row r="10" spans="1:8" ht="31.2" x14ac:dyDescent="0.4">
      <c r="B10" s="14">
        <v>7</v>
      </c>
      <c r="C10" s="20">
        <v>7</v>
      </c>
      <c r="D10" s="20"/>
      <c r="E10" s="23" t="s">
        <v>183</v>
      </c>
      <c r="F10" s="44" t="s">
        <v>184</v>
      </c>
      <c r="G10" s="48"/>
      <c r="H10" s="48"/>
    </row>
    <row r="11" spans="1:8" ht="46.8" x14ac:dyDescent="0.4">
      <c r="B11" s="14">
        <v>8</v>
      </c>
      <c r="C11" s="20">
        <v>9</v>
      </c>
      <c r="D11" s="20"/>
      <c r="E11" s="23" t="s">
        <v>185</v>
      </c>
      <c r="F11" s="44" t="s">
        <v>186</v>
      </c>
      <c r="G11" s="48"/>
      <c r="H11" s="48"/>
    </row>
    <row r="12" spans="1:8" ht="46.8" x14ac:dyDescent="0.4">
      <c r="B12" s="14">
        <v>9</v>
      </c>
      <c r="C12" s="20">
        <v>10</v>
      </c>
      <c r="D12" s="20"/>
      <c r="E12" s="23" t="s">
        <v>187</v>
      </c>
      <c r="F12" s="62" t="s">
        <v>188</v>
      </c>
      <c r="G12" s="48"/>
      <c r="H12" s="48"/>
    </row>
    <row r="13" spans="1:8" ht="46.8" x14ac:dyDescent="0.4">
      <c r="B13" s="14">
        <v>10</v>
      </c>
      <c r="C13" s="20">
        <v>11</v>
      </c>
      <c r="D13" s="54"/>
      <c r="E13" s="21" t="s">
        <v>189</v>
      </c>
      <c r="F13" s="44" t="s">
        <v>190</v>
      </c>
      <c r="G13" s="48"/>
      <c r="H13" s="48"/>
    </row>
    <row r="14" spans="1:8" ht="46.8" x14ac:dyDescent="0.4">
      <c r="B14" s="14">
        <v>11</v>
      </c>
      <c r="C14" s="20">
        <v>12</v>
      </c>
      <c r="D14" s="54"/>
      <c r="E14" s="21" t="s">
        <v>191</v>
      </c>
      <c r="F14" s="44" t="s">
        <v>170</v>
      </c>
      <c r="G14" s="48"/>
      <c r="H14" s="48"/>
    </row>
    <row r="15" spans="1:8" ht="31.2" x14ac:dyDescent="0.4">
      <c r="B15" s="14">
        <v>12</v>
      </c>
      <c r="C15" s="20">
        <v>13</v>
      </c>
      <c r="D15" s="54"/>
      <c r="E15" s="21" t="s">
        <v>192</v>
      </c>
      <c r="F15" s="44" t="s">
        <v>193</v>
      </c>
      <c r="G15" s="48"/>
      <c r="H15" s="48"/>
    </row>
    <row r="16" spans="1:8" ht="31.2" x14ac:dyDescent="0.4">
      <c r="B16" s="14">
        <v>13</v>
      </c>
      <c r="C16" s="20">
        <v>14</v>
      </c>
      <c r="D16" s="54"/>
      <c r="E16" s="21" t="s">
        <v>208</v>
      </c>
      <c r="F16" s="44" t="s">
        <v>194</v>
      </c>
      <c r="G16" s="48"/>
      <c r="H16" s="48"/>
    </row>
    <row r="17" spans="2:8" ht="31.2" x14ac:dyDescent="0.4">
      <c r="B17" s="14">
        <v>14</v>
      </c>
      <c r="C17" s="20">
        <v>16</v>
      </c>
      <c r="D17" s="54"/>
      <c r="E17" s="21" t="s">
        <v>209</v>
      </c>
      <c r="F17" s="44" t="s">
        <v>195</v>
      </c>
      <c r="G17" s="48"/>
      <c r="H17" s="48"/>
    </row>
    <row r="18" spans="2:8" ht="62.4" x14ac:dyDescent="0.4">
      <c r="B18" s="14">
        <v>15</v>
      </c>
      <c r="C18" s="20">
        <v>17</v>
      </c>
      <c r="D18" s="54"/>
      <c r="E18" s="23" t="s">
        <v>196</v>
      </c>
      <c r="F18" s="44" t="s">
        <v>197</v>
      </c>
      <c r="G18" s="48"/>
      <c r="H18" s="48"/>
    </row>
    <row r="19" spans="2:8" ht="31.2" x14ac:dyDescent="0.4">
      <c r="B19" s="14">
        <v>16</v>
      </c>
      <c r="C19" s="20">
        <v>18</v>
      </c>
      <c r="D19" s="54"/>
      <c r="E19" s="23" t="s">
        <v>210</v>
      </c>
      <c r="F19" s="44" t="s">
        <v>198</v>
      </c>
      <c r="G19" s="48"/>
      <c r="H19" s="48"/>
    </row>
    <row r="20" spans="2:8" ht="31.2" x14ac:dyDescent="0.4">
      <c r="B20" s="14">
        <v>17</v>
      </c>
      <c r="C20" s="20">
        <v>19</v>
      </c>
      <c r="D20" s="54"/>
      <c r="E20" s="23" t="s">
        <v>199</v>
      </c>
      <c r="F20" s="44" t="s">
        <v>172</v>
      </c>
      <c r="G20" s="48"/>
      <c r="H20" s="48"/>
    </row>
    <row r="21" spans="2:8" ht="31.2" x14ac:dyDescent="0.4">
      <c r="B21" s="14">
        <v>18</v>
      </c>
      <c r="C21" s="20">
        <v>20</v>
      </c>
      <c r="D21" s="20"/>
      <c r="E21" s="23" t="s">
        <v>200</v>
      </c>
      <c r="F21" s="44" t="s">
        <v>211</v>
      </c>
      <c r="G21" s="48"/>
      <c r="H21" s="48"/>
    </row>
    <row r="22" spans="2:8" x14ac:dyDescent="0.4">
      <c r="B22" s="14">
        <v>19</v>
      </c>
      <c r="C22" s="20">
        <v>21</v>
      </c>
      <c r="D22" s="20"/>
      <c r="E22" s="23" t="s">
        <v>201</v>
      </c>
      <c r="F22" s="44" t="s">
        <v>202</v>
      </c>
      <c r="G22" s="48"/>
      <c r="H22" s="48"/>
    </row>
    <row r="23" spans="2:8" ht="31.2" x14ac:dyDescent="0.4">
      <c r="B23" s="14">
        <v>20</v>
      </c>
      <c r="C23" s="20">
        <v>22</v>
      </c>
      <c r="D23" s="54"/>
      <c r="E23" s="21" t="s">
        <v>203</v>
      </c>
      <c r="F23" s="44" t="s">
        <v>204</v>
      </c>
      <c r="G23" s="48"/>
      <c r="H23" s="48"/>
    </row>
    <row r="24" spans="2:8" ht="31.2" x14ac:dyDescent="0.4">
      <c r="B24" s="14">
        <v>21</v>
      </c>
      <c r="C24" s="20">
        <v>23</v>
      </c>
      <c r="D24" s="20"/>
      <c r="E24" s="23" t="s">
        <v>205</v>
      </c>
      <c r="F24" s="22" t="s">
        <v>206</v>
      </c>
      <c r="G24" s="48"/>
      <c r="H24" s="48"/>
    </row>
    <row r="25" spans="2:8" x14ac:dyDescent="0.4">
      <c r="B25" s="14">
        <v>22</v>
      </c>
      <c r="C25" s="20"/>
      <c r="D25" s="54"/>
      <c r="E25" s="23"/>
      <c r="F25" s="44"/>
      <c r="G25" s="48"/>
      <c r="H25" s="48"/>
    </row>
    <row r="26" spans="2:8" x14ac:dyDescent="0.4">
      <c r="B26" s="14">
        <v>23</v>
      </c>
      <c r="C26" s="20"/>
      <c r="D26" s="20"/>
      <c r="E26" s="23"/>
      <c r="F26" s="25"/>
      <c r="G26" s="48"/>
      <c r="H26" s="48"/>
    </row>
    <row r="27" spans="2:8" x14ac:dyDescent="0.4">
      <c r="B27" s="14">
        <v>24</v>
      </c>
      <c r="C27" s="20"/>
      <c r="D27" s="20"/>
      <c r="E27" s="23"/>
      <c r="F27" s="61"/>
      <c r="G27" s="48"/>
      <c r="H27" s="48"/>
    </row>
    <row r="28" spans="2:8" x14ac:dyDescent="0.4">
      <c r="B28" s="14">
        <v>25</v>
      </c>
      <c r="C28" s="20"/>
      <c r="D28" s="20"/>
      <c r="E28" s="23"/>
      <c r="F28" s="22"/>
      <c r="G28" s="48"/>
      <c r="H28" s="48"/>
    </row>
    <row r="29" spans="2:8" x14ac:dyDescent="0.4">
      <c r="B29" s="14">
        <v>26</v>
      </c>
      <c r="C29" s="20"/>
      <c r="D29" s="20"/>
      <c r="E29" s="21"/>
      <c r="F29" s="22"/>
      <c r="G29" s="48"/>
      <c r="H29" s="48"/>
    </row>
    <row r="30" spans="2:8" x14ac:dyDescent="0.4">
      <c r="B30" s="14">
        <v>27</v>
      </c>
      <c r="C30" s="20"/>
      <c r="D30" s="20"/>
      <c r="E30" s="21"/>
      <c r="F30" s="22"/>
      <c r="G30" s="48"/>
      <c r="H30" s="48"/>
    </row>
    <row r="31" spans="2:8" x14ac:dyDescent="0.4">
      <c r="B31" s="14">
        <v>28</v>
      </c>
      <c r="C31" s="20"/>
      <c r="D31" s="20"/>
      <c r="E31" s="21"/>
      <c r="F31" s="22"/>
      <c r="G31" s="48"/>
      <c r="H31" s="48"/>
    </row>
    <row r="32" spans="2:8" x14ac:dyDescent="0.4">
      <c r="B32" s="14">
        <v>29</v>
      </c>
      <c r="C32" s="20"/>
      <c r="D32" s="24"/>
      <c r="E32" s="23"/>
      <c r="F32" s="25"/>
      <c r="G32" s="48"/>
      <c r="H32" s="48"/>
    </row>
    <row r="33" spans="2:8" x14ac:dyDescent="0.4">
      <c r="B33" s="14">
        <v>30</v>
      </c>
      <c r="C33" s="20"/>
      <c r="D33" s="20"/>
      <c r="E33" s="23"/>
      <c r="F33" s="22"/>
      <c r="G33" s="48"/>
      <c r="H33" s="48"/>
    </row>
    <row r="34" spans="2:8" x14ac:dyDescent="0.4">
      <c r="B34" s="14">
        <v>31</v>
      </c>
      <c r="C34" s="20"/>
      <c r="D34" s="20"/>
      <c r="E34" s="21"/>
      <c r="F34" s="22"/>
      <c r="G34" s="48"/>
      <c r="H34" s="48"/>
    </row>
    <row r="35" spans="2:8" x14ac:dyDescent="0.4">
      <c r="B35" s="14">
        <v>32</v>
      </c>
      <c r="C35" s="20"/>
      <c r="D35" s="54"/>
      <c r="E35" s="21"/>
      <c r="F35" s="22"/>
      <c r="G35" s="48"/>
      <c r="H35" s="48"/>
    </row>
    <row r="36" spans="2:8" x14ac:dyDescent="0.4">
      <c r="B36" s="14">
        <v>33</v>
      </c>
      <c r="C36" s="20"/>
      <c r="D36" s="54"/>
      <c r="E36" s="21"/>
      <c r="F36" s="22"/>
      <c r="G36" s="48"/>
      <c r="H36" s="48"/>
    </row>
    <row r="37" spans="2:8" x14ac:dyDescent="0.4">
      <c r="B37" s="14">
        <v>34</v>
      </c>
      <c r="C37" s="20"/>
      <c r="D37" s="20"/>
      <c r="E37" s="23"/>
      <c r="F37" s="22"/>
      <c r="G37" s="48"/>
      <c r="H37" s="48"/>
    </row>
    <row r="38" spans="2:8" x14ac:dyDescent="0.4">
      <c r="B38" s="14">
        <v>35</v>
      </c>
      <c r="C38" s="20"/>
      <c r="D38" s="20"/>
      <c r="E38" s="23"/>
      <c r="F38" s="44"/>
      <c r="G38" s="48"/>
      <c r="H38" s="48"/>
    </row>
    <row r="39" spans="2:8" x14ac:dyDescent="0.4">
      <c r="B39" s="14">
        <v>36</v>
      </c>
      <c r="C39" s="20"/>
      <c r="D39" s="20"/>
      <c r="E39" s="23"/>
      <c r="F39" s="46"/>
      <c r="G39" s="48"/>
      <c r="H39" s="48"/>
    </row>
    <row r="40" spans="2:8" x14ac:dyDescent="0.4">
      <c r="B40" s="14">
        <v>37</v>
      </c>
      <c r="C40" s="20"/>
      <c r="D40" s="20"/>
      <c r="E40" s="23"/>
      <c r="F40" s="22"/>
      <c r="G40" s="48"/>
      <c r="H40" s="48"/>
    </row>
    <row r="41" spans="2:8" x14ac:dyDescent="0.4">
      <c r="B41" s="14">
        <v>38</v>
      </c>
      <c r="C41" s="20"/>
      <c r="D41" s="54"/>
      <c r="E41" s="21"/>
      <c r="F41" s="44"/>
      <c r="G41" s="48"/>
      <c r="H41" s="48"/>
    </row>
    <row r="42" spans="2:8" x14ac:dyDescent="0.4">
      <c r="B42" s="14">
        <v>39</v>
      </c>
      <c r="C42" s="20"/>
      <c r="D42" s="20"/>
      <c r="E42" s="23"/>
      <c r="F42" s="44"/>
      <c r="G42" s="48"/>
      <c r="H42" s="48"/>
    </row>
    <row r="43" spans="2:8" x14ac:dyDescent="0.4">
      <c r="B43" s="14">
        <v>40</v>
      </c>
      <c r="C43" s="20"/>
      <c r="D43" s="20"/>
      <c r="E43" s="23"/>
      <c r="F43" s="44"/>
      <c r="G43" s="48"/>
      <c r="H43" s="48"/>
    </row>
    <row r="44" spans="2:8" x14ac:dyDescent="0.4">
      <c r="B44" s="14">
        <v>41</v>
      </c>
      <c r="C44" s="20"/>
      <c r="D44" s="20"/>
      <c r="E44" s="23"/>
      <c r="F44" s="45"/>
      <c r="G44" s="48"/>
      <c r="H44" s="48"/>
    </row>
    <row r="45" spans="2:8" x14ac:dyDescent="0.4">
      <c r="B45" s="14">
        <v>42</v>
      </c>
      <c r="C45" s="20"/>
      <c r="D45" s="20"/>
      <c r="E45" s="23"/>
      <c r="F45" s="45"/>
      <c r="G45" s="48"/>
      <c r="H45" s="48"/>
    </row>
    <row r="46" spans="2:8" x14ac:dyDescent="0.4">
      <c r="B46" s="14">
        <v>43</v>
      </c>
      <c r="C46" s="20"/>
      <c r="D46" s="54"/>
      <c r="E46" s="21"/>
      <c r="F46" s="44"/>
      <c r="G46" s="48"/>
      <c r="H46" s="48"/>
    </row>
    <row r="47" spans="2:8" x14ac:dyDescent="0.4">
      <c r="B47" s="14">
        <v>44</v>
      </c>
      <c r="C47" s="20"/>
      <c r="D47" s="54"/>
      <c r="E47" s="21"/>
      <c r="F47" s="44"/>
      <c r="G47" s="48"/>
      <c r="H47" s="48"/>
    </row>
    <row r="48" spans="2:8" x14ac:dyDescent="0.4">
      <c r="B48" s="14">
        <v>45</v>
      </c>
      <c r="C48" s="20"/>
      <c r="D48" s="54"/>
      <c r="E48" s="21"/>
      <c r="F48" s="44"/>
      <c r="G48" s="48"/>
      <c r="H48" s="48"/>
    </row>
    <row r="49" spans="2:8" x14ac:dyDescent="0.4">
      <c r="B49" s="14">
        <v>46</v>
      </c>
      <c r="C49" s="20"/>
      <c r="D49" s="54"/>
      <c r="E49" s="21"/>
      <c r="F49" s="45"/>
      <c r="G49" s="48"/>
      <c r="H49" s="48"/>
    </row>
    <row r="50" spans="2:8" x14ac:dyDescent="0.4">
      <c r="B50" s="14">
        <v>47</v>
      </c>
      <c r="C50" s="20"/>
      <c r="D50" s="54"/>
      <c r="E50" s="21"/>
      <c r="F50" s="44"/>
      <c r="G50" s="48"/>
      <c r="H50" s="48"/>
    </row>
    <row r="51" spans="2:8" x14ac:dyDescent="0.4">
      <c r="B51" s="14">
        <v>48</v>
      </c>
      <c r="C51" s="20"/>
      <c r="D51" s="54"/>
      <c r="E51" s="21"/>
      <c r="F51" s="44"/>
      <c r="G51" s="48"/>
      <c r="H51" s="48"/>
    </row>
    <row r="52" spans="2:8" x14ac:dyDescent="0.4">
      <c r="B52" s="14">
        <v>49</v>
      </c>
      <c r="C52" s="20"/>
      <c r="D52" s="54"/>
      <c r="E52" s="21"/>
      <c r="F52" s="44"/>
      <c r="G52" s="48"/>
      <c r="H52" s="48"/>
    </row>
    <row r="53" spans="2:8" x14ac:dyDescent="0.4">
      <c r="B53" s="14">
        <v>50</v>
      </c>
      <c r="C53" s="20"/>
      <c r="D53" s="20"/>
      <c r="E53" s="23"/>
      <c r="F53" s="45"/>
      <c r="G53" s="48"/>
      <c r="H53" s="48"/>
    </row>
    <row r="54" spans="2:8" x14ac:dyDescent="0.4">
      <c r="B54" s="14">
        <v>51</v>
      </c>
      <c r="C54" s="20"/>
      <c r="D54" s="20"/>
      <c r="E54" s="23"/>
      <c r="F54" s="45"/>
      <c r="G54" s="48"/>
      <c r="H54" s="48"/>
    </row>
    <row r="55" spans="2:8" x14ac:dyDescent="0.4">
      <c r="B55" s="14">
        <v>52</v>
      </c>
      <c r="C55" s="20"/>
      <c r="D55" s="20"/>
      <c r="E55" s="23"/>
      <c r="F55" s="45"/>
      <c r="G55" s="48"/>
      <c r="H55" s="48"/>
    </row>
    <row r="56" spans="2:8" x14ac:dyDescent="0.4">
      <c r="B56" s="14">
        <v>53</v>
      </c>
      <c r="C56" s="20"/>
      <c r="D56" s="20"/>
      <c r="E56" s="23"/>
      <c r="F56" s="44"/>
      <c r="G56" s="48"/>
      <c r="H56" s="48"/>
    </row>
    <row r="57" spans="2:8" x14ac:dyDescent="0.4">
      <c r="B57" s="14">
        <v>54</v>
      </c>
      <c r="C57" s="20"/>
      <c r="D57" s="20"/>
      <c r="E57" s="23"/>
      <c r="F57" s="44"/>
      <c r="G57" s="48"/>
      <c r="H57" s="48"/>
    </row>
    <row r="58" spans="2:8" x14ac:dyDescent="0.4">
      <c r="B58" s="14">
        <v>55</v>
      </c>
      <c r="C58" s="20"/>
      <c r="D58" s="20"/>
      <c r="E58" s="23"/>
      <c r="F58" s="44"/>
      <c r="G58" s="48"/>
      <c r="H58" s="48"/>
    </row>
    <row r="59" spans="2:8" x14ac:dyDescent="0.4">
      <c r="B59" s="14">
        <v>56</v>
      </c>
      <c r="C59" s="20"/>
      <c r="D59" s="20"/>
      <c r="E59" s="23"/>
      <c r="F59" s="44"/>
      <c r="G59" s="48"/>
      <c r="H59" s="48"/>
    </row>
    <row r="60" spans="2:8" x14ac:dyDescent="0.4">
      <c r="B60" s="14">
        <v>57</v>
      </c>
      <c r="C60" s="20"/>
      <c r="D60" s="20"/>
      <c r="E60" s="23"/>
      <c r="F60" s="44"/>
      <c r="G60" s="48"/>
      <c r="H60" s="48"/>
    </row>
    <row r="61" spans="2:8" x14ac:dyDescent="0.4">
      <c r="B61" s="14">
        <v>58</v>
      </c>
      <c r="C61" s="20"/>
      <c r="D61" s="54"/>
      <c r="E61" s="21"/>
      <c r="F61" s="44"/>
      <c r="G61" s="48"/>
      <c r="H61" s="48"/>
    </row>
    <row r="62" spans="2:8" x14ac:dyDescent="0.4">
      <c r="B62" s="14">
        <v>59</v>
      </c>
      <c r="C62" s="20"/>
      <c r="D62" s="54"/>
      <c r="E62" s="21"/>
      <c r="F62" s="44"/>
      <c r="G62" s="48"/>
      <c r="H62" s="48"/>
    </row>
    <row r="63" spans="2:8" x14ac:dyDescent="0.4">
      <c r="B63" s="14">
        <v>60</v>
      </c>
      <c r="C63" s="20"/>
      <c r="D63" s="54"/>
      <c r="E63" s="21"/>
      <c r="F63" s="44"/>
      <c r="G63" s="48"/>
      <c r="H63" s="48"/>
    </row>
    <row r="64" spans="2:8" ht="31.2" x14ac:dyDescent="0.4">
      <c r="B64" s="67" t="s">
        <v>110</v>
      </c>
      <c r="C64" s="68"/>
      <c r="D64" s="55"/>
      <c r="E64" s="21" t="s">
        <v>167</v>
      </c>
      <c r="F64" s="44" t="s">
        <v>168</v>
      </c>
      <c r="G64" s="66"/>
      <c r="H64" s="66"/>
    </row>
    <row r="65" spans="2:6" ht="31.2" x14ac:dyDescent="0.4">
      <c r="B65" s="69"/>
      <c r="C65" s="70"/>
      <c r="D65" s="56"/>
      <c r="E65" s="21" t="s">
        <v>101</v>
      </c>
      <c r="F65" s="44" t="s">
        <v>80</v>
      </c>
    </row>
    <row r="66" spans="2:6" x14ac:dyDescent="0.4">
      <c r="B66" s="50"/>
      <c r="C66" s="51"/>
      <c r="D66" s="51"/>
      <c r="E66" s="21"/>
      <c r="F66" s="44"/>
    </row>
    <row r="67" spans="2:6" ht="62.4" x14ac:dyDescent="0.4">
      <c r="B67" s="50"/>
      <c r="C67" s="51"/>
      <c r="D67" s="51"/>
      <c r="E67" s="23" t="s">
        <v>84</v>
      </c>
      <c r="F67" s="22" t="s">
        <v>53</v>
      </c>
    </row>
    <row r="68" spans="2:6" ht="62.4" x14ac:dyDescent="0.4">
      <c r="B68" s="50"/>
      <c r="C68" s="51"/>
      <c r="D68" s="51"/>
      <c r="E68" s="23" t="s">
        <v>95</v>
      </c>
      <c r="F68" s="25" t="s">
        <v>115</v>
      </c>
    </row>
    <row r="69" spans="2:6" ht="62.4" x14ac:dyDescent="0.4">
      <c r="B69" s="50"/>
      <c r="C69" s="51"/>
      <c r="D69" s="51"/>
      <c r="E69" s="23" t="s">
        <v>96</v>
      </c>
      <c r="F69" s="25" t="s">
        <v>116</v>
      </c>
    </row>
    <row r="70" spans="2:6" ht="46.8" x14ac:dyDescent="0.4">
      <c r="B70" s="50"/>
      <c r="C70" s="51"/>
      <c r="D70" s="51"/>
      <c r="E70" s="23" t="s">
        <v>97</v>
      </c>
      <c r="F70" s="22" t="s">
        <v>55</v>
      </c>
    </row>
    <row r="71" spans="2:6" ht="31.2" x14ac:dyDescent="0.4">
      <c r="B71" s="50"/>
      <c r="C71" s="51"/>
      <c r="D71" s="51"/>
      <c r="E71" s="21" t="s">
        <v>81</v>
      </c>
      <c r="F71" s="22" t="s">
        <v>49</v>
      </c>
    </row>
    <row r="72" spans="2:6" ht="31.2" x14ac:dyDescent="0.4">
      <c r="B72" s="50"/>
      <c r="C72" s="51"/>
      <c r="D72" s="51"/>
      <c r="E72" s="21" t="s">
        <v>82</v>
      </c>
      <c r="F72" s="22" t="s">
        <v>50</v>
      </c>
    </row>
    <row r="73" spans="2:6" ht="46.8" x14ac:dyDescent="0.4">
      <c r="B73" s="50"/>
      <c r="C73" s="51"/>
      <c r="D73" s="51"/>
      <c r="E73" s="21" t="s">
        <v>43</v>
      </c>
      <c r="F73" s="43" t="s">
        <v>51</v>
      </c>
    </row>
    <row r="74" spans="2:6" ht="46.8" x14ac:dyDescent="0.4">
      <c r="B74" s="50"/>
      <c r="C74" s="51"/>
      <c r="D74" s="51"/>
      <c r="E74" s="21" t="s">
        <v>83</v>
      </c>
      <c r="F74" s="25" t="s">
        <v>52</v>
      </c>
    </row>
    <row r="75" spans="2:6" ht="46.8" x14ac:dyDescent="0.4">
      <c r="B75" s="50"/>
      <c r="C75" s="51"/>
      <c r="D75" s="51"/>
      <c r="E75" s="21" t="s">
        <v>103</v>
      </c>
      <c r="F75" s="22" t="s">
        <v>106</v>
      </c>
    </row>
    <row r="76" spans="2:6" ht="46.8" x14ac:dyDescent="0.4">
      <c r="B76" s="50"/>
      <c r="C76" s="51"/>
      <c r="D76" s="51"/>
      <c r="E76" s="21" t="s">
        <v>85</v>
      </c>
      <c r="F76" s="22" t="s">
        <v>54</v>
      </c>
    </row>
    <row r="77" spans="2:6" ht="46.8" x14ac:dyDescent="0.4">
      <c r="B77" s="50"/>
      <c r="C77" s="51"/>
      <c r="D77" s="51"/>
      <c r="E77" s="21" t="s">
        <v>86</v>
      </c>
      <c r="F77" s="22" t="s">
        <v>56</v>
      </c>
    </row>
    <row r="78" spans="2:6" ht="46.8" x14ac:dyDescent="0.4">
      <c r="B78" s="50"/>
      <c r="C78" s="51"/>
      <c r="D78" s="51"/>
      <c r="E78" s="23" t="s">
        <v>98</v>
      </c>
      <c r="F78" s="25" t="s">
        <v>57</v>
      </c>
    </row>
    <row r="79" spans="2:6" ht="62.4" x14ac:dyDescent="0.4">
      <c r="B79" s="50"/>
      <c r="C79" s="51"/>
      <c r="D79" s="51"/>
      <c r="E79" s="23" t="s">
        <v>87</v>
      </c>
      <c r="F79" s="25" t="s">
        <v>58</v>
      </c>
    </row>
    <row r="80" spans="2:6" ht="46.8" x14ac:dyDescent="0.4">
      <c r="B80" s="50"/>
      <c r="C80" s="51"/>
      <c r="D80" s="51"/>
      <c r="E80" s="23" t="s">
        <v>88</v>
      </c>
      <c r="F80" s="25" t="s">
        <v>59</v>
      </c>
    </row>
    <row r="81" spans="2:6" ht="62.4" x14ac:dyDescent="0.4">
      <c r="B81" s="50"/>
      <c r="C81" s="51"/>
      <c r="D81" s="51"/>
      <c r="E81" s="23" t="s">
        <v>100</v>
      </c>
      <c r="F81" s="22" t="s">
        <v>74</v>
      </c>
    </row>
    <row r="82" spans="2:6" ht="46.8" x14ac:dyDescent="0.4">
      <c r="B82" s="50"/>
      <c r="C82" s="51"/>
      <c r="D82" s="51"/>
      <c r="E82" s="23" t="s">
        <v>89</v>
      </c>
      <c r="F82" s="22" t="s">
        <v>60</v>
      </c>
    </row>
    <row r="83" spans="2:6" ht="62.4" x14ac:dyDescent="0.4">
      <c r="B83" s="50"/>
      <c r="C83" s="51"/>
      <c r="D83" s="51"/>
      <c r="E83" s="23" t="s">
        <v>28</v>
      </c>
      <c r="F83" s="22" t="s">
        <v>61</v>
      </c>
    </row>
    <row r="84" spans="2:6" x14ac:dyDescent="0.4">
      <c r="B84" s="50"/>
      <c r="C84" s="51"/>
      <c r="D84" s="51"/>
      <c r="E84" s="23"/>
      <c r="F84" s="22"/>
    </row>
    <row r="85" spans="2:6" ht="46.8" x14ac:dyDescent="0.4">
      <c r="B85" s="50"/>
      <c r="C85" s="51"/>
      <c r="D85" s="51"/>
      <c r="E85" s="23" t="s">
        <v>90</v>
      </c>
      <c r="F85" s="22" t="s">
        <v>62</v>
      </c>
    </row>
    <row r="86" spans="2:6" ht="46.8" x14ac:dyDescent="0.4">
      <c r="B86" s="50"/>
      <c r="C86" s="51"/>
      <c r="D86" s="51"/>
      <c r="E86" s="21" t="s">
        <v>91</v>
      </c>
      <c r="F86" s="22" t="s">
        <v>63</v>
      </c>
    </row>
    <row r="87" spans="2:6" ht="46.8" x14ac:dyDescent="0.4">
      <c r="B87" s="50"/>
      <c r="C87" s="51"/>
      <c r="D87" s="51"/>
      <c r="E87" s="21" t="s">
        <v>92</v>
      </c>
      <c r="F87" s="22" t="s">
        <v>64</v>
      </c>
    </row>
    <row r="88" spans="2:6" x14ac:dyDescent="0.4">
      <c r="B88" s="50"/>
      <c r="C88" s="51"/>
      <c r="D88" s="51"/>
      <c r="E88" s="21"/>
      <c r="F88" s="22"/>
    </row>
    <row r="89" spans="2:6" ht="46.8" x14ac:dyDescent="0.4">
      <c r="B89" s="50"/>
      <c r="C89" s="51"/>
      <c r="D89" s="51"/>
      <c r="E89" s="21" t="s">
        <v>41</v>
      </c>
      <c r="F89" s="22" t="s">
        <v>65</v>
      </c>
    </row>
    <row r="90" spans="2:6" ht="78" x14ac:dyDescent="0.4">
      <c r="B90" s="50"/>
      <c r="C90" s="51"/>
      <c r="D90" s="51"/>
      <c r="E90" s="23" t="s">
        <v>93</v>
      </c>
      <c r="F90" s="22" t="s">
        <v>75</v>
      </c>
    </row>
    <row r="91" spans="2:6" ht="46.8" x14ac:dyDescent="0.4">
      <c r="B91" s="50"/>
      <c r="C91" s="51"/>
      <c r="D91" s="51"/>
      <c r="E91" s="23" t="s">
        <v>94</v>
      </c>
      <c r="F91" s="22" t="s">
        <v>66</v>
      </c>
    </row>
    <row r="92" spans="2:6" ht="46.8" x14ac:dyDescent="0.4">
      <c r="B92" s="50"/>
      <c r="C92" s="51"/>
      <c r="D92" s="51"/>
      <c r="E92" s="23" t="s">
        <v>29</v>
      </c>
      <c r="F92" s="22" t="s">
        <v>67</v>
      </c>
    </row>
    <row r="93" spans="2:6" ht="46.8" x14ac:dyDescent="0.4">
      <c r="B93" s="50"/>
      <c r="C93" s="51"/>
      <c r="D93" s="51"/>
      <c r="E93" s="23" t="s">
        <v>30</v>
      </c>
      <c r="F93" s="22" t="s">
        <v>68</v>
      </c>
    </row>
    <row r="94" spans="2:6" ht="46.8" x14ac:dyDescent="0.4">
      <c r="B94" s="50"/>
      <c r="C94" s="51"/>
      <c r="D94" s="51"/>
      <c r="E94" s="21" t="s">
        <v>31</v>
      </c>
      <c r="F94" s="22" t="s">
        <v>69</v>
      </c>
    </row>
    <row r="95" spans="2:6" ht="46.8" x14ac:dyDescent="0.4">
      <c r="B95" s="50"/>
      <c r="C95" s="51"/>
      <c r="D95" s="51"/>
      <c r="E95" s="21" t="s">
        <v>32</v>
      </c>
      <c r="F95" s="22" t="s">
        <v>78</v>
      </c>
    </row>
    <row r="96" spans="2:6" ht="46.8" x14ac:dyDescent="0.4">
      <c r="B96" s="50"/>
      <c r="C96" s="51"/>
      <c r="D96" s="51"/>
      <c r="E96" s="21" t="s">
        <v>33</v>
      </c>
      <c r="F96" s="22" t="s">
        <v>76</v>
      </c>
    </row>
    <row r="97" spans="2:6" ht="46.8" x14ac:dyDescent="0.4">
      <c r="B97" s="50"/>
      <c r="C97" s="51"/>
      <c r="D97" s="51"/>
      <c r="E97" s="23" t="s">
        <v>35</v>
      </c>
      <c r="F97" s="22" t="s">
        <v>70</v>
      </c>
    </row>
    <row r="98" spans="2:6" ht="62.4" x14ac:dyDescent="0.4">
      <c r="B98" s="50"/>
      <c r="C98" s="51"/>
      <c r="D98" s="51"/>
      <c r="E98" s="23" t="s">
        <v>36</v>
      </c>
      <c r="F98" s="22" t="s">
        <v>79</v>
      </c>
    </row>
    <row r="99" spans="2:6" ht="46.8" x14ac:dyDescent="0.4">
      <c r="B99" s="50"/>
      <c r="C99" s="51"/>
      <c r="D99" s="51"/>
      <c r="E99" s="21" t="s">
        <v>40</v>
      </c>
      <c r="F99" s="22" t="s">
        <v>71</v>
      </c>
    </row>
    <row r="100" spans="2:6" ht="46.8" x14ac:dyDescent="0.4">
      <c r="B100" s="50"/>
      <c r="C100" s="51"/>
      <c r="D100" s="51"/>
      <c r="E100" s="21" t="s">
        <v>27</v>
      </c>
      <c r="F100" s="22" t="s">
        <v>72</v>
      </c>
    </row>
    <row r="101" spans="2:6" ht="46.8" x14ac:dyDescent="0.4">
      <c r="B101" s="50"/>
      <c r="C101" s="51"/>
      <c r="D101" s="51"/>
      <c r="E101" s="21" t="s">
        <v>102</v>
      </c>
      <c r="F101" s="22" t="s">
        <v>77</v>
      </c>
    </row>
    <row r="102" spans="2:6" ht="46.8" x14ac:dyDescent="0.4">
      <c r="B102" s="50"/>
      <c r="C102" s="51"/>
      <c r="D102" s="51"/>
      <c r="E102" s="23" t="s">
        <v>99</v>
      </c>
      <c r="F102" s="25" t="s">
        <v>73</v>
      </c>
    </row>
    <row r="103" spans="2:6" ht="31.2" x14ac:dyDescent="0.4">
      <c r="B103" s="50"/>
      <c r="C103" s="51"/>
      <c r="D103" s="51"/>
      <c r="E103" s="23" t="s">
        <v>12</v>
      </c>
      <c r="F103" s="22" t="s">
        <v>23</v>
      </c>
    </row>
    <row r="104" spans="2:6" ht="31.2" x14ac:dyDescent="0.4">
      <c r="B104" s="50"/>
      <c r="C104" s="51"/>
      <c r="D104" s="51"/>
      <c r="E104" s="23" t="s">
        <v>17</v>
      </c>
      <c r="F104" s="22" t="s">
        <v>6</v>
      </c>
    </row>
    <row r="105" spans="2:6" ht="46.8" x14ac:dyDescent="0.4">
      <c r="B105" s="50"/>
      <c r="C105" s="51"/>
      <c r="D105" s="51"/>
      <c r="E105" s="23" t="s">
        <v>13</v>
      </c>
      <c r="F105" s="22" t="s">
        <v>3</v>
      </c>
    </row>
    <row r="106" spans="2:6" ht="46.8" x14ac:dyDescent="0.4">
      <c r="B106" s="50"/>
      <c r="C106" s="51"/>
      <c r="D106" s="51"/>
      <c r="E106" s="23" t="s">
        <v>14</v>
      </c>
      <c r="F106" s="22" t="s">
        <v>22</v>
      </c>
    </row>
    <row r="107" spans="2:6" ht="46.8" x14ac:dyDescent="0.4">
      <c r="B107" s="50"/>
      <c r="C107" s="51"/>
      <c r="D107" s="51"/>
      <c r="E107" s="23" t="s">
        <v>15</v>
      </c>
      <c r="F107" s="22" t="s">
        <v>4</v>
      </c>
    </row>
    <row r="108" spans="2:6" ht="31.2" x14ac:dyDescent="0.4">
      <c r="B108" s="50"/>
      <c r="C108" s="51"/>
      <c r="D108" s="51"/>
      <c r="E108" s="23" t="s">
        <v>16</v>
      </c>
      <c r="F108" s="22" t="s">
        <v>5</v>
      </c>
    </row>
    <row r="109" spans="2:6" ht="46.8" x14ac:dyDescent="0.4">
      <c r="B109" s="50"/>
      <c r="C109" s="51"/>
      <c r="D109" s="51"/>
      <c r="E109" s="23" t="s">
        <v>18</v>
      </c>
      <c r="F109" s="22" t="s">
        <v>7</v>
      </c>
    </row>
    <row r="110" spans="2:6" ht="46.8" x14ac:dyDescent="0.4">
      <c r="B110" s="50"/>
      <c r="C110" s="51"/>
      <c r="D110" s="51"/>
      <c r="E110" s="23" t="s">
        <v>24</v>
      </c>
      <c r="F110" s="26" t="s">
        <v>25</v>
      </c>
    </row>
    <row r="111" spans="2:6" ht="46.8" x14ac:dyDescent="0.4">
      <c r="B111" s="50"/>
      <c r="C111" s="51"/>
      <c r="D111" s="51"/>
      <c r="E111" s="23" t="s">
        <v>19</v>
      </c>
      <c r="F111" s="22" t="s">
        <v>9</v>
      </c>
    </row>
    <row r="112" spans="2:6" ht="46.8" x14ac:dyDescent="0.4">
      <c r="B112" s="50"/>
      <c r="C112" s="51"/>
      <c r="D112" s="51"/>
      <c r="E112" s="23" t="s">
        <v>20</v>
      </c>
      <c r="F112" s="22" t="s">
        <v>11</v>
      </c>
    </row>
    <row r="113" spans="2:6" ht="31.2" x14ac:dyDescent="0.4">
      <c r="B113" s="50"/>
      <c r="C113" s="51"/>
      <c r="D113" s="51"/>
      <c r="E113" s="23" t="s">
        <v>21</v>
      </c>
      <c r="F113" s="22" t="s">
        <v>8</v>
      </c>
    </row>
    <row r="114" spans="2:6" ht="31.2" x14ac:dyDescent="0.4">
      <c r="B114" s="50"/>
      <c r="C114" s="51"/>
      <c r="D114" s="51"/>
      <c r="E114" s="23" t="s">
        <v>117</v>
      </c>
      <c r="F114" s="26" t="s">
        <v>118</v>
      </c>
    </row>
    <row r="115" spans="2:6" ht="46.8" x14ac:dyDescent="0.4">
      <c r="B115" s="50"/>
      <c r="C115" s="51"/>
      <c r="D115" s="51"/>
      <c r="E115" s="23" t="s">
        <v>119</v>
      </c>
      <c r="F115" s="22" t="s">
        <v>120</v>
      </c>
    </row>
    <row r="116" spans="2:6" ht="31.2" x14ac:dyDescent="0.4">
      <c r="B116" s="50"/>
      <c r="C116" s="51"/>
      <c r="D116" s="51"/>
      <c r="E116" s="23" t="s">
        <v>121</v>
      </c>
      <c r="F116" s="22" t="s">
        <v>122</v>
      </c>
    </row>
    <row r="117" spans="2:6" ht="46.8" x14ac:dyDescent="0.4">
      <c r="B117" s="50"/>
      <c r="C117" s="51"/>
      <c r="D117" s="51"/>
      <c r="E117" s="23" t="s">
        <v>123</v>
      </c>
      <c r="F117" s="22" t="s">
        <v>124</v>
      </c>
    </row>
    <row r="118" spans="2:6" ht="46.8" x14ac:dyDescent="0.4">
      <c r="B118" s="50"/>
      <c r="C118" s="51"/>
      <c r="D118" s="51"/>
      <c r="E118" s="23" t="s">
        <v>125</v>
      </c>
      <c r="F118" s="22" t="s">
        <v>126</v>
      </c>
    </row>
    <row r="119" spans="2:6" ht="46.8" x14ac:dyDescent="0.4">
      <c r="B119" s="50"/>
      <c r="C119" s="51"/>
      <c r="D119" s="51"/>
      <c r="E119" s="23" t="s">
        <v>127</v>
      </c>
      <c r="F119" s="26" t="s">
        <v>128</v>
      </c>
    </row>
    <row r="120" spans="2:6" ht="46.8" x14ac:dyDescent="0.4">
      <c r="B120" s="50"/>
      <c r="C120" s="51"/>
      <c r="D120" s="51"/>
      <c r="E120" s="23" t="s">
        <v>129</v>
      </c>
      <c r="F120" s="22" t="s">
        <v>130</v>
      </c>
    </row>
    <row r="121" spans="2:6" ht="46.8" x14ac:dyDescent="0.4">
      <c r="B121" s="50"/>
      <c r="C121" s="51"/>
      <c r="D121" s="51"/>
      <c r="E121" s="23" t="s">
        <v>131</v>
      </c>
      <c r="F121" s="22" t="s">
        <v>132</v>
      </c>
    </row>
    <row r="122" spans="2:6" ht="62.4" x14ac:dyDescent="0.4">
      <c r="B122" s="50"/>
      <c r="C122" s="51"/>
      <c r="D122" s="51"/>
      <c r="E122" s="23" t="s">
        <v>133</v>
      </c>
      <c r="F122" s="22" t="s">
        <v>134</v>
      </c>
    </row>
    <row r="123" spans="2:6" ht="46.8" x14ac:dyDescent="0.4">
      <c r="B123" s="50"/>
      <c r="C123" s="51"/>
      <c r="D123" s="51"/>
      <c r="E123" s="23" t="s">
        <v>135</v>
      </c>
      <c r="F123" s="22" t="s">
        <v>136</v>
      </c>
    </row>
    <row r="124" spans="2:6" ht="46.8" x14ac:dyDescent="0.4">
      <c r="B124" s="50"/>
      <c r="C124" s="51"/>
      <c r="D124" s="51"/>
      <c r="E124" s="23" t="s">
        <v>137</v>
      </c>
      <c r="F124" s="22" t="s">
        <v>138</v>
      </c>
    </row>
    <row r="125" spans="2:6" ht="46.8" x14ac:dyDescent="0.4">
      <c r="B125" s="50"/>
      <c r="C125" s="51"/>
      <c r="D125" s="51"/>
      <c r="E125" s="23" t="s">
        <v>139</v>
      </c>
      <c r="F125" s="22" t="s">
        <v>140</v>
      </c>
    </row>
    <row r="126" spans="2:6" ht="46.8" x14ac:dyDescent="0.4">
      <c r="B126" s="50"/>
      <c r="C126" s="51"/>
      <c r="D126" s="51"/>
      <c r="E126" s="23" t="s">
        <v>141</v>
      </c>
      <c r="F126" s="22" t="s">
        <v>142</v>
      </c>
    </row>
    <row r="127" spans="2:6" ht="62.4" x14ac:dyDescent="0.4">
      <c r="B127" s="50"/>
      <c r="C127" s="51"/>
      <c r="D127" s="51"/>
      <c r="E127" s="23" t="s">
        <v>144</v>
      </c>
      <c r="F127" s="22" t="s">
        <v>143</v>
      </c>
    </row>
    <row r="128" spans="2:6" ht="46.8" x14ac:dyDescent="0.4">
      <c r="B128" s="50"/>
      <c r="C128" s="51"/>
      <c r="D128" s="51"/>
      <c r="E128" s="23" t="s">
        <v>145</v>
      </c>
      <c r="F128" s="22" t="s">
        <v>146</v>
      </c>
    </row>
    <row r="129" spans="2:6" ht="46.8" x14ac:dyDescent="0.4">
      <c r="B129" s="50"/>
      <c r="C129" s="51"/>
      <c r="D129" s="51"/>
      <c r="E129" s="23" t="s">
        <v>147</v>
      </c>
      <c r="F129" s="22" t="s">
        <v>148</v>
      </c>
    </row>
    <row r="130" spans="2:6" ht="46.8" x14ac:dyDescent="0.4">
      <c r="B130" s="50"/>
      <c r="C130" s="51"/>
      <c r="D130" s="51"/>
      <c r="E130" s="23" t="s">
        <v>149</v>
      </c>
      <c r="F130" s="22" t="s">
        <v>150</v>
      </c>
    </row>
    <row r="131" spans="2:6" ht="62.4" x14ac:dyDescent="0.4">
      <c r="B131" s="50"/>
      <c r="C131" s="51"/>
      <c r="D131" s="51"/>
      <c r="E131" s="23" t="s">
        <v>151</v>
      </c>
      <c r="F131" s="22" t="s">
        <v>152</v>
      </c>
    </row>
    <row r="132" spans="2:6" ht="46.8" x14ac:dyDescent="0.4">
      <c r="B132" s="50"/>
      <c r="C132" s="51"/>
      <c r="D132" s="51"/>
      <c r="E132" s="23" t="s">
        <v>153</v>
      </c>
      <c r="F132" s="22" t="s">
        <v>154</v>
      </c>
    </row>
    <row r="133" spans="2:6" ht="46.8" x14ac:dyDescent="0.4">
      <c r="B133" s="50"/>
      <c r="C133" s="51"/>
      <c r="D133" s="51"/>
      <c r="E133" s="23" t="s">
        <v>161</v>
      </c>
      <c r="F133" s="22" t="s">
        <v>155</v>
      </c>
    </row>
    <row r="134" spans="2:6" ht="31.2" x14ac:dyDescent="0.4">
      <c r="B134" s="50"/>
      <c r="C134" s="51"/>
      <c r="D134" s="51"/>
      <c r="E134" s="23" t="s">
        <v>162</v>
      </c>
      <c r="F134" s="22" t="s">
        <v>156</v>
      </c>
    </row>
    <row r="135" spans="2:6" ht="31.2" x14ac:dyDescent="0.4">
      <c r="B135" s="50"/>
      <c r="C135" s="51"/>
      <c r="D135" s="51"/>
      <c r="E135" s="23" t="s">
        <v>163</v>
      </c>
      <c r="F135" s="22" t="s">
        <v>157</v>
      </c>
    </row>
    <row r="136" spans="2:6" ht="31.2" x14ac:dyDescent="0.4">
      <c r="B136" s="50"/>
      <c r="C136" s="51"/>
      <c r="D136" s="51"/>
      <c r="E136" s="23" t="s">
        <v>164</v>
      </c>
      <c r="F136" s="22" t="s">
        <v>158</v>
      </c>
    </row>
    <row r="137" spans="2:6" ht="46.8" x14ac:dyDescent="0.4">
      <c r="B137" s="50"/>
      <c r="C137" s="51"/>
      <c r="D137" s="51"/>
      <c r="E137" s="23" t="s">
        <v>159</v>
      </c>
      <c r="F137" s="22" t="s">
        <v>160</v>
      </c>
    </row>
    <row r="138" spans="2:6" ht="46.8" x14ac:dyDescent="0.4">
      <c r="B138" s="50"/>
      <c r="C138" s="51"/>
      <c r="D138" s="51"/>
      <c r="E138" s="23" t="s">
        <v>165</v>
      </c>
      <c r="F138" s="22" t="s">
        <v>166</v>
      </c>
    </row>
    <row r="139" spans="2:6" x14ac:dyDescent="0.4">
      <c r="B139" s="50"/>
      <c r="C139" s="51"/>
      <c r="D139" s="51"/>
      <c r="E139" s="23"/>
      <c r="F139" s="22"/>
    </row>
    <row r="140" spans="2:6" x14ac:dyDescent="0.4">
      <c r="B140" s="50"/>
      <c r="C140" s="51"/>
      <c r="D140" s="51"/>
      <c r="E140" s="23"/>
      <c r="F140" s="22"/>
    </row>
    <row r="141" spans="2:6" x14ac:dyDescent="0.4">
      <c r="B141" s="50"/>
      <c r="C141" s="51"/>
      <c r="D141" s="51"/>
      <c r="E141" s="23"/>
      <c r="F141" s="22"/>
    </row>
    <row r="142" spans="2:6" x14ac:dyDescent="0.4">
      <c r="B142" s="50"/>
      <c r="C142" s="51"/>
      <c r="D142" s="51"/>
      <c r="E142" s="23"/>
      <c r="F142" s="22"/>
    </row>
    <row r="143" spans="2:6" x14ac:dyDescent="0.4">
      <c r="B143" s="50"/>
      <c r="C143" s="51"/>
      <c r="D143" s="51"/>
      <c r="E143" s="23"/>
      <c r="F143" s="22"/>
    </row>
    <row r="144" spans="2:6" x14ac:dyDescent="0.4">
      <c r="B144" s="50"/>
      <c r="C144" s="51"/>
      <c r="D144" s="51"/>
      <c r="E144" s="23"/>
      <c r="F144" s="22"/>
    </row>
    <row r="145" spans="2:6" x14ac:dyDescent="0.4">
      <c r="B145" s="50"/>
      <c r="C145" s="51"/>
      <c r="D145" s="51"/>
      <c r="E145" s="23"/>
      <c r="F145" s="22"/>
    </row>
    <row r="146" spans="2:6" x14ac:dyDescent="0.4">
      <c r="B146" s="50"/>
      <c r="C146" s="51"/>
      <c r="D146" s="51"/>
      <c r="E146" s="23"/>
      <c r="F146" s="22"/>
    </row>
    <row r="147" spans="2:6" x14ac:dyDescent="0.4">
      <c r="B147" s="50"/>
      <c r="C147" s="51"/>
      <c r="D147" s="51"/>
      <c r="E147" s="23"/>
      <c r="F147" s="22"/>
    </row>
    <row r="148" spans="2:6" x14ac:dyDescent="0.4">
      <c r="B148" s="50"/>
      <c r="C148" s="51"/>
      <c r="D148" s="51"/>
      <c r="E148" s="23"/>
      <c r="F148" s="22"/>
    </row>
    <row r="149" spans="2:6" x14ac:dyDescent="0.4">
      <c r="B149" s="50"/>
      <c r="C149" s="51"/>
      <c r="D149" s="51"/>
      <c r="E149" s="23"/>
      <c r="F149" s="22"/>
    </row>
    <row r="150" spans="2:6" x14ac:dyDescent="0.4">
      <c r="B150" s="50"/>
      <c r="C150" s="51"/>
      <c r="D150" s="51"/>
      <c r="E150" s="23"/>
      <c r="F150" s="22"/>
    </row>
    <row r="151" spans="2:6" x14ac:dyDescent="0.4">
      <c r="B151" s="50"/>
      <c r="C151" s="51"/>
      <c r="D151" s="51"/>
      <c r="E151" s="23"/>
      <c r="F151" s="22"/>
    </row>
    <row r="152" spans="2:6" x14ac:dyDescent="0.4">
      <c r="B152" s="50"/>
      <c r="C152" s="51"/>
      <c r="D152" s="51"/>
      <c r="E152" s="23"/>
      <c r="F152" s="22"/>
    </row>
    <row r="153" spans="2:6" x14ac:dyDescent="0.4">
      <c r="B153" s="50"/>
      <c r="C153" s="51"/>
      <c r="D153" s="51"/>
      <c r="E153" s="23"/>
      <c r="F153" s="22"/>
    </row>
    <row r="154" spans="2:6" x14ac:dyDescent="0.4">
      <c r="B154" s="50"/>
      <c r="C154" s="51"/>
      <c r="D154" s="51"/>
      <c r="E154" s="23"/>
      <c r="F154" s="22"/>
    </row>
    <row r="155" spans="2:6" x14ac:dyDescent="0.4">
      <c r="B155" s="50"/>
      <c r="C155" s="51"/>
      <c r="D155" s="51"/>
      <c r="E155" s="23"/>
      <c r="F155" s="22"/>
    </row>
    <row r="156" spans="2:6" x14ac:dyDescent="0.4">
      <c r="B156" s="50"/>
      <c r="C156" s="51"/>
      <c r="D156" s="51"/>
      <c r="E156" s="23"/>
      <c r="F156" s="22"/>
    </row>
    <row r="157" spans="2:6" x14ac:dyDescent="0.4">
      <c r="B157" s="50"/>
      <c r="C157" s="51"/>
      <c r="D157" s="51"/>
      <c r="E157" s="23"/>
      <c r="F157" s="22"/>
    </row>
    <row r="158" spans="2:6" x14ac:dyDescent="0.4">
      <c r="B158" s="50"/>
      <c r="C158" s="51"/>
      <c r="D158" s="51"/>
      <c r="E158" s="23"/>
      <c r="F158" s="22"/>
    </row>
    <row r="159" spans="2:6" x14ac:dyDescent="0.4">
      <c r="B159" s="50"/>
      <c r="C159" s="51"/>
      <c r="D159" s="51"/>
      <c r="E159" s="23"/>
      <c r="F159" s="22"/>
    </row>
    <row r="160" spans="2:6" x14ac:dyDescent="0.4">
      <c r="B160" s="50"/>
      <c r="C160" s="51"/>
      <c r="D160" s="51"/>
      <c r="E160" s="23"/>
      <c r="F160" s="22"/>
    </row>
    <row r="161" spans="2:6" x14ac:dyDescent="0.4">
      <c r="B161" s="50"/>
      <c r="C161" s="51"/>
      <c r="D161" s="51"/>
      <c r="E161" s="23"/>
      <c r="F161" s="22"/>
    </row>
    <row r="162" spans="2:6" x14ac:dyDescent="0.4">
      <c r="B162" s="50"/>
      <c r="C162" s="51"/>
      <c r="D162" s="51"/>
      <c r="E162" s="23"/>
      <c r="F162" s="22"/>
    </row>
    <row r="163" spans="2:6" x14ac:dyDescent="0.4">
      <c r="B163" s="50"/>
      <c r="C163" s="51"/>
      <c r="D163" s="51"/>
      <c r="E163" s="23"/>
      <c r="F163" s="22"/>
    </row>
    <row r="164" spans="2:6" x14ac:dyDescent="0.4">
      <c r="B164" s="50"/>
      <c r="C164" s="51"/>
      <c r="D164" s="51"/>
      <c r="E164" s="23"/>
      <c r="F164" s="22"/>
    </row>
    <row r="165" spans="2:6" x14ac:dyDescent="0.4">
      <c r="B165" s="50"/>
      <c r="C165" s="51"/>
      <c r="D165" s="51"/>
      <c r="E165" s="23"/>
      <c r="F165" s="22"/>
    </row>
    <row r="166" spans="2:6" x14ac:dyDescent="0.4">
      <c r="B166" s="50"/>
      <c r="C166" s="51"/>
      <c r="D166" s="51"/>
      <c r="E166" s="23"/>
      <c r="F166" s="22"/>
    </row>
    <row r="167" spans="2:6" x14ac:dyDescent="0.4">
      <c r="B167" s="50"/>
      <c r="C167" s="51"/>
      <c r="D167" s="51"/>
      <c r="E167" s="23"/>
      <c r="F167" s="22"/>
    </row>
    <row r="168" spans="2:6" x14ac:dyDescent="0.4">
      <c r="B168" s="50"/>
      <c r="C168" s="51"/>
      <c r="D168" s="51"/>
      <c r="E168" s="23"/>
      <c r="F168" s="22"/>
    </row>
    <row r="169" spans="2:6" x14ac:dyDescent="0.4">
      <c r="B169" s="50"/>
      <c r="C169" s="51"/>
      <c r="D169" s="51"/>
      <c r="E169" s="23"/>
      <c r="F169" s="22"/>
    </row>
    <row r="170" spans="2:6" x14ac:dyDescent="0.4">
      <c r="B170" s="50"/>
      <c r="C170" s="51"/>
      <c r="D170" s="51"/>
      <c r="E170" s="23"/>
      <c r="F170" s="22"/>
    </row>
    <row r="171" spans="2:6" x14ac:dyDescent="0.4">
      <c r="B171" s="50"/>
      <c r="C171" s="51"/>
      <c r="D171" s="51"/>
      <c r="E171" s="23"/>
      <c r="F171" s="22"/>
    </row>
    <row r="172" spans="2:6" x14ac:dyDescent="0.4">
      <c r="B172" s="50"/>
      <c r="C172" s="51"/>
      <c r="D172" s="51"/>
      <c r="E172" s="23"/>
      <c r="F172" s="22"/>
    </row>
    <row r="173" spans="2:6" x14ac:dyDescent="0.4">
      <c r="B173" s="50"/>
      <c r="C173" s="51"/>
      <c r="D173" s="51"/>
      <c r="E173" s="23"/>
      <c r="F173" s="22"/>
    </row>
    <row r="174" spans="2:6" x14ac:dyDescent="0.4">
      <c r="B174" s="50"/>
      <c r="C174" s="51"/>
      <c r="D174" s="51"/>
      <c r="E174" s="23"/>
      <c r="F174" s="22"/>
    </row>
    <row r="175" spans="2:6" x14ac:dyDescent="0.4">
      <c r="B175" s="50"/>
      <c r="C175" s="51"/>
      <c r="D175" s="51"/>
      <c r="E175" s="23"/>
      <c r="F175" s="22"/>
    </row>
    <row r="176" spans="2:6" x14ac:dyDescent="0.4">
      <c r="B176" s="50"/>
      <c r="C176" s="51"/>
      <c r="D176" s="51"/>
      <c r="E176" s="23"/>
      <c r="F176" s="22"/>
    </row>
    <row r="177" spans="2:6" x14ac:dyDescent="0.4">
      <c r="B177" s="50"/>
      <c r="C177" s="51"/>
      <c r="D177" s="51"/>
      <c r="E177" s="23"/>
      <c r="F177" s="22"/>
    </row>
    <row r="178" spans="2:6" x14ac:dyDescent="0.4">
      <c r="B178" s="50"/>
      <c r="C178" s="51"/>
      <c r="D178" s="51"/>
      <c r="E178" s="23"/>
      <c r="F178" s="22"/>
    </row>
    <row r="179" spans="2:6" x14ac:dyDescent="0.4">
      <c r="B179" s="50"/>
      <c r="C179" s="51"/>
      <c r="D179" s="51"/>
      <c r="E179" s="23"/>
      <c r="F179" s="22"/>
    </row>
    <row r="180" spans="2:6" x14ac:dyDescent="0.4">
      <c r="B180" s="50"/>
      <c r="C180" s="51"/>
      <c r="D180" s="51"/>
      <c r="E180" s="23"/>
      <c r="F180" s="22"/>
    </row>
    <row r="181" spans="2:6" x14ac:dyDescent="0.4">
      <c r="B181" s="50"/>
      <c r="C181" s="51"/>
      <c r="D181" s="51"/>
      <c r="E181" s="23"/>
      <c r="F181" s="22"/>
    </row>
    <row r="182" spans="2:6" x14ac:dyDescent="0.4">
      <c r="B182" s="50"/>
      <c r="C182" s="51"/>
      <c r="D182" s="51"/>
      <c r="E182" s="23"/>
      <c r="F182" s="22"/>
    </row>
    <row r="183" spans="2:6" x14ac:dyDescent="0.4">
      <c r="B183" s="50"/>
      <c r="C183" s="51"/>
      <c r="D183" s="51"/>
      <c r="E183" s="23"/>
      <c r="F183" s="22"/>
    </row>
    <row r="184" spans="2:6" x14ac:dyDescent="0.4">
      <c r="B184" s="50"/>
      <c r="C184" s="51"/>
      <c r="D184" s="51"/>
      <c r="E184" s="23"/>
      <c r="F184" s="22"/>
    </row>
    <row r="185" spans="2:6" x14ac:dyDescent="0.4">
      <c r="B185" s="50"/>
      <c r="C185" s="51"/>
      <c r="D185" s="51"/>
      <c r="E185" s="23"/>
      <c r="F185" s="22"/>
    </row>
    <row r="186" spans="2:6" x14ac:dyDescent="0.4">
      <c r="B186" s="50"/>
      <c r="C186" s="51"/>
      <c r="D186" s="51"/>
      <c r="E186" s="23"/>
      <c r="F186" s="22"/>
    </row>
    <row r="187" spans="2:6" x14ac:dyDescent="0.4">
      <c r="B187" s="50"/>
      <c r="C187" s="51"/>
      <c r="D187" s="51"/>
      <c r="E187" s="23"/>
      <c r="F187" s="22"/>
    </row>
    <row r="188" spans="2:6" x14ac:dyDescent="0.4">
      <c r="B188" s="50"/>
      <c r="C188" s="51"/>
      <c r="D188" s="51"/>
      <c r="E188" s="23"/>
      <c r="F188" s="22"/>
    </row>
    <row r="189" spans="2:6" x14ac:dyDescent="0.4">
      <c r="B189" s="50"/>
      <c r="C189" s="51"/>
      <c r="D189" s="51"/>
      <c r="E189" s="23"/>
      <c r="F189" s="22"/>
    </row>
    <row r="190" spans="2:6" x14ac:dyDescent="0.4">
      <c r="B190" s="50"/>
      <c r="C190" s="51"/>
      <c r="D190" s="51"/>
      <c r="E190" s="23"/>
      <c r="F190" s="22"/>
    </row>
    <row r="191" spans="2:6" x14ac:dyDescent="0.4">
      <c r="B191" s="50"/>
      <c r="C191" s="51"/>
      <c r="D191" s="51"/>
      <c r="E191" s="23"/>
      <c r="F191" s="22"/>
    </row>
    <row r="192" spans="2:6" x14ac:dyDescent="0.4">
      <c r="B192" s="50"/>
      <c r="C192" s="51"/>
      <c r="D192" s="51"/>
      <c r="E192" s="23"/>
      <c r="F192" s="22"/>
    </row>
    <row r="193" spans="2:6" x14ac:dyDescent="0.4">
      <c r="B193" s="50"/>
      <c r="C193" s="51"/>
      <c r="D193" s="51"/>
      <c r="E193" s="23"/>
      <c r="F193" s="22"/>
    </row>
    <row r="194" spans="2:6" x14ac:dyDescent="0.4">
      <c r="B194" s="50"/>
      <c r="C194" s="51"/>
      <c r="D194" s="51"/>
      <c r="E194" s="23"/>
      <c r="F194" s="22"/>
    </row>
    <row r="195" spans="2:6" x14ac:dyDescent="0.4">
      <c r="B195" s="50"/>
      <c r="C195" s="51"/>
      <c r="D195" s="51"/>
      <c r="E195" s="23"/>
      <c r="F195" s="22"/>
    </row>
    <row r="196" spans="2:6" x14ac:dyDescent="0.4">
      <c r="B196" s="50"/>
      <c r="C196" s="51"/>
      <c r="D196" s="51"/>
      <c r="E196" s="23"/>
      <c r="F196" s="22"/>
    </row>
    <row r="197" spans="2:6" x14ac:dyDescent="0.4">
      <c r="B197" s="50"/>
      <c r="C197" s="51"/>
      <c r="D197" s="51"/>
      <c r="E197" s="23"/>
      <c r="F197" s="17"/>
    </row>
    <row r="198" spans="2:6" x14ac:dyDescent="0.4">
      <c r="B198" s="50"/>
      <c r="C198" s="51"/>
      <c r="D198" s="51"/>
      <c r="E198" s="23"/>
      <c r="F198" s="17"/>
    </row>
    <row r="199" spans="2:6" x14ac:dyDescent="0.4">
      <c r="B199" s="50"/>
      <c r="C199" s="51"/>
      <c r="D199" s="51"/>
      <c r="E199" s="23"/>
      <c r="F199" s="17"/>
    </row>
    <row r="200" spans="2:6" x14ac:dyDescent="0.4">
      <c r="B200" s="52"/>
      <c r="C200" s="53"/>
      <c r="D200" s="53"/>
      <c r="E200" s="23"/>
      <c r="F200" s="17"/>
    </row>
  </sheetData>
  <sheetProtection algorithmName="SHA-512" hashValue="YfgJ0g3PC/8qWKgU/aShXOl5UdzPStMTzWoAmmah7WQse3u1NXunnuwp0tIxoQzQzL+IgeUUhQBcy1FVS5lfyQ==" saltValue="zHFp6Ukg0CpEc5t9NizFaw==" spinCount="100000" sheet="1" objects="1" scenarios="1" selectLockedCells="1"/>
  <sortState ref="C4:H63">
    <sortCondition ref="C4:C63"/>
  </sortState>
  <mergeCells count="5">
    <mergeCell ref="B2:F2"/>
    <mergeCell ref="C1:E1"/>
    <mergeCell ref="G2:H2"/>
    <mergeCell ref="G64:H64"/>
    <mergeCell ref="B64:C65"/>
  </mergeCells>
  <phoneticPr fontId="2" type="noConversion"/>
  <printOptions horizontalCentered="1" verticalCentered="1"/>
  <pageMargins left="0.31496062992125984" right="0.31496062992125984" top="0.74803149606299213" bottom="0.59055118110236227" header="0.31496062992125984" footer="0.31496062992125984"/>
  <pageSetup paperSize="9"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일자순">
                <anchor moveWithCells="1" sizeWithCells="1">
                  <from>
                    <xdr:col>2</xdr:col>
                    <xdr:colOff>441960</xdr:colOff>
                    <xdr:row>1</xdr:row>
                    <xdr:rowOff>342900</xdr:rowOff>
                  </from>
                  <to>
                    <xdr:col>4</xdr:col>
                    <xdr:colOff>899160</xdr:colOff>
                    <xdr:row>1</xdr:row>
                    <xdr:rowOff>601980</xdr:rowOff>
                  </to>
                </anchor>
              </controlPr>
            </control>
          </mc:Choice>
        </mc:AlternateContent>
        <mc:AlternateContent xmlns:mc="http://schemas.openxmlformats.org/markup-compatibility/2006">
          <mc:Choice Requires="x14">
            <control shapeId="7175" r:id="rId5" name="Button 7">
              <controlPr defaultSize="0" print="0" autoFill="0" autoPict="0" macro="[0]!맞춤법검사">
                <anchor moveWithCells="1" sizeWithCells="1">
                  <from>
                    <xdr:col>5</xdr:col>
                    <xdr:colOff>1905000</xdr:colOff>
                    <xdr:row>2</xdr:row>
                    <xdr:rowOff>0</xdr:rowOff>
                  </from>
                  <to>
                    <xdr:col>5</xdr:col>
                    <xdr:colOff>3185160</xdr:colOff>
                    <xdr:row>2</xdr:row>
                    <xdr:rowOff>0</xdr:rowOff>
                  </to>
                </anchor>
              </controlPr>
            </control>
          </mc:Choice>
        </mc:AlternateContent>
        <mc:AlternateContent xmlns:mc="http://schemas.openxmlformats.org/markup-compatibility/2006">
          <mc:Choice Requires="x14">
            <control shapeId="7176" r:id="rId6" name="Button 8">
              <controlPr defaultSize="0" print="0" autoFill="0" autoPict="0" macro="[0]!맞춤법1">
                <anchor moveWithCells="1" sizeWithCells="1">
                  <from>
                    <xdr:col>5</xdr:col>
                    <xdr:colOff>1905000</xdr:colOff>
                    <xdr:row>1</xdr:row>
                    <xdr:rowOff>350520</xdr:rowOff>
                  </from>
                  <to>
                    <xdr:col>5</xdr:col>
                    <xdr:colOff>3314700</xdr:colOff>
                    <xdr:row>1</xdr:row>
                    <xdr:rowOff>601980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U44"/>
  <sheetViews>
    <sheetView showZeros="0" zoomScaleNormal="100" workbookViewId="0">
      <pane xSplit="2" ySplit="4" topLeftCell="C5" activePane="bottomRight" state="frozen"/>
      <selection pane="topRight" activeCell="C1" sqref="C1"/>
      <selection pane="bottomLeft" activeCell="A5" sqref="A5"/>
      <selection pane="bottomRight" activeCell="X8" sqref="X8"/>
    </sheetView>
  </sheetViews>
  <sheetFormatPr defaultColWidth="9" defaultRowHeight="17.399999999999999" x14ac:dyDescent="0.4"/>
  <cols>
    <col min="1" max="1" width="5.09765625" style="8" customWidth="1"/>
    <col min="2" max="2" width="9" style="8"/>
    <col min="3" max="62" width="3.09765625" style="7" customWidth="1"/>
    <col min="63" max="122" width="3.59765625" style="7" hidden="1" customWidth="1"/>
    <col min="123" max="123" width="9" style="9" hidden="1" customWidth="1"/>
    <col min="124" max="124" width="4" style="8" customWidth="1"/>
    <col min="125" max="125" width="1.8984375" style="7" customWidth="1"/>
    <col min="126" max="129" width="5.59765625" style="7" customWidth="1"/>
    <col min="130" max="16384" width="9" style="7"/>
  </cols>
  <sheetData>
    <row r="1" spans="1:125" ht="40.5" customHeight="1" x14ac:dyDescent="0.4">
      <c r="A1" s="31"/>
      <c r="B1" s="31"/>
      <c r="C1" s="74" t="s">
        <v>34</v>
      </c>
      <c r="D1" s="75"/>
      <c r="E1" s="75"/>
      <c r="F1" s="75"/>
      <c r="G1" s="75"/>
      <c r="H1" s="75"/>
      <c r="I1" s="75"/>
      <c r="J1" s="75"/>
      <c r="K1" s="75"/>
      <c r="L1" s="75"/>
      <c r="M1" s="75"/>
      <c r="N1" s="75"/>
      <c r="O1" s="79" t="s">
        <v>113</v>
      </c>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8" t="s">
        <v>114</v>
      </c>
      <c r="AQ1" s="78"/>
      <c r="AR1" s="78"/>
      <c r="AS1" s="78"/>
      <c r="AT1" s="78"/>
      <c r="AU1" s="78"/>
      <c r="AV1" s="78"/>
      <c r="AW1" s="78"/>
      <c r="AX1" s="78"/>
      <c r="AY1" s="78"/>
      <c r="AZ1" s="78"/>
      <c r="BA1" s="78"/>
      <c r="BB1" s="78"/>
      <c r="BC1" s="78"/>
      <c r="BD1" s="78"/>
      <c r="BE1" s="78"/>
      <c r="BF1" s="78"/>
      <c r="BG1" s="78"/>
      <c r="BH1" s="78"/>
      <c r="BI1" s="78"/>
      <c r="BJ1" s="78"/>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3"/>
      <c r="DU1" s="34"/>
    </row>
    <row r="2" spans="1:125" ht="24" customHeight="1" x14ac:dyDescent="0.4">
      <c r="A2" s="31"/>
      <c r="B2" s="31"/>
      <c r="C2" s="5">
        <v>1</v>
      </c>
      <c r="D2" s="5">
        <v>2</v>
      </c>
      <c r="E2" s="5">
        <v>3</v>
      </c>
      <c r="F2" s="5">
        <v>4</v>
      </c>
      <c r="G2" s="5">
        <v>5</v>
      </c>
      <c r="H2" s="5">
        <v>6</v>
      </c>
      <c r="I2" s="5">
        <v>7</v>
      </c>
      <c r="J2" s="5">
        <v>8</v>
      </c>
      <c r="K2" s="5">
        <v>9</v>
      </c>
      <c r="L2" s="5">
        <v>10</v>
      </c>
      <c r="M2" s="5">
        <v>11</v>
      </c>
      <c r="N2" s="5">
        <v>12</v>
      </c>
      <c r="O2" s="5">
        <v>13</v>
      </c>
      <c r="P2" s="5">
        <v>14</v>
      </c>
      <c r="Q2" s="5">
        <v>15</v>
      </c>
      <c r="R2" s="5">
        <v>16</v>
      </c>
      <c r="S2" s="5">
        <v>17</v>
      </c>
      <c r="T2" s="5">
        <v>18</v>
      </c>
      <c r="U2" s="5">
        <v>19</v>
      </c>
      <c r="V2" s="5">
        <v>20</v>
      </c>
      <c r="W2" s="5">
        <v>21</v>
      </c>
      <c r="X2" s="5">
        <v>22</v>
      </c>
      <c r="Y2" s="5">
        <v>23</v>
      </c>
      <c r="Z2" s="5">
        <v>24</v>
      </c>
      <c r="AA2" s="5">
        <v>25</v>
      </c>
      <c r="AB2" s="5">
        <v>26</v>
      </c>
      <c r="AC2" s="5">
        <v>27</v>
      </c>
      <c r="AD2" s="5">
        <v>28</v>
      </c>
      <c r="AE2" s="5">
        <v>29</v>
      </c>
      <c r="AF2" s="5">
        <v>30</v>
      </c>
      <c r="AG2" s="5">
        <v>31</v>
      </c>
      <c r="AH2" s="5">
        <v>32</v>
      </c>
      <c r="AI2" s="5">
        <v>33</v>
      </c>
      <c r="AJ2" s="5">
        <v>34</v>
      </c>
      <c r="AK2" s="5">
        <v>35</v>
      </c>
      <c r="AL2" s="5">
        <v>36</v>
      </c>
      <c r="AM2" s="5">
        <v>37</v>
      </c>
      <c r="AN2" s="5">
        <v>38</v>
      </c>
      <c r="AO2" s="5">
        <v>39</v>
      </c>
      <c r="AP2" s="5">
        <v>40</v>
      </c>
      <c r="AQ2" s="5">
        <v>41</v>
      </c>
      <c r="AR2" s="5">
        <v>42</v>
      </c>
      <c r="AS2" s="5">
        <v>43</v>
      </c>
      <c r="AT2" s="5">
        <v>44</v>
      </c>
      <c r="AU2" s="5">
        <v>45</v>
      </c>
      <c r="AV2" s="5">
        <v>46</v>
      </c>
      <c r="AW2" s="5">
        <v>47</v>
      </c>
      <c r="AX2" s="5">
        <v>48</v>
      </c>
      <c r="AY2" s="5">
        <v>49</v>
      </c>
      <c r="AZ2" s="5">
        <v>50</v>
      </c>
      <c r="BA2" s="5">
        <v>51</v>
      </c>
      <c r="BB2" s="5">
        <v>52</v>
      </c>
      <c r="BC2" s="5">
        <v>53</v>
      </c>
      <c r="BD2" s="5">
        <v>54</v>
      </c>
      <c r="BE2" s="5">
        <v>55</v>
      </c>
      <c r="BF2" s="5">
        <v>56</v>
      </c>
      <c r="BG2" s="5">
        <v>57</v>
      </c>
      <c r="BH2" s="5">
        <v>58</v>
      </c>
      <c r="BI2" s="5">
        <v>59</v>
      </c>
      <c r="BJ2" s="5">
        <v>60</v>
      </c>
      <c r="BK2" s="35">
        <f t="shared" ref="BK2:BT4" si="0">C2</f>
        <v>1</v>
      </c>
      <c r="BL2" s="35">
        <f t="shared" si="0"/>
        <v>2</v>
      </c>
      <c r="BM2" s="35">
        <f t="shared" si="0"/>
        <v>3</v>
      </c>
      <c r="BN2" s="35">
        <f t="shared" si="0"/>
        <v>4</v>
      </c>
      <c r="BO2" s="35">
        <f t="shared" si="0"/>
        <v>5</v>
      </c>
      <c r="BP2" s="35">
        <f t="shared" si="0"/>
        <v>6</v>
      </c>
      <c r="BQ2" s="35">
        <f t="shared" si="0"/>
        <v>7</v>
      </c>
      <c r="BR2" s="35">
        <f t="shared" si="0"/>
        <v>8</v>
      </c>
      <c r="BS2" s="35">
        <f t="shared" si="0"/>
        <v>9</v>
      </c>
      <c r="BT2" s="35">
        <f t="shared" si="0"/>
        <v>10</v>
      </c>
      <c r="BU2" s="35">
        <f t="shared" ref="BU2:CD4" si="1">M2</f>
        <v>11</v>
      </c>
      <c r="BV2" s="35">
        <f t="shared" si="1"/>
        <v>12</v>
      </c>
      <c r="BW2" s="35">
        <f t="shared" si="1"/>
        <v>13</v>
      </c>
      <c r="BX2" s="35">
        <f t="shared" si="1"/>
        <v>14</v>
      </c>
      <c r="BY2" s="35">
        <f t="shared" si="1"/>
        <v>15</v>
      </c>
      <c r="BZ2" s="35">
        <f t="shared" si="1"/>
        <v>16</v>
      </c>
      <c r="CA2" s="35">
        <f t="shared" si="1"/>
        <v>17</v>
      </c>
      <c r="CB2" s="35">
        <f t="shared" si="1"/>
        <v>18</v>
      </c>
      <c r="CC2" s="35">
        <f t="shared" si="1"/>
        <v>19</v>
      </c>
      <c r="CD2" s="35">
        <f t="shared" si="1"/>
        <v>20</v>
      </c>
      <c r="CE2" s="35">
        <f t="shared" ref="CE2:CN4" si="2">W2</f>
        <v>21</v>
      </c>
      <c r="CF2" s="35">
        <f t="shared" si="2"/>
        <v>22</v>
      </c>
      <c r="CG2" s="35">
        <f t="shared" si="2"/>
        <v>23</v>
      </c>
      <c r="CH2" s="35">
        <f t="shared" si="2"/>
        <v>24</v>
      </c>
      <c r="CI2" s="35">
        <f t="shared" si="2"/>
        <v>25</v>
      </c>
      <c r="CJ2" s="35">
        <f t="shared" si="2"/>
        <v>26</v>
      </c>
      <c r="CK2" s="35">
        <f t="shared" si="2"/>
        <v>27</v>
      </c>
      <c r="CL2" s="35">
        <f t="shared" si="2"/>
        <v>28</v>
      </c>
      <c r="CM2" s="35">
        <f t="shared" si="2"/>
        <v>29</v>
      </c>
      <c r="CN2" s="35">
        <f t="shared" si="2"/>
        <v>30</v>
      </c>
      <c r="CO2" s="35">
        <f t="shared" ref="CO2:CX4" si="3">AG2</f>
        <v>31</v>
      </c>
      <c r="CP2" s="35">
        <f t="shared" si="3"/>
        <v>32</v>
      </c>
      <c r="CQ2" s="35">
        <f t="shared" si="3"/>
        <v>33</v>
      </c>
      <c r="CR2" s="35">
        <f t="shared" si="3"/>
        <v>34</v>
      </c>
      <c r="CS2" s="35">
        <f t="shared" si="3"/>
        <v>35</v>
      </c>
      <c r="CT2" s="35">
        <f t="shared" si="3"/>
        <v>36</v>
      </c>
      <c r="CU2" s="35">
        <f t="shared" si="3"/>
        <v>37</v>
      </c>
      <c r="CV2" s="35">
        <f t="shared" si="3"/>
        <v>38</v>
      </c>
      <c r="CW2" s="35">
        <f t="shared" si="3"/>
        <v>39</v>
      </c>
      <c r="CX2" s="35">
        <f t="shared" si="3"/>
        <v>40</v>
      </c>
      <c r="CY2" s="35">
        <f t="shared" ref="CY2:DH4" si="4">AQ2</f>
        <v>41</v>
      </c>
      <c r="CZ2" s="35">
        <f t="shared" si="4"/>
        <v>42</v>
      </c>
      <c r="DA2" s="35">
        <f t="shared" si="4"/>
        <v>43</v>
      </c>
      <c r="DB2" s="35">
        <f t="shared" si="4"/>
        <v>44</v>
      </c>
      <c r="DC2" s="35">
        <f t="shared" si="4"/>
        <v>45</v>
      </c>
      <c r="DD2" s="35">
        <f t="shared" si="4"/>
        <v>46</v>
      </c>
      <c r="DE2" s="35">
        <f t="shared" si="4"/>
        <v>47</v>
      </c>
      <c r="DF2" s="35">
        <f t="shared" si="4"/>
        <v>48</v>
      </c>
      <c r="DG2" s="35">
        <f t="shared" si="4"/>
        <v>49</v>
      </c>
      <c r="DH2" s="35">
        <f t="shared" si="4"/>
        <v>50</v>
      </c>
      <c r="DI2" s="35">
        <f t="shared" ref="DI2:DR4" si="5">BA2</f>
        <v>51</v>
      </c>
      <c r="DJ2" s="35">
        <f t="shared" si="5"/>
        <v>52</v>
      </c>
      <c r="DK2" s="35">
        <f t="shared" si="5"/>
        <v>53</v>
      </c>
      <c r="DL2" s="35">
        <f t="shared" si="5"/>
        <v>54</v>
      </c>
      <c r="DM2" s="35">
        <f t="shared" si="5"/>
        <v>55</v>
      </c>
      <c r="DN2" s="35">
        <f t="shared" si="5"/>
        <v>56</v>
      </c>
      <c r="DO2" s="35">
        <f t="shared" si="5"/>
        <v>57</v>
      </c>
      <c r="DP2" s="35">
        <f t="shared" si="5"/>
        <v>58</v>
      </c>
      <c r="DQ2" s="35">
        <f t="shared" si="5"/>
        <v>59</v>
      </c>
      <c r="DR2" s="35">
        <f t="shared" si="5"/>
        <v>60</v>
      </c>
      <c r="DS2" s="36"/>
      <c r="DT2" s="71" t="s">
        <v>10</v>
      </c>
      <c r="DU2" s="34"/>
    </row>
    <row r="3" spans="1:125" ht="164.25" customHeight="1" x14ac:dyDescent="0.4">
      <c r="A3" s="72" t="s">
        <v>0</v>
      </c>
      <c r="B3" s="76" t="s">
        <v>37</v>
      </c>
      <c r="C3" s="37" t="str">
        <f>IFERROR(VLOOKUP(C2,활동내용입력!$B$1:$E$63,4,FALSE),"")</f>
        <v>Layout&amp;Widget</v>
      </c>
      <c r="D3" s="37" t="str">
        <f>IFERROR(VLOOKUP(D2,활동내용입력!$B$1:$E$63,4,FALSE),"")</f>
        <v>intent</v>
      </c>
      <c r="E3" s="37" t="str">
        <f>IFERROR(VLOOKUP(E2,활동내용입력!$B$1:$E$63,4,FALSE),"")</f>
        <v>LifeCycle</v>
      </c>
      <c r="F3" s="37" t="str">
        <f>IFERROR(VLOOKUP(F2,활동내용입력!$B$1:$E$63,4,FALSE),"")</f>
        <v>Custom View</v>
      </c>
      <c r="G3" s="37" t="str">
        <f>IFERROR(VLOOKUP(G2,활동내용입력!$B$1:$E$63,4,FALSE),"")</f>
        <v>Alert Dialog</v>
      </c>
      <c r="H3" s="37" t="str">
        <f>IFERROR(VLOOKUP(H2,활동내용입력!$B$1:$E$63,4,FALSE),"")</f>
        <v>Database</v>
      </c>
      <c r="I3" s="37" t="str">
        <f>IFERROR(VLOOKUP(I2,활동내용입력!$B$1:$E$63,4,FALSE),"")</f>
        <v>File Read&amp;Write</v>
      </c>
      <c r="J3" s="37" t="str">
        <f>IFERROR(VLOOKUP(J2,활동내용입력!$B$1:$E$63,4,FALSE),"")</f>
        <v>Multimedia</v>
      </c>
      <c r="K3" s="37" t="str">
        <f>IFERROR(VLOOKUP(K2,활동내용입력!$B$1:$E$63,4,FALSE),"")</f>
        <v>문제 분석(상)</v>
      </c>
      <c r="L3" s="37" t="str">
        <f>IFERROR(VLOOKUP(L2,활동내용입력!$B$1:$E$63,4,FALSE),"")</f>
        <v>문제 분석(중)</v>
      </c>
      <c r="M3" s="37" t="str">
        <f>IFERROR(VLOOKUP(M2,활동내용입력!$B$1:$E$63,4,FALSE),"")</f>
        <v>알고리즘(상1)</v>
      </c>
      <c r="N3" s="37" t="str">
        <f>IFERROR(VLOOKUP(N2,활동내용입력!$B$1:$E$63,4,FALSE),"")</f>
        <v>알고리즘(상2)</v>
      </c>
      <c r="O3" s="37" t="str">
        <f>IFERROR(VLOOKUP(O2,활동내용입력!$B$1:$E$63,4,FALSE),"")</f>
        <v>알고리즘(중1)</v>
      </c>
      <c r="P3" s="37" t="str">
        <f>IFERROR(VLOOKUP(P2,활동내용입력!$B$1:$E$63,4,FALSE),"")</f>
        <v>알고리즘(중2)</v>
      </c>
      <c r="Q3" s="37" t="str">
        <f>IFERROR(VLOOKUP(Q2,활동내용입력!$B$1:$E$63,4,FALSE),"")</f>
        <v>참여도 및 태도(상)</v>
      </c>
      <c r="R3" s="37" t="str">
        <f>IFERROR(VLOOKUP(R2,활동내용입력!$B$1:$E$63,4,FALSE),"")</f>
        <v>참여도 및 태도(중1)</v>
      </c>
      <c r="S3" s="37" t="str">
        <f>IFERROR(VLOOKUP(S2,활동내용입력!$B$1:$E$63,4,FALSE),"")</f>
        <v>참여도 및 태도(중2)</v>
      </c>
      <c r="T3" s="37" t="str">
        <f>IFERROR(VLOOKUP(T2,활동내용입력!$B$1:$E$63,4,FALSE),"")</f>
        <v>프로젝트 참여도(상)</v>
      </c>
      <c r="U3" s="37" t="str">
        <f>IFERROR(VLOOKUP(U2,활동내용입력!$B$1:$E$63,4,FALSE),"")</f>
        <v>프로젝트 산출물</v>
      </c>
      <c r="V3" s="37" t="str">
        <f>IFERROR(VLOOKUP(V2,활동내용입력!$B$1:$E$63,4,FALSE),"")</f>
        <v>프로젝트 발표1</v>
      </c>
      <c r="W3" s="37" t="str">
        <f>IFERROR(VLOOKUP(W2,활동내용입력!$B$1:$E$63,4,FALSE),"")</f>
        <v>프로젝트 발표2</v>
      </c>
      <c r="X3" s="37">
        <f>IFERROR(VLOOKUP(X2,활동내용입력!$B$1:$E$63,4,FALSE),"")</f>
        <v>0</v>
      </c>
      <c r="Y3" s="37">
        <f>IFERROR(VLOOKUP(Y2,활동내용입력!$B$1:$E$63,4,FALSE),"")</f>
        <v>0</v>
      </c>
      <c r="Z3" s="37">
        <f>IFERROR(VLOOKUP(Z2,활동내용입력!$B$1:$E$63,4,FALSE),"")</f>
        <v>0</v>
      </c>
      <c r="AA3" s="37">
        <f>IFERROR(VLOOKUP(AA2,활동내용입력!$B$1:$E$63,4,FALSE),"")</f>
        <v>0</v>
      </c>
      <c r="AB3" s="37">
        <f>IFERROR(VLOOKUP(AB2,활동내용입력!$B$1:$E$63,4,FALSE),"")</f>
        <v>0</v>
      </c>
      <c r="AC3" s="37">
        <f>IFERROR(VLOOKUP(AC2,활동내용입력!$B$1:$E$63,4,FALSE),"")</f>
        <v>0</v>
      </c>
      <c r="AD3" s="37">
        <f>IFERROR(VLOOKUP(AD2,활동내용입력!$B$1:$E$63,4,FALSE),"")</f>
        <v>0</v>
      </c>
      <c r="AE3" s="37">
        <f>IFERROR(VLOOKUP(AE2,활동내용입력!$B$1:$E$63,4,FALSE),"")</f>
        <v>0</v>
      </c>
      <c r="AF3" s="37">
        <f>IFERROR(VLOOKUP(AF2,활동내용입력!$B$1:$E$63,4,FALSE),"")</f>
        <v>0</v>
      </c>
      <c r="AG3" s="37">
        <f>IFERROR(VLOOKUP(AG2,활동내용입력!$B$1:$E$63,4,FALSE),"")</f>
        <v>0</v>
      </c>
      <c r="AH3" s="37">
        <f>IFERROR(VLOOKUP(AH2,활동내용입력!$B$1:$E$63,4,FALSE),"")</f>
        <v>0</v>
      </c>
      <c r="AI3" s="37">
        <f>IFERROR(VLOOKUP(AI2,활동내용입력!$B$1:$E$63,4,FALSE),"")</f>
        <v>0</v>
      </c>
      <c r="AJ3" s="37">
        <f>IFERROR(VLOOKUP(AJ2,활동내용입력!$B$1:$E$63,4,FALSE),"")</f>
        <v>0</v>
      </c>
      <c r="AK3" s="37">
        <f>IFERROR(VLOOKUP(AK2,활동내용입력!$B$1:$E$63,4,FALSE),"")</f>
        <v>0</v>
      </c>
      <c r="AL3" s="37">
        <f>IFERROR(VLOOKUP(AL2,활동내용입력!$B$1:$E$63,4,FALSE),"")</f>
        <v>0</v>
      </c>
      <c r="AM3" s="37">
        <f>IFERROR(VLOOKUP(AM2,활동내용입력!$B$1:$E$63,4,FALSE),"")</f>
        <v>0</v>
      </c>
      <c r="AN3" s="37">
        <f>IFERROR(VLOOKUP(AN2,활동내용입력!$B$1:$E$63,4,FALSE),"")</f>
        <v>0</v>
      </c>
      <c r="AO3" s="37">
        <f>IFERROR(VLOOKUP(AO2,활동내용입력!$B$1:$E$63,4,FALSE),"")</f>
        <v>0</v>
      </c>
      <c r="AP3" s="37">
        <f>IFERROR(VLOOKUP(AP2,활동내용입력!$B$1:$E$63,4,FALSE),"")</f>
        <v>0</v>
      </c>
      <c r="AQ3" s="37" t="str">
        <f>IFERROR(VLOOKUP(AQ2,활동내용입력!$B$1:$E$6343,FALSE),"")</f>
        <v/>
      </c>
      <c r="AR3" s="37">
        <f>IFERROR(VLOOKUP(AR2,활동내용입력!$B$1:$E$63,4,FALSE),"")</f>
        <v>0</v>
      </c>
      <c r="AS3" s="37">
        <f>IFERROR(VLOOKUP(AS2,활동내용입력!$B$1:$E$63,4,FALSE),"")</f>
        <v>0</v>
      </c>
      <c r="AT3" s="37">
        <f>IFERROR(VLOOKUP(AT2,활동내용입력!$B$1:$E$63,4,FALSE),"")</f>
        <v>0</v>
      </c>
      <c r="AU3" s="37">
        <f>IFERROR(VLOOKUP(AU2,활동내용입력!$B$1:$E$63,4,FALSE),"")</f>
        <v>0</v>
      </c>
      <c r="AV3" s="37">
        <f>IFERROR(VLOOKUP(AV2,활동내용입력!$B$1:$E$63,4,FALSE),"")</f>
        <v>0</v>
      </c>
      <c r="AW3" s="37">
        <f>IFERROR(VLOOKUP(AW2,활동내용입력!$B$1:$E$63,4,FALSE),"")</f>
        <v>0</v>
      </c>
      <c r="AX3" s="37">
        <f>IFERROR(VLOOKUP(AX2,활동내용입력!$B$1:$E$63,4,FALSE),"")</f>
        <v>0</v>
      </c>
      <c r="AY3" s="37">
        <f>IFERROR(VLOOKUP(AY2,활동내용입력!$B$1:$E$63,4,FALSE),"")</f>
        <v>0</v>
      </c>
      <c r="AZ3" s="37">
        <f>IFERROR(VLOOKUP(AZ2,활동내용입력!$B$1:$E$63,4,FALSE),"")</f>
        <v>0</v>
      </c>
      <c r="BA3" s="37">
        <f>IFERROR(VLOOKUP(BA2,활동내용입력!$B$1:$E$63,4,FALSE),"")</f>
        <v>0</v>
      </c>
      <c r="BB3" s="37">
        <f>IFERROR(VLOOKUP(BB2,활동내용입력!$B$1:$E$63,4,FALSE),"")</f>
        <v>0</v>
      </c>
      <c r="BC3" s="37">
        <f>IFERROR(VLOOKUP(BC2,활동내용입력!$B$1:$E$63,4,FALSE),"")</f>
        <v>0</v>
      </c>
      <c r="BD3" s="37">
        <f>IFERROR(VLOOKUP(BD2,활동내용입력!$B$1:$E$63,4,FALSE),"")</f>
        <v>0</v>
      </c>
      <c r="BE3" s="37">
        <f>IFERROR(VLOOKUP(BE2,활동내용입력!$B$1:$E$63,4,FALSE),"")</f>
        <v>0</v>
      </c>
      <c r="BF3" s="37">
        <f>IFERROR(VLOOKUP(BF2,활동내용입력!$B$1:$E$63,4,FALSE),"")</f>
        <v>0</v>
      </c>
      <c r="BG3" s="37">
        <f>IFERROR(VLOOKUP(BG2,활동내용입력!$B$1:$E$63,4,FALSE),"")</f>
        <v>0</v>
      </c>
      <c r="BH3" s="37">
        <f>IFERROR(VLOOKUP(BH2,활동내용입력!$B$1:$E$63,4,FALSE),"")</f>
        <v>0</v>
      </c>
      <c r="BI3" s="37">
        <f>IFERROR(VLOOKUP(BI2,활동내용입력!$B$1:$E$63,4,FALSE),"")</f>
        <v>0</v>
      </c>
      <c r="BJ3" s="37">
        <f>IFERROR(VLOOKUP(BJ2,활동내용입력!$B$1:$E$63,4,FALSE),"")</f>
        <v>0</v>
      </c>
      <c r="BK3" s="38" t="str">
        <f t="shared" si="0"/>
        <v>Layout&amp;Widget</v>
      </c>
      <c r="BL3" s="38" t="str">
        <f t="shared" si="0"/>
        <v>intent</v>
      </c>
      <c r="BM3" s="38" t="str">
        <f t="shared" si="0"/>
        <v>LifeCycle</v>
      </c>
      <c r="BN3" s="38" t="str">
        <f t="shared" si="0"/>
        <v>Custom View</v>
      </c>
      <c r="BO3" s="38" t="str">
        <f t="shared" si="0"/>
        <v>Alert Dialog</v>
      </c>
      <c r="BP3" s="38" t="str">
        <f t="shared" si="0"/>
        <v>Database</v>
      </c>
      <c r="BQ3" s="38" t="str">
        <f t="shared" si="0"/>
        <v>File Read&amp;Write</v>
      </c>
      <c r="BR3" s="38" t="str">
        <f t="shared" si="0"/>
        <v>Multimedia</v>
      </c>
      <c r="BS3" s="38" t="str">
        <f t="shared" si="0"/>
        <v>문제 분석(상)</v>
      </c>
      <c r="BT3" s="38" t="str">
        <f t="shared" si="0"/>
        <v>문제 분석(중)</v>
      </c>
      <c r="BU3" s="38" t="str">
        <f t="shared" si="1"/>
        <v>알고리즘(상1)</v>
      </c>
      <c r="BV3" s="38" t="str">
        <f t="shared" si="1"/>
        <v>알고리즘(상2)</v>
      </c>
      <c r="BW3" s="38" t="str">
        <f t="shared" si="1"/>
        <v>알고리즘(중1)</v>
      </c>
      <c r="BX3" s="38" t="str">
        <f t="shared" si="1"/>
        <v>알고리즘(중2)</v>
      </c>
      <c r="BY3" s="38" t="str">
        <f t="shared" si="1"/>
        <v>참여도 및 태도(상)</v>
      </c>
      <c r="BZ3" s="38" t="str">
        <f t="shared" si="1"/>
        <v>참여도 및 태도(중1)</v>
      </c>
      <c r="CA3" s="38" t="str">
        <f t="shared" si="1"/>
        <v>참여도 및 태도(중2)</v>
      </c>
      <c r="CB3" s="38" t="str">
        <f t="shared" si="1"/>
        <v>프로젝트 참여도(상)</v>
      </c>
      <c r="CC3" s="38" t="str">
        <f t="shared" si="1"/>
        <v>프로젝트 산출물</v>
      </c>
      <c r="CD3" s="38" t="str">
        <f t="shared" si="1"/>
        <v>프로젝트 발표1</v>
      </c>
      <c r="CE3" s="38" t="str">
        <f t="shared" si="2"/>
        <v>프로젝트 발표2</v>
      </c>
      <c r="CF3" s="38">
        <f t="shared" si="2"/>
        <v>0</v>
      </c>
      <c r="CG3" s="38">
        <f t="shared" si="2"/>
        <v>0</v>
      </c>
      <c r="CH3" s="38">
        <f t="shared" si="2"/>
        <v>0</v>
      </c>
      <c r="CI3" s="38">
        <f t="shared" si="2"/>
        <v>0</v>
      </c>
      <c r="CJ3" s="38">
        <f t="shared" si="2"/>
        <v>0</v>
      </c>
      <c r="CK3" s="38">
        <f t="shared" si="2"/>
        <v>0</v>
      </c>
      <c r="CL3" s="38">
        <f t="shared" si="2"/>
        <v>0</v>
      </c>
      <c r="CM3" s="38">
        <f t="shared" si="2"/>
        <v>0</v>
      </c>
      <c r="CN3" s="38">
        <f t="shared" si="2"/>
        <v>0</v>
      </c>
      <c r="CO3" s="38">
        <f t="shared" si="3"/>
        <v>0</v>
      </c>
      <c r="CP3" s="38">
        <f t="shared" si="3"/>
        <v>0</v>
      </c>
      <c r="CQ3" s="38">
        <f t="shared" si="3"/>
        <v>0</v>
      </c>
      <c r="CR3" s="38">
        <f t="shared" si="3"/>
        <v>0</v>
      </c>
      <c r="CS3" s="38">
        <f t="shared" si="3"/>
        <v>0</v>
      </c>
      <c r="CT3" s="38">
        <f t="shared" si="3"/>
        <v>0</v>
      </c>
      <c r="CU3" s="38">
        <f t="shared" si="3"/>
        <v>0</v>
      </c>
      <c r="CV3" s="38">
        <f t="shared" si="3"/>
        <v>0</v>
      </c>
      <c r="CW3" s="38">
        <f t="shared" si="3"/>
        <v>0</v>
      </c>
      <c r="CX3" s="38">
        <f t="shared" si="3"/>
        <v>0</v>
      </c>
      <c r="CY3" s="38" t="str">
        <f t="shared" si="4"/>
        <v/>
      </c>
      <c r="CZ3" s="38">
        <f t="shared" si="4"/>
        <v>0</v>
      </c>
      <c r="DA3" s="38">
        <f t="shared" si="4"/>
        <v>0</v>
      </c>
      <c r="DB3" s="38">
        <f t="shared" si="4"/>
        <v>0</v>
      </c>
      <c r="DC3" s="38">
        <f t="shared" si="4"/>
        <v>0</v>
      </c>
      <c r="DD3" s="38">
        <f t="shared" si="4"/>
        <v>0</v>
      </c>
      <c r="DE3" s="38">
        <f t="shared" si="4"/>
        <v>0</v>
      </c>
      <c r="DF3" s="38">
        <f t="shared" si="4"/>
        <v>0</v>
      </c>
      <c r="DG3" s="38">
        <f t="shared" si="4"/>
        <v>0</v>
      </c>
      <c r="DH3" s="38">
        <f t="shared" si="4"/>
        <v>0</v>
      </c>
      <c r="DI3" s="38">
        <f t="shared" si="5"/>
        <v>0</v>
      </c>
      <c r="DJ3" s="38">
        <f t="shared" si="5"/>
        <v>0</v>
      </c>
      <c r="DK3" s="38">
        <f t="shared" si="5"/>
        <v>0</v>
      </c>
      <c r="DL3" s="38">
        <f t="shared" si="5"/>
        <v>0</v>
      </c>
      <c r="DM3" s="38">
        <f t="shared" si="5"/>
        <v>0</v>
      </c>
      <c r="DN3" s="38">
        <f t="shared" si="5"/>
        <v>0</v>
      </c>
      <c r="DO3" s="38">
        <f t="shared" si="5"/>
        <v>0</v>
      </c>
      <c r="DP3" s="38">
        <f t="shared" si="5"/>
        <v>0</v>
      </c>
      <c r="DQ3" s="38">
        <f t="shared" si="5"/>
        <v>0</v>
      </c>
      <c r="DR3" s="38">
        <f t="shared" si="5"/>
        <v>0</v>
      </c>
      <c r="DS3" s="35" t="s">
        <v>44</v>
      </c>
      <c r="DT3" s="71"/>
      <c r="DU3" s="34"/>
    </row>
    <row r="4" spans="1:125" x14ac:dyDescent="0.4">
      <c r="A4" s="73"/>
      <c r="B4" s="77"/>
      <c r="C4" s="39">
        <f>IFERROR(VLOOKUP(C2,활동내용입력!$B$1:$E$63,2,FALSE),"")</f>
        <v>1</v>
      </c>
      <c r="D4" s="39">
        <f>IFERROR(VLOOKUP(D2,활동내용입력!$B$1:$E$63,2,FALSE),"")</f>
        <v>2</v>
      </c>
      <c r="E4" s="39">
        <f>IFERROR(VLOOKUP(E2,활동내용입력!$B$1:$E$63,2,FALSE),"")</f>
        <v>3</v>
      </c>
      <c r="F4" s="39">
        <f>IFERROR(VLOOKUP(F2,활동내용입력!$B$1:$E$63,2,FALSE),"")</f>
        <v>4</v>
      </c>
      <c r="G4" s="39">
        <f>IFERROR(VLOOKUP(G2,활동내용입력!$B$1:$E$63,2,FALSE),"")</f>
        <v>5</v>
      </c>
      <c r="H4" s="39">
        <f>IFERROR(VLOOKUP(H2,활동내용입력!$B$1:$E$63,2,FALSE),"")</f>
        <v>6</v>
      </c>
      <c r="I4" s="39">
        <f>IFERROR(VLOOKUP(I2,활동내용입력!$B$1:$E$63,2,FALSE),"")</f>
        <v>7</v>
      </c>
      <c r="J4" s="39">
        <f>IFERROR(VLOOKUP(J2,활동내용입력!$B$1:$E$63,2,FALSE),"")</f>
        <v>9</v>
      </c>
      <c r="K4" s="39">
        <f>IFERROR(VLOOKUP(K2,활동내용입력!$B$1:$E$63,2,FALSE),"")</f>
        <v>10</v>
      </c>
      <c r="L4" s="39">
        <f>IFERROR(VLOOKUP(L2,활동내용입력!$B$1:$E$63,2,FALSE),"")</f>
        <v>11</v>
      </c>
      <c r="M4" s="39">
        <f>IFERROR(VLOOKUP(M2,활동내용입력!$B$1:$E$63,2,FALSE),"")</f>
        <v>12</v>
      </c>
      <c r="N4" s="39">
        <f>IFERROR(VLOOKUP(N2,활동내용입력!$B$1:$E$63,2,FALSE),"")</f>
        <v>13</v>
      </c>
      <c r="O4" s="39">
        <f>IFERROR(VLOOKUP(O2,활동내용입력!$B$1:$E$63,2,FALSE),"")</f>
        <v>14</v>
      </c>
      <c r="P4" s="39">
        <f>IFERROR(VLOOKUP(P2,활동내용입력!$B$1:$E$63,2,FALSE),"")</f>
        <v>16</v>
      </c>
      <c r="Q4" s="39">
        <f>IFERROR(VLOOKUP(Q2,활동내용입력!$B$1:$E$63,2,FALSE),"")</f>
        <v>17</v>
      </c>
      <c r="R4" s="39">
        <f>IFERROR(VLOOKUP(R2,활동내용입력!$B$1:$E$63,2,FALSE),"")</f>
        <v>18</v>
      </c>
      <c r="S4" s="39">
        <f>IFERROR(VLOOKUP(S2,활동내용입력!$B$1:$E$63,2,FALSE),"")</f>
        <v>19</v>
      </c>
      <c r="T4" s="39">
        <f>IFERROR(VLOOKUP(T2,활동내용입력!$B$1:$E$63,2,FALSE),"")</f>
        <v>20</v>
      </c>
      <c r="U4" s="39">
        <f>IFERROR(VLOOKUP(U2,활동내용입력!$B$1:$E$63,2,FALSE),"")</f>
        <v>21</v>
      </c>
      <c r="V4" s="39">
        <f>IFERROR(VLOOKUP(V2,활동내용입력!$B$1:$E$63,2,FALSE),"")</f>
        <v>22</v>
      </c>
      <c r="W4" s="39">
        <f>IFERROR(VLOOKUP(W2,활동내용입력!$B$1:$E$63,2,FALSE),"")</f>
        <v>23</v>
      </c>
      <c r="X4" s="39">
        <f>IFERROR(VLOOKUP(X2,활동내용입력!$B$1:$E$63,2,FALSE),"")</f>
        <v>0</v>
      </c>
      <c r="Y4" s="39">
        <f>IFERROR(VLOOKUP(Y2,활동내용입력!$B$1:$E$63,2,FALSE),"")</f>
        <v>0</v>
      </c>
      <c r="Z4" s="39">
        <f>IFERROR(VLOOKUP(Z2,활동내용입력!$B$1:$E$63,2,FALSE),"")</f>
        <v>0</v>
      </c>
      <c r="AA4" s="39">
        <f>IFERROR(VLOOKUP(AA2,활동내용입력!$B$1:$E$63,2,FALSE),"")</f>
        <v>0</v>
      </c>
      <c r="AB4" s="39">
        <f>IFERROR(VLOOKUP(AB2,활동내용입력!$B$1:$E$63,2,FALSE),"")</f>
        <v>0</v>
      </c>
      <c r="AC4" s="39">
        <f>IFERROR(VLOOKUP(AC2,활동내용입력!$B$1:$E$63,2,FALSE),"")</f>
        <v>0</v>
      </c>
      <c r="AD4" s="39">
        <f>IFERROR(VLOOKUP(AD2,활동내용입력!$B$1:$E$63,2,FALSE),"")</f>
        <v>0</v>
      </c>
      <c r="AE4" s="39">
        <f>IFERROR(VLOOKUP(AE2,활동내용입력!$B$1:$E$63,2,FALSE),"")</f>
        <v>0</v>
      </c>
      <c r="AF4" s="39">
        <f>IFERROR(VLOOKUP(AF2,활동내용입력!$B$1:$E$63,2,FALSE),"")</f>
        <v>0</v>
      </c>
      <c r="AG4" s="39">
        <f>IFERROR(VLOOKUP(AG2,활동내용입력!$B$1:$E$63,2,FALSE),"")</f>
        <v>0</v>
      </c>
      <c r="AH4" s="39">
        <f>IFERROR(VLOOKUP(AH2,활동내용입력!$B$1:$E$63,2,FALSE),"")</f>
        <v>0</v>
      </c>
      <c r="AI4" s="39">
        <f>IFERROR(VLOOKUP(AI2,활동내용입력!$B$1:$E$63,2,FALSE),"")</f>
        <v>0</v>
      </c>
      <c r="AJ4" s="39">
        <f>IFERROR(VLOOKUP(AJ2,활동내용입력!$B$1:$E$63,2,FALSE),"")</f>
        <v>0</v>
      </c>
      <c r="AK4" s="39">
        <f>IFERROR(VLOOKUP(AK2,활동내용입력!$B$1:$E$63,2,FALSE),"")</f>
        <v>0</v>
      </c>
      <c r="AL4" s="39">
        <f>IFERROR(VLOOKUP(AL2,활동내용입력!$B$1:$E$63,2,FALSE),"")</f>
        <v>0</v>
      </c>
      <c r="AM4" s="39">
        <f>IFERROR(VLOOKUP(AM2,활동내용입력!$B$1:$E$63,2,FALSE),"")</f>
        <v>0</v>
      </c>
      <c r="AN4" s="39">
        <f>IFERROR(VLOOKUP(AN2,활동내용입력!$B$1:$E$63,2,FALSE),"")</f>
        <v>0</v>
      </c>
      <c r="AO4" s="39">
        <f>IFERROR(VLOOKUP(AO2,활동내용입력!$B$1:$E$63,2,FALSE),"")</f>
        <v>0</v>
      </c>
      <c r="AP4" s="39">
        <f>IFERROR(VLOOKUP(AP2,활동내용입력!$B$1:$E$63,2,FALSE),"")</f>
        <v>0</v>
      </c>
      <c r="AQ4" s="39">
        <f>IFERROR(VLOOKUP(AQ2,활동내용입력!$B$1:$E$63,2,FALSE),"")</f>
        <v>0</v>
      </c>
      <c r="AR4" s="39">
        <f>IFERROR(VLOOKUP(AR2,활동내용입력!$B$1:$E$63,2,FALSE),"")</f>
        <v>0</v>
      </c>
      <c r="AS4" s="39">
        <f>IFERROR(VLOOKUP(AS2,활동내용입력!$B$1:$E$63,2,FALSE),"")</f>
        <v>0</v>
      </c>
      <c r="AT4" s="39">
        <f>IFERROR(VLOOKUP(AT2,활동내용입력!$B$1:$E$63,2,FALSE),"")</f>
        <v>0</v>
      </c>
      <c r="AU4" s="39">
        <f>IFERROR(VLOOKUP(AU2,활동내용입력!$B$1:$E$63,2,FALSE),"")</f>
        <v>0</v>
      </c>
      <c r="AV4" s="39">
        <f>IFERROR(VLOOKUP(AV2,활동내용입력!$B$1:$E$63,2,FALSE),"")</f>
        <v>0</v>
      </c>
      <c r="AW4" s="39">
        <f>IFERROR(VLOOKUP(AW2,활동내용입력!$B$1:$E$63,2,FALSE),"")</f>
        <v>0</v>
      </c>
      <c r="AX4" s="39">
        <f>IFERROR(VLOOKUP(AX2,활동내용입력!$B$1:$E$63,2,FALSE),"")</f>
        <v>0</v>
      </c>
      <c r="AY4" s="39">
        <f>IFERROR(VLOOKUP(AY2,활동내용입력!$B$1:$E$63,2,FALSE),"")</f>
        <v>0</v>
      </c>
      <c r="AZ4" s="39">
        <f>IFERROR(VLOOKUP(AZ2,활동내용입력!$B$1:$E$63,2,FALSE),"")</f>
        <v>0</v>
      </c>
      <c r="BA4" s="39">
        <f>IFERROR(VLOOKUP(BA2,활동내용입력!$B$1:$E$63,2,FALSE),"")</f>
        <v>0</v>
      </c>
      <c r="BB4" s="39">
        <f>IFERROR(VLOOKUP(BB2,활동내용입력!$B$1:$E$63,2,FALSE),"")</f>
        <v>0</v>
      </c>
      <c r="BC4" s="39">
        <f>IFERROR(VLOOKUP(BC2,활동내용입력!$B$1:$E$63,2,FALSE),"")</f>
        <v>0</v>
      </c>
      <c r="BD4" s="39">
        <f>IFERROR(VLOOKUP(BD2,활동내용입력!$B$1:$E$63,2,FALSE),"")</f>
        <v>0</v>
      </c>
      <c r="BE4" s="39">
        <f>IFERROR(VLOOKUP(BE2,활동내용입력!$B$1:$E$63,2,FALSE),"")</f>
        <v>0</v>
      </c>
      <c r="BF4" s="39">
        <f>IFERROR(VLOOKUP(BF2,활동내용입력!$B$1:$E$63,2,FALSE),"")</f>
        <v>0</v>
      </c>
      <c r="BG4" s="39">
        <f>IFERROR(VLOOKUP(BG2,활동내용입력!$B$1:$E$63,2,FALSE),"")</f>
        <v>0</v>
      </c>
      <c r="BH4" s="39">
        <f>IFERROR(VLOOKUP(BH2,활동내용입력!$B$1:$E$63,2,FALSE),"")</f>
        <v>0</v>
      </c>
      <c r="BI4" s="39">
        <f>IFERROR(VLOOKUP(BI2,활동내용입력!$B$1:$E$63,2,FALSE),"")</f>
        <v>0</v>
      </c>
      <c r="BJ4" s="39">
        <f>IFERROR(VLOOKUP(BJ2,활동내용입력!$B$1:$E$63,2,FALSE),"")</f>
        <v>0</v>
      </c>
      <c r="BK4" s="38">
        <f t="shared" si="0"/>
        <v>1</v>
      </c>
      <c r="BL4" s="38">
        <f t="shared" si="0"/>
        <v>2</v>
      </c>
      <c r="BM4" s="38">
        <f t="shared" si="0"/>
        <v>3</v>
      </c>
      <c r="BN4" s="38">
        <f t="shared" si="0"/>
        <v>4</v>
      </c>
      <c r="BO4" s="38">
        <f t="shared" si="0"/>
        <v>5</v>
      </c>
      <c r="BP4" s="38">
        <f t="shared" si="0"/>
        <v>6</v>
      </c>
      <c r="BQ4" s="38">
        <f t="shared" si="0"/>
        <v>7</v>
      </c>
      <c r="BR4" s="38">
        <f t="shared" si="0"/>
        <v>9</v>
      </c>
      <c r="BS4" s="38">
        <f t="shared" si="0"/>
        <v>10</v>
      </c>
      <c r="BT4" s="38">
        <f t="shared" si="0"/>
        <v>11</v>
      </c>
      <c r="BU4" s="38">
        <f t="shared" si="1"/>
        <v>12</v>
      </c>
      <c r="BV4" s="38">
        <f t="shared" si="1"/>
        <v>13</v>
      </c>
      <c r="BW4" s="38">
        <f t="shared" si="1"/>
        <v>14</v>
      </c>
      <c r="BX4" s="38">
        <f t="shared" si="1"/>
        <v>16</v>
      </c>
      <c r="BY4" s="38">
        <f t="shared" si="1"/>
        <v>17</v>
      </c>
      <c r="BZ4" s="38">
        <f t="shared" si="1"/>
        <v>18</v>
      </c>
      <c r="CA4" s="38">
        <f t="shared" si="1"/>
        <v>19</v>
      </c>
      <c r="CB4" s="38">
        <f t="shared" si="1"/>
        <v>20</v>
      </c>
      <c r="CC4" s="38">
        <f t="shared" si="1"/>
        <v>21</v>
      </c>
      <c r="CD4" s="38">
        <f t="shared" si="1"/>
        <v>22</v>
      </c>
      <c r="CE4" s="38">
        <f t="shared" si="2"/>
        <v>23</v>
      </c>
      <c r="CF4" s="38">
        <f t="shared" si="2"/>
        <v>0</v>
      </c>
      <c r="CG4" s="38">
        <f t="shared" si="2"/>
        <v>0</v>
      </c>
      <c r="CH4" s="38">
        <f t="shared" si="2"/>
        <v>0</v>
      </c>
      <c r="CI4" s="38">
        <f t="shared" si="2"/>
        <v>0</v>
      </c>
      <c r="CJ4" s="38">
        <f t="shared" si="2"/>
        <v>0</v>
      </c>
      <c r="CK4" s="38">
        <f t="shared" si="2"/>
        <v>0</v>
      </c>
      <c r="CL4" s="38">
        <f t="shared" si="2"/>
        <v>0</v>
      </c>
      <c r="CM4" s="38">
        <f t="shared" si="2"/>
        <v>0</v>
      </c>
      <c r="CN4" s="38">
        <f t="shared" si="2"/>
        <v>0</v>
      </c>
      <c r="CO4" s="38">
        <f t="shared" si="3"/>
        <v>0</v>
      </c>
      <c r="CP4" s="38">
        <f t="shared" si="3"/>
        <v>0</v>
      </c>
      <c r="CQ4" s="38">
        <f t="shared" si="3"/>
        <v>0</v>
      </c>
      <c r="CR4" s="38">
        <f t="shared" si="3"/>
        <v>0</v>
      </c>
      <c r="CS4" s="38">
        <f t="shared" si="3"/>
        <v>0</v>
      </c>
      <c r="CT4" s="38">
        <f t="shared" si="3"/>
        <v>0</v>
      </c>
      <c r="CU4" s="38">
        <f t="shared" si="3"/>
        <v>0</v>
      </c>
      <c r="CV4" s="38">
        <f t="shared" si="3"/>
        <v>0</v>
      </c>
      <c r="CW4" s="38">
        <f t="shared" si="3"/>
        <v>0</v>
      </c>
      <c r="CX4" s="38">
        <f t="shared" si="3"/>
        <v>0</v>
      </c>
      <c r="CY4" s="38">
        <f t="shared" si="4"/>
        <v>0</v>
      </c>
      <c r="CZ4" s="38">
        <f t="shared" si="4"/>
        <v>0</v>
      </c>
      <c r="DA4" s="38">
        <f t="shared" si="4"/>
        <v>0</v>
      </c>
      <c r="DB4" s="38">
        <f t="shared" si="4"/>
        <v>0</v>
      </c>
      <c r="DC4" s="38">
        <f t="shared" si="4"/>
        <v>0</v>
      </c>
      <c r="DD4" s="38">
        <f t="shared" si="4"/>
        <v>0</v>
      </c>
      <c r="DE4" s="38">
        <f t="shared" si="4"/>
        <v>0</v>
      </c>
      <c r="DF4" s="38">
        <f t="shared" si="4"/>
        <v>0</v>
      </c>
      <c r="DG4" s="38">
        <f t="shared" si="4"/>
        <v>0</v>
      </c>
      <c r="DH4" s="38">
        <f t="shared" si="4"/>
        <v>0</v>
      </c>
      <c r="DI4" s="38">
        <f t="shared" si="5"/>
        <v>0</v>
      </c>
      <c r="DJ4" s="38">
        <f t="shared" si="5"/>
        <v>0</v>
      </c>
      <c r="DK4" s="38">
        <f t="shared" si="5"/>
        <v>0</v>
      </c>
      <c r="DL4" s="38">
        <f t="shared" si="5"/>
        <v>0</v>
      </c>
      <c r="DM4" s="38">
        <f t="shared" si="5"/>
        <v>0</v>
      </c>
      <c r="DN4" s="38">
        <f t="shared" si="5"/>
        <v>0</v>
      </c>
      <c r="DO4" s="38">
        <f t="shared" si="5"/>
        <v>0</v>
      </c>
      <c r="DP4" s="38">
        <f t="shared" si="5"/>
        <v>0</v>
      </c>
      <c r="DQ4" s="38">
        <f t="shared" si="5"/>
        <v>0</v>
      </c>
      <c r="DR4" s="38">
        <f t="shared" si="5"/>
        <v>0</v>
      </c>
      <c r="DS4" s="36"/>
      <c r="DT4" s="71"/>
      <c r="DU4" s="34"/>
    </row>
    <row r="5" spans="1:125" x14ac:dyDescent="0.4">
      <c r="A5" s="58">
        <v>1</v>
      </c>
      <c r="B5" s="57" t="s">
        <v>212</v>
      </c>
      <c r="C5" s="40"/>
      <c r="D5" s="40"/>
      <c r="E5" s="40"/>
      <c r="F5" s="40"/>
      <c r="G5" s="40"/>
      <c r="H5" s="40"/>
      <c r="I5" s="40"/>
      <c r="J5" s="40">
        <v>1</v>
      </c>
      <c r="K5" s="40"/>
      <c r="L5" s="40">
        <v>1</v>
      </c>
      <c r="M5" s="40"/>
      <c r="N5" s="40"/>
      <c r="O5" s="40">
        <v>1</v>
      </c>
      <c r="P5" s="40"/>
      <c r="Q5" s="40"/>
      <c r="R5" s="40"/>
      <c r="S5" s="40">
        <v>1</v>
      </c>
      <c r="T5" s="40"/>
      <c r="U5" s="40">
        <v>1</v>
      </c>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1" t="str">
        <f>IFERROR(IF(C5=1,VLOOKUP(C$2,활동내용입력!$B$4:$F$63,5,FALSE),""),"")</f>
        <v/>
      </c>
      <c r="BL5" s="41" t="str">
        <f>IFERROR(IF(D5=1,VLOOKUP(D$2,활동내용입력!$B$4:$F$63,5,FALSE),""),"")</f>
        <v/>
      </c>
      <c r="BM5" s="41" t="str">
        <f>IFERROR(IF(E5=1,VLOOKUP(E$2,활동내용입력!$B$4:$F$63,5,FALSE),""),"")</f>
        <v/>
      </c>
      <c r="BN5" s="41" t="str">
        <f>IFERROR(IF(F5=1,VLOOKUP(F$2,활동내용입력!$B$4:$F$63,5,FALSE),""),"")</f>
        <v/>
      </c>
      <c r="BO5" s="41" t="str">
        <f>IFERROR(IF(G5=1,VLOOKUP(G$2,활동내용입력!$B$4:$F$63,5,FALSE),""),"")</f>
        <v/>
      </c>
      <c r="BP5" s="41" t="str">
        <f>IFERROR(IF(H5=1,VLOOKUP(H$2,활동내용입력!$B$4:$F$63,5,FALSE),""),"")</f>
        <v/>
      </c>
      <c r="BQ5" s="41" t="str">
        <f>IFERROR(IF(I5=1,VLOOKUP(I$2,활동내용입력!$B$4:$F$63,5,FALSE),""),"")</f>
        <v/>
      </c>
      <c r="BR5" s="41" t="str">
        <f>IFERROR(IF(J5=1,VLOOKUP(J$2,활동내용입력!$B$4:$F$63,5,FALSE),""),"")</f>
        <v>멀티미디어 자료를 활용하는 기본적인 방법과 응용 방법을 이해하고 있으며, 안드로이드 프로그램에서 음악과 사진 등의 멀티미디어 자료를 적절하게 활용함.</v>
      </c>
      <c r="BS5" s="41" t="str">
        <f>IFERROR(IF(K5=1,VLOOKUP(K$2,활동내용입력!$B$4:$F$63,5,FALSE),""),"")</f>
        <v/>
      </c>
      <c r="BT5" s="41" t="str">
        <f>IFERROR(IF(L5=1,VLOOKUP(L$2,활동내용입력!$B$4:$F$63,5,FALSE),""),"")</f>
        <v>문제 상황을 분석하여 문제의 현재 상태와 목표 상태를 설명할 수 있고 문제의 현재 상태에서 목표 상태에 도달하기 위해 수행해야 할 작업이 무엇인지 설명할 수 있음.</v>
      </c>
      <c r="BU5" s="41" t="str">
        <f>IFERROR(IF(M5=1,VLOOKUP(M$2,활동내용입력!$B$4:$F$63,5,FALSE),""),"")</f>
        <v/>
      </c>
      <c r="BV5" s="41" t="str">
        <f>IFERROR(IF(N5=1,VLOOKUP(N$2,활동내용입력!$B$4:$F$63,5,FALSE),""),"")</f>
        <v/>
      </c>
      <c r="BW5" s="41" t="str">
        <f>IFERROR(IF(O5=1,VLOOKUP(O$2,활동내용입력!$B$4:$F$63,5,FALSE),""),"")</f>
        <v>제시된 문제를 추상화하여 해결하기 쉬운 형태로 만들고, 그 해법을 탐색하여 알고리즘으로 표현할 수 있음.</v>
      </c>
      <c r="BX5" s="41" t="str">
        <f>IFERROR(IF(P5=1,VLOOKUP(P$2,활동내용입력!$B$4:$F$63,5,FALSE),""),"")</f>
        <v/>
      </c>
      <c r="BY5" s="41" t="str">
        <f>IFERROR(IF(Q5=1,VLOOKUP(Q$2,활동내용입력!$B$4:$F$63,5,FALSE),""),"")</f>
        <v/>
      </c>
      <c r="BZ5" s="41" t="str">
        <f>IFERROR(IF(R5=1,VLOOKUP(R$2,활동내용입력!$B$4:$F$63,5,FALSE),""),"")</f>
        <v/>
      </c>
      <c r="CA5" s="41" t="str">
        <f>IFERROR(IF(S5=1,VLOOKUP(S$2,활동내용입력!$B$4:$F$63,5,FALSE),""),"")</f>
        <v>지적 호기심이 풍부하여 프로그램 개발 과정에서 새로운 해결방법을 발견하고 적용하는 것을 좋아함.</v>
      </c>
      <c r="CB5" s="41" t="str">
        <f>IFERROR(IF(T5=1,VLOOKUP(T$2,활동내용입력!$B$4:$F$63,5,FALSE),""),"")</f>
        <v/>
      </c>
      <c r="CC5" s="41" t="str">
        <f>IFERROR(IF(U5=1,VLOOKUP(U$2,활동내용입력!$B$4:$F$63,5,FALSE),""),"")</f>
        <v>●●● 안드로이드 앱을 개발함.</v>
      </c>
      <c r="CD5" s="41" t="str">
        <f>IFERROR(IF(V5=1,VLOOKUP(V$2,활동내용입력!$B$4:$F$63,5,FALSE),""),"")</f>
        <v/>
      </c>
      <c r="CE5" s="41" t="str">
        <f>IFERROR(IF(W5=1,VLOOKUP(W$2,활동내용입력!$B$4:$F$63,5,FALSE),""),"")</f>
        <v/>
      </c>
      <c r="CF5" s="41" t="str">
        <f>IFERROR(IF(X5=1,VLOOKUP(X$2,활동내용입력!$B$4:$F$63,5,FALSE),""),"")</f>
        <v/>
      </c>
      <c r="CG5" s="41" t="str">
        <f>IFERROR(IF(Y5=1,VLOOKUP(Y$2,활동내용입력!$B$4:$F$63,5,FALSE),""),"")</f>
        <v/>
      </c>
      <c r="CH5" s="41" t="str">
        <f>IFERROR(IF(Z5=1,VLOOKUP(Z$2,활동내용입력!$B$4:$F$63,5,FALSE),""),"")</f>
        <v/>
      </c>
      <c r="CI5" s="41" t="str">
        <f>IFERROR(IF(AA5=1,VLOOKUP(AA$2,활동내용입력!$B$4:$F$63,5,FALSE),""),"")</f>
        <v/>
      </c>
      <c r="CJ5" s="41" t="str">
        <f>IFERROR(IF(AB5=1,VLOOKUP(AB$2,활동내용입력!$B$4:$F$63,5,FALSE),""),"")</f>
        <v/>
      </c>
      <c r="CK5" s="41" t="str">
        <f>IFERROR(IF(AC5=1,VLOOKUP(AC$2,활동내용입력!$B$4:$F$63,5,FALSE),""),"")</f>
        <v/>
      </c>
      <c r="CL5" s="41" t="str">
        <f>IFERROR(IF(AD5=1,VLOOKUP(AD$2,활동내용입력!$B$4:$F$63,5,FALSE),""),"")</f>
        <v/>
      </c>
      <c r="CM5" s="41" t="str">
        <f>IFERROR(IF(AE5=1,VLOOKUP(AE$2,활동내용입력!$B$4:$F$63,5,FALSE),""),"")</f>
        <v/>
      </c>
      <c r="CN5" s="41" t="str">
        <f>IFERROR(IF(AF5=1,VLOOKUP(AF$2,활동내용입력!$B$4:$F$63,5,FALSE),""),"")</f>
        <v/>
      </c>
      <c r="CO5" s="41" t="str">
        <f>IFERROR(IF(AG5=1,VLOOKUP(AG$2,활동내용입력!$B$4:$F$63,5,FALSE),""),"")</f>
        <v/>
      </c>
      <c r="CP5" s="41" t="str">
        <f>IFERROR(IF(AH5=1,VLOOKUP(AH$2,활동내용입력!$B$4:$F$63,5,FALSE),""),"")</f>
        <v/>
      </c>
      <c r="CQ5" s="41" t="str">
        <f>IFERROR(IF(AI5=1,VLOOKUP(AI$2,활동내용입력!$B$4:$F$63,5,FALSE),""),"")</f>
        <v/>
      </c>
      <c r="CR5" s="41" t="str">
        <f>IFERROR(IF(AJ5=1,VLOOKUP(AJ$2,활동내용입력!$B$4:$F$63,5,FALSE),""),"")</f>
        <v/>
      </c>
      <c r="CS5" s="41" t="str">
        <f>IFERROR(IF(AK5=1,VLOOKUP(AK$2,활동내용입력!$B$4:$F$63,5,FALSE),""),"")</f>
        <v/>
      </c>
      <c r="CT5" s="41" t="str">
        <f>IFERROR(IF(AL5=1,VLOOKUP(AL$2,활동내용입력!$B$4:$F$63,5,FALSE),""),"")</f>
        <v/>
      </c>
      <c r="CU5" s="41" t="str">
        <f>IFERROR(IF(AM5=1,VLOOKUP(AM$2,활동내용입력!$B$4:$F$63,5,FALSE),""),"")</f>
        <v/>
      </c>
      <c r="CV5" s="41" t="str">
        <f>IFERROR(IF(AN5=1,VLOOKUP(AN$2,활동내용입력!$B$4:$F$63,5,FALSE),""),"")</f>
        <v/>
      </c>
      <c r="CW5" s="41" t="str">
        <f>IFERROR(IF(AO5=1,VLOOKUP(AO$2,활동내용입력!$B$4:$F$63,5,FALSE),""),"")</f>
        <v/>
      </c>
      <c r="CX5" s="41" t="str">
        <f>IFERROR(IF(AP5=1,VLOOKUP(AP$2,활동내용입력!$B$4:$F$63,5,FALSE),""),"")</f>
        <v/>
      </c>
      <c r="CY5" s="41" t="str">
        <f>IFERROR(IF(AQ5=1,VLOOKUP(AQ$2,활동내용입력!$B$4:$F$63,5,FALSE),""),"")</f>
        <v/>
      </c>
      <c r="CZ5" s="41" t="str">
        <f>IFERROR(IF(AR5=1,VLOOKUP(AR$2,활동내용입력!$B$4:$F$63,5,FALSE),""),"")</f>
        <v/>
      </c>
      <c r="DA5" s="41" t="str">
        <f>IFERROR(IF(AS5=1,VLOOKUP(AS$2,활동내용입력!$B$4:$F$63,5,FALSE),""),"")</f>
        <v/>
      </c>
      <c r="DB5" s="41" t="str">
        <f>IFERROR(IF(AT5=1,VLOOKUP(AT$2,활동내용입력!$B$4:$F$63,5,FALSE),""),"")</f>
        <v/>
      </c>
      <c r="DC5" s="41" t="str">
        <f>IFERROR(IF(AU5=1,VLOOKUP(AU$2,활동내용입력!$B$4:$F$63,5,FALSE),""),"")</f>
        <v/>
      </c>
      <c r="DD5" s="41" t="str">
        <f>IFERROR(IF(AV5=1,VLOOKUP(AV$2,활동내용입력!$B$4:$F$63,5,FALSE),""),"")</f>
        <v/>
      </c>
      <c r="DE5" s="41" t="str">
        <f>IFERROR(IF(AW5=1,VLOOKUP(AW$2,활동내용입력!$B$4:$F$63,5,FALSE),""),"")</f>
        <v/>
      </c>
      <c r="DF5" s="41" t="str">
        <f>IFERROR(IF(AX5=1,VLOOKUP(AX$2,활동내용입력!$B$4:$F$63,5,FALSE),""),"")</f>
        <v/>
      </c>
      <c r="DG5" s="41" t="str">
        <f>IFERROR(IF(AY5=1,VLOOKUP(AY$2,활동내용입력!$B$4:$F$63,5,FALSE),""),"")</f>
        <v/>
      </c>
      <c r="DH5" s="41" t="str">
        <f>IFERROR(IF(AZ5=1,VLOOKUP(AZ$2,활동내용입력!$B$4:$F$63,5,FALSE),""),"")</f>
        <v/>
      </c>
      <c r="DI5" s="41" t="str">
        <f>IFERROR(IF(BA5=1,VLOOKUP(BA$2,활동내용입력!$B$4:$F$63,5,FALSE),""),"")</f>
        <v/>
      </c>
      <c r="DJ5" s="41" t="str">
        <f>IFERROR(IF(BB5=1,VLOOKUP(BB$2,활동내용입력!$B$4:$F$63,5,FALSE),""),"")</f>
        <v/>
      </c>
      <c r="DK5" s="41" t="str">
        <f>IFERROR(IF(BC5=1,VLOOKUP(BC$2,활동내용입력!$B$4:$F$63,5,FALSE),""),"")</f>
        <v/>
      </c>
      <c r="DL5" s="41" t="str">
        <f>IFERROR(IF(BD5=1,VLOOKUP(BD$2,활동내용입력!$B$4:$F$63,5,FALSE),""),"")</f>
        <v/>
      </c>
      <c r="DM5" s="41" t="str">
        <f>IFERROR(IF(BE5=1,VLOOKUP(BE$2,활동내용입력!$B$4:$F$63,5,FALSE),""),"")</f>
        <v/>
      </c>
      <c r="DN5" s="41" t="str">
        <f>IFERROR(IF(BF5=1,VLOOKUP(BF$2,활동내용입력!$B$4:$F$63,5,FALSE),""),"")</f>
        <v/>
      </c>
      <c r="DO5" s="41" t="str">
        <f>IFERROR(IF(BG5=1,VLOOKUP(BG$2,활동내용입력!$B$4:$F$63,5,FALSE),""),"")</f>
        <v/>
      </c>
      <c r="DP5" s="41" t="str">
        <f>IFERROR(IF(BH5=1,VLOOKUP(BH$2,활동내용입력!$B$4:$F$63,5,FALSE),""),"")</f>
        <v/>
      </c>
      <c r="DQ5" s="41" t="str">
        <f>IFERROR(IF(BI5=1,VLOOKUP(BI$2,활동내용입력!$B$4:$F$63,5,FALSE),""),"")</f>
        <v/>
      </c>
      <c r="DR5" s="41" t="str">
        <f>IFERROR(IF(BJ5=1,VLOOKUP(BJ$2,활동내용입력!$B$4:$F$63,5,FALSE),""),"")</f>
        <v/>
      </c>
      <c r="DS5" s="41" t="str">
        <f>IF(BK5="","",BK5&amp;CHAR(10))&amp;IF(BL5="","",BL5&amp;CHAR(10))&amp;IF(BM5="","",BM5&amp;CHAR(10))&amp;IF(BN5="","",BN5&amp;CHAR(10))&amp;IF(BO5="","",BO5&amp;CHAR(10))&amp;IF(BP5="","",BP5&amp;CHAR(10))&amp;IF(BQ5="","",BQ5&amp;CHAR(10))&amp;IF(BR5="","",BR5&amp;CHAR(10))&amp;IF(BS5="","",BS5&amp;CHAR(10))&amp;IF(BT5="","",BT5&amp;CHAR(10))&amp;IF(BU5="","",BU5&amp;CHAR(10))&amp;IF(BV5="","",BV5&amp;CHAR(10))&amp;IF(BW5="","",BW5&amp;CHAR(10))&amp;IF(BX5="","",BX5&amp;CHAR(10))&amp;IF(BY5="","",BY5&amp;CHAR(10))&amp;IF(BZ5="","",BZ5&amp;CHAR(10))&amp;IF(CA5="","",CA5&amp;CHAR(10))&amp;IF(CB5="","",CB5&amp;CHAR(10))&amp;IF(CC5="","",CC5&amp;CHAR(10))&amp;IF(CD5="","",CD5&amp;CHAR(10))&amp;IF(CE5="","",CE5&amp;CHAR(10))&amp;IF(CF5="","",CF5&amp;CHAR(10))&amp;IF(CG5="","",CG5&amp;CHAR(10))&amp;IF(CH5="","",CH5&amp;CHAR(10))&amp;IF(CI5="","",CI5&amp;CHAR(10))&amp;IF(CJ5="","",CJ5&amp;CHAR(10))&amp;IF(CK5="","",CK5&amp;CHAR(10))&amp;IF(CL5="","",CL5&amp;CHAR(10))&amp;IF(CM5="","",CM5&amp;CHAR(10))&amp;IF(CN5="","",CN5&amp;CHAR(10))&amp;IF(CO5="","",CO5&amp;CHAR(10))&amp;IF(CP5="","",CP5&amp;CHAR(10))&amp;IF(CQ5="","",CQ5&amp;CHAR(10))&amp;IF(CR5="","",CR5&amp;CHAR(10))&amp;IF(CS5="","",CS5&amp;CHAR(10))&amp;IF(CT5="","",CT5&amp;CHAR(10))&amp;IF(CU5="","",CU5&amp;CHAR(10))&amp;IF(CV5="","",CV5&amp;CHAR(10))&amp;IF(CW5="","",CW5&amp;CHAR(10))&amp;IF(CX5="","",CX5&amp;CHAR(10))&amp;IF(CY5="","",CY5&amp;CHAR(10))&amp;IF(CZ5="","",CZ5&amp;CHAR(10))&amp;IF(DA5="","",DA5&amp;CHAR(10))&amp;IF(DB5="","",DB5&amp;CHAR(10))&amp;IF(DC5="","",DC5&amp;CHAR(10))&amp;IF(DD5="","",DD5&amp;CHAR(10))&amp;IF(DE5="","",DE5&amp;CHAR(10))&amp;IF(DF5="","",DF5&amp;CHAR(10))&amp;IF(DG5="","",DG5&amp;CHAR(10))&amp;IF(DH5="","",DH5&amp;CHAR(10))&amp;IF(DI5="","",DI5&amp;CHAR(10))&amp;IF(DJ5="","",DJ5&amp;CHAR(10))&amp;IF(DK5="","",DK5&amp;CHAR(10))&amp;IF(DL5="","",DL5&amp;CHAR(10))&amp;IF(DM5="","",DM5&amp;CHAR(10))&amp;IF(DN5="","",DN5&amp;CHAR(10))&amp;IF(DO5="","",DO5&amp;CHAR(10))&amp;IF(DP5="","",DP5&amp;CHAR(10))&amp;IF(DQ5="","",DQ5&amp;CHAR(10))&amp;DR5</f>
        <v xml:space="preserve">멀티미디어 자료를 활용하는 기본적인 방법과 응용 방법을 이해하고 있으며, 안드로이드 프로그램에서 음악과 사진 등의 멀티미디어 자료를 적절하게 활용함.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지적 호기심이 풍부하여 프로그램 개발 과정에서 새로운 해결방법을 발견하고 적용하는 것을 좋아함.
●●● 안드로이드 앱을 개발함.
</v>
      </c>
      <c r="DT5" s="42">
        <f t="shared" ref="DT5:DT44" si="6">COUNT(C5:BJ5)</f>
        <v>5</v>
      </c>
      <c r="DU5" s="34"/>
    </row>
    <row r="6" spans="1:125" x14ac:dyDescent="0.4">
      <c r="A6" s="58">
        <v>2</v>
      </c>
      <c r="B6" s="57" t="s">
        <v>213</v>
      </c>
      <c r="C6" s="40"/>
      <c r="D6" s="40"/>
      <c r="E6" s="40"/>
      <c r="F6" s="40"/>
      <c r="G6" s="40"/>
      <c r="H6" s="40"/>
      <c r="I6" s="40">
        <v>1</v>
      </c>
      <c r="J6" s="40"/>
      <c r="K6" s="40">
        <v>1</v>
      </c>
      <c r="L6" s="40"/>
      <c r="M6" s="40">
        <v>1</v>
      </c>
      <c r="N6" s="40"/>
      <c r="O6" s="40"/>
      <c r="P6" s="40"/>
      <c r="Q6" s="40"/>
      <c r="R6" s="40">
        <v>1</v>
      </c>
      <c r="S6" s="40"/>
      <c r="T6" s="40"/>
      <c r="U6" s="40">
        <v>1</v>
      </c>
      <c r="V6" s="40">
        <v>1</v>
      </c>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1" t="str">
        <f>IFERROR(IF(C6=1,VLOOKUP(C$2,활동내용입력!$B$4:$F$63,5,FALSE),""),"")</f>
        <v/>
      </c>
      <c r="BL6" s="41" t="str">
        <f>IFERROR(IF(D6=1,VLOOKUP(D$2,활동내용입력!$B$4:$F$63,5,FALSE),""),"")</f>
        <v/>
      </c>
      <c r="BM6" s="41" t="str">
        <f>IFERROR(IF(E6=1,VLOOKUP(E$2,활동내용입력!$B$4:$F$63,5,FALSE),""),"")</f>
        <v/>
      </c>
      <c r="BN6" s="41" t="str">
        <f>IFERROR(IF(F6=1,VLOOKUP(F$2,활동내용입력!$B$4:$F$63,5,FALSE),""),"")</f>
        <v/>
      </c>
      <c r="BO6" s="41" t="str">
        <f>IFERROR(IF(G6=1,VLOOKUP(G$2,활동내용입력!$B$4:$F$63,5,FALSE),""),"")</f>
        <v/>
      </c>
      <c r="BP6" s="41" t="str">
        <f>IFERROR(IF(H6=1,VLOOKUP(H$2,활동내용입력!$B$4:$F$63,5,FALSE),""),"")</f>
        <v/>
      </c>
      <c r="BQ6" s="41" t="str">
        <f>IFERROR(IF(I6=1,VLOOKUP(I$2,활동내용입력!$B$4:$F$63,5,FALSE),""),"")</f>
        <v>File을 생성하여 데이터를 저장하는 방법과 File에서 데이터를 불러와 활용하는 능력이 우수함.</v>
      </c>
      <c r="BR6" s="41" t="str">
        <f>IFERROR(IF(J6=1,VLOOKUP(J$2,활동내용입력!$B$4:$F$63,5,FALSE),""),"")</f>
        <v/>
      </c>
      <c r="BS6" s="41" t="str">
        <f>IFERROR(IF(K6=1,VLOOKUP(K$2,활동내용입력!$B$4:$F$63,5,FALSE),""),"")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6" s="41" t="str">
        <f>IFERROR(IF(L6=1,VLOOKUP(L$2,활동내용입력!$B$4:$F$63,5,FALSE),""),"")</f>
        <v/>
      </c>
      <c r="BU6" s="41" t="str">
        <f>IFERROR(IF(M6=1,VLOOKUP(M$2,활동내용입력!$B$4:$F$63,5,FALSE),""),"")</f>
        <v>실생활 문제 해결을 위한 소프트웨어를 설계 개발하고 동일한 문제 해결을 위해 개발한 알고리즘과 프로그램의 동작 원리를 비교 분석할 수 있음.</v>
      </c>
      <c r="BV6" s="41" t="str">
        <f>IFERROR(IF(N6=1,VLOOKUP(N$2,활동내용입력!$B$4:$F$63,5,FALSE),""),"")</f>
        <v/>
      </c>
      <c r="BW6" s="41" t="str">
        <f>IFERROR(IF(O6=1,VLOOKUP(O$2,활동내용입력!$B$4:$F$63,5,FALSE),""),"")</f>
        <v/>
      </c>
      <c r="BX6" s="41" t="str">
        <f>IFERROR(IF(P6=1,VLOOKUP(P$2,활동내용입력!$B$4:$F$63,5,FALSE),""),"")</f>
        <v/>
      </c>
      <c r="BY6" s="41" t="str">
        <f>IFERROR(IF(Q6=1,VLOOKUP(Q$2,활동내용입력!$B$4:$F$63,5,FALSE),""),"")</f>
        <v/>
      </c>
      <c r="BZ6" s="41" t="str">
        <f>IFERROR(IF(R6=1,VLOOKUP(R$2,활동내용입력!$B$4:$F$63,5,FALSE),""),"")</f>
        <v>안드로이드 앱 개발에 흥미와 호기심을 가지고 수업시간 전 과정에 적극적으로 참여함.</v>
      </c>
      <c r="CA6" s="41" t="str">
        <f>IFERROR(IF(S6=1,VLOOKUP(S$2,활동내용입력!$B$4:$F$63,5,FALSE),""),"")</f>
        <v/>
      </c>
      <c r="CB6" s="41" t="str">
        <f>IFERROR(IF(T6=1,VLOOKUP(T$2,활동내용입력!$B$4:$F$63,5,FALSE),""),"")</f>
        <v/>
      </c>
      <c r="CC6" s="41" t="str">
        <f>IFERROR(IF(U6=1,VLOOKUP(U$2,활동내용입력!$B$4:$F$63,5,FALSE),""),"")</f>
        <v>●●● 안드로이드 앱을 개발함.</v>
      </c>
      <c r="CD6" s="41" t="str">
        <f>IFERROR(IF(V6=1,VLOOKUP(V$2,활동내용입력!$B$4:$F$63,5,FALSE),""),"")</f>
        <v>안드로이드 앱 개발에 관련된 산출물 제작 방법을 다른 사람들에게 체계적으로 설명함.</v>
      </c>
      <c r="CE6" s="41" t="str">
        <f>IFERROR(IF(W6=1,VLOOKUP(W$2,활동내용입력!$B$4:$F$63,5,FALSE),""),"")</f>
        <v/>
      </c>
      <c r="CF6" s="41" t="str">
        <f>IFERROR(IF(X6=1,VLOOKUP(X$2,활동내용입력!$B$4:$F$63,5,FALSE),""),"")</f>
        <v/>
      </c>
      <c r="CG6" s="41" t="str">
        <f>IFERROR(IF(Y6=1,VLOOKUP(Y$2,활동내용입력!$B$4:$F$63,5,FALSE),""),"")</f>
        <v/>
      </c>
      <c r="CH6" s="41" t="str">
        <f>IFERROR(IF(Z6=1,VLOOKUP(Z$2,활동내용입력!$B$4:$F$63,5,FALSE),""),"")</f>
        <v/>
      </c>
      <c r="CI6" s="41" t="str">
        <f>IFERROR(IF(AA6=1,VLOOKUP(AA$2,활동내용입력!$B$4:$F$63,5,FALSE),""),"")</f>
        <v/>
      </c>
      <c r="CJ6" s="41" t="str">
        <f>IFERROR(IF(AB6=1,VLOOKUP(AB$2,활동내용입력!$B$4:$F$63,5,FALSE),""),"")</f>
        <v/>
      </c>
      <c r="CK6" s="41" t="str">
        <f>IFERROR(IF(AC6=1,VLOOKUP(AC$2,활동내용입력!$B$4:$F$63,5,FALSE),""),"")</f>
        <v/>
      </c>
      <c r="CL6" s="41" t="str">
        <f>IFERROR(IF(AD6=1,VLOOKUP(AD$2,활동내용입력!$B$4:$F$63,5,FALSE),""),"")</f>
        <v/>
      </c>
      <c r="CM6" s="41" t="str">
        <f>IFERROR(IF(AE6=1,VLOOKUP(AE$2,활동내용입력!$B$4:$F$63,5,FALSE),""),"")</f>
        <v/>
      </c>
      <c r="CN6" s="41" t="str">
        <f>IFERROR(IF(AF6=1,VLOOKUP(AF$2,활동내용입력!$B$4:$F$63,5,FALSE),""),"")</f>
        <v/>
      </c>
      <c r="CO6" s="41" t="str">
        <f>IFERROR(IF(AG6=1,VLOOKUP(AG$2,활동내용입력!$B$4:$F$63,5,FALSE),""),"")</f>
        <v/>
      </c>
      <c r="CP6" s="41" t="str">
        <f>IFERROR(IF(AH6=1,VLOOKUP(AH$2,활동내용입력!$B$4:$F$63,5,FALSE),""),"")</f>
        <v/>
      </c>
      <c r="CQ6" s="41" t="str">
        <f>IFERROR(IF(AI6=1,VLOOKUP(AI$2,활동내용입력!$B$4:$F$63,5,FALSE),""),"")</f>
        <v/>
      </c>
      <c r="CR6" s="41" t="str">
        <f>IFERROR(IF(AJ6=1,VLOOKUP(AJ$2,활동내용입력!$B$4:$F$63,5,FALSE),""),"")</f>
        <v/>
      </c>
      <c r="CS6" s="41" t="str">
        <f>IFERROR(IF(AK6=1,VLOOKUP(AK$2,활동내용입력!$B$4:$F$63,5,FALSE),""),"")</f>
        <v/>
      </c>
      <c r="CT6" s="41" t="str">
        <f>IFERROR(IF(AL6=1,VLOOKUP(AL$2,활동내용입력!$B$4:$F$63,5,FALSE),""),"")</f>
        <v/>
      </c>
      <c r="CU6" s="41" t="str">
        <f>IFERROR(IF(AM6=1,VLOOKUP(AM$2,활동내용입력!$B$4:$F$63,5,FALSE),""),"")</f>
        <v/>
      </c>
      <c r="CV6" s="41" t="str">
        <f>IFERROR(IF(AN6=1,VLOOKUP(AN$2,활동내용입력!$B$4:$F$63,5,FALSE),""),"")</f>
        <v/>
      </c>
      <c r="CW6" s="41" t="str">
        <f>IFERROR(IF(AO6=1,VLOOKUP(AO$2,활동내용입력!$B$4:$F$63,5,FALSE),""),"")</f>
        <v/>
      </c>
      <c r="CX6" s="41" t="str">
        <f>IFERROR(IF(AP6=1,VLOOKUP(AP$2,활동내용입력!$B$4:$F$63,5,FALSE),""),"")</f>
        <v/>
      </c>
      <c r="CY6" s="41" t="str">
        <f>IFERROR(IF(AQ6=1,VLOOKUP(AQ$2,활동내용입력!$B$4:$F$63,5,FALSE),""),"")</f>
        <v/>
      </c>
      <c r="CZ6" s="41" t="str">
        <f>IFERROR(IF(AR6=1,VLOOKUP(AR$2,활동내용입력!$B$4:$F$63,5,FALSE),""),"")</f>
        <v/>
      </c>
      <c r="DA6" s="41" t="str">
        <f>IFERROR(IF(AS6=1,VLOOKUP(AS$2,활동내용입력!$B$4:$F$63,5,FALSE),""),"")</f>
        <v/>
      </c>
      <c r="DB6" s="41" t="str">
        <f>IFERROR(IF(AT6=1,VLOOKUP(AT$2,활동내용입력!$B$4:$F$63,5,FALSE),""),"")</f>
        <v/>
      </c>
      <c r="DC6" s="41" t="str">
        <f>IFERROR(IF(AU6=1,VLOOKUP(AU$2,활동내용입력!$B$4:$F$63,5,FALSE),""),"")</f>
        <v/>
      </c>
      <c r="DD6" s="41" t="str">
        <f>IFERROR(IF(AV6=1,VLOOKUP(AV$2,활동내용입력!$B$4:$F$63,5,FALSE),""),"")</f>
        <v/>
      </c>
      <c r="DE6" s="41" t="str">
        <f>IFERROR(IF(AW6=1,VLOOKUP(AW$2,활동내용입력!$B$4:$F$63,5,FALSE),""),"")</f>
        <v/>
      </c>
      <c r="DF6" s="41" t="str">
        <f>IFERROR(IF(AX6=1,VLOOKUP(AX$2,활동내용입력!$B$4:$F$63,5,FALSE),""),"")</f>
        <v/>
      </c>
      <c r="DG6" s="41" t="str">
        <f>IFERROR(IF(AY6=1,VLOOKUP(AY$2,활동내용입력!$B$4:$F$63,5,FALSE),""),"")</f>
        <v/>
      </c>
      <c r="DH6" s="41" t="str">
        <f>IFERROR(IF(AZ6=1,VLOOKUP(AZ$2,활동내용입력!$B$4:$F$63,5,FALSE),""),"")</f>
        <v/>
      </c>
      <c r="DI6" s="41" t="str">
        <f>IFERROR(IF(BA6=1,VLOOKUP(BA$2,활동내용입력!$B$4:$F$63,5,FALSE),""),"")</f>
        <v/>
      </c>
      <c r="DJ6" s="41" t="str">
        <f>IFERROR(IF(BB6=1,VLOOKUP(BB$2,활동내용입력!$B$4:$F$63,5,FALSE),""),"")</f>
        <v/>
      </c>
      <c r="DK6" s="41" t="str">
        <f>IFERROR(IF(BC6=1,VLOOKUP(BC$2,활동내용입력!$B$4:$F$63,5,FALSE),""),"")</f>
        <v/>
      </c>
      <c r="DL6" s="41" t="str">
        <f>IFERROR(IF(BD6=1,VLOOKUP(BD$2,활동내용입력!$B$4:$F$63,5,FALSE),""),"")</f>
        <v/>
      </c>
      <c r="DM6" s="41" t="str">
        <f>IFERROR(IF(BE6=1,VLOOKUP(BE$2,활동내용입력!$B$4:$F$63,5,FALSE),""),"")</f>
        <v/>
      </c>
      <c r="DN6" s="41" t="str">
        <f>IFERROR(IF(BF6=1,VLOOKUP(BF$2,활동내용입력!$B$4:$F$63,5,FALSE),""),"")</f>
        <v/>
      </c>
      <c r="DO6" s="41" t="str">
        <f>IFERROR(IF(BG6=1,VLOOKUP(BG$2,활동내용입력!$B$4:$F$63,5,FALSE),""),"")</f>
        <v/>
      </c>
      <c r="DP6" s="41" t="str">
        <f>IFERROR(IF(BH6=1,VLOOKUP(BH$2,활동내용입력!$B$4:$F$63,5,FALSE),""),"")</f>
        <v/>
      </c>
      <c r="DQ6" s="41" t="str">
        <f>IFERROR(IF(BI6=1,VLOOKUP(BI$2,활동내용입력!$B$4:$F$63,5,FALSE),""),"")</f>
        <v/>
      </c>
      <c r="DR6" s="41" t="str">
        <f>IFERROR(IF(BJ6=1,VLOOKUP(BJ$2,활동내용입력!$B$4:$F$63,5,FALSE),""),"")</f>
        <v/>
      </c>
      <c r="DS6" s="41" t="str">
        <f t="shared" ref="DS6:DS44" si="7">IF(BK6="","",BK6&amp;CHAR(10))&amp;IF(BL6="","",BL6&amp;CHAR(10))&amp;IF(BM6="","",BM6&amp;CHAR(10))&amp;IF(BN6="","",BN6&amp;CHAR(10))&amp;IF(BO6="","",BO6&amp;CHAR(10))&amp;IF(BP6="","",BP6&amp;CHAR(10))&amp;IF(BQ6="","",BQ6&amp;CHAR(10))&amp;IF(BR6="","",BR6&amp;CHAR(10))&amp;IF(BS6="","",BS6&amp;CHAR(10))&amp;IF(BT6="","",BT6&amp;CHAR(10))&amp;IF(BU6="","",BU6&amp;CHAR(10))&amp;IF(BV6="","",BV6&amp;CHAR(10))&amp;IF(BW6="","",BW6&amp;CHAR(10))&amp;IF(BX6="","",BX6&amp;CHAR(10))&amp;IF(BY6="","",BY6&amp;CHAR(10))&amp;IF(BZ6="","",BZ6&amp;CHAR(10))&amp;IF(CA6="","",CA6&amp;CHAR(10))&amp;IF(CB6="","",CB6&amp;CHAR(10))&amp;IF(CC6="","",CC6&amp;CHAR(10))&amp;IF(CD6="","",CD6&amp;CHAR(10))&amp;IF(CE6="","",CE6&amp;CHAR(10))&amp;IF(CF6="","",CF6&amp;CHAR(10))&amp;IF(CG6="","",CG6&amp;CHAR(10))&amp;IF(CH6="","",CH6&amp;CHAR(10))&amp;IF(CI6="","",CI6&amp;CHAR(10))&amp;IF(CJ6="","",CJ6&amp;CHAR(10))&amp;IF(CK6="","",CK6&amp;CHAR(10))&amp;IF(CL6="","",CL6&amp;CHAR(10))&amp;IF(CM6="","",CM6&amp;CHAR(10))&amp;IF(CN6="","",CN6&amp;CHAR(10))&amp;IF(CO6="","",CO6&amp;CHAR(10))&amp;IF(CP6="","",CP6&amp;CHAR(10))&amp;IF(CQ6="","",CQ6&amp;CHAR(10))&amp;IF(CR6="","",CR6&amp;CHAR(10))&amp;IF(CS6="","",CS6&amp;CHAR(10))&amp;IF(CT6="","",CT6&amp;CHAR(10))&amp;IF(CU6="","",CU6&amp;CHAR(10))&amp;IF(CV6="","",CV6&amp;CHAR(10))&amp;IF(CW6="","",CW6&amp;CHAR(10))&amp;IF(CX6="","",CX6&amp;CHAR(10))&amp;IF(CY6="","",CY6&amp;CHAR(10))&amp;IF(CZ6="","",CZ6&amp;CHAR(10))&amp;IF(DA6="","",DA6&amp;CHAR(10))&amp;IF(DB6="","",DB6&amp;CHAR(10))&amp;IF(DC6="","",DC6&amp;CHAR(10))&amp;IF(DD6="","",DD6&amp;CHAR(10))&amp;IF(DE6="","",DE6&amp;CHAR(10))&amp;IF(DF6="","",DF6&amp;CHAR(10))&amp;IF(DG6="","",DG6&amp;CHAR(10))&amp;IF(DH6="","",DH6&amp;CHAR(10))&amp;IF(DI6="","",DI6&amp;CHAR(10))&amp;IF(DJ6="","",DJ6&amp;CHAR(10))&amp;IF(DK6="","",DK6&amp;CHAR(10))&amp;IF(DL6="","",DL6&amp;CHAR(10))&amp;IF(DM6="","",DM6&amp;CHAR(10))&amp;IF(DN6="","",DN6&amp;CHAR(10))&amp;IF(DO6="","",DO6&amp;CHAR(10))&amp;IF(DP6="","",DP6&amp;CHAR(10))&amp;IF(DQ6="","",DQ6&amp;CHAR(10))&amp;DR6</f>
        <v xml:space="preserve">File을 생성하여 데이터를 저장하는 방법과 File에서 데이터를 불러와 활용하는 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안드로이드 앱 개발에 흥미와 호기심을 가지고 수업시간 전 과정에 적극적으로 참여함.
●●● 안드로이드 앱을 개발함.
안드로이드 앱 개발에 관련된 산출물 제작 방법을 다른 사람들에게 체계적으로 설명함.
</v>
      </c>
      <c r="DT6" s="42">
        <f t="shared" si="6"/>
        <v>6</v>
      </c>
      <c r="DU6" s="34"/>
    </row>
    <row r="7" spans="1:125" x14ac:dyDescent="0.4">
      <c r="A7" s="58">
        <v>3</v>
      </c>
      <c r="B7" s="57" t="s">
        <v>214</v>
      </c>
      <c r="C7" s="40"/>
      <c r="D7" s="40"/>
      <c r="E7" s="40"/>
      <c r="F7" s="40"/>
      <c r="G7" s="40"/>
      <c r="H7" s="40">
        <v>1</v>
      </c>
      <c r="I7" s="40"/>
      <c r="J7" s="40"/>
      <c r="K7" s="40">
        <v>1</v>
      </c>
      <c r="L7" s="40"/>
      <c r="M7" s="40"/>
      <c r="N7" s="40">
        <v>1</v>
      </c>
      <c r="O7" s="40"/>
      <c r="P7" s="40"/>
      <c r="Q7" s="40">
        <v>1</v>
      </c>
      <c r="R7" s="40"/>
      <c r="S7" s="40"/>
      <c r="T7" s="40">
        <v>1</v>
      </c>
      <c r="U7" s="40">
        <v>1</v>
      </c>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1" t="str">
        <f>IFERROR(IF(C7=1,VLOOKUP(C$2,활동내용입력!$B$4:$F$63,5,FALSE),""),"")</f>
        <v/>
      </c>
      <c r="BL7" s="41" t="str">
        <f>IFERROR(IF(D7=1,VLOOKUP(D$2,활동내용입력!$B$4:$F$63,5,FALSE),""),"")</f>
        <v/>
      </c>
      <c r="BM7" s="41" t="str">
        <f>IFERROR(IF(E7=1,VLOOKUP(E$2,활동내용입력!$B$4:$F$63,5,FALSE),""),"")</f>
        <v/>
      </c>
      <c r="BN7" s="41" t="str">
        <f>IFERROR(IF(F7=1,VLOOKUP(F$2,활동내용입력!$B$4:$F$63,5,FALSE),""),"")</f>
        <v/>
      </c>
      <c r="BO7" s="41" t="str">
        <f>IFERROR(IF(G7=1,VLOOKUP(G$2,활동내용입력!$B$4:$F$63,5,FALSE),""),"")</f>
        <v/>
      </c>
      <c r="BP7" s="41" t="str">
        <f>IFERROR(IF(H7=1,VLOOKUP(H$2,활동내용입력!$B$4:$F$63,5,FALSE),""),"")</f>
        <v>SQLite Database의 작동 방식을 정확하게 이해하고 있고 데이터베이스를 활용하여 데이터를 저장하고 출력하는 상황에 대한 문제해결능력이 우수함.</v>
      </c>
      <c r="BQ7" s="41" t="str">
        <f>IFERROR(IF(I7=1,VLOOKUP(I$2,활동내용입력!$B$4:$F$63,5,FALSE),""),"")</f>
        <v/>
      </c>
      <c r="BR7" s="41" t="str">
        <f>IFERROR(IF(J7=1,VLOOKUP(J$2,활동내용입력!$B$4:$F$63,5,FALSE),""),"")</f>
        <v/>
      </c>
      <c r="BS7" s="41" t="str">
        <f>IFERROR(IF(K7=1,VLOOKUP(K$2,활동내용입력!$B$4:$F$63,5,FALSE),""),"")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7" s="41" t="str">
        <f>IFERROR(IF(L7=1,VLOOKUP(L$2,활동내용입력!$B$4:$F$63,5,FALSE),""),"")</f>
        <v/>
      </c>
      <c r="BU7" s="41" t="str">
        <f>IFERROR(IF(M7=1,VLOOKUP(M$2,활동내용입력!$B$4:$F$63,5,FALSE),""),"")</f>
        <v/>
      </c>
      <c r="BV7" s="41" t="str">
        <f>IFERROR(IF(N7=1,VLOOKUP(N$2,활동내용입력!$B$4:$F$63,5,FALSE),""),"")</f>
        <v>문제 해결을 위한 다양한 방법과 절차를 탐색하고 해결 절차를 글이나 그림으로 논리적이고 명확하게 표현할 수 있음.</v>
      </c>
      <c r="BW7" s="41" t="str">
        <f>IFERROR(IF(O7=1,VLOOKUP(O$2,활동내용입력!$B$4:$F$63,5,FALSE),""),"")</f>
        <v/>
      </c>
      <c r="BX7" s="41" t="str">
        <f>IFERROR(IF(P7=1,VLOOKUP(P$2,활동내용입력!$B$4:$F$63,5,FALSE),""),"")</f>
        <v/>
      </c>
      <c r="BY7" s="41" t="str">
        <f>IFERROR(IF(Q7=1,VLOOKUP(Q$2,활동내용입력!$B$4:$F$63,5,FALSE),""),"")</f>
        <v>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7" s="41" t="str">
        <f>IFERROR(IF(R7=1,VLOOKUP(R$2,활동내용입력!$B$4:$F$63,5,FALSE),""),"")</f>
        <v/>
      </c>
      <c r="CA7" s="41" t="str">
        <f>IFERROR(IF(S7=1,VLOOKUP(S$2,활동내용입력!$B$4:$F$63,5,FALSE),""),"")</f>
        <v/>
      </c>
      <c r="CB7" s="41" t="str">
        <f>IFERROR(IF(T7=1,VLOOKUP(T$2,활동내용입력!$B$4:$F$63,5,FALSE),""),"")</f>
        <v>안드로이드 앱 개발 프로젝트 수행 과정에 주도적으로 참여하여 과제를 수행함.</v>
      </c>
      <c r="CC7" s="41" t="str">
        <f>IFERROR(IF(U7=1,VLOOKUP(U$2,활동내용입력!$B$4:$F$63,5,FALSE),""),"")</f>
        <v>●●● 안드로이드 앱을 개발함.</v>
      </c>
      <c r="CD7" s="41" t="str">
        <f>IFERROR(IF(V7=1,VLOOKUP(V$2,활동내용입력!$B$4:$F$63,5,FALSE),""),"")</f>
        <v/>
      </c>
      <c r="CE7" s="41" t="str">
        <f>IFERROR(IF(W7=1,VLOOKUP(W$2,활동내용입력!$B$4:$F$63,5,FALSE),""),"")</f>
        <v/>
      </c>
      <c r="CF7" s="41" t="str">
        <f>IFERROR(IF(X7=1,VLOOKUP(X$2,활동내용입력!$B$4:$F$63,5,FALSE),""),"")</f>
        <v/>
      </c>
      <c r="CG7" s="41" t="str">
        <f>IFERROR(IF(Y7=1,VLOOKUP(Y$2,활동내용입력!$B$4:$F$63,5,FALSE),""),"")</f>
        <v/>
      </c>
      <c r="CH7" s="41" t="str">
        <f>IFERROR(IF(Z7=1,VLOOKUP(Z$2,활동내용입력!$B$4:$F$63,5,FALSE),""),"")</f>
        <v/>
      </c>
      <c r="CI7" s="41" t="str">
        <f>IFERROR(IF(AA7=1,VLOOKUP(AA$2,활동내용입력!$B$4:$F$63,5,FALSE),""),"")</f>
        <v/>
      </c>
      <c r="CJ7" s="41" t="str">
        <f>IFERROR(IF(AB7=1,VLOOKUP(AB$2,활동내용입력!$B$4:$F$63,5,FALSE),""),"")</f>
        <v/>
      </c>
      <c r="CK7" s="41" t="str">
        <f>IFERROR(IF(AC7=1,VLOOKUP(AC$2,활동내용입력!$B$4:$F$63,5,FALSE),""),"")</f>
        <v/>
      </c>
      <c r="CL7" s="41" t="str">
        <f>IFERROR(IF(AD7=1,VLOOKUP(AD$2,활동내용입력!$B$4:$F$63,5,FALSE),""),"")</f>
        <v/>
      </c>
      <c r="CM7" s="41" t="str">
        <f>IFERROR(IF(AE7=1,VLOOKUP(AE$2,활동내용입력!$B$4:$F$63,5,FALSE),""),"")</f>
        <v/>
      </c>
      <c r="CN7" s="41" t="str">
        <f>IFERROR(IF(AF7=1,VLOOKUP(AF$2,활동내용입력!$B$4:$F$63,5,FALSE),""),"")</f>
        <v/>
      </c>
      <c r="CO7" s="41" t="str">
        <f>IFERROR(IF(AG7=1,VLOOKUP(AG$2,활동내용입력!$B$4:$F$63,5,FALSE),""),"")</f>
        <v/>
      </c>
      <c r="CP7" s="41" t="str">
        <f>IFERROR(IF(AH7=1,VLOOKUP(AH$2,활동내용입력!$B$4:$F$63,5,FALSE),""),"")</f>
        <v/>
      </c>
      <c r="CQ7" s="41" t="str">
        <f>IFERROR(IF(AI7=1,VLOOKUP(AI$2,활동내용입력!$B$4:$F$63,5,FALSE),""),"")</f>
        <v/>
      </c>
      <c r="CR7" s="41" t="str">
        <f>IFERROR(IF(AJ7=1,VLOOKUP(AJ$2,활동내용입력!$B$4:$F$63,5,FALSE),""),"")</f>
        <v/>
      </c>
      <c r="CS7" s="41" t="str">
        <f>IFERROR(IF(AK7=1,VLOOKUP(AK$2,활동내용입력!$B$4:$F$63,5,FALSE),""),"")</f>
        <v/>
      </c>
      <c r="CT7" s="41" t="str">
        <f>IFERROR(IF(AL7=1,VLOOKUP(AL$2,활동내용입력!$B$4:$F$63,5,FALSE),""),"")</f>
        <v/>
      </c>
      <c r="CU7" s="41" t="str">
        <f>IFERROR(IF(AM7=1,VLOOKUP(AM$2,활동내용입력!$B$4:$F$63,5,FALSE),""),"")</f>
        <v/>
      </c>
      <c r="CV7" s="41" t="str">
        <f>IFERROR(IF(AN7=1,VLOOKUP(AN$2,활동내용입력!$B$4:$F$63,5,FALSE),""),"")</f>
        <v/>
      </c>
      <c r="CW7" s="41" t="str">
        <f>IFERROR(IF(AO7=1,VLOOKUP(AO$2,활동내용입력!$B$4:$F$63,5,FALSE),""),"")</f>
        <v/>
      </c>
      <c r="CX7" s="41" t="str">
        <f>IFERROR(IF(AP7=1,VLOOKUP(AP$2,활동내용입력!$B$4:$F$63,5,FALSE),""),"")</f>
        <v/>
      </c>
      <c r="CY7" s="41" t="str">
        <f>IFERROR(IF(AQ7=1,VLOOKUP(AQ$2,활동내용입력!$B$4:$F$63,5,FALSE),""),"")</f>
        <v/>
      </c>
      <c r="CZ7" s="41" t="str">
        <f>IFERROR(IF(AR7=1,VLOOKUP(AR$2,활동내용입력!$B$4:$F$63,5,FALSE),""),"")</f>
        <v/>
      </c>
      <c r="DA7" s="41" t="str">
        <f>IFERROR(IF(AS7=1,VLOOKUP(AS$2,활동내용입력!$B$4:$F$63,5,FALSE),""),"")</f>
        <v/>
      </c>
      <c r="DB7" s="41" t="str">
        <f>IFERROR(IF(AT7=1,VLOOKUP(AT$2,활동내용입력!$B$4:$F$63,5,FALSE),""),"")</f>
        <v/>
      </c>
      <c r="DC7" s="41" t="str">
        <f>IFERROR(IF(AU7=1,VLOOKUP(AU$2,활동내용입력!$B$4:$F$63,5,FALSE),""),"")</f>
        <v/>
      </c>
      <c r="DD7" s="41" t="str">
        <f>IFERROR(IF(AV7=1,VLOOKUP(AV$2,활동내용입력!$B$4:$F$63,5,FALSE),""),"")</f>
        <v/>
      </c>
      <c r="DE7" s="41" t="str">
        <f>IFERROR(IF(AW7=1,VLOOKUP(AW$2,활동내용입력!$B$4:$F$63,5,FALSE),""),"")</f>
        <v/>
      </c>
      <c r="DF7" s="41" t="str">
        <f>IFERROR(IF(AX7=1,VLOOKUP(AX$2,활동내용입력!$B$4:$F$63,5,FALSE),""),"")</f>
        <v/>
      </c>
      <c r="DG7" s="41" t="str">
        <f>IFERROR(IF(AY7=1,VLOOKUP(AY$2,활동내용입력!$B$4:$F$63,5,FALSE),""),"")</f>
        <v/>
      </c>
      <c r="DH7" s="41" t="str">
        <f>IFERROR(IF(AZ7=1,VLOOKUP(AZ$2,활동내용입력!$B$4:$F$63,5,FALSE),""),"")</f>
        <v/>
      </c>
      <c r="DI7" s="41" t="str">
        <f>IFERROR(IF(BA7=1,VLOOKUP(BA$2,활동내용입력!$B$4:$F$63,5,FALSE),""),"")</f>
        <v/>
      </c>
      <c r="DJ7" s="41" t="str">
        <f>IFERROR(IF(BB7=1,VLOOKUP(BB$2,활동내용입력!$B$4:$F$63,5,FALSE),""),"")</f>
        <v/>
      </c>
      <c r="DK7" s="41" t="str">
        <f>IFERROR(IF(BC7=1,VLOOKUP(BC$2,활동내용입력!$B$4:$F$63,5,FALSE),""),"")</f>
        <v/>
      </c>
      <c r="DL7" s="41" t="str">
        <f>IFERROR(IF(BD7=1,VLOOKUP(BD$2,활동내용입력!$B$4:$F$63,5,FALSE),""),"")</f>
        <v/>
      </c>
      <c r="DM7" s="41" t="str">
        <f>IFERROR(IF(BE7=1,VLOOKUP(BE$2,활동내용입력!$B$4:$F$63,5,FALSE),""),"")</f>
        <v/>
      </c>
      <c r="DN7" s="41" t="str">
        <f>IFERROR(IF(BF7=1,VLOOKUP(BF$2,활동내용입력!$B$4:$F$63,5,FALSE),""),"")</f>
        <v/>
      </c>
      <c r="DO7" s="41" t="str">
        <f>IFERROR(IF(BG7=1,VLOOKUP(BG$2,활동내용입력!$B$4:$F$63,5,FALSE),""),"")</f>
        <v/>
      </c>
      <c r="DP7" s="41" t="str">
        <f>IFERROR(IF(BH7=1,VLOOKUP(BH$2,활동내용입력!$B$4:$F$63,5,FALSE),""),"")</f>
        <v/>
      </c>
      <c r="DQ7" s="41" t="str">
        <f>IFERROR(IF(BI7=1,VLOOKUP(BI$2,활동내용입력!$B$4:$F$63,5,FALSE),""),"")</f>
        <v/>
      </c>
      <c r="DR7" s="41" t="str">
        <f>IFERROR(IF(BJ7=1,VLOOKUP(BJ$2,활동내용입력!$B$4:$F$63,5,FALSE),""),"")</f>
        <v/>
      </c>
      <c r="DS7" s="41" t="str">
        <f t="shared" si="7"/>
        <v xml:space="preserve">SQLite Database의 작동 방식을 정확하게 이해하고 있고 데이터베이스를 활용하여 데이터를 저장하고 출력하는 상황에 대한 문제해결능력이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v>
      </c>
      <c r="DT7" s="42">
        <f t="shared" si="6"/>
        <v>6</v>
      </c>
      <c r="DU7" s="34"/>
    </row>
    <row r="8" spans="1:125" x14ac:dyDescent="0.4">
      <c r="A8" s="58">
        <v>4</v>
      </c>
      <c r="B8" s="57" t="s">
        <v>215</v>
      </c>
      <c r="C8" s="40"/>
      <c r="D8" s="40"/>
      <c r="E8" s="40"/>
      <c r="F8" s="40"/>
      <c r="G8" s="40">
        <v>1</v>
      </c>
      <c r="H8" s="40"/>
      <c r="I8" s="40"/>
      <c r="J8" s="40"/>
      <c r="K8" s="40"/>
      <c r="L8" s="40">
        <v>1</v>
      </c>
      <c r="M8" s="40"/>
      <c r="N8" s="40"/>
      <c r="O8" s="40">
        <v>1</v>
      </c>
      <c r="P8" s="40"/>
      <c r="Q8" s="40"/>
      <c r="R8" s="40">
        <v>1</v>
      </c>
      <c r="S8" s="40"/>
      <c r="T8" s="40"/>
      <c r="U8" s="40">
        <v>1</v>
      </c>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1" t="str">
        <f>IFERROR(IF(C8=1,VLOOKUP(C$2,활동내용입력!$B$4:$F$63,5,FALSE),""),"")</f>
        <v/>
      </c>
      <c r="BL8" s="41" t="str">
        <f>IFERROR(IF(D8=1,VLOOKUP(D$2,활동내용입력!$B$4:$F$63,5,FALSE),""),"")</f>
        <v/>
      </c>
      <c r="BM8" s="41" t="str">
        <f>IFERROR(IF(E8=1,VLOOKUP(E$2,활동내용입력!$B$4:$F$63,5,FALSE),""),"")</f>
        <v/>
      </c>
      <c r="BN8" s="41" t="str">
        <f>IFERROR(IF(F8=1,VLOOKUP(F$2,활동내용입력!$B$4:$F$63,5,FALSE),""),"")</f>
        <v/>
      </c>
      <c r="BO8" s="41" t="str">
        <f>IFERROR(IF(G8=1,VLOOKUP(G$2,활동내용입력!$B$4:$F$63,5,FALSE),""),"")</f>
        <v xml:space="preserve">다양한 형태의 Alert Dialog의 생성 방법 및 동작 원리에 대해 정확히 이해하고 있으며, 이를 바탕으로 다양한 상황에서 다양한 형태의 Alert Dialog를 활용하는 능력이 우수함.  </v>
      </c>
      <c r="BP8" s="41" t="str">
        <f>IFERROR(IF(H8=1,VLOOKUP(H$2,활동내용입력!$B$4:$F$63,5,FALSE),""),"")</f>
        <v/>
      </c>
      <c r="BQ8" s="41" t="str">
        <f>IFERROR(IF(I8=1,VLOOKUP(I$2,활동내용입력!$B$4:$F$63,5,FALSE),""),"")</f>
        <v/>
      </c>
      <c r="BR8" s="41" t="str">
        <f>IFERROR(IF(J8=1,VLOOKUP(J$2,활동내용입력!$B$4:$F$63,5,FALSE),""),"")</f>
        <v/>
      </c>
      <c r="BS8" s="41" t="str">
        <f>IFERROR(IF(K8=1,VLOOKUP(K$2,활동내용입력!$B$4:$F$63,5,FALSE),""),"")</f>
        <v/>
      </c>
      <c r="BT8" s="41" t="str">
        <f>IFERROR(IF(L8=1,VLOOKUP(L$2,활동내용입력!$B$4:$F$63,5,FALSE),""),"")</f>
        <v>문제 상황을 분석하여 문제의 현재 상태와 목표 상태를 설명할 수 있고 문제의 현재 상태에서 목표 상태에 도달하기 위해 수행해야 할 작업이 무엇인지 설명할 수 있음.</v>
      </c>
      <c r="BU8" s="41" t="str">
        <f>IFERROR(IF(M8=1,VLOOKUP(M$2,활동내용입력!$B$4:$F$63,5,FALSE),""),"")</f>
        <v/>
      </c>
      <c r="BV8" s="41" t="str">
        <f>IFERROR(IF(N8=1,VLOOKUP(N$2,활동내용입력!$B$4:$F$63,5,FALSE),""),"")</f>
        <v/>
      </c>
      <c r="BW8" s="41" t="str">
        <f>IFERROR(IF(O8=1,VLOOKUP(O$2,활동내용입력!$B$4:$F$63,5,FALSE),""),"")</f>
        <v>제시된 문제를 추상화하여 해결하기 쉬운 형태로 만들고, 그 해법을 탐색하여 알고리즘으로 표현할 수 있음.</v>
      </c>
      <c r="BX8" s="41" t="str">
        <f>IFERROR(IF(P8=1,VLOOKUP(P$2,활동내용입력!$B$4:$F$63,5,FALSE),""),"")</f>
        <v/>
      </c>
      <c r="BY8" s="41" t="str">
        <f>IFERROR(IF(Q8=1,VLOOKUP(Q$2,활동내용입력!$B$4:$F$63,5,FALSE),""),"")</f>
        <v/>
      </c>
      <c r="BZ8" s="41" t="str">
        <f>IFERROR(IF(R8=1,VLOOKUP(R$2,활동내용입력!$B$4:$F$63,5,FALSE),""),"")</f>
        <v>안드로이드 앱 개발에 흥미와 호기심을 가지고 수업시간 전 과정에 적극적으로 참여함.</v>
      </c>
      <c r="CA8" s="41" t="str">
        <f>IFERROR(IF(S8=1,VLOOKUP(S$2,활동내용입력!$B$4:$F$63,5,FALSE),""),"")</f>
        <v/>
      </c>
      <c r="CB8" s="41" t="str">
        <f>IFERROR(IF(T8=1,VLOOKUP(T$2,활동내용입력!$B$4:$F$63,5,FALSE),""),"")</f>
        <v/>
      </c>
      <c r="CC8" s="41" t="str">
        <f>IFERROR(IF(U8=1,VLOOKUP(U$2,활동내용입력!$B$4:$F$63,5,FALSE),""),"")</f>
        <v>●●● 안드로이드 앱을 개발함.</v>
      </c>
      <c r="CD8" s="41" t="str">
        <f>IFERROR(IF(V8=1,VLOOKUP(V$2,활동내용입력!$B$4:$F$63,5,FALSE),""),"")</f>
        <v/>
      </c>
      <c r="CE8" s="41" t="str">
        <f>IFERROR(IF(W8=1,VLOOKUP(W$2,활동내용입력!$B$4:$F$63,5,FALSE),""),"")</f>
        <v/>
      </c>
      <c r="CF8" s="41" t="str">
        <f>IFERROR(IF(X8=1,VLOOKUP(X$2,활동내용입력!$B$4:$F$63,5,FALSE),""),"")</f>
        <v/>
      </c>
      <c r="CG8" s="41" t="str">
        <f>IFERROR(IF(Y8=1,VLOOKUP(Y$2,활동내용입력!$B$4:$F$63,5,FALSE),""),"")</f>
        <v/>
      </c>
      <c r="CH8" s="41" t="str">
        <f>IFERROR(IF(Z8=1,VLOOKUP(Z$2,활동내용입력!$B$4:$F$63,5,FALSE),""),"")</f>
        <v/>
      </c>
      <c r="CI8" s="41" t="str">
        <f>IFERROR(IF(AA8=1,VLOOKUP(AA$2,활동내용입력!$B$4:$F$63,5,FALSE),""),"")</f>
        <v/>
      </c>
      <c r="CJ8" s="41" t="str">
        <f>IFERROR(IF(AB8=1,VLOOKUP(AB$2,활동내용입력!$B$4:$F$63,5,FALSE),""),"")</f>
        <v/>
      </c>
      <c r="CK8" s="41" t="str">
        <f>IFERROR(IF(AC8=1,VLOOKUP(AC$2,활동내용입력!$B$4:$F$63,5,FALSE),""),"")</f>
        <v/>
      </c>
      <c r="CL8" s="41" t="str">
        <f>IFERROR(IF(AD8=1,VLOOKUP(AD$2,활동내용입력!$B$4:$F$63,5,FALSE),""),"")</f>
        <v/>
      </c>
      <c r="CM8" s="41" t="str">
        <f>IFERROR(IF(AE8=1,VLOOKUP(AE$2,활동내용입력!$B$4:$F$63,5,FALSE),""),"")</f>
        <v/>
      </c>
      <c r="CN8" s="41" t="str">
        <f>IFERROR(IF(AF8=1,VLOOKUP(AF$2,활동내용입력!$B$4:$F$63,5,FALSE),""),"")</f>
        <v/>
      </c>
      <c r="CO8" s="41" t="str">
        <f>IFERROR(IF(AG8=1,VLOOKUP(AG$2,활동내용입력!$B$4:$F$63,5,FALSE),""),"")</f>
        <v/>
      </c>
      <c r="CP8" s="41" t="str">
        <f>IFERROR(IF(AH8=1,VLOOKUP(AH$2,활동내용입력!$B$4:$F$63,5,FALSE),""),"")</f>
        <v/>
      </c>
      <c r="CQ8" s="41" t="str">
        <f>IFERROR(IF(AI8=1,VLOOKUP(AI$2,활동내용입력!$B$4:$F$63,5,FALSE),""),"")</f>
        <v/>
      </c>
      <c r="CR8" s="41" t="str">
        <f>IFERROR(IF(AJ8=1,VLOOKUP(AJ$2,활동내용입력!$B$4:$F$63,5,FALSE),""),"")</f>
        <v/>
      </c>
      <c r="CS8" s="41" t="str">
        <f>IFERROR(IF(AK8=1,VLOOKUP(AK$2,활동내용입력!$B$4:$F$63,5,FALSE),""),"")</f>
        <v/>
      </c>
      <c r="CT8" s="41" t="str">
        <f>IFERROR(IF(AL8=1,VLOOKUP(AL$2,활동내용입력!$B$4:$F$63,5,FALSE),""),"")</f>
        <v/>
      </c>
      <c r="CU8" s="41" t="str">
        <f>IFERROR(IF(AM8=1,VLOOKUP(AM$2,활동내용입력!$B$4:$F$63,5,FALSE),""),"")</f>
        <v/>
      </c>
      <c r="CV8" s="41" t="str">
        <f>IFERROR(IF(AN8=1,VLOOKUP(AN$2,활동내용입력!$B$4:$F$63,5,FALSE),""),"")</f>
        <v/>
      </c>
      <c r="CW8" s="41" t="str">
        <f>IFERROR(IF(AO8=1,VLOOKUP(AO$2,활동내용입력!$B$4:$F$63,5,FALSE),""),"")</f>
        <v/>
      </c>
      <c r="CX8" s="41" t="str">
        <f>IFERROR(IF(AP8=1,VLOOKUP(AP$2,활동내용입력!$B$4:$F$63,5,FALSE),""),"")</f>
        <v/>
      </c>
      <c r="CY8" s="41" t="str">
        <f>IFERROR(IF(AQ8=1,VLOOKUP(AQ$2,활동내용입력!$B$4:$F$63,5,FALSE),""),"")</f>
        <v/>
      </c>
      <c r="CZ8" s="41" t="str">
        <f>IFERROR(IF(AR8=1,VLOOKUP(AR$2,활동내용입력!$B$4:$F$63,5,FALSE),""),"")</f>
        <v/>
      </c>
      <c r="DA8" s="41" t="str">
        <f>IFERROR(IF(AS8=1,VLOOKUP(AS$2,활동내용입력!$B$4:$F$63,5,FALSE),""),"")</f>
        <v/>
      </c>
      <c r="DB8" s="41" t="str">
        <f>IFERROR(IF(AT8=1,VLOOKUP(AT$2,활동내용입력!$B$4:$F$63,5,FALSE),""),"")</f>
        <v/>
      </c>
      <c r="DC8" s="41" t="str">
        <f>IFERROR(IF(AU8=1,VLOOKUP(AU$2,활동내용입력!$B$4:$F$63,5,FALSE),""),"")</f>
        <v/>
      </c>
      <c r="DD8" s="41" t="str">
        <f>IFERROR(IF(AV8=1,VLOOKUP(AV$2,활동내용입력!$B$4:$F$63,5,FALSE),""),"")</f>
        <v/>
      </c>
      <c r="DE8" s="41" t="str">
        <f>IFERROR(IF(AW8=1,VLOOKUP(AW$2,활동내용입력!$B$4:$F$63,5,FALSE),""),"")</f>
        <v/>
      </c>
      <c r="DF8" s="41" t="str">
        <f>IFERROR(IF(AX8=1,VLOOKUP(AX$2,활동내용입력!$B$4:$F$63,5,FALSE),""),"")</f>
        <v/>
      </c>
      <c r="DG8" s="41" t="str">
        <f>IFERROR(IF(AY8=1,VLOOKUP(AY$2,활동내용입력!$B$4:$F$63,5,FALSE),""),"")</f>
        <v/>
      </c>
      <c r="DH8" s="41" t="str">
        <f>IFERROR(IF(AZ8=1,VLOOKUP(AZ$2,활동내용입력!$B$4:$F$63,5,FALSE),""),"")</f>
        <v/>
      </c>
      <c r="DI8" s="41" t="str">
        <f>IFERROR(IF(BA8=1,VLOOKUP(BA$2,활동내용입력!$B$4:$F$63,5,FALSE),""),"")</f>
        <v/>
      </c>
      <c r="DJ8" s="41" t="str">
        <f>IFERROR(IF(BB8=1,VLOOKUP(BB$2,활동내용입력!$B$4:$F$63,5,FALSE),""),"")</f>
        <v/>
      </c>
      <c r="DK8" s="41" t="str">
        <f>IFERROR(IF(BC8=1,VLOOKUP(BC$2,활동내용입력!$B$4:$F$63,5,FALSE),""),"")</f>
        <v/>
      </c>
      <c r="DL8" s="41" t="str">
        <f>IFERROR(IF(BD8=1,VLOOKUP(BD$2,활동내용입력!$B$4:$F$63,5,FALSE),""),"")</f>
        <v/>
      </c>
      <c r="DM8" s="41" t="str">
        <f>IFERROR(IF(BE8=1,VLOOKUP(BE$2,활동내용입력!$B$4:$F$63,5,FALSE),""),"")</f>
        <v/>
      </c>
      <c r="DN8" s="41" t="str">
        <f>IFERROR(IF(BF8=1,VLOOKUP(BF$2,활동내용입력!$B$4:$F$63,5,FALSE),""),"")</f>
        <v/>
      </c>
      <c r="DO8" s="41" t="str">
        <f>IFERROR(IF(BG8=1,VLOOKUP(BG$2,활동내용입력!$B$4:$F$63,5,FALSE),""),"")</f>
        <v/>
      </c>
      <c r="DP8" s="41" t="str">
        <f>IFERROR(IF(BH8=1,VLOOKUP(BH$2,활동내용입력!$B$4:$F$63,5,FALSE),""),"")</f>
        <v/>
      </c>
      <c r="DQ8" s="41" t="str">
        <f>IFERROR(IF(BI8=1,VLOOKUP(BI$2,활동내용입력!$B$4:$F$63,5,FALSE),""),"")</f>
        <v/>
      </c>
      <c r="DR8" s="41" t="str">
        <f>IFERROR(IF(BJ8=1,VLOOKUP(BJ$2,활동내용입력!$B$4:$F$63,5,FALSE),""),"")</f>
        <v/>
      </c>
      <c r="DS8" s="41" t="str">
        <f t="shared" si="7"/>
        <v xml:space="preserve">다양한 형태의 Alert Dialog의 생성 방법 및 동작 원리에 대해 정확히 이해하고 있으며, 이를 바탕으로 다양한 상황에서 다양한 형태의 Alert Dialog를 활용하는 능력이 우수함.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안드로이드 앱 개발에 흥미와 호기심을 가지고 수업시간 전 과정에 적극적으로 참여함.
●●● 안드로이드 앱을 개발함.
</v>
      </c>
      <c r="DT8" s="42">
        <f t="shared" si="6"/>
        <v>5</v>
      </c>
      <c r="DU8" s="34"/>
    </row>
    <row r="9" spans="1:125" x14ac:dyDescent="0.4">
      <c r="A9" s="58">
        <v>5</v>
      </c>
      <c r="B9" s="57" t="s">
        <v>216</v>
      </c>
      <c r="C9" s="40"/>
      <c r="D9" s="40"/>
      <c r="E9" s="40"/>
      <c r="F9" s="40">
        <v>1</v>
      </c>
      <c r="G9" s="40"/>
      <c r="H9" s="40"/>
      <c r="I9" s="40"/>
      <c r="J9" s="40"/>
      <c r="K9" s="40"/>
      <c r="L9" s="40">
        <v>1</v>
      </c>
      <c r="M9" s="40"/>
      <c r="N9" s="40"/>
      <c r="O9" s="40"/>
      <c r="P9" s="40">
        <v>1</v>
      </c>
      <c r="Q9" s="40"/>
      <c r="R9" s="40"/>
      <c r="S9" s="40">
        <v>1</v>
      </c>
      <c r="T9" s="40"/>
      <c r="U9" s="40">
        <v>1</v>
      </c>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1" t="str">
        <f>IFERROR(IF(C9=1,VLOOKUP(C$2,활동내용입력!$B$4:$F$63,5,FALSE),""),"")</f>
        <v/>
      </c>
      <c r="BL9" s="41" t="str">
        <f>IFERROR(IF(D9=1,VLOOKUP(D$2,활동내용입력!$B$4:$F$63,5,FALSE),""),"")</f>
        <v/>
      </c>
      <c r="BM9" s="41" t="str">
        <f>IFERROR(IF(E9=1,VLOOKUP(E$2,활동내용입력!$B$4:$F$63,5,FALSE),""),"")</f>
        <v/>
      </c>
      <c r="BN9" s="41" t="str">
        <f>IFERROR(IF(F9=1,VLOOKUP(F$2,활동내용입력!$B$4:$F$63,5,FALSE),""),"")</f>
        <v xml:space="preserve">Custom List의 작성 및 동작에 대한 개념을 완벽하게 이해하고 있으며, 이를 바탕으로 다양한 상황에서 다양한 형태의 Custom List를 활용하는 능력이 우수함.  </v>
      </c>
      <c r="BO9" s="41" t="str">
        <f>IFERROR(IF(G9=1,VLOOKUP(G$2,활동내용입력!$B$4:$F$63,5,FALSE),""),"")</f>
        <v/>
      </c>
      <c r="BP9" s="41" t="str">
        <f>IFERROR(IF(H9=1,VLOOKUP(H$2,활동내용입력!$B$4:$F$63,5,FALSE),""),"")</f>
        <v/>
      </c>
      <c r="BQ9" s="41" t="str">
        <f>IFERROR(IF(I9=1,VLOOKUP(I$2,활동내용입력!$B$4:$F$63,5,FALSE),""),"")</f>
        <v/>
      </c>
      <c r="BR9" s="41" t="str">
        <f>IFERROR(IF(J9=1,VLOOKUP(J$2,활동내용입력!$B$4:$F$63,5,FALSE),""),"")</f>
        <v/>
      </c>
      <c r="BS9" s="41" t="str">
        <f>IFERROR(IF(K9=1,VLOOKUP(K$2,활동내용입력!$B$4:$F$63,5,FALSE),""),"")</f>
        <v/>
      </c>
      <c r="BT9" s="41" t="str">
        <f>IFERROR(IF(L9=1,VLOOKUP(L$2,활동내용입력!$B$4:$F$63,5,FALSE),""),"")</f>
        <v>문제 상황을 분석하여 문제의 현재 상태와 목표 상태를 설명할 수 있고 문제의 현재 상태에서 목표 상태에 도달하기 위해 수행해야 할 작업이 무엇인지 설명할 수 있음.</v>
      </c>
      <c r="BU9" s="41" t="str">
        <f>IFERROR(IF(M9=1,VLOOKUP(M$2,활동내용입력!$B$4:$F$63,5,FALSE),""),"")</f>
        <v/>
      </c>
      <c r="BV9" s="41" t="str">
        <f>IFERROR(IF(N9=1,VLOOKUP(N$2,활동내용입력!$B$4:$F$63,5,FALSE),""),"")</f>
        <v/>
      </c>
      <c r="BW9" s="41" t="str">
        <f>IFERROR(IF(O9=1,VLOOKUP(O$2,활동내용입력!$B$4:$F$63,5,FALSE),""),"")</f>
        <v/>
      </c>
      <c r="BX9" s="41" t="str">
        <f>IFERROR(IF(P9=1,VLOOKUP(P$2,활동내용입력!$B$4:$F$63,5,FALSE),""),"")</f>
        <v>제시된 문제 해결을 위한 소프트웨어를 설계 개발하고 동일한 문제 해결을 위해 활용 가능한 다양한 알고리즘의 차이를 비교할 수 있음.</v>
      </c>
      <c r="BY9" s="41" t="str">
        <f>IFERROR(IF(Q9=1,VLOOKUP(Q$2,활동내용입력!$B$4:$F$63,5,FALSE),""),"")</f>
        <v/>
      </c>
      <c r="BZ9" s="41" t="str">
        <f>IFERROR(IF(R9=1,VLOOKUP(R$2,활동내용입력!$B$4:$F$63,5,FALSE),""),"")</f>
        <v/>
      </c>
      <c r="CA9" s="41" t="str">
        <f>IFERROR(IF(S9=1,VLOOKUP(S$2,활동내용입력!$B$4:$F$63,5,FALSE),""),"")</f>
        <v>지적 호기심이 풍부하여 프로그램 개발 과정에서 새로운 해결방법을 발견하고 적용하는 것을 좋아함.</v>
      </c>
      <c r="CB9" s="41" t="str">
        <f>IFERROR(IF(T9=1,VLOOKUP(T$2,활동내용입력!$B$4:$F$63,5,FALSE),""),"")</f>
        <v/>
      </c>
      <c r="CC9" s="41" t="str">
        <f>IFERROR(IF(U9=1,VLOOKUP(U$2,활동내용입력!$B$4:$F$63,5,FALSE),""),"")</f>
        <v>●●● 안드로이드 앱을 개발함.</v>
      </c>
      <c r="CD9" s="41" t="str">
        <f>IFERROR(IF(V9=1,VLOOKUP(V$2,활동내용입력!$B$4:$F$63,5,FALSE),""),"")</f>
        <v/>
      </c>
      <c r="CE9" s="41" t="str">
        <f>IFERROR(IF(W9=1,VLOOKUP(W$2,활동내용입력!$B$4:$F$63,5,FALSE),""),"")</f>
        <v/>
      </c>
      <c r="CF9" s="41" t="str">
        <f>IFERROR(IF(X9=1,VLOOKUP(X$2,활동내용입력!$B$4:$F$63,5,FALSE),""),"")</f>
        <v/>
      </c>
      <c r="CG9" s="41" t="str">
        <f>IFERROR(IF(Y9=1,VLOOKUP(Y$2,활동내용입력!$B$4:$F$63,5,FALSE),""),"")</f>
        <v/>
      </c>
      <c r="CH9" s="41" t="str">
        <f>IFERROR(IF(Z9=1,VLOOKUP(Z$2,활동내용입력!$B$4:$F$63,5,FALSE),""),"")</f>
        <v/>
      </c>
      <c r="CI9" s="41" t="str">
        <f>IFERROR(IF(AA9=1,VLOOKUP(AA$2,활동내용입력!$B$4:$F$63,5,FALSE),""),"")</f>
        <v/>
      </c>
      <c r="CJ9" s="41" t="str">
        <f>IFERROR(IF(AB9=1,VLOOKUP(AB$2,활동내용입력!$B$4:$F$63,5,FALSE),""),"")</f>
        <v/>
      </c>
      <c r="CK9" s="41" t="str">
        <f>IFERROR(IF(AC9=1,VLOOKUP(AC$2,활동내용입력!$B$4:$F$63,5,FALSE),""),"")</f>
        <v/>
      </c>
      <c r="CL9" s="41" t="str">
        <f>IFERROR(IF(AD9=1,VLOOKUP(AD$2,활동내용입력!$B$4:$F$63,5,FALSE),""),"")</f>
        <v/>
      </c>
      <c r="CM9" s="41" t="str">
        <f>IFERROR(IF(AE9=1,VLOOKUP(AE$2,활동내용입력!$B$4:$F$63,5,FALSE),""),"")</f>
        <v/>
      </c>
      <c r="CN9" s="41" t="str">
        <f>IFERROR(IF(AF9=1,VLOOKUP(AF$2,활동내용입력!$B$4:$F$63,5,FALSE),""),"")</f>
        <v/>
      </c>
      <c r="CO9" s="41" t="str">
        <f>IFERROR(IF(AG9=1,VLOOKUP(AG$2,활동내용입력!$B$4:$F$63,5,FALSE),""),"")</f>
        <v/>
      </c>
      <c r="CP9" s="41" t="str">
        <f>IFERROR(IF(AH9=1,VLOOKUP(AH$2,활동내용입력!$B$4:$F$63,5,FALSE),""),"")</f>
        <v/>
      </c>
      <c r="CQ9" s="41" t="str">
        <f>IFERROR(IF(AI9=1,VLOOKUP(AI$2,활동내용입력!$B$4:$F$63,5,FALSE),""),"")</f>
        <v/>
      </c>
      <c r="CR9" s="41" t="str">
        <f>IFERROR(IF(AJ9=1,VLOOKUP(AJ$2,활동내용입력!$B$4:$F$63,5,FALSE),""),"")</f>
        <v/>
      </c>
      <c r="CS9" s="41" t="str">
        <f>IFERROR(IF(AK9=1,VLOOKUP(AK$2,활동내용입력!$B$4:$F$63,5,FALSE),""),"")</f>
        <v/>
      </c>
      <c r="CT9" s="41" t="str">
        <f>IFERROR(IF(AL9=1,VLOOKUP(AL$2,활동내용입력!$B$4:$F$63,5,FALSE),""),"")</f>
        <v/>
      </c>
      <c r="CU9" s="41" t="str">
        <f>IFERROR(IF(AM9=1,VLOOKUP(AM$2,활동내용입력!$B$4:$F$63,5,FALSE),""),"")</f>
        <v/>
      </c>
      <c r="CV9" s="41" t="str">
        <f>IFERROR(IF(AN9=1,VLOOKUP(AN$2,활동내용입력!$B$4:$F$63,5,FALSE),""),"")</f>
        <v/>
      </c>
      <c r="CW9" s="41" t="str">
        <f>IFERROR(IF(AO9=1,VLOOKUP(AO$2,활동내용입력!$B$4:$F$63,5,FALSE),""),"")</f>
        <v/>
      </c>
      <c r="CX9" s="41" t="str">
        <f>IFERROR(IF(AP9=1,VLOOKUP(AP$2,활동내용입력!$B$4:$F$63,5,FALSE),""),"")</f>
        <v/>
      </c>
      <c r="CY9" s="41" t="str">
        <f>IFERROR(IF(AQ9=1,VLOOKUP(AQ$2,활동내용입력!$B$4:$F$63,5,FALSE),""),"")</f>
        <v/>
      </c>
      <c r="CZ9" s="41" t="str">
        <f>IFERROR(IF(AR9=1,VLOOKUP(AR$2,활동내용입력!$B$4:$F$63,5,FALSE),""),"")</f>
        <v/>
      </c>
      <c r="DA9" s="41" t="str">
        <f>IFERROR(IF(AS9=1,VLOOKUP(AS$2,활동내용입력!$B$4:$F$63,5,FALSE),""),"")</f>
        <v/>
      </c>
      <c r="DB9" s="41" t="str">
        <f>IFERROR(IF(AT9=1,VLOOKUP(AT$2,활동내용입력!$B$4:$F$63,5,FALSE),""),"")</f>
        <v/>
      </c>
      <c r="DC9" s="41" t="str">
        <f>IFERROR(IF(AU9=1,VLOOKUP(AU$2,활동내용입력!$B$4:$F$63,5,FALSE),""),"")</f>
        <v/>
      </c>
      <c r="DD9" s="41" t="str">
        <f>IFERROR(IF(AV9=1,VLOOKUP(AV$2,활동내용입력!$B$4:$F$63,5,FALSE),""),"")</f>
        <v/>
      </c>
      <c r="DE9" s="41" t="str">
        <f>IFERROR(IF(AW9=1,VLOOKUP(AW$2,활동내용입력!$B$4:$F$63,5,FALSE),""),"")</f>
        <v/>
      </c>
      <c r="DF9" s="41" t="str">
        <f>IFERROR(IF(AX9=1,VLOOKUP(AX$2,활동내용입력!$B$4:$F$63,5,FALSE),""),"")</f>
        <v/>
      </c>
      <c r="DG9" s="41" t="str">
        <f>IFERROR(IF(AY9=1,VLOOKUP(AY$2,활동내용입력!$B$4:$F$63,5,FALSE),""),"")</f>
        <v/>
      </c>
      <c r="DH9" s="41" t="str">
        <f>IFERROR(IF(AZ9=1,VLOOKUP(AZ$2,활동내용입력!$B$4:$F$63,5,FALSE),""),"")</f>
        <v/>
      </c>
      <c r="DI9" s="41" t="str">
        <f>IFERROR(IF(BA9=1,VLOOKUP(BA$2,활동내용입력!$B$4:$F$63,5,FALSE),""),"")</f>
        <v/>
      </c>
      <c r="DJ9" s="41" t="str">
        <f>IFERROR(IF(BB9=1,VLOOKUP(BB$2,활동내용입력!$B$4:$F$63,5,FALSE),""),"")</f>
        <v/>
      </c>
      <c r="DK9" s="41" t="str">
        <f>IFERROR(IF(BC9=1,VLOOKUP(BC$2,활동내용입력!$B$4:$F$63,5,FALSE),""),"")</f>
        <v/>
      </c>
      <c r="DL9" s="41" t="str">
        <f>IFERROR(IF(BD9=1,VLOOKUP(BD$2,활동내용입력!$B$4:$F$63,5,FALSE),""),"")</f>
        <v/>
      </c>
      <c r="DM9" s="41" t="str">
        <f>IFERROR(IF(BE9=1,VLOOKUP(BE$2,활동내용입력!$B$4:$F$63,5,FALSE),""),"")</f>
        <v/>
      </c>
      <c r="DN9" s="41" t="str">
        <f>IFERROR(IF(BF9=1,VLOOKUP(BF$2,활동내용입력!$B$4:$F$63,5,FALSE),""),"")</f>
        <v/>
      </c>
      <c r="DO9" s="41" t="str">
        <f>IFERROR(IF(BG9=1,VLOOKUP(BG$2,활동내용입력!$B$4:$F$63,5,FALSE),""),"")</f>
        <v/>
      </c>
      <c r="DP9" s="41" t="str">
        <f>IFERROR(IF(BH9=1,VLOOKUP(BH$2,활동내용입력!$B$4:$F$63,5,FALSE),""),"")</f>
        <v/>
      </c>
      <c r="DQ9" s="41" t="str">
        <f>IFERROR(IF(BI9=1,VLOOKUP(BI$2,활동내용입력!$B$4:$F$63,5,FALSE),""),"")</f>
        <v/>
      </c>
      <c r="DR9" s="41" t="str">
        <f>IFERROR(IF(BJ9=1,VLOOKUP(BJ$2,활동내용입력!$B$4:$F$63,5,FALSE),""),"")</f>
        <v/>
      </c>
      <c r="DS9" s="41" t="str">
        <f t="shared" si="7"/>
        <v xml:space="preserve">Custom List의 작성 및 동작에 대한 개념을 완벽하게 이해하고 있으며, 이를 바탕으로 다양한 상황에서 다양한 형태의 Custom List를 활용하는 능력이 우수함.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안드로이드 앱을 개발함.
</v>
      </c>
      <c r="DT9" s="42">
        <f t="shared" si="6"/>
        <v>5</v>
      </c>
      <c r="DU9" s="34"/>
    </row>
    <row r="10" spans="1:125" x14ac:dyDescent="0.4">
      <c r="A10" s="58">
        <v>6</v>
      </c>
      <c r="B10" s="57" t="s">
        <v>217</v>
      </c>
      <c r="C10" s="40"/>
      <c r="D10" s="40"/>
      <c r="E10" s="40">
        <v>1</v>
      </c>
      <c r="F10" s="40"/>
      <c r="G10" s="40"/>
      <c r="H10" s="40"/>
      <c r="I10" s="40"/>
      <c r="J10" s="40"/>
      <c r="K10" s="40"/>
      <c r="L10" s="40">
        <v>1</v>
      </c>
      <c r="M10" s="40"/>
      <c r="N10" s="40"/>
      <c r="O10" s="40">
        <v>1</v>
      </c>
      <c r="P10" s="40"/>
      <c r="Q10" s="40"/>
      <c r="R10" s="40">
        <v>1</v>
      </c>
      <c r="S10" s="40"/>
      <c r="T10" s="40"/>
      <c r="U10" s="40">
        <v>1</v>
      </c>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1" t="str">
        <f>IFERROR(IF(C10=1,VLOOKUP(C$2,활동내용입력!$B$4:$F$63,5,FALSE),""),"")</f>
        <v/>
      </c>
      <c r="BL10" s="41" t="str">
        <f>IFERROR(IF(D10=1,VLOOKUP(D$2,활동내용입력!$B$4:$F$63,5,FALSE),""),"")</f>
        <v/>
      </c>
      <c r="BM10" s="41" t="str">
        <f>IFERROR(IF(E10=1,VLOOKUP(E$2,활동내용입력!$B$4:$F$63,5,FALSE),""),"")</f>
        <v>액티비티의 LifeCycle에 대한 학습 과정 중 LifeCycle이 작동 순서와 활용 방법을 정확하게 이해하고 이를 활용하여 다양한 전략을 구사하는 등 유창성이 돋보임.</v>
      </c>
      <c r="BN10" s="41" t="str">
        <f>IFERROR(IF(F10=1,VLOOKUP(F$2,활동내용입력!$B$4:$F$63,5,FALSE),""),"")</f>
        <v/>
      </c>
      <c r="BO10" s="41" t="str">
        <f>IFERROR(IF(G10=1,VLOOKUP(G$2,활동내용입력!$B$4:$F$63,5,FALSE),""),"")</f>
        <v/>
      </c>
      <c r="BP10" s="41" t="str">
        <f>IFERROR(IF(H10=1,VLOOKUP(H$2,활동내용입력!$B$4:$F$63,5,FALSE),""),"")</f>
        <v/>
      </c>
      <c r="BQ10" s="41" t="str">
        <f>IFERROR(IF(I10=1,VLOOKUP(I$2,활동내용입력!$B$4:$F$63,5,FALSE),""),"")</f>
        <v/>
      </c>
      <c r="BR10" s="41" t="str">
        <f>IFERROR(IF(J10=1,VLOOKUP(J$2,활동내용입력!$B$4:$F$63,5,FALSE),""),"")</f>
        <v/>
      </c>
      <c r="BS10" s="41" t="str">
        <f>IFERROR(IF(K10=1,VLOOKUP(K$2,활동내용입력!$B$4:$F$63,5,FALSE),""),"")</f>
        <v/>
      </c>
      <c r="BT10" s="41" t="str">
        <f>IFERROR(IF(L10=1,VLOOKUP(L$2,활동내용입력!$B$4:$F$63,5,FALSE),""),"")</f>
        <v>문제 상황을 분석하여 문제의 현재 상태와 목표 상태를 설명할 수 있고 문제의 현재 상태에서 목표 상태에 도달하기 위해 수행해야 할 작업이 무엇인지 설명할 수 있음.</v>
      </c>
      <c r="BU10" s="41" t="str">
        <f>IFERROR(IF(M10=1,VLOOKUP(M$2,활동내용입력!$B$4:$F$63,5,FALSE),""),"")</f>
        <v/>
      </c>
      <c r="BV10" s="41" t="str">
        <f>IFERROR(IF(N10=1,VLOOKUP(N$2,활동내용입력!$B$4:$F$63,5,FALSE),""),"")</f>
        <v/>
      </c>
      <c r="BW10" s="41" t="str">
        <f>IFERROR(IF(O10=1,VLOOKUP(O$2,활동내용입력!$B$4:$F$63,5,FALSE),""),"")</f>
        <v>제시된 문제를 추상화하여 해결하기 쉬운 형태로 만들고, 그 해법을 탐색하여 알고리즘으로 표현할 수 있음.</v>
      </c>
      <c r="BX10" s="41" t="str">
        <f>IFERROR(IF(P10=1,VLOOKUP(P$2,활동내용입력!$B$4:$F$63,5,FALSE),""),"")</f>
        <v/>
      </c>
      <c r="BY10" s="41" t="str">
        <f>IFERROR(IF(Q10=1,VLOOKUP(Q$2,활동내용입력!$B$4:$F$63,5,FALSE),""),"")</f>
        <v/>
      </c>
      <c r="BZ10" s="41" t="str">
        <f>IFERROR(IF(R10=1,VLOOKUP(R$2,활동내용입력!$B$4:$F$63,5,FALSE),""),"")</f>
        <v>안드로이드 앱 개발에 흥미와 호기심을 가지고 수업시간 전 과정에 적극적으로 참여함.</v>
      </c>
      <c r="CA10" s="41" t="str">
        <f>IFERROR(IF(S10=1,VLOOKUP(S$2,활동내용입력!$B$4:$F$63,5,FALSE),""),"")</f>
        <v/>
      </c>
      <c r="CB10" s="41" t="str">
        <f>IFERROR(IF(T10=1,VLOOKUP(T$2,활동내용입력!$B$4:$F$63,5,FALSE),""),"")</f>
        <v/>
      </c>
      <c r="CC10" s="41" t="str">
        <f>IFERROR(IF(U10=1,VLOOKUP(U$2,활동내용입력!$B$4:$F$63,5,FALSE),""),"")</f>
        <v>●●● 안드로이드 앱을 개발함.</v>
      </c>
      <c r="CD10" s="41" t="str">
        <f>IFERROR(IF(V10=1,VLOOKUP(V$2,활동내용입력!$B$4:$F$63,5,FALSE),""),"")</f>
        <v/>
      </c>
      <c r="CE10" s="41" t="str">
        <f>IFERROR(IF(W10=1,VLOOKUP(W$2,활동내용입력!$B$4:$F$63,5,FALSE),""),"")</f>
        <v/>
      </c>
      <c r="CF10" s="41" t="str">
        <f>IFERROR(IF(X10=1,VLOOKUP(X$2,활동내용입력!$B$4:$F$63,5,FALSE),""),"")</f>
        <v/>
      </c>
      <c r="CG10" s="41" t="str">
        <f>IFERROR(IF(Y10=1,VLOOKUP(Y$2,활동내용입력!$B$4:$F$63,5,FALSE),""),"")</f>
        <v/>
      </c>
      <c r="CH10" s="41" t="str">
        <f>IFERROR(IF(Z10=1,VLOOKUP(Z$2,활동내용입력!$B$4:$F$63,5,FALSE),""),"")</f>
        <v/>
      </c>
      <c r="CI10" s="41" t="str">
        <f>IFERROR(IF(AA10=1,VLOOKUP(AA$2,활동내용입력!$B$4:$F$63,5,FALSE),""),"")</f>
        <v/>
      </c>
      <c r="CJ10" s="41" t="str">
        <f>IFERROR(IF(AB10=1,VLOOKUP(AB$2,활동내용입력!$B$4:$F$63,5,FALSE),""),"")</f>
        <v/>
      </c>
      <c r="CK10" s="41" t="str">
        <f>IFERROR(IF(AC10=1,VLOOKUP(AC$2,활동내용입력!$B$4:$F$63,5,FALSE),""),"")</f>
        <v/>
      </c>
      <c r="CL10" s="41" t="str">
        <f>IFERROR(IF(AD10=1,VLOOKUP(AD$2,활동내용입력!$B$4:$F$63,5,FALSE),""),"")</f>
        <v/>
      </c>
      <c r="CM10" s="41" t="str">
        <f>IFERROR(IF(AE10=1,VLOOKUP(AE$2,활동내용입력!$B$4:$F$63,5,FALSE),""),"")</f>
        <v/>
      </c>
      <c r="CN10" s="41" t="str">
        <f>IFERROR(IF(AF10=1,VLOOKUP(AF$2,활동내용입력!$B$4:$F$63,5,FALSE),""),"")</f>
        <v/>
      </c>
      <c r="CO10" s="41" t="str">
        <f>IFERROR(IF(AG10=1,VLOOKUP(AG$2,활동내용입력!$B$4:$F$63,5,FALSE),""),"")</f>
        <v/>
      </c>
      <c r="CP10" s="41" t="str">
        <f>IFERROR(IF(AH10=1,VLOOKUP(AH$2,활동내용입력!$B$4:$F$63,5,FALSE),""),"")</f>
        <v/>
      </c>
      <c r="CQ10" s="41" t="str">
        <f>IFERROR(IF(AI10=1,VLOOKUP(AI$2,활동내용입력!$B$4:$F$63,5,FALSE),""),"")</f>
        <v/>
      </c>
      <c r="CR10" s="41" t="str">
        <f>IFERROR(IF(AJ10=1,VLOOKUP(AJ$2,활동내용입력!$B$4:$F$63,5,FALSE),""),"")</f>
        <v/>
      </c>
      <c r="CS10" s="41" t="str">
        <f>IFERROR(IF(AK10=1,VLOOKUP(AK$2,활동내용입력!$B$4:$F$63,5,FALSE),""),"")</f>
        <v/>
      </c>
      <c r="CT10" s="41" t="str">
        <f>IFERROR(IF(AL10=1,VLOOKUP(AL$2,활동내용입력!$B$4:$F$63,5,FALSE),""),"")</f>
        <v/>
      </c>
      <c r="CU10" s="41" t="str">
        <f>IFERROR(IF(AM10=1,VLOOKUP(AM$2,활동내용입력!$B$4:$F$63,5,FALSE),""),"")</f>
        <v/>
      </c>
      <c r="CV10" s="41" t="str">
        <f>IFERROR(IF(AN10=1,VLOOKUP(AN$2,활동내용입력!$B$4:$F$63,5,FALSE),""),"")</f>
        <v/>
      </c>
      <c r="CW10" s="41" t="str">
        <f>IFERROR(IF(AO10=1,VLOOKUP(AO$2,활동내용입력!$B$4:$F$63,5,FALSE),""),"")</f>
        <v/>
      </c>
      <c r="CX10" s="41" t="str">
        <f>IFERROR(IF(AP10=1,VLOOKUP(AP$2,활동내용입력!$B$4:$F$63,5,FALSE),""),"")</f>
        <v/>
      </c>
      <c r="CY10" s="41" t="str">
        <f>IFERROR(IF(AQ10=1,VLOOKUP(AQ$2,활동내용입력!$B$4:$F$63,5,FALSE),""),"")</f>
        <v/>
      </c>
      <c r="CZ10" s="41" t="str">
        <f>IFERROR(IF(AR10=1,VLOOKUP(AR$2,활동내용입력!$B$4:$F$63,5,FALSE),""),"")</f>
        <v/>
      </c>
      <c r="DA10" s="41" t="str">
        <f>IFERROR(IF(AS10=1,VLOOKUP(AS$2,활동내용입력!$B$4:$F$63,5,FALSE),""),"")</f>
        <v/>
      </c>
      <c r="DB10" s="41" t="str">
        <f>IFERROR(IF(AT10=1,VLOOKUP(AT$2,활동내용입력!$B$4:$F$63,5,FALSE),""),"")</f>
        <v/>
      </c>
      <c r="DC10" s="41" t="str">
        <f>IFERROR(IF(AU10=1,VLOOKUP(AU$2,활동내용입력!$B$4:$F$63,5,FALSE),""),"")</f>
        <v/>
      </c>
      <c r="DD10" s="41" t="str">
        <f>IFERROR(IF(AV10=1,VLOOKUP(AV$2,활동내용입력!$B$4:$F$63,5,FALSE),""),"")</f>
        <v/>
      </c>
      <c r="DE10" s="41" t="str">
        <f>IFERROR(IF(AW10=1,VLOOKUP(AW$2,활동내용입력!$B$4:$F$63,5,FALSE),""),"")</f>
        <v/>
      </c>
      <c r="DF10" s="41" t="str">
        <f>IFERROR(IF(AX10=1,VLOOKUP(AX$2,활동내용입력!$B$4:$F$63,5,FALSE),""),"")</f>
        <v/>
      </c>
      <c r="DG10" s="41" t="str">
        <f>IFERROR(IF(AY10=1,VLOOKUP(AY$2,활동내용입력!$B$4:$F$63,5,FALSE),""),"")</f>
        <v/>
      </c>
      <c r="DH10" s="41" t="str">
        <f>IFERROR(IF(AZ10=1,VLOOKUP(AZ$2,활동내용입력!$B$4:$F$63,5,FALSE),""),"")</f>
        <v/>
      </c>
      <c r="DI10" s="41" t="str">
        <f>IFERROR(IF(BA10=1,VLOOKUP(BA$2,활동내용입력!$B$4:$F$63,5,FALSE),""),"")</f>
        <v/>
      </c>
      <c r="DJ10" s="41" t="str">
        <f>IFERROR(IF(BB10=1,VLOOKUP(BB$2,활동내용입력!$B$4:$F$63,5,FALSE),""),"")</f>
        <v/>
      </c>
      <c r="DK10" s="41" t="str">
        <f>IFERROR(IF(BC10=1,VLOOKUP(BC$2,활동내용입력!$B$4:$F$63,5,FALSE),""),"")</f>
        <v/>
      </c>
      <c r="DL10" s="41" t="str">
        <f>IFERROR(IF(BD10=1,VLOOKUP(BD$2,활동내용입력!$B$4:$F$63,5,FALSE),""),"")</f>
        <v/>
      </c>
      <c r="DM10" s="41" t="str">
        <f>IFERROR(IF(BE10=1,VLOOKUP(BE$2,활동내용입력!$B$4:$F$63,5,FALSE),""),"")</f>
        <v/>
      </c>
      <c r="DN10" s="41" t="str">
        <f>IFERROR(IF(BF10=1,VLOOKUP(BF$2,활동내용입력!$B$4:$F$63,5,FALSE),""),"")</f>
        <v/>
      </c>
      <c r="DO10" s="41" t="str">
        <f>IFERROR(IF(BG10=1,VLOOKUP(BG$2,활동내용입력!$B$4:$F$63,5,FALSE),""),"")</f>
        <v/>
      </c>
      <c r="DP10" s="41" t="str">
        <f>IFERROR(IF(BH10=1,VLOOKUP(BH$2,활동내용입력!$B$4:$F$63,5,FALSE),""),"")</f>
        <v/>
      </c>
      <c r="DQ10" s="41" t="str">
        <f>IFERROR(IF(BI10=1,VLOOKUP(BI$2,활동내용입력!$B$4:$F$63,5,FALSE),""),"")</f>
        <v/>
      </c>
      <c r="DR10" s="41" t="str">
        <f>IFERROR(IF(BJ10=1,VLOOKUP(BJ$2,활동내용입력!$B$4:$F$63,5,FALSE),""),"")</f>
        <v/>
      </c>
      <c r="DS10" s="41" t="str">
        <f t="shared" si="7"/>
        <v xml:space="preserve">액티비티의 LifeCycle에 대한 학습 과정 중 LifeCycle이 작동 순서와 활용 방법을 정확하게 이해하고 이를 활용하여 다양한 전략을 구사하는 등 유창성이 돋보임.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안드로이드 앱 개발에 흥미와 호기심을 가지고 수업시간 전 과정에 적극적으로 참여함.
●●● 안드로이드 앱을 개발함.
</v>
      </c>
      <c r="DT10" s="42">
        <f t="shared" si="6"/>
        <v>5</v>
      </c>
      <c r="DU10" s="34"/>
    </row>
    <row r="11" spans="1:125" x14ac:dyDescent="0.4">
      <c r="A11" s="58">
        <v>7</v>
      </c>
      <c r="B11" s="57" t="s">
        <v>218</v>
      </c>
      <c r="C11" s="40"/>
      <c r="D11" s="40">
        <v>1</v>
      </c>
      <c r="E11" s="40"/>
      <c r="F11" s="40"/>
      <c r="G11" s="40"/>
      <c r="H11" s="40"/>
      <c r="I11" s="40"/>
      <c r="J11" s="40"/>
      <c r="K11" s="40"/>
      <c r="L11" s="40">
        <v>1</v>
      </c>
      <c r="M11" s="40"/>
      <c r="N11" s="40"/>
      <c r="O11" s="40"/>
      <c r="P11" s="40">
        <v>1</v>
      </c>
      <c r="Q11" s="40"/>
      <c r="R11" s="40"/>
      <c r="S11" s="40">
        <v>1</v>
      </c>
      <c r="T11" s="40"/>
      <c r="U11" s="40">
        <v>1</v>
      </c>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1" t="str">
        <f>IFERROR(IF(C11=1,VLOOKUP(C$2,활동내용입력!$B$4:$F$63,5,FALSE),""),"")</f>
        <v/>
      </c>
      <c r="BL11" s="41" t="str">
        <f>IFERROR(IF(D11=1,VLOOKUP(D$2,활동내용입력!$B$4:$F$63,5,FALSE),""),"")</f>
        <v>명시적 인텐트와 암시적 인텐트를 정확하게 이해하고 인텐트를 이용하여 다른 액티비티에 데이터를 전달하고 돌려받는 과정을 정확하게 활용함.</v>
      </c>
      <c r="BM11" s="41" t="str">
        <f>IFERROR(IF(E11=1,VLOOKUP(E$2,활동내용입력!$B$4:$F$63,5,FALSE),""),"")</f>
        <v/>
      </c>
      <c r="BN11" s="41" t="str">
        <f>IFERROR(IF(F11=1,VLOOKUP(F$2,활동내용입력!$B$4:$F$63,5,FALSE),""),"")</f>
        <v/>
      </c>
      <c r="BO11" s="41" t="str">
        <f>IFERROR(IF(G11=1,VLOOKUP(G$2,활동내용입력!$B$4:$F$63,5,FALSE),""),"")</f>
        <v/>
      </c>
      <c r="BP11" s="41" t="str">
        <f>IFERROR(IF(H11=1,VLOOKUP(H$2,활동내용입력!$B$4:$F$63,5,FALSE),""),"")</f>
        <v/>
      </c>
      <c r="BQ11" s="41" t="str">
        <f>IFERROR(IF(I11=1,VLOOKUP(I$2,활동내용입력!$B$4:$F$63,5,FALSE),""),"")</f>
        <v/>
      </c>
      <c r="BR11" s="41" t="str">
        <f>IFERROR(IF(J11=1,VLOOKUP(J$2,활동내용입력!$B$4:$F$63,5,FALSE),""),"")</f>
        <v/>
      </c>
      <c r="BS11" s="41" t="str">
        <f>IFERROR(IF(K11=1,VLOOKUP(K$2,활동내용입력!$B$4:$F$63,5,FALSE),""),"")</f>
        <v/>
      </c>
      <c r="BT11" s="41" t="str">
        <f>IFERROR(IF(L11=1,VLOOKUP(L$2,활동내용입력!$B$4:$F$63,5,FALSE),""),"")</f>
        <v>문제 상황을 분석하여 문제의 현재 상태와 목표 상태를 설명할 수 있고 문제의 현재 상태에서 목표 상태에 도달하기 위해 수행해야 할 작업이 무엇인지 설명할 수 있음.</v>
      </c>
      <c r="BU11" s="41" t="str">
        <f>IFERROR(IF(M11=1,VLOOKUP(M$2,활동내용입력!$B$4:$F$63,5,FALSE),""),"")</f>
        <v/>
      </c>
      <c r="BV11" s="41" t="str">
        <f>IFERROR(IF(N11=1,VLOOKUP(N$2,활동내용입력!$B$4:$F$63,5,FALSE),""),"")</f>
        <v/>
      </c>
      <c r="BW11" s="41" t="str">
        <f>IFERROR(IF(O11=1,VLOOKUP(O$2,활동내용입력!$B$4:$F$63,5,FALSE),""),"")</f>
        <v/>
      </c>
      <c r="BX11" s="41" t="str">
        <f>IFERROR(IF(P11=1,VLOOKUP(P$2,활동내용입력!$B$4:$F$63,5,FALSE),""),"")</f>
        <v>제시된 문제 해결을 위한 소프트웨어를 설계 개발하고 동일한 문제 해결을 위해 활용 가능한 다양한 알고리즘의 차이를 비교할 수 있음.</v>
      </c>
      <c r="BY11" s="41" t="str">
        <f>IFERROR(IF(Q11=1,VLOOKUP(Q$2,활동내용입력!$B$4:$F$63,5,FALSE),""),"")</f>
        <v/>
      </c>
      <c r="BZ11" s="41" t="str">
        <f>IFERROR(IF(R11=1,VLOOKUP(R$2,활동내용입력!$B$4:$F$63,5,FALSE),""),"")</f>
        <v/>
      </c>
      <c r="CA11" s="41" t="str">
        <f>IFERROR(IF(S11=1,VLOOKUP(S$2,활동내용입력!$B$4:$F$63,5,FALSE),""),"")</f>
        <v>지적 호기심이 풍부하여 프로그램 개발 과정에서 새로운 해결방법을 발견하고 적용하는 것을 좋아함.</v>
      </c>
      <c r="CB11" s="41" t="str">
        <f>IFERROR(IF(T11=1,VLOOKUP(T$2,활동내용입력!$B$4:$F$63,5,FALSE),""),"")</f>
        <v/>
      </c>
      <c r="CC11" s="41" t="str">
        <f>IFERROR(IF(U11=1,VLOOKUP(U$2,활동내용입력!$B$4:$F$63,5,FALSE),""),"")</f>
        <v>●●● 안드로이드 앱을 개발함.</v>
      </c>
      <c r="CD11" s="41" t="str">
        <f>IFERROR(IF(V11=1,VLOOKUP(V$2,활동내용입력!$B$4:$F$63,5,FALSE),""),"")</f>
        <v/>
      </c>
      <c r="CE11" s="41" t="str">
        <f>IFERROR(IF(W11=1,VLOOKUP(W$2,활동내용입력!$B$4:$F$63,5,FALSE),""),"")</f>
        <v/>
      </c>
      <c r="CF11" s="41" t="str">
        <f>IFERROR(IF(X11=1,VLOOKUP(X$2,활동내용입력!$B$4:$F$63,5,FALSE),""),"")</f>
        <v/>
      </c>
      <c r="CG11" s="41" t="str">
        <f>IFERROR(IF(Y11=1,VLOOKUP(Y$2,활동내용입력!$B$4:$F$63,5,FALSE),""),"")</f>
        <v/>
      </c>
      <c r="CH11" s="41" t="str">
        <f>IFERROR(IF(Z11=1,VLOOKUP(Z$2,활동내용입력!$B$4:$F$63,5,FALSE),""),"")</f>
        <v/>
      </c>
      <c r="CI11" s="41" t="str">
        <f>IFERROR(IF(AA11=1,VLOOKUP(AA$2,활동내용입력!$B$4:$F$63,5,FALSE),""),"")</f>
        <v/>
      </c>
      <c r="CJ11" s="41" t="str">
        <f>IFERROR(IF(AB11=1,VLOOKUP(AB$2,활동내용입력!$B$4:$F$63,5,FALSE),""),"")</f>
        <v/>
      </c>
      <c r="CK11" s="41" t="str">
        <f>IFERROR(IF(AC11=1,VLOOKUP(AC$2,활동내용입력!$B$4:$F$63,5,FALSE),""),"")</f>
        <v/>
      </c>
      <c r="CL11" s="41" t="str">
        <f>IFERROR(IF(AD11=1,VLOOKUP(AD$2,활동내용입력!$B$4:$F$63,5,FALSE),""),"")</f>
        <v/>
      </c>
      <c r="CM11" s="41" t="str">
        <f>IFERROR(IF(AE11=1,VLOOKUP(AE$2,활동내용입력!$B$4:$F$63,5,FALSE),""),"")</f>
        <v/>
      </c>
      <c r="CN11" s="41" t="str">
        <f>IFERROR(IF(AF11=1,VLOOKUP(AF$2,활동내용입력!$B$4:$F$63,5,FALSE),""),"")</f>
        <v/>
      </c>
      <c r="CO11" s="41" t="str">
        <f>IFERROR(IF(AG11=1,VLOOKUP(AG$2,활동내용입력!$B$4:$F$63,5,FALSE),""),"")</f>
        <v/>
      </c>
      <c r="CP11" s="41" t="str">
        <f>IFERROR(IF(AH11=1,VLOOKUP(AH$2,활동내용입력!$B$4:$F$63,5,FALSE),""),"")</f>
        <v/>
      </c>
      <c r="CQ11" s="41" t="str">
        <f>IFERROR(IF(AI11=1,VLOOKUP(AI$2,활동내용입력!$B$4:$F$63,5,FALSE),""),"")</f>
        <v/>
      </c>
      <c r="CR11" s="41" t="str">
        <f>IFERROR(IF(AJ11=1,VLOOKUP(AJ$2,활동내용입력!$B$4:$F$63,5,FALSE),""),"")</f>
        <v/>
      </c>
      <c r="CS11" s="41" t="str">
        <f>IFERROR(IF(AK11=1,VLOOKUP(AK$2,활동내용입력!$B$4:$F$63,5,FALSE),""),"")</f>
        <v/>
      </c>
      <c r="CT11" s="41" t="str">
        <f>IFERROR(IF(AL11=1,VLOOKUP(AL$2,활동내용입력!$B$4:$F$63,5,FALSE),""),"")</f>
        <v/>
      </c>
      <c r="CU11" s="41" t="str">
        <f>IFERROR(IF(AM11=1,VLOOKUP(AM$2,활동내용입력!$B$4:$F$63,5,FALSE),""),"")</f>
        <v/>
      </c>
      <c r="CV11" s="41" t="str">
        <f>IFERROR(IF(AN11=1,VLOOKUP(AN$2,활동내용입력!$B$4:$F$63,5,FALSE),""),"")</f>
        <v/>
      </c>
      <c r="CW11" s="41" t="str">
        <f>IFERROR(IF(AO11=1,VLOOKUP(AO$2,활동내용입력!$B$4:$F$63,5,FALSE),""),"")</f>
        <v/>
      </c>
      <c r="CX11" s="41" t="str">
        <f>IFERROR(IF(AP11=1,VLOOKUP(AP$2,활동내용입력!$B$4:$F$63,5,FALSE),""),"")</f>
        <v/>
      </c>
      <c r="CY11" s="41" t="str">
        <f>IFERROR(IF(AQ11=1,VLOOKUP(AQ$2,활동내용입력!$B$4:$F$63,5,FALSE),""),"")</f>
        <v/>
      </c>
      <c r="CZ11" s="41" t="str">
        <f>IFERROR(IF(AR11=1,VLOOKUP(AR$2,활동내용입력!$B$4:$F$63,5,FALSE),""),"")</f>
        <v/>
      </c>
      <c r="DA11" s="41" t="str">
        <f>IFERROR(IF(AS11=1,VLOOKUP(AS$2,활동내용입력!$B$4:$F$63,5,FALSE),""),"")</f>
        <v/>
      </c>
      <c r="DB11" s="41" t="str">
        <f>IFERROR(IF(AT11=1,VLOOKUP(AT$2,활동내용입력!$B$4:$F$63,5,FALSE),""),"")</f>
        <v/>
      </c>
      <c r="DC11" s="41" t="str">
        <f>IFERROR(IF(AU11=1,VLOOKUP(AU$2,활동내용입력!$B$4:$F$63,5,FALSE),""),"")</f>
        <v/>
      </c>
      <c r="DD11" s="41" t="str">
        <f>IFERROR(IF(AV11=1,VLOOKUP(AV$2,활동내용입력!$B$4:$F$63,5,FALSE),""),"")</f>
        <v/>
      </c>
      <c r="DE11" s="41" t="str">
        <f>IFERROR(IF(AW11=1,VLOOKUP(AW$2,활동내용입력!$B$4:$F$63,5,FALSE),""),"")</f>
        <v/>
      </c>
      <c r="DF11" s="41" t="str">
        <f>IFERROR(IF(AX11=1,VLOOKUP(AX$2,활동내용입력!$B$4:$F$63,5,FALSE),""),"")</f>
        <v/>
      </c>
      <c r="DG11" s="41" t="str">
        <f>IFERROR(IF(AY11=1,VLOOKUP(AY$2,활동내용입력!$B$4:$F$63,5,FALSE),""),"")</f>
        <v/>
      </c>
      <c r="DH11" s="41" t="str">
        <f>IFERROR(IF(AZ11=1,VLOOKUP(AZ$2,활동내용입력!$B$4:$F$63,5,FALSE),""),"")</f>
        <v/>
      </c>
      <c r="DI11" s="41" t="str">
        <f>IFERROR(IF(BA11=1,VLOOKUP(BA$2,활동내용입력!$B$4:$F$63,5,FALSE),""),"")</f>
        <v/>
      </c>
      <c r="DJ11" s="41" t="str">
        <f>IFERROR(IF(BB11=1,VLOOKUP(BB$2,활동내용입력!$B$4:$F$63,5,FALSE),""),"")</f>
        <v/>
      </c>
      <c r="DK11" s="41" t="str">
        <f>IFERROR(IF(BC11=1,VLOOKUP(BC$2,활동내용입력!$B$4:$F$63,5,FALSE),""),"")</f>
        <v/>
      </c>
      <c r="DL11" s="41" t="str">
        <f>IFERROR(IF(BD11=1,VLOOKUP(BD$2,활동내용입력!$B$4:$F$63,5,FALSE),""),"")</f>
        <v/>
      </c>
      <c r="DM11" s="41" t="str">
        <f>IFERROR(IF(BE11=1,VLOOKUP(BE$2,활동내용입력!$B$4:$F$63,5,FALSE),""),"")</f>
        <v/>
      </c>
      <c r="DN11" s="41" t="str">
        <f>IFERROR(IF(BF11=1,VLOOKUP(BF$2,활동내용입력!$B$4:$F$63,5,FALSE),""),"")</f>
        <v/>
      </c>
      <c r="DO11" s="41" t="str">
        <f>IFERROR(IF(BG11=1,VLOOKUP(BG$2,활동내용입력!$B$4:$F$63,5,FALSE),""),"")</f>
        <v/>
      </c>
      <c r="DP11" s="41" t="str">
        <f>IFERROR(IF(BH11=1,VLOOKUP(BH$2,활동내용입력!$B$4:$F$63,5,FALSE),""),"")</f>
        <v/>
      </c>
      <c r="DQ11" s="41" t="str">
        <f>IFERROR(IF(BI11=1,VLOOKUP(BI$2,활동내용입력!$B$4:$F$63,5,FALSE),""),"")</f>
        <v/>
      </c>
      <c r="DR11" s="41" t="str">
        <f>IFERROR(IF(BJ11=1,VLOOKUP(BJ$2,활동내용입력!$B$4:$F$63,5,FALSE),""),"")</f>
        <v/>
      </c>
      <c r="DS11" s="41" t="str">
        <f t="shared" si="7"/>
        <v xml:space="preserve">명시적 인텐트와 암시적 인텐트를 정확하게 이해하고 인텐트를 이용하여 다른 액티비티에 데이터를 전달하고 돌려받는 과정을 정확하게 활용함.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안드로이드 앱을 개발함.
</v>
      </c>
      <c r="DT11" s="42">
        <f t="shared" si="6"/>
        <v>5</v>
      </c>
      <c r="DU11" s="34"/>
    </row>
    <row r="12" spans="1:125" x14ac:dyDescent="0.4">
      <c r="A12" s="58">
        <v>8</v>
      </c>
      <c r="B12" s="57" t="s">
        <v>219</v>
      </c>
      <c r="C12" s="40">
        <v>1</v>
      </c>
      <c r="D12" s="40"/>
      <c r="E12" s="40"/>
      <c r="F12" s="40"/>
      <c r="G12" s="40"/>
      <c r="H12" s="40"/>
      <c r="I12" s="40"/>
      <c r="J12" s="40"/>
      <c r="K12" s="40">
        <v>1</v>
      </c>
      <c r="L12" s="40"/>
      <c r="M12" s="40">
        <v>1</v>
      </c>
      <c r="N12" s="40"/>
      <c r="O12" s="40"/>
      <c r="P12" s="40"/>
      <c r="Q12" s="40">
        <v>1</v>
      </c>
      <c r="R12" s="40"/>
      <c r="S12" s="40"/>
      <c r="T12" s="40">
        <v>1</v>
      </c>
      <c r="U12" s="40">
        <v>1</v>
      </c>
      <c r="V12" s="40"/>
      <c r="W12" s="40">
        <v>1</v>
      </c>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1" t="str">
        <f>IFERROR(IF(C12=1,VLOOKUP(C$2,활동내용입력!$B$4:$F$63,5,FALSE),""),"")</f>
        <v>안드로이드Layout의 구성과 동작 원리를 분석하여 Widget 간의 관계와 역할을 탐색하고, 주어진 문제 해결에 필요한 Layout과 Widget을 선택하여 프로그램을 설계 개발함.</v>
      </c>
      <c r="BL12" s="41" t="str">
        <f>IFERROR(IF(D12=1,VLOOKUP(D$2,활동내용입력!$B$4:$F$63,5,FALSE),""),"")</f>
        <v/>
      </c>
      <c r="BM12" s="41" t="str">
        <f>IFERROR(IF(E12=1,VLOOKUP(E$2,활동내용입력!$B$4:$F$63,5,FALSE),""),"")</f>
        <v/>
      </c>
      <c r="BN12" s="41" t="str">
        <f>IFERROR(IF(F12=1,VLOOKUP(F$2,활동내용입력!$B$4:$F$63,5,FALSE),""),"")</f>
        <v/>
      </c>
      <c r="BO12" s="41" t="str">
        <f>IFERROR(IF(G12=1,VLOOKUP(G$2,활동내용입력!$B$4:$F$63,5,FALSE),""),"")</f>
        <v/>
      </c>
      <c r="BP12" s="41" t="str">
        <f>IFERROR(IF(H12=1,VLOOKUP(H$2,활동내용입력!$B$4:$F$63,5,FALSE),""),"")</f>
        <v/>
      </c>
      <c r="BQ12" s="41" t="str">
        <f>IFERROR(IF(I12=1,VLOOKUP(I$2,활동내용입력!$B$4:$F$63,5,FALSE),""),"")</f>
        <v/>
      </c>
      <c r="BR12" s="41" t="str">
        <f>IFERROR(IF(J12=1,VLOOKUP(J$2,활동내용입력!$B$4:$F$63,5,FALSE),""),"")</f>
        <v/>
      </c>
      <c r="BS12" s="41" t="str">
        <f>IFERROR(IF(K12=1,VLOOKUP(K$2,활동내용입력!$B$4:$F$63,5,FALSE),""),"")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12" s="41" t="str">
        <f>IFERROR(IF(L12=1,VLOOKUP(L$2,활동내용입력!$B$4:$F$63,5,FALSE),""),"")</f>
        <v/>
      </c>
      <c r="BU12" s="41" t="str">
        <f>IFERROR(IF(M12=1,VLOOKUP(M$2,활동내용입력!$B$4:$F$63,5,FALSE),""),"")</f>
        <v>실생활 문제 해결을 위한 소프트웨어를 설계 개발하고 동일한 문제 해결을 위해 개발한 알고리즘과 프로그램의 동작 원리를 비교 분석할 수 있음.</v>
      </c>
      <c r="BV12" s="41" t="str">
        <f>IFERROR(IF(N12=1,VLOOKUP(N$2,활동내용입력!$B$4:$F$63,5,FALSE),""),"")</f>
        <v/>
      </c>
      <c r="BW12" s="41" t="str">
        <f>IFERROR(IF(O12=1,VLOOKUP(O$2,활동내용입력!$B$4:$F$63,5,FALSE),""),"")</f>
        <v/>
      </c>
      <c r="BX12" s="41" t="str">
        <f>IFERROR(IF(P12=1,VLOOKUP(P$2,활동내용입력!$B$4:$F$63,5,FALSE),""),"")</f>
        <v/>
      </c>
      <c r="BY12" s="41" t="str">
        <f>IFERROR(IF(Q12=1,VLOOKUP(Q$2,활동내용입력!$B$4:$F$63,5,FALSE),""),"")</f>
        <v>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12" s="41" t="str">
        <f>IFERROR(IF(R12=1,VLOOKUP(R$2,활동내용입력!$B$4:$F$63,5,FALSE),""),"")</f>
        <v/>
      </c>
      <c r="CA12" s="41" t="str">
        <f>IFERROR(IF(S12=1,VLOOKUP(S$2,활동내용입력!$B$4:$F$63,5,FALSE),""),"")</f>
        <v/>
      </c>
      <c r="CB12" s="41" t="str">
        <f>IFERROR(IF(T12=1,VLOOKUP(T$2,활동내용입력!$B$4:$F$63,5,FALSE),""),"")</f>
        <v>안드로이드 앱 개발 프로젝트 수행 과정에 주도적으로 참여하여 과제를 수행함.</v>
      </c>
      <c r="CC12" s="41" t="str">
        <f>IFERROR(IF(U12=1,VLOOKUP(U$2,활동내용입력!$B$4:$F$63,5,FALSE),""),"")</f>
        <v>●●● 안드로이드 앱을 개발함.</v>
      </c>
      <c r="CD12" s="41" t="str">
        <f>IFERROR(IF(V12=1,VLOOKUP(V$2,활동내용입력!$B$4:$F$63,5,FALSE),""),"")</f>
        <v/>
      </c>
      <c r="CE12" s="41" t="str">
        <f>IFERROR(IF(W12=1,VLOOKUP(W$2,활동내용입력!$B$4:$F$63,5,FALSE),""),"")</f>
        <v>프로젝트 산출물을 발표하는 자리에서 프로그램의 동작 과정과 원리를 잘 설명하여 다른 친구들의 공감을 얻음.</v>
      </c>
      <c r="CF12" s="41" t="str">
        <f>IFERROR(IF(X12=1,VLOOKUP(X$2,활동내용입력!$B$4:$F$63,5,FALSE),""),"")</f>
        <v/>
      </c>
      <c r="CG12" s="41" t="str">
        <f>IFERROR(IF(Y12=1,VLOOKUP(Y$2,활동내용입력!$B$4:$F$63,5,FALSE),""),"")</f>
        <v/>
      </c>
      <c r="CH12" s="41" t="str">
        <f>IFERROR(IF(Z12=1,VLOOKUP(Z$2,활동내용입력!$B$4:$F$63,5,FALSE),""),"")</f>
        <v/>
      </c>
      <c r="CI12" s="41" t="str">
        <f>IFERROR(IF(AA12=1,VLOOKUP(AA$2,활동내용입력!$B$4:$F$63,5,FALSE),""),"")</f>
        <v/>
      </c>
      <c r="CJ12" s="41" t="str">
        <f>IFERROR(IF(AB12=1,VLOOKUP(AB$2,활동내용입력!$B$4:$F$63,5,FALSE),""),"")</f>
        <v/>
      </c>
      <c r="CK12" s="41" t="str">
        <f>IFERROR(IF(AC12=1,VLOOKUP(AC$2,활동내용입력!$B$4:$F$63,5,FALSE),""),"")</f>
        <v/>
      </c>
      <c r="CL12" s="41" t="str">
        <f>IFERROR(IF(AD12=1,VLOOKUP(AD$2,활동내용입력!$B$4:$F$63,5,FALSE),""),"")</f>
        <v/>
      </c>
      <c r="CM12" s="41" t="str">
        <f>IFERROR(IF(AE12=1,VLOOKUP(AE$2,활동내용입력!$B$4:$F$63,5,FALSE),""),"")</f>
        <v/>
      </c>
      <c r="CN12" s="41" t="str">
        <f>IFERROR(IF(AF12=1,VLOOKUP(AF$2,활동내용입력!$B$4:$F$63,5,FALSE),""),"")</f>
        <v/>
      </c>
      <c r="CO12" s="41" t="str">
        <f>IFERROR(IF(AG12=1,VLOOKUP(AG$2,활동내용입력!$B$4:$F$63,5,FALSE),""),"")</f>
        <v/>
      </c>
      <c r="CP12" s="41" t="str">
        <f>IFERROR(IF(AH12=1,VLOOKUP(AH$2,활동내용입력!$B$4:$F$63,5,FALSE),""),"")</f>
        <v/>
      </c>
      <c r="CQ12" s="41" t="str">
        <f>IFERROR(IF(AI12=1,VLOOKUP(AI$2,활동내용입력!$B$4:$F$63,5,FALSE),""),"")</f>
        <v/>
      </c>
      <c r="CR12" s="41" t="str">
        <f>IFERROR(IF(AJ12=1,VLOOKUP(AJ$2,활동내용입력!$B$4:$F$63,5,FALSE),""),"")</f>
        <v/>
      </c>
      <c r="CS12" s="41" t="str">
        <f>IFERROR(IF(AK12=1,VLOOKUP(AK$2,활동내용입력!$B$4:$F$63,5,FALSE),""),"")</f>
        <v/>
      </c>
      <c r="CT12" s="41" t="str">
        <f>IFERROR(IF(AL12=1,VLOOKUP(AL$2,활동내용입력!$B$4:$F$63,5,FALSE),""),"")</f>
        <v/>
      </c>
      <c r="CU12" s="41" t="str">
        <f>IFERROR(IF(AM12=1,VLOOKUP(AM$2,활동내용입력!$B$4:$F$63,5,FALSE),""),"")</f>
        <v/>
      </c>
      <c r="CV12" s="41" t="str">
        <f>IFERROR(IF(AN12=1,VLOOKUP(AN$2,활동내용입력!$B$4:$F$63,5,FALSE),""),"")</f>
        <v/>
      </c>
      <c r="CW12" s="41" t="str">
        <f>IFERROR(IF(AO12=1,VLOOKUP(AO$2,활동내용입력!$B$4:$F$63,5,FALSE),""),"")</f>
        <v/>
      </c>
      <c r="CX12" s="41" t="str">
        <f>IFERROR(IF(AP12=1,VLOOKUP(AP$2,활동내용입력!$B$4:$F$63,5,FALSE),""),"")</f>
        <v/>
      </c>
      <c r="CY12" s="41" t="str">
        <f>IFERROR(IF(AQ12=1,VLOOKUP(AQ$2,활동내용입력!$B$4:$F$63,5,FALSE),""),"")</f>
        <v/>
      </c>
      <c r="CZ12" s="41" t="str">
        <f>IFERROR(IF(AR12=1,VLOOKUP(AR$2,활동내용입력!$B$4:$F$63,5,FALSE),""),"")</f>
        <v/>
      </c>
      <c r="DA12" s="41" t="str">
        <f>IFERROR(IF(AS12=1,VLOOKUP(AS$2,활동내용입력!$B$4:$F$63,5,FALSE),""),"")</f>
        <v/>
      </c>
      <c r="DB12" s="41" t="str">
        <f>IFERROR(IF(AT12=1,VLOOKUP(AT$2,활동내용입력!$B$4:$F$63,5,FALSE),""),"")</f>
        <v/>
      </c>
      <c r="DC12" s="41" t="str">
        <f>IFERROR(IF(AU12=1,VLOOKUP(AU$2,활동내용입력!$B$4:$F$63,5,FALSE),""),"")</f>
        <v/>
      </c>
      <c r="DD12" s="41" t="str">
        <f>IFERROR(IF(AV12=1,VLOOKUP(AV$2,활동내용입력!$B$4:$F$63,5,FALSE),""),"")</f>
        <v/>
      </c>
      <c r="DE12" s="41" t="str">
        <f>IFERROR(IF(AW12=1,VLOOKUP(AW$2,활동내용입력!$B$4:$F$63,5,FALSE),""),"")</f>
        <v/>
      </c>
      <c r="DF12" s="41" t="str">
        <f>IFERROR(IF(AX12=1,VLOOKUP(AX$2,활동내용입력!$B$4:$F$63,5,FALSE),""),"")</f>
        <v/>
      </c>
      <c r="DG12" s="41" t="str">
        <f>IFERROR(IF(AY12=1,VLOOKUP(AY$2,활동내용입력!$B$4:$F$63,5,FALSE),""),"")</f>
        <v/>
      </c>
      <c r="DH12" s="41" t="str">
        <f>IFERROR(IF(AZ12=1,VLOOKUP(AZ$2,활동내용입력!$B$4:$F$63,5,FALSE),""),"")</f>
        <v/>
      </c>
      <c r="DI12" s="41" t="str">
        <f>IFERROR(IF(BA12=1,VLOOKUP(BA$2,활동내용입력!$B$4:$F$63,5,FALSE),""),"")</f>
        <v/>
      </c>
      <c r="DJ12" s="41" t="str">
        <f>IFERROR(IF(BB12=1,VLOOKUP(BB$2,활동내용입력!$B$4:$F$63,5,FALSE),""),"")</f>
        <v/>
      </c>
      <c r="DK12" s="41" t="str">
        <f>IFERROR(IF(BC12=1,VLOOKUP(BC$2,활동내용입력!$B$4:$F$63,5,FALSE),""),"")</f>
        <v/>
      </c>
      <c r="DL12" s="41" t="str">
        <f>IFERROR(IF(BD12=1,VLOOKUP(BD$2,활동내용입력!$B$4:$F$63,5,FALSE),""),"")</f>
        <v/>
      </c>
      <c r="DM12" s="41" t="str">
        <f>IFERROR(IF(BE12=1,VLOOKUP(BE$2,활동내용입력!$B$4:$F$63,5,FALSE),""),"")</f>
        <v/>
      </c>
      <c r="DN12" s="41" t="str">
        <f>IFERROR(IF(BF12=1,VLOOKUP(BF$2,활동내용입력!$B$4:$F$63,5,FALSE),""),"")</f>
        <v/>
      </c>
      <c r="DO12" s="41" t="str">
        <f>IFERROR(IF(BG12=1,VLOOKUP(BG$2,활동내용입력!$B$4:$F$63,5,FALSE),""),"")</f>
        <v/>
      </c>
      <c r="DP12" s="41" t="str">
        <f>IFERROR(IF(BH12=1,VLOOKUP(BH$2,활동내용입력!$B$4:$F$63,5,FALSE),""),"")</f>
        <v/>
      </c>
      <c r="DQ12" s="41" t="str">
        <f>IFERROR(IF(BI12=1,VLOOKUP(BI$2,활동내용입력!$B$4:$F$63,5,FALSE),""),"")</f>
        <v/>
      </c>
      <c r="DR12" s="41" t="str">
        <f>IFERROR(IF(BJ12=1,VLOOKUP(BJ$2,활동내용입력!$B$4:$F$63,5,FALSE),""),"")</f>
        <v/>
      </c>
      <c r="DS12" s="41" t="str">
        <f t="shared" si="7"/>
        <v xml:space="preserve">안드로이드Layout의 구성과 동작 원리를 분석하여 Widget 간의 관계와 역할을 탐색하고, 주어진 문제 해결에 필요한 Layout과 Widget을 선택하여 프로그램을 설계 개발함.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프로젝트 산출물을 발표하는 자리에서 프로그램의 동작 과정과 원리를 잘 설명하여 다른 친구들의 공감을 얻음.
</v>
      </c>
      <c r="DT12" s="42">
        <f t="shared" si="6"/>
        <v>7</v>
      </c>
      <c r="DU12" s="34"/>
    </row>
    <row r="13" spans="1:125" x14ac:dyDescent="0.4">
      <c r="A13" s="58">
        <v>9</v>
      </c>
      <c r="B13" s="57" t="s">
        <v>220</v>
      </c>
      <c r="C13" s="40"/>
      <c r="D13" s="40"/>
      <c r="E13" s="40"/>
      <c r="F13" s="40"/>
      <c r="G13" s="40"/>
      <c r="H13" s="40"/>
      <c r="I13" s="40"/>
      <c r="J13" s="40">
        <v>1</v>
      </c>
      <c r="K13" s="40">
        <v>1</v>
      </c>
      <c r="L13" s="40"/>
      <c r="M13" s="40"/>
      <c r="N13" s="40">
        <v>1</v>
      </c>
      <c r="O13" s="40"/>
      <c r="P13" s="40"/>
      <c r="Q13" s="40">
        <v>1</v>
      </c>
      <c r="R13" s="40"/>
      <c r="S13" s="40"/>
      <c r="T13" s="40">
        <v>1</v>
      </c>
      <c r="U13" s="40">
        <v>1</v>
      </c>
      <c r="V13" s="40">
        <v>1</v>
      </c>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1" t="str">
        <f>IFERROR(IF(C13=1,VLOOKUP(C$2,활동내용입력!$B$4:$F$63,5,FALSE),""),"")</f>
        <v/>
      </c>
      <c r="BL13" s="41" t="str">
        <f>IFERROR(IF(D13=1,VLOOKUP(D$2,활동내용입력!$B$4:$F$63,5,FALSE),""),"")</f>
        <v/>
      </c>
      <c r="BM13" s="41" t="str">
        <f>IFERROR(IF(E13=1,VLOOKUP(E$2,활동내용입력!$B$4:$F$63,5,FALSE),""),"")</f>
        <v/>
      </c>
      <c r="BN13" s="41" t="str">
        <f>IFERROR(IF(F13=1,VLOOKUP(F$2,활동내용입력!$B$4:$F$63,5,FALSE),""),"")</f>
        <v/>
      </c>
      <c r="BO13" s="41" t="str">
        <f>IFERROR(IF(G13=1,VLOOKUP(G$2,활동내용입력!$B$4:$F$63,5,FALSE),""),"")</f>
        <v/>
      </c>
      <c r="BP13" s="41" t="str">
        <f>IFERROR(IF(H13=1,VLOOKUP(H$2,활동내용입력!$B$4:$F$63,5,FALSE),""),"")</f>
        <v/>
      </c>
      <c r="BQ13" s="41" t="str">
        <f>IFERROR(IF(I13=1,VLOOKUP(I$2,활동내용입력!$B$4:$F$63,5,FALSE),""),"")</f>
        <v/>
      </c>
      <c r="BR13" s="41" t="str">
        <f>IFERROR(IF(J13=1,VLOOKUP(J$2,활동내용입력!$B$4:$F$63,5,FALSE),""),"")</f>
        <v>멀티미디어 자료를 활용하는 기본적인 방법과 응용 방법을 이해하고 있으며, 안드로이드 프로그램에서 음악과 사진 등의 멀티미디어 자료를 적절하게 활용함.</v>
      </c>
      <c r="BS13" s="41" t="str">
        <f>IFERROR(IF(K13=1,VLOOKUP(K$2,활동내용입력!$B$4:$F$63,5,FALSE),""),"")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13" s="41" t="str">
        <f>IFERROR(IF(L13=1,VLOOKUP(L$2,활동내용입력!$B$4:$F$63,5,FALSE),""),"")</f>
        <v/>
      </c>
      <c r="BU13" s="41" t="str">
        <f>IFERROR(IF(M13=1,VLOOKUP(M$2,활동내용입력!$B$4:$F$63,5,FALSE),""),"")</f>
        <v/>
      </c>
      <c r="BV13" s="41" t="str">
        <f>IFERROR(IF(N13=1,VLOOKUP(N$2,활동내용입력!$B$4:$F$63,5,FALSE),""),"")</f>
        <v>문제 해결을 위한 다양한 방법과 절차를 탐색하고 해결 절차를 글이나 그림으로 논리적이고 명확하게 표현할 수 있음.</v>
      </c>
      <c r="BW13" s="41" t="str">
        <f>IFERROR(IF(O13=1,VLOOKUP(O$2,활동내용입력!$B$4:$F$63,5,FALSE),""),"")</f>
        <v/>
      </c>
      <c r="BX13" s="41" t="str">
        <f>IFERROR(IF(P13=1,VLOOKUP(P$2,활동내용입력!$B$4:$F$63,5,FALSE),""),"")</f>
        <v/>
      </c>
      <c r="BY13" s="41" t="str">
        <f>IFERROR(IF(Q13=1,VLOOKUP(Q$2,활동내용입력!$B$4:$F$63,5,FALSE),""),"")</f>
        <v>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13" s="41" t="str">
        <f>IFERROR(IF(R13=1,VLOOKUP(R$2,활동내용입력!$B$4:$F$63,5,FALSE),""),"")</f>
        <v/>
      </c>
      <c r="CA13" s="41" t="str">
        <f>IFERROR(IF(S13=1,VLOOKUP(S$2,활동내용입력!$B$4:$F$63,5,FALSE),""),"")</f>
        <v/>
      </c>
      <c r="CB13" s="41" t="str">
        <f>IFERROR(IF(T13=1,VLOOKUP(T$2,활동내용입력!$B$4:$F$63,5,FALSE),""),"")</f>
        <v>안드로이드 앱 개발 프로젝트 수행 과정에 주도적으로 참여하여 과제를 수행함.</v>
      </c>
      <c r="CC13" s="41" t="str">
        <f>IFERROR(IF(U13=1,VLOOKUP(U$2,활동내용입력!$B$4:$F$63,5,FALSE),""),"")</f>
        <v>●●● 안드로이드 앱을 개발함.</v>
      </c>
      <c r="CD13" s="41" t="str">
        <f>IFERROR(IF(V13=1,VLOOKUP(V$2,활동내용입력!$B$4:$F$63,5,FALSE),""),"")</f>
        <v>안드로이드 앱 개발에 관련된 산출물 제작 방법을 다른 사람들에게 체계적으로 설명함.</v>
      </c>
      <c r="CE13" s="41" t="str">
        <f>IFERROR(IF(W13=1,VLOOKUP(W$2,활동내용입력!$B$4:$F$63,5,FALSE),""),"")</f>
        <v/>
      </c>
      <c r="CF13" s="41" t="str">
        <f>IFERROR(IF(X13=1,VLOOKUP(X$2,활동내용입력!$B$4:$F$63,5,FALSE),""),"")</f>
        <v/>
      </c>
      <c r="CG13" s="41" t="str">
        <f>IFERROR(IF(Y13=1,VLOOKUP(Y$2,활동내용입력!$B$4:$F$63,5,FALSE),""),"")</f>
        <v/>
      </c>
      <c r="CH13" s="41" t="str">
        <f>IFERROR(IF(Z13=1,VLOOKUP(Z$2,활동내용입력!$B$4:$F$63,5,FALSE),""),"")</f>
        <v/>
      </c>
      <c r="CI13" s="41" t="str">
        <f>IFERROR(IF(AA13=1,VLOOKUP(AA$2,활동내용입력!$B$4:$F$63,5,FALSE),""),"")</f>
        <v/>
      </c>
      <c r="CJ13" s="41" t="str">
        <f>IFERROR(IF(AB13=1,VLOOKUP(AB$2,활동내용입력!$B$4:$F$63,5,FALSE),""),"")</f>
        <v/>
      </c>
      <c r="CK13" s="41" t="str">
        <f>IFERROR(IF(AC13=1,VLOOKUP(AC$2,활동내용입력!$B$4:$F$63,5,FALSE),""),"")</f>
        <v/>
      </c>
      <c r="CL13" s="41" t="str">
        <f>IFERROR(IF(AD13=1,VLOOKUP(AD$2,활동내용입력!$B$4:$F$63,5,FALSE),""),"")</f>
        <v/>
      </c>
      <c r="CM13" s="41" t="str">
        <f>IFERROR(IF(AE13=1,VLOOKUP(AE$2,활동내용입력!$B$4:$F$63,5,FALSE),""),"")</f>
        <v/>
      </c>
      <c r="CN13" s="41" t="str">
        <f>IFERROR(IF(AF13=1,VLOOKUP(AF$2,활동내용입력!$B$4:$F$63,5,FALSE),""),"")</f>
        <v/>
      </c>
      <c r="CO13" s="41" t="str">
        <f>IFERROR(IF(AG13=1,VLOOKUP(AG$2,활동내용입력!$B$4:$F$63,5,FALSE),""),"")</f>
        <v/>
      </c>
      <c r="CP13" s="41" t="str">
        <f>IFERROR(IF(AH13=1,VLOOKUP(AH$2,활동내용입력!$B$4:$F$63,5,FALSE),""),"")</f>
        <v/>
      </c>
      <c r="CQ13" s="41" t="str">
        <f>IFERROR(IF(AI13=1,VLOOKUP(AI$2,활동내용입력!$B$4:$F$63,5,FALSE),""),"")</f>
        <v/>
      </c>
      <c r="CR13" s="41" t="str">
        <f>IFERROR(IF(AJ13=1,VLOOKUP(AJ$2,활동내용입력!$B$4:$F$63,5,FALSE),""),"")</f>
        <v/>
      </c>
      <c r="CS13" s="41" t="str">
        <f>IFERROR(IF(AK13=1,VLOOKUP(AK$2,활동내용입력!$B$4:$F$63,5,FALSE),""),"")</f>
        <v/>
      </c>
      <c r="CT13" s="41" t="str">
        <f>IFERROR(IF(AL13=1,VLOOKUP(AL$2,활동내용입력!$B$4:$F$63,5,FALSE),""),"")</f>
        <v/>
      </c>
      <c r="CU13" s="41" t="str">
        <f>IFERROR(IF(AM13=1,VLOOKUP(AM$2,활동내용입력!$B$4:$F$63,5,FALSE),""),"")</f>
        <v/>
      </c>
      <c r="CV13" s="41" t="str">
        <f>IFERROR(IF(AN13=1,VLOOKUP(AN$2,활동내용입력!$B$4:$F$63,5,FALSE),""),"")</f>
        <v/>
      </c>
      <c r="CW13" s="41" t="str">
        <f>IFERROR(IF(AO13=1,VLOOKUP(AO$2,활동내용입력!$B$4:$F$63,5,FALSE),""),"")</f>
        <v/>
      </c>
      <c r="CX13" s="41" t="str">
        <f>IFERROR(IF(AP13=1,VLOOKUP(AP$2,활동내용입력!$B$4:$F$63,5,FALSE),""),"")</f>
        <v/>
      </c>
      <c r="CY13" s="41" t="str">
        <f>IFERROR(IF(AQ13=1,VLOOKUP(AQ$2,활동내용입력!$B$4:$F$63,5,FALSE),""),"")</f>
        <v/>
      </c>
      <c r="CZ13" s="41" t="str">
        <f>IFERROR(IF(AR13=1,VLOOKUP(AR$2,활동내용입력!$B$4:$F$63,5,FALSE),""),"")</f>
        <v/>
      </c>
      <c r="DA13" s="41" t="str">
        <f>IFERROR(IF(AS13=1,VLOOKUP(AS$2,활동내용입력!$B$4:$F$63,5,FALSE),""),"")</f>
        <v/>
      </c>
      <c r="DB13" s="41" t="str">
        <f>IFERROR(IF(AT13=1,VLOOKUP(AT$2,활동내용입력!$B$4:$F$63,5,FALSE),""),"")</f>
        <v/>
      </c>
      <c r="DC13" s="41" t="str">
        <f>IFERROR(IF(AU13=1,VLOOKUP(AU$2,활동내용입력!$B$4:$F$63,5,FALSE),""),"")</f>
        <v/>
      </c>
      <c r="DD13" s="41" t="str">
        <f>IFERROR(IF(AV13=1,VLOOKUP(AV$2,활동내용입력!$B$4:$F$63,5,FALSE),""),"")</f>
        <v/>
      </c>
      <c r="DE13" s="41" t="str">
        <f>IFERROR(IF(AW13=1,VLOOKUP(AW$2,활동내용입력!$B$4:$F$63,5,FALSE),""),"")</f>
        <v/>
      </c>
      <c r="DF13" s="41" t="str">
        <f>IFERROR(IF(AX13=1,VLOOKUP(AX$2,활동내용입력!$B$4:$F$63,5,FALSE),""),"")</f>
        <v/>
      </c>
      <c r="DG13" s="41" t="str">
        <f>IFERROR(IF(AY13=1,VLOOKUP(AY$2,활동내용입력!$B$4:$F$63,5,FALSE),""),"")</f>
        <v/>
      </c>
      <c r="DH13" s="41" t="str">
        <f>IFERROR(IF(AZ13=1,VLOOKUP(AZ$2,활동내용입력!$B$4:$F$63,5,FALSE),""),"")</f>
        <v/>
      </c>
      <c r="DI13" s="41" t="str">
        <f>IFERROR(IF(BA13=1,VLOOKUP(BA$2,활동내용입력!$B$4:$F$63,5,FALSE),""),"")</f>
        <v/>
      </c>
      <c r="DJ13" s="41" t="str">
        <f>IFERROR(IF(BB13=1,VLOOKUP(BB$2,활동내용입력!$B$4:$F$63,5,FALSE),""),"")</f>
        <v/>
      </c>
      <c r="DK13" s="41" t="str">
        <f>IFERROR(IF(BC13=1,VLOOKUP(BC$2,활동내용입력!$B$4:$F$63,5,FALSE),""),"")</f>
        <v/>
      </c>
      <c r="DL13" s="41" t="str">
        <f>IFERROR(IF(BD13=1,VLOOKUP(BD$2,활동내용입력!$B$4:$F$63,5,FALSE),""),"")</f>
        <v/>
      </c>
      <c r="DM13" s="41" t="str">
        <f>IFERROR(IF(BE13=1,VLOOKUP(BE$2,활동내용입력!$B$4:$F$63,5,FALSE),""),"")</f>
        <v/>
      </c>
      <c r="DN13" s="41" t="str">
        <f>IFERROR(IF(BF13=1,VLOOKUP(BF$2,활동내용입력!$B$4:$F$63,5,FALSE),""),"")</f>
        <v/>
      </c>
      <c r="DO13" s="41" t="str">
        <f>IFERROR(IF(BG13=1,VLOOKUP(BG$2,활동내용입력!$B$4:$F$63,5,FALSE),""),"")</f>
        <v/>
      </c>
      <c r="DP13" s="41" t="str">
        <f>IFERROR(IF(BH13=1,VLOOKUP(BH$2,활동내용입력!$B$4:$F$63,5,FALSE),""),"")</f>
        <v/>
      </c>
      <c r="DQ13" s="41" t="str">
        <f>IFERROR(IF(BI13=1,VLOOKUP(BI$2,활동내용입력!$B$4:$F$63,5,FALSE),""),"")</f>
        <v/>
      </c>
      <c r="DR13" s="41" t="str">
        <f>IFERROR(IF(BJ13=1,VLOOKUP(BJ$2,활동내용입력!$B$4:$F$63,5,FALSE),""),"")</f>
        <v/>
      </c>
      <c r="DS13" s="41" t="str">
        <f t="shared" si="7"/>
        <v xml:space="preserve">멀티미디어 자료를 활용하는 기본적인 방법과 응용 방법을 이해하고 있으며, 안드로이드 프로그램에서 음악과 사진 등의 멀티미디어 자료를 적절하게 활용함.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안드로이드 앱 개발에 관련된 산출물 제작 방법을 다른 사람들에게 체계적으로 설명함.
</v>
      </c>
      <c r="DT13" s="42">
        <f t="shared" si="6"/>
        <v>7</v>
      </c>
      <c r="DU13" s="34"/>
    </row>
    <row r="14" spans="1:125" x14ac:dyDescent="0.4">
      <c r="A14" s="58">
        <v>10</v>
      </c>
      <c r="B14" s="57" t="s">
        <v>221</v>
      </c>
      <c r="C14" s="40"/>
      <c r="D14" s="40"/>
      <c r="E14" s="40"/>
      <c r="F14" s="40"/>
      <c r="G14" s="40"/>
      <c r="H14" s="40"/>
      <c r="I14" s="40">
        <v>1</v>
      </c>
      <c r="J14" s="40"/>
      <c r="K14" s="40">
        <v>1</v>
      </c>
      <c r="L14" s="40"/>
      <c r="M14" s="40">
        <v>1</v>
      </c>
      <c r="N14" s="40"/>
      <c r="O14" s="40"/>
      <c r="P14" s="40"/>
      <c r="Q14" s="40">
        <v>1</v>
      </c>
      <c r="R14" s="40"/>
      <c r="S14" s="40"/>
      <c r="T14" s="40">
        <v>1</v>
      </c>
      <c r="U14" s="40">
        <v>1</v>
      </c>
      <c r="V14" s="40"/>
      <c r="W14" s="40">
        <v>1</v>
      </c>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1" t="str">
        <f>IFERROR(IF(C14=1,VLOOKUP(C$2,활동내용입력!$B$4:$F$63,5,FALSE),""),"")</f>
        <v/>
      </c>
      <c r="BL14" s="41" t="str">
        <f>IFERROR(IF(D14=1,VLOOKUP(D$2,활동내용입력!$B$4:$F$63,5,FALSE),""),"")</f>
        <v/>
      </c>
      <c r="BM14" s="41" t="str">
        <f>IFERROR(IF(E14=1,VLOOKUP(E$2,활동내용입력!$B$4:$F$63,5,FALSE),""),"")</f>
        <v/>
      </c>
      <c r="BN14" s="41" t="str">
        <f>IFERROR(IF(F14=1,VLOOKUP(F$2,활동내용입력!$B$4:$F$63,5,FALSE),""),"")</f>
        <v/>
      </c>
      <c r="BO14" s="41" t="str">
        <f>IFERROR(IF(G14=1,VLOOKUP(G$2,활동내용입력!$B$4:$F$63,5,FALSE),""),"")</f>
        <v/>
      </c>
      <c r="BP14" s="41" t="str">
        <f>IFERROR(IF(H14=1,VLOOKUP(H$2,활동내용입력!$B$4:$F$63,5,FALSE),""),"")</f>
        <v/>
      </c>
      <c r="BQ14" s="41" t="str">
        <f>IFERROR(IF(I14=1,VLOOKUP(I$2,활동내용입력!$B$4:$F$63,5,FALSE),""),"")</f>
        <v>File을 생성하여 데이터를 저장하는 방법과 File에서 데이터를 불러와 활용하는 능력이 우수함.</v>
      </c>
      <c r="BR14" s="41" t="str">
        <f>IFERROR(IF(J14=1,VLOOKUP(J$2,활동내용입력!$B$4:$F$63,5,FALSE),""),"")</f>
        <v/>
      </c>
      <c r="BS14" s="41" t="str">
        <f>IFERROR(IF(K14=1,VLOOKUP(K$2,활동내용입력!$B$4:$F$63,5,FALSE),""),"")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14" s="41" t="str">
        <f>IFERROR(IF(L14=1,VLOOKUP(L$2,활동내용입력!$B$4:$F$63,5,FALSE),""),"")</f>
        <v/>
      </c>
      <c r="BU14" s="41" t="str">
        <f>IFERROR(IF(M14=1,VLOOKUP(M$2,활동내용입력!$B$4:$F$63,5,FALSE),""),"")</f>
        <v>실생활 문제 해결을 위한 소프트웨어를 설계 개발하고 동일한 문제 해결을 위해 개발한 알고리즘과 프로그램의 동작 원리를 비교 분석할 수 있음.</v>
      </c>
      <c r="BV14" s="41" t="str">
        <f>IFERROR(IF(N14=1,VLOOKUP(N$2,활동내용입력!$B$4:$F$63,5,FALSE),""),"")</f>
        <v/>
      </c>
      <c r="BW14" s="41" t="str">
        <f>IFERROR(IF(O14=1,VLOOKUP(O$2,활동내용입력!$B$4:$F$63,5,FALSE),""),"")</f>
        <v/>
      </c>
      <c r="BX14" s="41" t="str">
        <f>IFERROR(IF(P14=1,VLOOKUP(P$2,활동내용입력!$B$4:$F$63,5,FALSE),""),"")</f>
        <v/>
      </c>
      <c r="BY14" s="41" t="str">
        <f>IFERROR(IF(Q14=1,VLOOKUP(Q$2,활동내용입력!$B$4:$F$63,5,FALSE),""),"")</f>
        <v>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14" s="41" t="str">
        <f>IFERROR(IF(R14=1,VLOOKUP(R$2,활동내용입력!$B$4:$F$63,5,FALSE),""),"")</f>
        <v/>
      </c>
      <c r="CA14" s="41" t="str">
        <f>IFERROR(IF(S14=1,VLOOKUP(S$2,활동내용입력!$B$4:$F$63,5,FALSE),""),"")</f>
        <v/>
      </c>
      <c r="CB14" s="41" t="str">
        <f>IFERROR(IF(T14=1,VLOOKUP(T$2,활동내용입력!$B$4:$F$63,5,FALSE),""),"")</f>
        <v>안드로이드 앱 개발 프로젝트 수행 과정에 주도적으로 참여하여 과제를 수행함.</v>
      </c>
      <c r="CC14" s="41" t="str">
        <f>IFERROR(IF(U14=1,VLOOKUP(U$2,활동내용입력!$B$4:$F$63,5,FALSE),""),"")</f>
        <v>●●● 안드로이드 앱을 개발함.</v>
      </c>
      <c r="CD14" s="41" t="str">
        <f>IFERROR(IF(V14=1,VLOOKUP(V$2,활동내용입력!$B$4:$F$63,5,FALSE),""),"")</f>
        <v/>
      </c>
      <c r="CE14" s="41" t="str">
        <f>IFERROR(IF(W14=1,VLOOKUP(W$2,활동내용입력!$B$4:$F$63,5,FALSE),""),"")</f>
        <v>프로젝트 산출물을 발표하는 자리에서 프로그램의 동작 과정과 원리를 잘 설명하여 다른 친구들의 공감을 얻음.</v>
      </c>
      <c r="CF14" s="41" t="str">
        <f>IFERROR(IF(X14=1,VLOOKUP(X$2,활동내용입력!$B$4:$F$63,5,FALSE),""),"")</f>
        <v/>
      </c>
      <c r="CG14" s="41" t="str">
        <f>IFERROR(IF(Y14=1,VLOOKUP(Y$2,활동내용입력!$B$4:$F$63,5,FALSE),""),"")</f>
        <v/>
      </c>
      <c r="CH14" s="41" t="str">
        <f>IFERROR(IF(Z14=1,VLOOKUP(Z$2,활동내용입력!$B$4:$F$63,5,FALSE),""),"")</f>
        <v/>
      </c>
      <c r="CI14" s="41" t="str">
        <f>IFERROR(IF(AA14=1,VLOOKUP(AA$2,활동내용입력!$B$4:$F$63,5,FALSE),""),"")</f>
        <v/>
      </c>
      <c r="CJ14" s="41" t="str">
        <f>IFERROR(IF(AB14=1,VLOOKUP(AB$2,활동내용입력!$B$4:$F$63,5,FALSE),""),"")</f>
        <v/>
      </c>
      <c r="CK14" s="41" t="str">
        <f>IFERROR(IF(AC14=1,VLOOKUP(AC$2,활동내용입력!$B$4:$F$63,5,FALSE),""),"")</f>
        <v/>
      </c>
      <c r="CL14" s="41" t="str">
        <f>IFERROR(IF(AD14=1,VLOOKUP(AD$2,활동내용입력!$B$4:$F$63,5,FALSE),""),"")</f>
        <v/>
      </c>
      <c r="CM14" s="41" t="str">
        <f>IFERROR(IF(AE14=1,VLOOKUP(AE$2,활동내용입력!$B$4:$F$63,5,FALSE),""),"")</f>
        <v/>
      </c>
      <c r="CN14" s="41" t="str">
        <f>IFERROR(IF(AF14=1,VLOOKUP(AF$2,활동내용입력!$B$4:$F$63,5,FALSE),""),"")</f>
        <v/>
      </c>
      <c r="CO14" s="41" t="str">
        <f>IFERROR(IF(AG14=1,VLOOKUP(AG$2,활동내용입력!$B$4:$F$63,5,FALSE),""),"")</f>
        <v/>
      </c>
      <c r="CP14" s="41" t="str">
        <f>IFERROR(IF(AH14=1,VLOOKUP(AH$2,활동내용입력!$B$4:$F$63,5,FALSE),""),"")</f>
        <v/>
      </c>
      <c r="CQ14" s="41" t="str">
        <f>IFERROR(IF(AI14=1,VLOOKUP(AI$2,활동내용입력!$B$4:$F$63,5,FALSE),""),"")</f>
        <v/>
      </c>
      <c r="CR14" s="41" t="str">
        <f>IFERROR(IF(AJ14=1,VLOOKUP(AJ$2,활동내용입력!$B$4:$F$63,5,FALSE),""),"")</f>
        <v/>
      </c>
      <c r="CS14" s="41" t="str">
        <f>IFERROR(IF(AK14=1,VLOOKUP(AK$2,활동내용입력!$B$4:$F$63,5,FALSE),""),"")</f>
        <v/>
      </c>
      <c r="CT14" s="41" t="str">
        <f>IFERROR(IF(AL14=1,VLOOKUP(AL$2,활동내용입력!$B$4:$F$63,5,FALSE),""),"")</f>
        <v/>
      </c>
      <c r="CU14" s="41" t="str">
        <f>IFERROR(IF(AM14=1,VLOOKUP(AM$2,활동내용입력!$B$4:$F$63,5,FALSE),""),"")</f>
        <v/>
      </c>
      <c r="CV14" s="41" t="str">
        <f>IFERROR(IF(AN14=1,VLOOKUP(AN$2,활동내용입력!$B$4:$F$63,5,FALSE),""),"")</f>
        <v/>
      </c>
      <c r="CW14" s="41" t="str">
        <f>IFERROR(IF(AO14=1,VLOOKUP(AO$2,활동내용입력!$B$4:$F$63,5,FALSE),""),"")</f>
        <v/>
      </c>
      <c r="CX14" s="41" t="str">
        <f>IFERROR(IF(AP14=1,VLOOKUP(AP$2,활동내용입력!$B$4:$F$63,5,FALSE),""),"")</f>
        <v/>
      </c>
      <c r="CY14" s="41" t="str">
        <f>IFERROR(IF(AQ14=1,VLOOKUP(AQ$2,활동내용입력!$B$4:$F$63,5,FALSE),""),"")</f>
        <v/>
      </c>
      <c r="CZ14" s="41" t="str">
        <f>IFERROR(IF(AR14=1,VLOOKUP(AR$2,활동내용입력!$B$4:$F$63,5,FALSE),""),"")</f>
        <v/>
      </c>
      <c r="DA14" s="41" t="str">
        <f>IFERROR(IF(AS14=1,VLOOKUP(AS$2,활동내용입력!$B$4:$F$63,5,FALSE),""),"")</f>
        <v/>
      </c>
      <c r="DB14" s="41" t="str">
        <f>IFERROR(IF(AT14=1,VLOOKUP(AT$2,활동내용입력!$B$4:$F$63,5,FALSE),""),"")</f>
        <v/>
      </c>
      <c r="DC14" s="41" t="str">
        <f>IFERROR(IF(AU14=1,VLOOKUP(AU$2,활동내용입력!$B$4:$F$63,5,FALSE),""),"")</f>
        <v/>
      </c>
      <c r="DD14" s="41" t="str">
        <f>IFERROR(IF(AV14=1,VLOOKUP(AV$2,활동내용입력!$B$4:$F$63,5,FALSE),""),"")</f>
        <v/>
      </c>
      <c r="DE14" s="41" t="str">
        <f>IFERROR(IF(AW14=1,VLOOKUP(AW$2,활동내용입력!$B$4:$F$63,5,FALSE),""),"")</f>
        <v/>
      </c>
      <c r="DF14" s="41" t="str">
        <f>IFERROR(IF(AX14=1,VLOOKUP(AX$2,활동내용입력!$B$4:$F$63,5,FALSE),""),"")</f>
        <v/>
      </c>
      <c r="DG14" s="41" t="str">
        <f>IFERROR(IF(AY14=1,VLOOKUP(AY$2,활동내용입력!$B$4:$F$63,5,FALSE),""),"")</f>
        <v/>
      </c>
      <c r="DH14" s="41" t="str">
        <f>IFERROR(IF(AZ14=1,VLOOKUP(AZ$2,활동내용입력!$B$4:$F$63,5,FALSE),""),"")</f>
        <v/>
      </c>
      <c r="DI14" s="41" t="str">
        <f>IFERROR(IF(BA14=1,VLOOKUP(BA$2,활동내용입력!$B$4:$F$63,5,FALSE),""),"")</f>
        <v/>
      </c>
      <c r="DJ14" s="41" t="str">
        <f>IFERROR(IF(BB14=1,VLOOKUP(BB$2,활동내용입력!$B$4:$F$63,5,FALSE),""),"")</f>
        <v/>
      </c>
      <c r="DK14" s="41" t="str">
        <f>IFERROR(IF(BC14=1,VLOOKUP(BC$2,활동내용입력!$B$4:$F$63,5,FALSE),""),"")</f>
        <v/>
      </c>
      <c r="DL14" s="41" t="str">
        <f>IFERROR(IF(BD14=1,VLOOKUP(BD$2,활동내용입력!$B$4:$F$63,5,FALSE),""),"")</f>
        <v/>
      </c>
      <c r="DM14" s="41" t="str">
        <f>IFERROR(IF(BE14=1,VLOOKUP(BE$2,활동내용입력!$B$4:$F$63,5,FALSE),""),"")</f>
        <v/>
      </c>
      <c r="DN14" s="41" t="str">
        <f>IFERROR(IF(BF14=1,VLOOKUP(BF$2,활동내용입력!$B$4:$F$63,5,FALSE),""),"")</f>
        <v/>
      </c>
      <c r="DO14" s="41" t="str">
        <f>IFERROR(IF(BG14=1,VLOOKUP(BG$2,활동내용입력!$B$4:$F$63,5,FALSE),""),"")</f>
        <v/>
      </c>
      <c r="DP14" s="41" t="str">
        <f>IFERROR(IF(BH14=1,VLOOKUP(BH$2,활동내용입력!$B$4:$F$63,5,FALSE),""),"")</f>
        <v/>
      </c>
      <c r="DQ14" s="41" t="str">
        <f>IFERROR(IF(BI14=1,VLOOKUP(BI$2,활동내용입력!$B$4:$F$63,5,FALSE),""),"")</f>
        <v/>
      </c>
      <c r="DR14" s="41" t="str">
        <f>IFERROR(IF(BJ14=1,VLOOKUP(BJ$2,활동내용입력!$B$4:$F$63,5,FALSE),""),"")</f>
        <v/>
      </c>
      <c r="DS14" s="41" t="str">
        <f t="shared" si="7"/>
        <v xml:space="preserve">File을 생성하여 데이터를 저장하는 방법과 File에서 데이터를 불러와 활용하는 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프로젝트 산출물을 발표하는 자리에서 프로그램의 동작 과정과 원리를 잘 설명하여 다른 친구들의 공감을 얻음.
</v>
      </c>
      <c r="DT14" s="42">
        <f t="shared" si="6"/>
        <v>7</v>
      </c>
      <c r="DU14" s="34"/>
    </row>
    <row r="15" spans="1:125" x14ac:dyDescent="0.4">
      <c r="A15" s="58">
        <v>11</v>
      </c>
      <c r="B15" s="57" t="s">
        <v>222</v>
      </c>
      <c r="C15" s="40"/>
      <c r="D15" s="40"/>
      <c r="E15" s="40"/>
      <c r="F15" s="40"/>
      <c r="G15" s="40"/>
      <c r="H15" s="40">
        <v>1</v>
      </c>
      <c r="I15" s="40"/>
      <c r="J15" s="40"/>
      <c r="K15" s="40">
        <v>1</v>
      </c>
      <c r="L15" s="40"/>
      <c r="M15" s="40"/>
      <c r="N15" s="40"/>
      <c r="O15" s="40">
        <v>1</v>
      </c>
      <c r="P15" s="40"/>
      <c r="Q15" s="40"/>
      <c r="R15" s="40">
        <v>1</v>
      </c>
      <c r="S15" s="40"/>
      <c r="T15" s="40"/>
      <c r="U15" s="40">
        <v>1</v>
      </c>
      <c r="V15" s="40">
        <v>1</v>
      </c>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1" t="str">
        <f>IFERROR(IF(C15=1,VLOOKUP(C$2,활동내용입력!$B$4:$F$63,5,FALSE),""),"")</f>
        <v/>
      </c>
      <c r="BL15" s="41" t="str">
        <f>IFERROR(IF(D15=1,VLOOKUP(D$2,활동내용입력!$B$4:$F$63,5,FALSE),""),"")</f>
        <v/>
      </c>
      <c r="BM15" s="41" t="str">
        <f>IFERROR(IF(E15=1,VLOOKUP(E$2,활동내용입력!$B$4:$F$63,5,FALSE),""),"")</f>
        <v/>
      </c>
      <c r="BN15" s="41" t="str">
        <f>IFERROR(IF(F15=1,VLOOKUP(F$2,활동내용입력!$B$4:$F$63,5,FALSE),""),"")</f>
        <v/>
      </c>
      <c r="BO15" s="41" t="str">
        <f>IFERROR(IF(G15=1,VLOOKUP(G$2,활동내용입력!$B$4:$F$63,5,FALSE),""),"")</f>
        <v/>
      </c>
      <c r="BP15" s="41" t="str">
        <f>IFERROR(IF(H15=1,VLOOKUP(H$2,활동내용입력!$B$4:$F$63,5,FALSE),""),"")</f>
        <v>SQLite Database의 작동 방식을 정확하게 이해하고 있고 데이터베이스를 활용하여 데이터를 저장하고 출력하는 상황에 대한 문제해결능력이 우수함.</v>
      </c>
      <c r="BQ15" s="41" t="str">
        <f>IFERROR(IF(I15=1,VLOOKUP(I$2,활동내용입력!$B$4:$F$63,5,FALSE),""),"")</f>
        <v/>
      </c>
      <c r="BR15" s="41" t="str">
        <f>IFERROR(IF(J15=1,VLOOKUP(J$2,활동내용입력!$B$4:$F$63,5,FALSE),""),"")</f>
        <v/>
      </c>
      <c r="BS15" s="41" t="str">
        <f>IFERROR(IF(K15=1,VLOOKUP(K$2,활동내용입력!$B$4:$F$63,5,FALSE),""),"")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15" s="41" t="str">
        <f>IFERROR(IF(L15=1,VLOOKUP(L$2,활동내용입력!$B$4:$F$63,5,FALSE),""),"")</f>
        <v/>
      </c>
      <c r="BU15" s="41" t="str">
        <f>IFERROR(IF(M15=1,VLOOKUP(M$2,활동내용입력!$B$4:$F$63,5,FALSE),""),"")</f>
        <v/>
      </c>
      <c r="BV15" s="41" t="str">
        <f>IFERROR(IF(N15=1,VLOOKUP(N$2,활동내용입력!$B$4:$F$63,5,FALSE),""),"")</f>
        <v/>
      </c>
      <c r="BW15" s="41" t="str">
        <f>IFERROR(IF(O15=1,VLOOKUP(O$2,활동내용입력!$B$4:$F$63,5,FALSE),""),"")</f>
        <v>제시된 문제를 추상화하여 해결하기 쉬운 형태로 만들고, 그 해법을 탐색하여 알고리즘으로 표현할 수 있음.</v>
      </c>
      <c r="BX15" s="41" t="str">
        <f>IFERROR(IF(P15=1,VLOOKUP(P$2,활동내용입력!$B$4:$F$63,5,FALSE),""),"")</f>
        <v/>
      </c>
      <c r="BY15" s="41" t="str">
        <f>IFERROR(IF(Q15=1,VLOOKUP(Q$2,활동내용입력!$B$4:$F$63,5,FALSE),""),"")</f>
        <v/>
      </c>
      <c r="BZ15" s="41" t="str">
        <f>IFERROR(IF(R15=1,VLOOKUP(R$2,활동내용입력!$B$4:$F$63,5,FALSE),""),"")</f>
        <v>안드로이드 앱 개발에 흥미와 호기심을 가지고 수업시간 전 과정에 적극적으로 참여함.</v>
      </c>
      <c r="CA15" s="41" t="str">
        <f>IFERROR(IF(S15=1,VLOOKUP(S$2,활동내용입력!$B$4:$F$63,5,FALSE),""),"")</f>
        <v/>
      </c>
      <c r="CB15" s="41" t="str">
        <f>IFERROR(IF(T15=1,VLOOKUP(T$2,활동내용입력!$B$4:$F$63,5,FALSE),""),"")</f>
        <v/>
      </c>
      <c r="CC15" s="41" t="str">
        <f>IFERROR(IF(U15=1,VLOOKUP(U$2,활동내용입력!$B$4:$F$63,5,FALSE),""),"")</f>
        <v>●●● 안드로이드 앱을 개발함.</v>
      </c>
      <c r="CD15" s="41" t="str">
        <f>IFERROR(IF(V15=1,VLOOKUP(V$2,활동내용입력!$B$4:$F$63,5,FALSE),""),"")</f>
        <v>안드로이드 앱 개발에 관련된 산출물 제작 방법을 다른 사람들에게 체계적으로 설명함.</v>
      </c>
      <c r="CE15" s="41" t="str">
        <f>IFERROR(IF(W15=1,VLOOKUP(W$2,활동내용입력!$B$4:$F$63,5,FALSE),""),"")</f>
        <v/>
      </c>
      <c r="CF15" s="41" t="str">
        <f>IFERROR(IF(X15=1,VLOOKUP(X$2,활동내용입력!$B$4:$F$63,5,FALSE),""),"")</f>
        <v/>
      </c>
      <c r="CG15" s="41" t="str">
        <f>IFERROR(IF(Y15=1,VLOOKUP(Y$2,활동내용입력!$B$4:$F$63,5,FALSE),""),"")</f>
        <v/>
      </c>
      <c r="CH15" s="41" t="str">
        <f>IFERROR(IF(Z15=1,VLOOKUP(Z$2,활동내용입력!$B$4:$F$63,5,FALSE),""),"")</f>
        <v/>
      </c>
      <c r="CI15" s="41" t="str">
        <f>IFERROR(IF(AA15=1,VLOOKUP(AA$2,활동내용입력!$B$4:$F$63,5,FALSE),""),"")</f>
        <v/>
      </c>
      <c r="CJ15" s="41" t="str">
        <f>IFERROR(IF(AB15=1,VLOOKUP(AB$2,활동내용입력!$B$4:$F$63,5,FALSE),""),"")</f>
        <v/>
      </c>
      <c r="CK15" s="41" t="str">
        <f>IFERROR(IF(AC15=1,VLOOKUP(AC$2,활동내용입력!$B$4:$F$63,5,FALSE),""),"")</f>
        <v/>
      </c>
      <c r="CL15" s="41" t="str">
        <f>IFERROR(IF(AD15=1,VLOOKUP(AD$2,활동내용입력!$B$4:$F$63,5,FALSE),""),"")</f>
        <v/>
      </c>
      <c r="CM15" s="41" t="str">
        <f>IFERROR(IF(AE15=1,VLOOKUP(AE$2,활동내용입력!$B$4:$F$63,5,FALSE),""),"")</f>
        <v/>
      </c>
      <c r="CN15" s="41" t="str">
        <f>IFERROR(IF(AF15=1,VLOOKUP(AF$2,활동내용입력!$B$4:$F$63,5,FALSE),""),"")</f>
        <v/>
      </c>
      <c r="CO15" s="41" t="str">
        <f>IFERROR(IF(AG15=1,VLOOKUP(AG$2,활동내용입력!$B$4:$F$63,5,FALSE),""),"")</f>
        <v/>
      </c>
      <c r="CP15" s="41" t="str">
        <f>IFERROR(IF(AH15=1,VLOOKUP(AH$2,활동내용입력!$B$4:$F$63,5,FALSE),""),"")</f>
        <v/>
      </c>
      <c r="CQ15" s="41" t="str">
        <f>IFERROR(IF(AI15=1,VLOOKUP(AI$2,활동내용입력!$B$4:$F$63,5,FALSE),""),"")</f>
        <v/>
      </c>
      <c r="CR15" s="41" t="str">
        <f>IFERROR(IF(AJ15=1,VLOOKUP(AJ$2,활동내용입력!$B$4:$F$63,5,FALSE),""),"")</f>
        <v/>
      </c>
      <c r="CS15" s="41" t="str">
        <f>IFERROR(IF(AK15=1,VLOOKUP(AK$2,활동내용입력!$B$4:$F$63,5,FALSE),""),"")</f>
        <v/>
      </c>
      <c r="CT15" s="41" t="str">
        <f>IFERROR(IF(AL15=1,VLOOKUP(AL$2,활동내용입력!$B$4:$F$63,5,FALSE),""),"")</f>
        <v/>
      </c>
      <c r="CU15" s="41" t="str">
        <f>IFERROR(IF(AM15=1,VLOOKUP(AM$2,활동내용입력!$B$4:$F$63,5,FALSE),""),"")</f>
        <v/>
      </c>
      <c r="CV15" s="41" t="str">
        <f>IFERROR(IF(AN15=1,VLOOKUP(AN$2,활동내용입력!$B$4:$F$63,5,FALSE),""),"")</f>
        <v/>
      </c>
      <c r="CW15" s="41" t="str">
        <f>IFERROR(IF(AO15=1,VLOOKUP(AO$2,활동내용입력!$B$4:$F$63,5,FALSE),""),"")</f>
        <v/>
      </c>
      <c r="CX15" s="41" t="str">
        <f>IFERROR(IF(AP15=1,VLOOKUP(AP$2,활동내용입력!$B$4:$F$63,5,FALSE),""),"")</f>
        <v/>
      </c>
      <c r="CY15" s="41" t="str">
        <f>IFERROR(IF(AQ15=1,VLOOKUP(AQ$2,활동내용입력!$B$4:$F$63,5,FALSE),""),"")</f>
        <v/>
      </c>
      <c r="CZ15" s="41" t="str">
        <f>IFERROR(IF(AR15=1,VLOOKUP(AR$2,활동내용입력!$B$4:$F$63,5,FALSE),""),"")</f>
        <v/>
      </c>
      <c r="DA15" s="41" t="str">
        <f>IFERROR(IF(AS15=1,VLOOKUP(AS$2,활동내용입력!$B$4:$F$63,5,FALSE),""),"")</f>
        <v/>
      </c>
      <c r="DB15" s="41" t="str">
        <f>IFERROR(IF(AT15=1,VLOOKUP(AT$2,활동내용입력!$B$4:$F$63,5,FALSE),""),"")</f>
        <v/>
      </c>
      <c r="DC15" s="41" t="str">
        <f>IFERROR(IF(AU15=1,VLOOKUP(AU$2,활동내용입력!$B$4:$F$63,5,FALSE),""),"")</f>
        <v/>
      </c>
      <c r="DD15" s="41" t="str">
        <f>IFERROR(IF(AV15=1,VLOOKUP(AV$2,활동내용입력!$B$4:$F$63,5,FALSE),""),"")</f>
        <v/>
      </c>
      <c r="DE15" s="41" t="str">
        <f>IFERROR(IF(AW15=1,VLOOKUP(AW$2,활동내용입력!$B$4:$F$63,5,FALSE),""),"")</f>
        <v/>
      </c>
      <c r="DF15" s="41" t="str">
        <f>IFERROR(IF(AX15=1,VLOOKUP(AX$2,활동내용입력!$B$4:$F$63,5,FALSE),""),"")</f>
        <v/>
      </c>
      <c r="DG15" s="41" t="str">
        <f>IFERROR(IF(AY15=1,VLOOKUP(AY$2,활동내용입력!$B$4:$F$63,5,FALSE),""),"")</f>
        <v/>
      </c>
      <c r="DH15" s="41" t="str">
        <f>IFERROR(IF(AZ15=1,VLOOKUP(AZ$2,활동내용입력!$B$4:$F$63,5,FALSE),""),"")</f>
        <v/>
      </c>
      <c r="DI15" s="41" t="str">
        <f>IFERROR(IF(BA15=1,VLOOKUP(BA$2,활동내용입력!$B$4:$F$63,5,FALSE),""),"")</f>
        <v/>
      </c>
      <c r="DJ15" s="41" t="str">
        <f>IFERROR(IF(BB15=1,VLOOKUP(BB$2,활동내용입력!$B$4:$F$63,5,FALSE),""),"")</f>
        <v/>
      </c>
      <c r="DK15" s="41" t="str">
        <f>IFERROR(IF(BC15=1,VLOOKUP(BC$2,활동내용입력!$B$4:$F$63,5,FALSE),""),"")</f>
        <v/>
      </c>
      <c r="DL15" s="41" t="str">
        <f>IFERROR(IF(BD15=1,VLOOKUP(BD$2,활동내용입력!$B$4:$F$63,5,FALSE),""),"")</f>
        <v/>
      </c>
      <c r="DM15" s="41" t="str">
        <f>IFERROR(IF(BE15=1,VLOOKUP(BE$2,활동내용입력!$B$4:$F$63,5,FALSE),""),"")</f>
        <v/>
      </c>
      <c r="DN15" s="41" t="str">
        <f>IFERROR(IF(BF15=1,VLOOKUP(BF$2,활동내용입력!$B$4:$F$63,5,FALSE),""),"")</f>
        <v/>
      </c>
      <c r="DO15" s="41" t="str">
        <f>IFERROR(IF(BG15=1,VLOOKUP(BG$2,활동내용입력!$B$4:$F$63,5,FALSE),""),"")</f>
        <v/>
      </c>
      <c r="DP15" s="41" t="str">
        <f>IFERROR(IF(BH15=1,VLOOKUP(BH$2,활동내용입력!$B$4:$F$63,5,FALSE),""),"")</f>
        <v/>
      </c>
      <c r="DQ15" s="41" t="str">
        <f>IFERROR(IF(BI15=1,VLOOKUP(BI$2,활동내용입력!$B$4:$F$63,5,FALSE),""),"")</f>
        <v/>
      </c>
      <c r="DR15" s="41" t="str">
        <f>IFERROR(IF(BJ15=1,VLOOKUP(BJ$2,활동내용입력!$B$4:$F$63,5,FALSE),""),"")</f>
        <v/>
      </c>
      <c r="DS15" s="41" t="str">
        <f t="shared" si="7"/>
        <v xml:space="preserve">SQLite Database의 작동 방식을 정확하게 이해하고 있고 데이터베이스를 활용하여 데이터를 저장하고 출력하는 상황에 대한 문제해결능력이 우수함.
실생활 문제 상황을 분석하여 문제의 현재 상태와 목표 상태를 명확히 정의하고 실생활 문제의 현재 상태에서 목표 상태에 도달하기 위해 수행해야 할 작업을 순서대로 제시할 수 있음.
제시된 문제를 추상화하여 해결하기 쉬운 형태로 만들고, 그 해법을 탐색하여 알고리즘으로 표현할 수 있음.
안드로이드 앱 개발에 흥미와 호기심을 가지고 수업시간 전 과정에 적극적으로 참여함.
●●● 안드로이드 앱을 개발함.
안드로이드 앱 개발에 관련된 산출물 제작 방법을 다른 사람들에게 체계적으로 설명함.
</v>
      </c>
      <c r="DT15" s="42">
        <f t="shared" si="6"/>
        <v>6</v>
      </c>
      <c r="DU15" s="34"/>
    </row>
    <row r="16" spans="1:125" x14ac:dyDescent="0.4">
      <c r="A16" s="58">
        <v>12</v>
      </c>
      <c r="B16" s="57" t="s">
        <v>223</v>
      </c>
      <c r="C16" s="40"/>
      <c r="D16" s="40"/>
      <c r="E16" s="40"/>
      <c r="F16" s="40"/>
      <c r="G16" s="40">
        <v>1</v>
      </c>
      <c r="H16" s="40"/>
      <c r="I16" s="40"/>
      <c r="J16" s="40"/>
      <c r="K16" s="40">
        <v>1</v>
      </c>
      <c r="L16" s="40"/>
      <c r="M16" s="40"/>
      <c r="N16" s="40">
        <v>1</v>
      </c>
      <c r="O16" s="40"/>
      <c r="P16" s="40"/>
      <c r="Q16" s="40"/>
      <c r="R16" s="40"/>
      <c r="S16" s="40">
        <v>1</v>
      </c>
      <c r="T16" s="40">
        <v>1</v>
      </c>
      <c r="U16" s="40">
        <v>1</v>
      </c>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1" t="str">
        <f>IFERROR(IF(C16=1,VLOOKUP(C$2,활동내용입력!$B$4:$F$63,5,FALSE),""),"")</f>
        <v/>
      </c>
      <c r="BL16" s="41" t="str">
        <f>IFERROR(IF(D16=1,VLOOKUP(D$2,활동내용입력!$B$4:$F$63,5,FALSE),""),"")</f>
        <v/>
      </c>
      <c r="BM16" s="41" t="str">
        <f>IFERROR(IF(E16=1,VLOOKUP(E$2,활동내용입력!$B$4:$F$63,5,FALSE),""),"")</f>
        <v/>
      </c>
      <c r="BN16" s="41" t="str">
        <f>IFERROR(IF(F16=1,VLOOKUP(F$2,활동내용입력!$B$4:$F$63,5,FALSE),""),"")</f>
        <v/>
      </c>
      <c r="BO16" s="41" t="str">
        <f>IFERROR(IF(G16=1,VLOOKUP(G$2,활동내용입력!$B$4:$F$63,5,FALSE),""),"")</f>
        <v xml:space="preserve">다양한 형태의 Alert Dialog의 생성 방법 및 동작 원리에 대해 정확히 이해하고 있으며, 이를 바탕으로 다양한 상황에서 다양한 형태의 Alert Dialog를 활용하는 능력이 우수함.  </v>
      </c>
      <c r="BP16" s="41" t="str">
        <f>IFERROR(IF(H16=1,VLOOKUP(H$2,활동내용입력!$B$4:$F$63,5,FALSE),""),"")</f>
        <v/>
      </c>
      <c r="BQ16" s="41" t="str">
        <f>IFERROR(IF(I16=1,VLOOKUP(I$2,활동내용입력!$B$4:$F$63,5,FALSE),""),"")</f>
        <v/>
      </c>
      <c r="BR16" s="41" t="str">
        <f>IFERROR(IF(J16=1,VLOOKUP(J$2,활동내용입력!$B$4:$F$63,5,FALSE),""),"")</f>
        <v/>
      </c>
      <c r="BS16" s="41" t="str">
        <f>IFERROR(IF(K16=1,VLOOKUP(K$2,활동내용입력!$B$4:$F$63,5,FALSE),""),"")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16" s="41" t="str">
        <f>IFERROR(IF(L16=1,VLOOKUP(L$2,활동내용입력!$B$4:$F$63,5,FALSE),""),"")</f>
        <v/>
      </c>
      <c r="BU16" s="41" t="str">
        <f>IFERROR(IF(M16=1,VLOOKUP(M$2,활동내용입력!$B$4:$F$63,5,FALSE),""),"")</f>
        <v/>
      </c>
      <c r="BV16" s="41" t="str">
        <f>IFERROR(IF(N16=1,VLOOKUP(N$2,활동내용입력!$B$4:$F$63,5,FALSE),""),"")</f>
        <v>문제 해결을 위한 다양한 방법과 절차를 탐색하고 해결 절차를 글이나 그림으로 논리적이고 명확하게 표현할 수 있음.</v>
      </c>
      <c r="BW16" s="41" t="str">
        <f>IFERROR(IF(O16=1,VLOOKUP(O$2,활동내용입력!$B$4:$F$63,5,FALSE),""),"")</f>
        <v/>
      </c>
      <c r="BX16" s="41" t="str">
        <f>IFERROR(IF(P16=1,VLOOKUP(P$2,활동내용입력!$B$4:$F$63,5,FALSE),""),"")</f>
        <v/>
      </c>
      <c r="BY16" s="41" t="str">
        <f>IFERROR(IF(Q16=1,VLOOKUP(Q$2,활동내용입력!$B$4:$F$63,5,FALSE),""),"")</f>
        <v/>
      </c>
      <c r="BZ16" s="41" t="str">
        <f>IFERROR(IF(R16=1,VLOOKUP(R$2,활동내용입력!$B$4:$F$63,5,FALSE),""),"")</f>
        <v/>
      </c>
      <c r="CA16" s="41" t="str">
        <f>IFERROR(IF(S16=1,VLOOKUP(S$2,활동내용입력!$B$4:$F$63,5,FALSE),""),"")</f>
        <v>지적 호기심이 풍부하여 프로그램 개발 과정에서 새로운 해결방법을 발견하고 적용하는 것을 좋아함.</v>
      </c>
      <c r="CB16" s="41" t="str">
        <f>IFERROR(IF(T16=1,VLOOKUP(T$2,활동내용입력!$B$4:$F$63,5,FALSE),""),"")</f>
        <v>안드로이드 앱 개발 프로젝트 수행 과정에 주도적으로 참여하여 과제를 수행함.</v>
      </c>
      <c r="CC16" s="41" t="str">
        <f>IFERROR(IF(U16=1,VLOOKUP(U$2,활동내용입력!$B$4:$F$63,5,FALSE),""),"")</f>
        <v>●●● 안드로이드 앱을 개발함.</v>
      </c>
      <c r="CD16" s="41" t="str">
        <f>IFERROR(IF(V16=1,VLOOKUP(V$2,활동내용입력!$B$4:$F$63,5,FALSE),""),"")</f>
        <v/>
      </c>
      <c r="CE16" s="41" t="str">
        <f>IFERROR(IF(W16=1,VLOOKUP(W$2,활동내용입력!$B$4:$F$63,5,FALSE),""),"")</f>
        <v/>
      </c>
      <c r="CF16" s="41" t="str">
        <f>IFERROR(IF(X16=1,VLOOKUP(X$2,활동내용입력!$B$4:$F$63,5,FALSE),""),"")</f>
        <v/>
      </c>
      <c r="CG16" s="41" t="str">
        <f>IFERROR(IF(Y16=1,VLOOKUP(Y$2,활동내용입력!$B$4:$F$63,5,FALSE),""),"")</f>
        <v/>
      </c>
      <c r="CH16" s="41" t="str">
        <f>IFERROR(IF(Z16=1,VLOOKUP(Z$2,활동내용입력!$B$4:$F$63,5,FALSE),""),"")</f>
        <v/>
      </c>
      <c r="CI16" s="41" t="str">
        <f>IFERROR(IF(AA16=1,VLOOKUP(AA$2,활동내용입력!$B$4:$F$63,5,FALSE),""),"")</f>
        <v/>
      </c>
      <c r="CJ16" s="41" t="str">
        <f>IFERROR(IF(AB16=1,VLOOKUP(AB$2,활동내용입력!$B$4:$F$63,5,FALSE),""),"")</f>
        <v/>
      </c>
      <c r="CK16" s="41" t="str">
        <f>IFERROR(IF(AC16=1,VLOOKUP(AC$2,활동내용입력!$B$4:$F$63,5,FALSE),""),"")</f>
        <v/>
      </c>
      <c r="CL16" s="41" t="str">
        <f>IFERROR(IF(AD16=1,VLOOKUP(AD$2,활동내용입력!$B$4:$F$63,5,FALSE),""),"")</f>
        <v/>
      </c>
      <c r="CM16" s="41" t="str">
        <f>IFERROR(IF(AE16=1,VLOOKUP(AE$2,활동내용입력!$B$4:$F$63,5,FALSE),""),"")</f>
        <v/>
      </c>
      <c r="CN16" s="41" t="str">
        <f>IFERROR(IF(AF16=1,VLOOKUP(AF$2,활동내용입력!$B$4:$F$63,5,FALSE),""),"")</f>
        <v/>
      </c>
      <c r="CO16" s="41" t="str">
        <f>IFERROR(IF(AG16=1,VLOOKUP(AG$2,활동내용입력!$B$4:$F$63,5,FALSE),""),"")</f>
        <v/>
      </c>
      <c r="CP16" s="41" t="str">
        <f>IFERROR(IF(AH16=1,VLOOKUP(AH$2,활동내용입력!$B$4:$F$63,5,FALSE),""),"")</f>
        <v/>
      </c>
      <c r="CQ16" s="41" t="str">
        <f>IFERROR(IF(AI16=1,VLOOKUP(AI$2,활동내용입력!$B$4:$F$63,5,FALSE),""),"")</f>
        <v/>
      </c>
      <c r="CR16" s="41" t="str">
        <f>IFERROR(IF(AJ16=1,VLOOKUP(AJ$2,활동내용입력!$B$4:$F$63,5,FALSE),""),"")</f>
        <v/>
      </c>
      <c r="CS16" s="41" t="str">
        <f>IFERROR(IF(AK16=1,VLOOKUP(AK$2,활동내용입력!$B$4:$F$63,5,FALSE),""),"")</f>
        <v/>
      </c>
      <c r="CT16" s="41" t="str">
        <f>IFERROR(IF(AL16=1,VLOOKUP(AL$2,활동내용입력!$B$4:$F$63,5,FALSE),""),"")</f>
        <v/>
      </c>
      <c r="CU16" s="41" t="str">
        <f>IFERROR(IF(AM16=1,VLOOKUP(AM$2,활동내용입력!$B$4:$F$63,5,FALSE),""),"")</f>
        <v/>
      </c>
      <c r="CV16" s="41" t="str">
        <f>IFERROR(IF(AN16=1,VLOOKUP(AN$2,활동내용입력!$B$4:$F$63,5,FALSE),""),"")</f>
        <v/>
      </c>
      <c r="CW16" s="41" t="str">
        <f>IFERROR(IF(AO16=1,VLOOKUP(AO$2,활동내용입력!$B$4:$F$63,5,FALSE),""),"")</f>
        <v/>
      </c>
      <c r="CX16" s="41" t="str">
        <f>IFERROR(IF(AP16=1,VLOOKUP(AP$2,활동내용입력!$B$4:$F$63,5,FALSE),""),"")</f>
        <v/>
      </c>
      <c r="CY16" s="41" t="str">
        <f>IFERROR(IF(AQ16=1,VLOOKUP(AQ$2,활동내용입력!$B$4:$F$63,5,FALSE),""),"")</f>
        <v/>
      </c>
      <c r="CZ16" s="41" t="str">
        <f>IFERROR(IF(AR16=1,VLOOKUP(AR$2,활동내용입력!$B$4:$F$63,5,FALSE),""),"")</f>
        <v/>
      </c>
      <c r="DA16" s="41" t="str">
        <f>IFERROR(IF(AS16=1,VLOOKUP(AS$2,활동내용입력!$B$4:$F$63,5,FALSE),""),"")</f>
        <v/>
      </c>
      <c r="DB16" s="41" t="str">
        <f>IFERROR(IF(AT16=1,VLOOKUP(AT$2,활동내용입력!$B$4:$F$63,5,FALSE),""),"")</f>
        <v/>
      </c>
      <c r="DC16" s="41" t="str">
        <f>IFERROR(IF(AU16=1,VLOOKUP(AU$2,활동내용입력!$B$4:$F$63,5,FALSE),""),"")</f>
        <v/>
      </c>
      <c r="DD16" s="41" t="str">
        <f>IFERROR(IF(AV16=1,VLOOKUP(AV$2,활동내용입력!$B$4:$F$63,5,FALSE),""),"")</f>
        <v/>
      </c>
      <c r="DE16" s="41" t="str">
        <f>IFERROR(IF(AW16=1,VLOOKUP(AW$2,활동내용입력!$B$4:$F$63,5,FALSE),""),"")</f>
        <v/>
      </c>
      <c r="DF16" s="41" t="str">
        <f>IFERROR(IF(AX16=1,VLOOKUP(AX$2,활동내용입력!$B$4:$F$63,5,FALSE),""),"")</f>
        <v/>
      </c>
      <c r="DG16" s="41" t="str">
        <f>IFERROR(IF(AY16=1,VLOOKUP(AY$2,활동내용입력!$B$4:$F$63,5,FALSE),""),"")</f>
        <v/>
      </c>
      <c r="DH16" s="41" t="str">
        <f>IFERROR(IF(AZ16=1,VLOOKUP(AZ$2,활동내용입력!$B$4:$F$63,5,FALSE),""),"")</f>
        <v/>
      </c>
      <c r="DI16" s="41" t="str">
        <f>IFERROR(IF(BA16=1,VLOOKUP(BA$2,활동내용입력!$B$4:$F$63,5,FALSE),""),"")</f>
        <v/>
      </c>
      <c r="DJ16" s="41" t="str">
        <f>IFERROR(IF(BB16=1,VLOOKUP(BB$2,활동내용입력!$B$4:$F$63,5,FALSE),""),"")</f>
        <v/>
      </c>
      <c r="DK16" s="41" t="str">
        <f>IFERROR(IF(BC16=1,VLOOKUP(BC$2,활동내용입력!$B$4:$F$63,5,FALSE),""),"")</f>
        <v/>
      </c>
      <c r="DL16" s="41" t="str">
        <f>IFERROR(IF(BD16=1,VLOOKUP(BD$2,활동내용입력!$B$4:$F$63,5,FALSE),""),"")</f>
        <v/>
      </c>
      <c r="DM16" s="41" t="str">
        <f>IFERROR(IF(BE16=1,VLOOKUP(BE$2,활동내용입력!$B$4:$F$63,5,FALSE),""),"")</f>
        <v/>
      </c>
      <c r="DN16" s="41" t="str">
        <f>IFERROR(IF(BF16=1,VLOOKUP(BF$2,활동내용입력!$B$4:$F$63,5,FALSE),""),"")</f>
        <v/>
      </c>
      <c r="DO16" s="41" t="str">
        <f>IFERROR(IF(BG16=1,VLOOKUP(BG$2,활동내용입력!$B$4:$F$63,5,FALSE),""),"")</f>
        <v/>
      </c>
      <c r="DP16" s="41" t="str">
        <f>IFERROR(IF(BH16=1,VLOOKUP(BH$2,활동내용입력!$B$4:$F$63,5,FALSE),""),"")</f>
        <v/>
      </c>
      <c r="DQ16" s="41" t="str">
        <f>IFERROR(IF(BI16=1,VLOOKUP(BI$2,활동내용입력!$B$4:$F$63,5,FALSE),""),"")</f>
        <v/>
      </c>
      <c r="DR16" s="41" t="str">
        <f>IFERROR(IF(BJ16=1,VLOOKUP(BJ$2,활동내용입력!$B$4:$F$63,5,FALSE),""),"")</f>
        <v/>
      </c>
      <c r="DS16" s="41" t="str">
        <f t="shared" si="7"/>
        <v xml:space="preserve">다양한 형태의 Alert Dialog의 생성 방법 및 동작 원리에 대해 정확히 이해하고 있으며, 이를 바탕으로 다양한 상황에서 다양한 형태의 Alert Dialog를 활용하는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지적 호기심이 풍부하여 프로그램 개발 과정에서 새로운 해결방법을 발견하고 적용하는 것을 좋아함.
안드로이드 앱 개발 프로젝트 수행 과정에 주도적으로 참여하여 과제를 수행함.
●●● 안드로이드 앱을 개발함.
</v>
      </c>
      <c r="DT16" s="42">
        <f t="shared" si="6"/>
        <v>6</v>
      </c>
      <c r="DU16" s="34"/>
    </row>
    <row r="17" spans="1:125" x14ac:dyDescent="0.4">
      <c r="A17" s="58">
        <v>13</v>
      </c>
      <c r="B17" s="57" t="s">
        <v>224</v>
      </c>
      <c r="C17" s="40"/>
      <c r="D17" s="40"/>
      <c r="E17" s="40"/>
      <c r="F17" s="40">
        <v>1</v>
      </c>
      <c r="G17" s="40"/>
      <c r="H17" s="40"/>
      <c r="I17" s="40"/>
      <c r="J17" s="40"/>
      <c r="K17" s="40"/>
      <c r="L17" s="40">
        <v>1</v>
      </c>
      <c r="M17" s="40"/>
      <c r="N17" s="40"/>
      <c r="O17" s="40">
        <v>1</v>
      </c>
      <c r="P17" s="40"/>
      <c r="Q17" s="40"/>
      <c r="R17" s="40"/>
      <c r="S17" s="40"/>
      <c r="T17" s="40"/>
      <c r="U17" s="40">
        <v>1</v>
      </c>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1" t="str">
        <f>IFERROR(IF(C17=1,VLOOKUP(C$2,활동내용입력!$B$4:$F$63,5,FALSE),""),"")</f>
        <v/>
      </c>
      <c r="BL17" s="41" t="str">
        <f>IFERROR(IF(D17=1,VLOOKUP(D$2,활동내용입력!$B$4:$F$63,5,FALSE),""),"")</f>
        <v/>
      </c>
      <c r="BM17" s="41" t="str">
        <f>IFERROR(IF(E17=1,VLOOKUP(E$2,활동내용입력!$B$4:$F$63,5,FALSE),""),"")</f>
        <v/>
      </c>
      <c r="BN17" s="41" t="str">
        <f>IFERROR(IF(F17=1,VLOOKUP(F$2,활동내용입력!$B$4:$F$63,5,FALSE),""),"")</f>
        <v xml:space="preserve">Custom List의 작성 및 동작에 대한 개념을 완벽하게 이해하고 있으며, 이를 바탕으로 다양한 상황에서 다양한 형태의 Custom List를 활용하는 능력이 우수함.  </v>
      </c>
      <c r="BO17" s="41" t="str">
        <f>IFERROR(IF(G17=1,VLOOKUP(G$2,활동내용입력!$B$4:$F$63,5,FALSE),""),"")</f>
        <v/>
      </c>
      <c r="BP17" s="41" t="str">
        <f>IFERROR(IF(H17=1,VLOOKUP(H$2,활동내용입력!$B$4:$F$63,5,FALSE),""),"")</f>
        <v/>
      </c>
      <c r="BQ17" s="41" t="str">
        <f>IFERROR(IF(I17=1,VLOOKUP(I$2,활동내용입력!$B$4:$F$63,5,FALSE),""),"")</f>
        <v/>
      </c>
      <c r="BR17" s="41" t="str">
        <f>IFERROR(IF(J17=1,VLOOKUP(J$2,활동내용입력!$B$4:$F$63,5,FALSE),""),"")</f>
        <v/>
      </c>
      <c r="BS17" s="41" t="str">
        <f>IFERROR(IF(K17=1,VLOOKUP(K$2,활동내용입력!$B$4:$F$63,5,FALSE),""),"")</f>
        <v/>
      </c>
      <c r="BT17" s="41" t="str">
        <f>IFERROR(IF(L17=1,VLOOKUP(L$2,활동내용입력!$B$4:$F$63,5,FALSE),""),"")</f>
        <v>문제 상황을 분석하여 문제의 현재 상태와 목표 상태를 설명할 수 있고 문제의 현재 상태에서 목표 상태에 도달하기 위해 수행해야 할 작업이 무엇인지 설명할 수 있음.</v>
      </c>
      <c r="BU17" s="41" t="str">
        <f>IFERROR(IF(M17=1,VLOOKUP(M$2,활동내용입력!$B$4:$F$63,5,FALSE),""),"")</f>
        <v/>
      </c>
      <c r="BV17" s="41" t="str">
        <f>IFERROR(IF(N17=1,VLOOKUP(N$2,활동내용입력!$B$4:$F$63,5,FALSE),""),"")</f>
        <v/>
      </c>
      <c r="BW17" s="41" t="str">
        <f>IFERROR(IF(O17=1,VLOOKUP(O$2,활동내용입력!$B$4:$F$63,5,FALSE),""),"")</f>
        <v>제시된 문제를 추상화하여 해결하기 쉬운 형태로 만들고, 그 해법을 탐색하여 알고리즘으로 표현할 수 있음.</v>
      </c>
      <c r="BX17" s="41" t="str">
        <f>IFERROR(IF(P17=1,VLOOKUP(P$2,활동내용입력!$B$4:$F$63,5,FALSE),""),"")</f>
        <v/>
      </c>
      <c r="BY17" s="41" t="str">
        <f>IFERROR(IF(Q17=1,VLOOKUP(Q$2,활동내용입력!$B$4:$F$63,5,FALSE),""),"")</f>
        <v/>
      </c>
      <c r="BZ17" s="41" t="str">
        <f>IFERROR(IF(R17=1,VLOOKUP(R$2,활동내용입력!$B$4:$F$63,5,FALSE),""),"")</f>
        <v/>
      </c>
      <c r="CA17" s="41" t="str">
        <f>IFERROR(IF(S17=1,VLOOKUP(S$2,활동내용입력!$B$4:$F$63,5,FALSE),""),"")</f>
        <v/>
      </c>
      <c r="CB17" s="41" t="str">
        <f>IFERROR(IF(T17=1,VLOOKUP(T$2,활동내용입력!$B$4:$F$63,5,FALSE),""),"")</f>
        <v/>
      </c>
      <c r="CC17" s="41" t="str">
        <f>IFERROR(IF(U17=1,VLOOKUP(U$2,활동내용입력!$B$4:$F$63,5,FALSE),""),"")</f>
        <v>●●● 안드로이드 앱을 개발함.</v>
      </c>
      <c r="CD17" s="41" t="str">
        <f>IFERROR(IF(V17=1,VLOOKUP(V$2,활동내용입력!$B$4:$F$63,5,FALSE),""),"")</f>
        <v/>
      </c>
      <c r="CE17" s="41" t="str">
        <f>IFERROR(IF(W17=1,VLOOKUP(W$2,활동내용입력!$B$4:$F$63,5,FALSE),""),"")</f>
        <v/>
      </c>
      <c r="CF17" s="41" t="str">
        <f>IFERROR(IF(X17=1,VLOOKUP(X$2,활동내용입력!$B$4:$F$63,5,FALSE),""),"")</f>
        <v/>
      </c>
      <c r="CG17" s="41" t="str">
        <f>IFERROR(IF(Y17=1,VLOOKUP(Y$2,활동내용입력!$B$4:$F$63,5,FALSE),""),"")</f>
        <v/>
      </c>
      <c r="CH17" s="41" t="str">
        <f>IFERROR(IF(Z17=1,VLOOKUP(Z$2,활동내용입력!$B$4:$F$63,5,FALSE),""),"")</f>
        <v/>
      </c>
      <c r="CI17" s="41" t="str">
        <f>IFERROR(IF(AA17=1,VLOOKUP(AA$2,활동내용입력!$B$4:$F$63,5,FALSE),""),"")</f>
        <v/>
      </c>
      <c r="CJ17" s="41" t="str">
        <f>IFERROR(IF(AB17=1,VLOOKUP(AB$2,활동내용입력!$B$4:$F$63,5,FALSE),""),"")</f>
        <v/>
      </c>
      <c r="CK17" s="41" t="str">
        <f>IFERROR(IF(AC17=1,VLOOKUP(AC$2,활동내용입력!$B$4:$F$63,5,FALSE),""),"")</f>
        <v/>
      </c>
      <c r="CL17" s="41" t="str">
        <f>IFERROR(IF(AD17=1,VLOOKUP(AD$2,활동내용입력!$B$4:$F$63,5,FALSE),""),"")</f>
        <v/>
      </c>
      <c r="CM17" s="41" t="str">
        <f>IFERROR(IF(AE17=1,VLOOKUP(AE$2,활동내용입력!$B$4:$F$63,5,FALSE),""),"")</f>
        <v/>
      </c>
      <c r="CN17" s="41" t="str">
        <f>IFERROR(IF(AF17=1,VLOOKUP(AF$2,활동내용입력!$B$4:$F$63,5,FALSE),""),"")</f>
        <v/>
      </c>
      <c r="CO17" s="41" t="str">
        <f>IFERROR(IF(AG17=1,VLOOKUP(AG$2,활동내용입력!$B$4:$F$63,5,FALSE),""),"")</f>
        <v/>
      </c>
      <c r="CP17" s="41" t="str">
        <f>IFERROR(IF(AH17=1,VLOOKUP(AH$2,활동내용입력!$B$4:$F$63,5,FALSE),""),"")</f>
        <v/>
      </c>
      <c r="CQ17" s="41" t="str">
        <f>IFERROR(IF(AI17=1,VLOOKUP(AI$2,활동내용입력!$B$4:$F$63,5,FALSE),""),"")</f>
        <v/>
      </c>
      <c r="CR17" s="41" t="str">
        <f>IFERROR(IF(AJ17=1,VLOOKUP(AJ$2,활동내용입력!$B$4:$F$63,5,FALSE),""),"")</f>
        <v/>
      </c>
      <c r="CS17" s="41" t="str">
        <f>IFERROR(IF(AK17=1,VLOOKUP(AK$2,활동내용입력!$B$4:$F$63,5,FALSE),""),"")</f>
        <v/>
      </c>
      <c r="CT17" s="41" t="str">
        <f>IFERROR(IF(AL17=1,VLOOKUP(AL$2,활동내용입력!$B$4:$F$63,5,FALSE),""),"")</f>
        <v/>
      </c>
      <c r="CU17" s="41" t="str">
        <f>IFERROR(IF(AM17=1,VLOOKUP(AM$2,활동내용입력!$B$4:$F$63,5,FALSE),""),"")</f>
        <v/>
      </c>
      <c r="CV17" s="41" t="str">
        <f>IFERROR(IF(AN17=1,VLOOKUP(AN$2,활동내용입력!$B$4:$F$63,5,FALSE),""),"")</f>
        <v/>
      </c>
      <c r="CW17" s="41" t="str">
        <f>IFERROR(IF(AO17=1,VLOOKUP(AO$2,활동내용입력!$B$4:$F$63,5,FALSE),""),"")</f>
        <v/>
      </c>
      <c r="CX17" s="41" t="str">
        <f>IFERROR(IF(AP17=1,VLOOKUP(AP$2,활동내용입력!$B$4:$F$63,5,FALSE),""),"")</f>
        <v/>
      </c>
      <c r="CY17" s="41" t="str">
        <f>IFERROR(IF(AQ17=1,VLOOKUP(AQ$2,활동내용입력!$B$4:$F$63,5,FALSE),""),"")</f>
        <v/>
      </c>
      <c r="CZ17" s="41" t="str">
        <f>IFERROR(IF(AR17=1,VLOOKUP(AR$2,활동내용입력!$B$4:$F$63,5,FALSE),""),"")</f>
        <v/>
      </c>
      <c r="DA17" s="41" t="str">
        <f>IFERROR(IF(AS17=1,VLOOKUP(AS$2,활동내용입력!$B$4:$F$63,5,FALSE),""),"")</f>
        <v/>
      </c>
      <c r="DB17" s="41" t="str">
        <f>IFERROR(IF(AT17=1,VLOOKUP(AT$2,활동내용입력!$B$4:$F$63,5,FALSE),""),"")</f>
        <v/>
      </c>
      <c r="DC17" s="41" t="str">
        <f>IFERROR(IF(AU17=1,VLOOKUP(AU$2,활동내용입력!$B$4:$F$63,5,FALSE),""),"")</f>
        <v/>
      </c>
      <c r="DD17" s="41" t="str">
        <f>IFERROR(IF(AV17=1,VLOOKUP(AV$2,활동내용입력!$B$4:$F$63,5,FALSE),""),"")</f>
        <v/>
      </c>
      <c r="DE17" s="41" t="str">
        <f>IFERROR(IF(AW17=1,VLOOKUP(AW$2,활동내용입력!$B$4:$F$63,5,FALSE),""),"")</f>
        <v/>
      </c>
      <c r="DF17" s="41" t="str">
        <f>IFERROR(IF(AX17=1,VLOOKUP(AX$2,활동내용입력!$B$4:$F$63,5,FALSE),""),"")</f>
        <v/>
      </c>
      <c r="DG17" s="41" t="str">
        <f>IFERROR(IF(AY17=1,VLOOKUP(AY$2,활동내용입력!$B$4:$F$63,5,FALSE),""),"")</f>
        <v/>
      </c>
      <c r="DH17" s="41" t="str">
        <f>IFERROR(IF(AZ17=1,VLOOKUP(AZ$2,활동내용입력!$B$4:$F$63,5,FALSE),""),"")</f>
        <v/>
      </c>
      <c r="DI17" s="41" t="str">
        <f>IFERROR(IF(BA17=1,VLOOKUP(BA$2,활동내용입력!$B$4:$F$63,5,FALSE),""),"")</f>
        <v/>
      </c>
      <c r="DJ17" s="41" t="str">
        <f>IFERROR(IF(BB17=1,VLOOKUP(BB$2,활동내용입력!$B$4:$F$63,5,FALSE),""),"")</f>
        <v/>
      </c>
      <c r="DK17" s="41" t="str">
        <f>IFERROR(IF(BC17=1,VLOOKUP(BC$2,활동내용입력!$B$4:$F$63,5,FALSE),""),"")</f>
        <v/>
      </c>
      <c r="DL17" s="41" t="str">
        <f>IFERROR(IF(BD17=1,VLOOKUP(BD$2,활동내용입력!$B$4:$F$63,5,FALSE),""),"")</f>
        <v/>
      </c>
      <c r="DM17" s="41" t="str">
        <f>IFERROR(IF(BE17=1,VLOOKUP(BE$2,활동내용입력!$B$4:$F$63,5,FALSE),""),"")</f>
        <v/>
      </c>
      <c r="DN17" s="41" t="str">
        <f>IFERROR(IF(BF17=1,VLOOKUP(BF$2,활동내용입력!$B$4:$F$63,5,FALSE),""),"")</f>
        <v/>
      </c>
      <c r="DO17" s="41" t="str">
        <f>IFERROR(IF(BG17=1,VLOOKUP(BG$2,활동내용입력!$B$4:$F$63,5,FALSE),""),"")</f>
        <v/>
      </c>
      <c r="DP17" s="41" t="str">
        <f>IFERROR(IF(BH17=1,VLOOKUP(BH$2,활동내용입력!$B$4:$F$63,5,FALSE),""),"")</f>
        <v/>
      </c>
      <c r="DQ17" s="41" t="str">
        <f>IFERROR(IF(BI17=1,VLOOKUP(BI$2,활동내용입력!$B$4:$F$63,5,FALSE),""),"")</f>
        <v/>
      </c>
      <c r="DR17" s="41" t="str">
        <f>IFERROR(IF(BJ17=1,VLOOKUP(BJ$2,활동내용입력!$B$4:$F$63,5,FALSE),""),"")</f>
        <v/>
      </c>
      <c r="DS17" s="41" t="str">
        <f t="shared" si="7"/>
        <v xml:space="preserve">Custom List의 작성 및 동작에 대한 개념을 완벽하게 이해하고 있으며, 이를 바탕으로 다양한 상황에서 다양한 형태의 Custom List를 활용하는 능력이 우수함.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 안드로이드 앱을 개발함.
</v>
      </c>
      <c r="DT17" s="42">
        <f t="shared" si="6"/>
        <v>4</v>
      </c>
      <c r="DU17" s="34"/>
    </row>
    <row r="18" spans="1:125" x14ac:dyDescent="0.4">
      <c r="A18" s="58">
        <v>14</v>
      </c>
      <c r="B18" s="57" t="s">
        <v>225</v>
      </c>
      <c r="C18" s="40"/>
      <c r="D18" s="40"/>
      <c r="E18" s="40">
        <v>1</v>
      </c>
      <c r="F18" s="40"/>
      <c r="G18" s="40"/>
      <c r="H18" s="40"/>
      <c r="I18" s="40"/>
      <c r="J18" s="40"/>
      <c r="K18" s="40"/>
      <c r="L18" s="40">
        <v>1</v>
      </c>
      <c r="M18" s="40"/>
      <c r="N18" s="40"/>
      <c r="O18" s="40"/>
      <c r="P18" s="40">
        <v>1</v>
      </c>
      <c r="Q18" s="40"/>
      <c r="R18" s="40">
        <v>1</v>
      </c>
      <c r="S18" s="40"/>
      <c r="T18" s="40"/>
      <c r="U18" s="40">
        <v>1</v>
      </c>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1" t="str">
        <f>IFERROR(IF(C18=1,VLOOKUP(C$2,활동내용입력!$B$4:$F$63,5,FALSE),""),"")</f>
        <v/>
      </c>
      <c r="BL18" s="41" t="str">
        <f>IFERROR(IF(D18=1,VLOOKUP(D$2,활동내용입력!$B$4:$F$63,5,FALSE),""),"")</f>
        <v/>
      </c>
      <c r="BM18" s="41" t="str">
        <f>IFERROR(IF(E18=1,VLOOKUP(E$2,활동내용입력!$B$4:$F$63,5,FALSE),""),"")</f>
        <v>액티비티의 LifeCycle에 대한 학습 과정 중 LifeCycle이 작동 순서와 활용 방법을 정확하게 이해하고 이를 활용하여 다양한 전략을 구사하는 등 유창성이 돋보임.</v>
      </c>
      <c r="BN18" s="41" t="str">
        <f>IFERROR(IF(F18=1,VLOOKUP(F$2,활동내용입력!$B$4:$F$63,5,FALSE),""),"")</f>
        <v/>
      </c>
      <c r="BO18" s="41" t="str">
        <f>IFERROR(IF(G18=1,VLOOKUP(G$2,활동내용입력!$B$4:$F$63,5,FALSE),""),"")</f>
        <v/>
      </c>
      <c r="BP18" s="41" t="str">
        <f>IFERROR(IF(H18=1,VLOOKUP(H$2,활동내용입력!$B$4:$F$63,5,FALSE),""),"")</f>
        <v/>
      </c>
      <c r="BQ18" s="41" t="str">
        <f>IFERROR(IF(I18=1,VLOOKUP(I$2,활동내용입력!$B$4:$F$63,5,FALSE),""),"")</f>
        <v/>
      </c>
      <c r="BR18" s="41" t="str">
        <f>IFERROR(IF(J18=1,VLOOKUP(J$2,활동내용입력!$B$4:$F$63,5,FALSE),""),"")</f>
        <v/>
      </c>
      <c r="BS18" s="41" t="str">
        <f>IFERROR(IF(K18=1,VLOOKUP(K$2,활동내용입력!$B$4:$F$63,5,FALSE),""),"")</f>
        <v/>
      </c>
      <c r="BT18" s="41" t="str">
        <f>IFERROR(IF(L18=1,VLOOKUP(L$2,활동내용입력!$B$4:$F$63,5,FALSE),""),"")</f>
        <v>문제 상황을 분석하여 문제의 현재 상태와 목표 상태를 설명할 수 있고 문제의 현재 상태에서 목표 상태에 도달하기 위해 수행해야 할 작업이 무엇인지 설명할 수 있음.</v>
      </c>
      <c r="BU18" s="41" t="str">
        <f>IFERROR(IF(M18=1,VLOOKUP(M$2,활동내용입력!$B$4:$F$63,5,FALSE),""),"")</f>
        <v/>
      </c>
      <c r="BV18" s="41" t="str">
        <f>IFERROR(IF(N18=1,VLOOKUP(N$2,활동내용입력!$B$4:$F$63,5,FALSE),""),"")</f>
        <v/>
      </c>
      <c r="BW18" s="41" t="str">
        <f>IFERROR(IF(O18=1,VLOOKUP(O$2,활동내용입력!$B$4:$F$63,5,FALSE),""),"")</f>
        <v/>
      </c>
      <c r="BX18" s="41" t="str">
        <f>IFERROR(IF(P18=1,VLOOKUP(P$2,활동내용입력!$B$4:$F$63,5,FALSE),""),"")</f>
        <v>제시된 문제 해결을 위한 소프트웨어를 설계 개발하고 동일한 문제 해결을 위해 활용 가능한 다양한 알고리즘의 차이를 비교할 수 있음.</v>
      </c>
      <c r="BY18" s="41" t="str">
        <f>IFERROR(IF(Q18=1,VLOOKUP(Q$2,활동내용입력!$B$4:$F$63,5,FALSE),""),"")</f>
        <v/>
      </c>
      <c r="BZ18" s="41" t="str">
        <f>IFERROR(IF(R18=1,VLOOKUP(R$2,활동내용입력!$B$4:$F$63,5,FALSE),""),"")</f>
        <v>안드로이드 앱 개발에 흥미와 호기심을 가지고 수업시간 전 과정에 적극적으로 참여함.</v>
      </c>
      <c r="CA18" s="41" t="str">
        <f>IFERROR(IF(S18=1,VLOOKUP(S$2,활동내용입력!$B$4:$F$63,5,FALSE),""),"")</f>
        <v/>
      </c>
      <c r="CB18" s="41" t="str">
        <f>IFERROR(IF(T18=1,VLOOKUP(T$2,활동내용입력!$B$4:$F$63,5,FALSE),""),"")</f>
        <v/>
      </c>
      <c r="CC18" s="41" t="str">
        <f>IFERROR(IF(U18=1,VLOOKUP(U$2,활동내용입력!$B$4:$F$63,5,FALSE),""),"")</f>
        <v>●●● 안드로이드 앱을 개발함.</v>
      </c>
      <c r="CD18" s="41" t="str">
        <f>IFERROR(IF(V18=1,VLOOKUP(V$2,활동내용입력!$B$4:$F$63,5,FALSE),""),"")</f>
        <v/>
      </c>
      <c r="CE18" s="41" t="str">
        <f>IFERROR(IF(W18=1,VLOOKUP(W$2,활동내용입력!$B$4:$F$63,5,FALSE),""),"")</f>
        <v/>
      </c>
      <c r="CF18" s="41" t="str">
        <f>IFERROR(IF(X18=1,VLOOKUP(X$2,활동내용입력!$B$4:$F$63,5,FALSE),""),"")</f>
        <v/>
      </c>
      <c r="CG18" s="41" t="str">
        <f>IFERROR(IF(Y18=1,VLOOKUP(Y$2,활동내용입력!$B$4:$F$63,5,FALSE),""),"")</f>
        <v/>
      </c>
      <c r="CH18" s="41" t="str">
        <f>IFERROR(IF(Z18=1,VLOOKUP(Z$2,활동내용입력!$B$4:$F$63,5,FALSE),""),"")</f>
        <v/>
      </c>
      <c r="CI18" s="41" t="str">
        <f>IFERROR(IF(AA18=1,VLOOKUP(AA$2,활동내용입력!$B$4:$F$63,5,FALSE),""),"")</f>
        <v/>
      </c>
      <c r="CJ18" s="41" t="str">
        <f>IFERROR(IF(AB18=1,VLOOKUP(AB$2,활동내용입력!$B$4:$F$63,5,FALSE),""),"")</f>
        <v/>
      </c>
      <c r="CK18" s="41" t="str">
        <f>IFERROR(IF(AC18=1,VLOOKUP(AC$2,활동내용입력!$B$4:$F$63,5,FALSE),""),"")</f>
        <v/>
      </c>
      <c r="CL18" s="41" t="str">
        <f>IFERROR(IF(AD18=1,VLOOKUP(AD$2,활동내용입력!$B$4:$F$63,5,FALSE),""),"")</f>
        <v/>
      </c>
      <c r="CM18" s="41" t="str">
        <f>IFERROR(IF(AE18=1,VLOOKUP(AE$2,활동내용입력!$B$4:$F$63,5,FALSE),""),"")</f>
        <v/>
      </c>
      <c r="CN18" s="41" t="str">
        <f>IFERROR(IF(AF18=1,VLOOKUP(AF$2,활동내용입력!$B$4:$F$63,5,FALSE),""),"")</f>
        <v/>
      </c>
      <c r="CO18" s="41" t="str">
        <f>IFERROR(IF(AG18=1,VLOOKUP(AG$2,활동내용입력!$B$4:$F$63,5,FALSE),""),"")</f>
        <v/>
      </c>
      <c r="CP18" s="41" t="str">
        <f>IFERROR(IF(AH18=1,VLOOKUP(AH$2,활동내용입력!$B$4:$F$63,5,FALSE),""),"")</f>
        <v/>
      </c>
      <c r="CQ18" s="41" t="str">
        <f>IFERROR(IF(AI18=1,VLOOKUP(AI$2,활동내용입력!$B$4:$F$63,5,FALSE),""),"")</f>
        <v/>
      </c>
      <c r="CR18" s="41" t="str">
        <f>IFERROR(IF(AJ18=1,VLOOKUP(AJ$2,활동내용입력!$B$4:$F$63,5,FALSE),""),"")</f>
        <v/>
      </c>
      <c r="CS18" s="41" t="str">
        <f>IFERROR(IF(AK18=1,VLOOKUP(AK$2,활동내용입력!$B$4:$F$63,5,FALSE),""),"")</f>
        <v/>
      </c>
      <c r="CT18" s="41" t="str">
        <f>IFERROR(IF(AL18=1,VLOOKUP(AL$2,활동내용입력!$B$4:$F$63,5,FALSE),""),"")</f>
        <v/>
      </c>
      <c r="CU18" s="41" t="str">
        <f>IFERROR(IF(AM18=1,VLOOKUP(AM$2,활동내용입력!$B$4:$F$63,5,FALSE),""),"")</f>
        <v/>
      </c>
      <c r="CV18" s="41" t="str">
        <f>IFERROR(IF(AN18=1,VLOOKUP(AN$2,활동내용입력!$B$4:$F$63,5,FALSE),""),"")</f>
        <v/>
      </c>
      <c r="CW18" s="41" t="str">
        <f>IFERROR(IF(AO18=1,VLOOKUP(AO$2,활동내용입력!$B$4:$F$63,5,FALSE),""),"")</f>
        <v/>
      </c>
      <c r="CX18" s="41" t="str">
        <f>IFERROR(IF(AP18=1,VLOOKUP(AP$2,활동내용입력!$B$4:$F$63,5,FALSE),""),"")</f>
        <v/>
      </c>
      <c r="CY18" s="41" t="str">
        <f>IFERROR(IF(AQ18=1,VLOOKUP(AQ$2,활동내용입력!$B$4:$F$63,5,FALSE),""),"")</f>
        <v/>
      </c>
      <c r="CZ18" s="41" t="str">
        <f>IFERROR(IF(AR18=1,VLOOKUP(AR$2,활동내용입력!$B$4:$F$63,5,FALSE),""),"")</f>
        <v/>
      </c>
      <c r="DA18" s="41" t="str">
        <f>IFERROR(IF(AS18=1,VLOOKUP(AS$2,활동내용입력!$B$4:$F$63,5,FALSE),""),"")</f>
        <v/>
      </c>
      <c r="DB18" s="41" t="str">
        <f>IFERROR(IF(AT18=1,VLOOKUP(AT$2,활동내용입력!$B$4:$F$63,5,FALSE),""),"")</f>
        <v/>
      </c>
      <c r="DC18" s="41" t="str">
        <f>IFERROR(IF(AU18=1,VLOOKUP(AU$2,활동내용입력!$B$4:$F$63,5,FALSE),""),"")</f>
        <v/>
      </c>
      <c r="DD18" s="41" t="str">
        <f>IFERROR(IF(AV18=1,VLOOKUP(AV$2,활동내용입력!$B$4:$F$63,5,FALSE),""),"")</f>
        <v/>
      </c>
      <c r="DE18" s="41" t="str">
        <f>IFERROR(IF(AW18=1,VLOOKUP(AW$2,활동내용입력!$B$4:$F$63,5,FALSE),""),"")</f>
        <v/>
      </c>
      <c r="DF18" s="41" t="str">
        <f>IFERROR(IF(AX18=1,VLOOKUP(AX$2,활동내용입력!$B$4:$F$63,5,FALSE),""),"")</f>
        <v/>
      </c>
      <c r="DG18" s="41" t="str">
        <f>IFERROR(IF(AY18=1,VLOOKUP(AY$2,활동내용입력!$B$4:$F$63,5,FALSE),""),"")</f>
        <v/>
      </c>
      <c r="DH18" s="41" t="str">
        <f>IFERROR(IF(AZ18=1,VLOOKUP(AZ$2,활동내용입력!$B$4:$F$63,5,FALSE),""),"")</f>
        <v/>
      </c>
      <c r="DI18" s="41" t="str">
        <f>IFERROR(IF(BA18=1,VLOOKUP(BA$2,활동내용입력!$B$4:$F$63,5,FALSE),""),"")</f>
        <v/>
      </c>
      <c r="DJ18" s="41" t="str">
        <f>IFERROR(IF(BB18=1,VLOOKUP(BB$2,활동내용입력!$B$4:$F$63,5,FALSE),""),"")</f>
        <v/>
      </c>
      <c r="DK18" s="41" t="str">
        <f>IFERROR(IF(BC18=1,VLOOKUP(BC$2,활동내용입력!$B$4:$F$63,5,FALSE),""),"")</f>
        <v/>
      </c>
      <c r="DL18" s="41" t="str">
        <f>IFERROR(IF(BD18=1,VLOOKUP(BD$2,활동내용입력!$B$4:$F$63,5,FALSE),""),"")</f>
        <v/>
      </c>
      <c r="DM18" s="41" t="str">
        <f>IFERROR(IF(BE18=1,VLOOKUP(BE$2,활동내용입력!$B$4:$F$63,5,FALSE),""),"")</f>
        <v/>
      </c>
      <c r="DN18" s="41" t="str">
        <f>IFERROR(IF(BF18=1,VLOOKUP(BF$2,활동내용입력!$B$4:$F$63,5,FALSE),""),"")</f>
        <v/>
      </c>
      <c r="DO18" s="41" t="str">
        <f>IFERROR(IF(BG18=1,VLOOKUP(BG$2,활동내용입력!$B$4:$F$63,5,FALSE),""),"")</f>
        <v/>
      </c>
      <c r="DP18" s="41" t="str">
        <f>IFERROR(IF(BH18=1,VLOOKUP(BH$2,활동내용입력!$B$4:$F$63,5,FALSE),""),"")</f>
        <v/>
      </c>
      <c r="DQ18" s="41" t="str">
        <f>IFERROR(IF(BI18=1,VLOOKUP(BI$2,활동내용입력!$B$4:$F$63,5,FALSE),""),"")</f>
        <v/>
      </c>
      <c r="DR18" s="41" t="str">
        <f>IFERROR(IF(BJ18=1,VLOOKUP(BJ$2,활동내용입력!$B$4:$F$63,5,FALSE),""),"")</f>
        <v/>
      </c>
      <c r="DS18" s="41" t="str">
        <f t="shared" si="7"/>
        <v xml:space="preserve">액티비티의 LifeCycle에 대한 학습 과정 중 LifeCycle이 작동 순서와 활용 방법을 정확하게 이해하고 이를 활용하여 다양한 전략을 구사하는 등 유창성이 돋보임.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안드로이드 앱 개발에 흥미와 호기심을 가지고 수업시간 전 과정에 적극적으로 참여함.
●●● 안드로이드 앱을 개발함.
</v>
      </c>
      <c r="DT18" s="42">
        <f t="shared" si="6"/>
        <v>5</v>
      </c>
      <c r="DU18" s="34"/>
    </row>
    <row r="19" spans="1:125" x14ac:dyDescent="0.4">
      <c r="A19" s="58">
        <v>15</v>
      </c>
      <c r="B19" s="57" t="s">
        <v>226</v>
      </c>
      <c r="C19" s="40"/>
      <c r="D19" s="40">
        <v>1</v>
      </c>
      <c r="E19" s="40"/>
      <c r="F19" s="40"/>
      <c r="G19" s="40"/>
      <c r="H19" s="40"/>
      <c r="I19" s="40"/>
      <c r="J19" s="40"/>
      <c r="K19" s="40">
        <v>1</v>
      </c>
      <c r="L19" s="40"/>
      <c r="M19" s="40">
        <v>1</v>
      </c>
      <c r="N19" s="40"/>
      <c r="O19" s="40"/>
      <c r="P19" s="40"/>
      <c r="Q19" s="40">
        <v>1</v>
      </c>
      <c r="R19" s="40"/>
      <c r="S19" s="40"/>
      <c r="T19" s="40">
        <v>1</v>
      </c>
      <c r="U19" s="40">
        <v>1</v>
      </c>
      <c r="V19" s="40"/>
      <c r="W19" s="40">
        <v>1</v>
      </c>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1" t="str">
        <f>IFERROR(IF(C19=1,VLOOKUP(C$2,활동내용입력!$B$4:$F$63,5,FALSE),""),"")</f>
        <v/>
      </c>
      <c r="BL19" s="41" t="str">
        <f>IFERROR(IF(D19=1,VLOOKUP(D$2,활동내용입력!$B$4:$F$63,5,FALSE),""),"")</f>
        <v>명시적 인텐트와 암시적 인텐트를 정확하게 이해하고 인텐트를 이용하여 다른 액티비티에 데이터를 전달하고 돌려받는 과정을 정확하게 활용함.</v>
      </c>
      <c r="BM19" s="41" t="str">
        <f>IFERROR(IF(E19=1,VLOOKUP(E$2,활동내용입력!$B$4:$F$63,5,FALSE),""),"")</f>
        <v/>
      </c>
      <c r="BN19" s="41" t="str">
        <f>IFERROR(IF(F19=1,VLOOKUP(F$2,활동내용입력!$B$4:$F$63,5,FALSE),""),"")</f>
        <v/>
      </c>
      <c r="BO19" s="41" t="str">
        <f>IFERROR(IF(G19=1,VLOOKUP(G$2,활동내용입력!$B$4:$F$63,5,FALSE),""),"")</f>
        <v/>
      </c>
      <c r="BP19" s="41" t="str">
        <f>IFERROR(IF(H19=1,VLOOKUP(H$2,활동내용입력!$B$4:$F$63,5,FALSE),""),"")</f>
        <v/>
      </c>
      <c r="BQ19" s="41" t="str">
        <f>IFERROR(IF(I19=1,VLOOKUP(I$2,활동내용입력!$B$4:$F$63,5,FALSE),""),"")</f>
        <v/>
      </c>
      <c r="BR19" s="41" t="str">
        <f>IFERROR(IF(J19=1,VLOOKUP(J$2,활동내용입력!$B$4:$F$63,5,FALSE),""),"")</f>
        <v/>
      </c>
      <c r="BS19" s="41" t="str">
        <f>IFERROR(IF(K19=1,VLOOKUP(K$2,활동내용입력!$B$4:$F$63,5,FALSE),""),"")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19" s="41" t="str">
        <f>IFERROR(IF(L19=1,VLOOKUP(L$2,활동내용입력!$B$4:$F$63,5,FALSE),""),"")</f>
        <v/>
      </c>
      <c r="BU19" s="41" t="str">
        <f>IFERROR(IF(M19=1,VLOOKUP(M$2,활동내용입력!$B$4:$F$63,5,FALSE),""),"")</f>
        <v>실생활 문제 해결을 위한 소프트웨어를 설계 개발하고 동일한 문제 해결을 위해 개발한 알고리즘과 프로그램의 동작 원리를 비교 분석할 수 있음.</v>
      </c>
      <c r="BV19" s="41" t="str">
        <f>IFERROR(IF(N19=1,VLOOKUP(N$2,활동내용입력!$B$4:$F$63,5,FALSE),""),"")</f>
        <v/>
      </c>
      <c r="BW19" s="41" t="str">
        <f>IFERROR(IF(O19=1,VLOOKUP(O$2,활동내용입력!$B$4:$F$63,5,FALSE),""),"")</f>
        <v/>
      </c>
      <c r="BX19" s="41" t="str">
        <f>IFERROR(IF(P19=1,VLOOKUP(P$2,활동내용입력!$B$4:$F$63,5,FALSE),""),"")</f>
        <v/>
      </c>
      <c r="BY19" s="41" t="str">
        <f>IFERROR(IF(Q19=1,VLOOKUP(Q$2,활동내용입력!$B$4:$F$63,5,FALSE),""),"")</f>
        <v>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19" s="41" t="str">
        <f>IFERROR(IF(R19=1,VLOOKUP(R$2,활동내용입력!$B$4:$F$63,5,FALSE),""),"")</f>
        <v/>
      </c>
      <c r="CA19" s="41" t="str">
        <f>IFERROR(IF(S19=1,VLOOKUP(S$2,활동내용입력!$B$4:$F$63,5,FALSE),""),"")</f>
        <v/>
      </c>
      <c r="CB19" s="41" t="str">
        <f>IFERROR(IF(T19=1,VLOOKUP(T$2,활동내용입력!$B$4:$F$63,5,FALSE),""),"")</f>
        <v>안드로이드 앱 개발 프로젝트 수행 과정에 주도적으로 참여하여 과제를 수행함.</v>
      </c>
      <c r="CC19" s="41" t="str">
        <f>IFERROR(IF(U19=1,VLOOKUP(U$2,활동내용입력!$B$4:$F$63,5,FALSE),""),"")</f>
        <v>●●● 안드로이드 앱을 개발함.</v>
      </c>
      <c r="CD19" s="41" t="str">
        <f>IFERROR(IF(V19=1,VLOOKUP(V$2,활동내용입력!$B$4:$F$63,5,FALSE),""),"")</f>
        <v/>
      </c>
      <c r="CE19" s="41" t="str">
        <f>IFERROR(IF(W19=1,VLOOKUP(W$2,활동내용입력!$B$4:$F$63,5,FALSE),""),"")</f>
        <v>프로젝트 산출물을 발표하는 자리에서 프로그램의 동작 과정과 원리를 잘 설명하여 다른 친구들의 공감을 얻음.</v>
      </c>
      <c r="CF19" s="41" t="str">
        <f>IFERROR(IF(X19=1,VLOOKUP(X$2,활동내용입력!$B$4:$F$63,5,FALSE),""),"")</f>
        <v/>
      </c>
      <c r="CG19" s="41" t="str">
        <f>IFERROR(IF(Y19=1,VLOOKUP(Y$2,활동내용입력!$B$4:$F$63,5,FALSE),""),"")</f>
        <v/>
      </c>
      <c r="CH19" s="41" t="str">
        <f>IFERROR(IF(Z19=1,VLOOKUP(Z$2,활동내용입력!$B$4:$F$63,5,FALSE),""),"")</f>
        <v/>
      </c>
      <c r="CI19" s="41" t="str">
        <f>IFERROR(IF(AA19=1,VLOOKUP(AA$2,활동내용입력!$B$4:$F$63,5,FALSE),""),"")</f>
        <v/>
      </c>
      <c r="CJ19" s="41" t="str">
        <f>IFERROR(IF(AB19=1,VLOOKUP(AB$2,활동내용입력!$B$4:$F$63,5,FALSE),""),"")</f>
        <v/>
      </c>
      <c r="CK19" s="41" t="str">
        <f>IFERROR(IF(AC19=1,VLOOKUP(AC$2,활동내용입력!$B$4:$F$63,5,FALSE),""),"")</f>
        <v/>
      </c>
      <c r="CL19" s="41" t="str">
        <f>IFERROR(IF(AD19=1,VLOOKUP(AD$2,활동내용입력!$B$4:$F$63,5,FALSE),""),"")</f>
        <v/>
      </c>
      <c r="CM19" s="41" t="str">
        <f>IFERROR(IF(AE19=1,VLOOKUP(AE$2,활동내용입력!$B$4:$F$63,5,FALSE),""),"")</f>
        <v/>
      </c>
      <c r="CN19" s="41" t="str">
        <f>IFERROR(IF(AF19=1,VLOOKUP(AF$2,활동내용입력!$B$4:$F$63,5,FALSE),""),"")</f>
        <v/>
      </c>
      <c r="CO19" s="41" t="str">
        <f>IFERROR(IF(AG19=1,VLOOKUP(AG$2,활동내용입력!$B$4:$F$63,5,FALSE),""),"")</f>
        <v/>
      </c>
      <c r="CP19" s="41" t="str">
        <f>IFERROR(IF(AH19=1,VLOOKUP(AH$2,활동내용입력!$B$4:$F$63,5,FALSE),""),"")</f>
        <v/>
      </c>
      <c r="CQ19" s="41" t="str">
        <f>IFERROR(IF(AI19=1,VLOOKUP(AI$2,활동내용입력!$B$4:$F$63,5,FALSE),""),"")</f>
        <v/>
      </c>
      <c r="CR19" s="41" t="str">
        <f>IFERROR(IF(AJ19=1,VLOOKUP(AJ$2,활동내용입력!$B$4:$F$63,5,FALSE),""),"")</f>
        <v/>
      </c>
      <c r="CS19" s="41" t="str">
        <f>IFERROR(IF(AK19=1,VLOOKUP(AK$2,활동내용입력!$B$4:$F$63,5,FALSE),""),"")</f>
        <v/>
      </c>
      <c r="CT19" s="41" t="str">
        <f>IFERROR(IF(AL19=1,VLOOKUP(AL$2,활동내용입력!$B$4:$F$63,5,FALSE),""),"")</f>
        <v/>
      </c>
      <c r="CU19" s="41" t="str">
        <f>IFERROR(IF(AM19=1,VLOOKUP(AM$2,활동내용입력!$B$4:$F$63,5,FALSE),""),"")</f>
        <v/>
      </c>
      <c r="CV19" s="41" t="str">
        <f>IFERROR(IF(AN19=1,VLOOKUP(AN$2,활동내용입력!$B$4:$F$63,5,FALSE),""),"")</f>
        <v/>
      </c>
      <c r="CW19" s="41" t="str">
        <f>IFERROR(IF(AO19=1,VLOOKUP(AO$2,활동내용입력!$B$4:$F$63,5,FALSE),""),"")</f>
        <v/>
      </c>
      <c r="CX19" s="41" t="str">
        <f>IFERROR(IF(AP19=1,VLOOKUP(AP$2,활동내용입력!$B$4:$F$63,5,FALSE),""),"")</f>
        <v/>
      </c>
      <c r="CY19" s="41" t="str">
        <f>IFERROR(IF(AQ19=1,VLOOKUP(AQ$2,활동내용입력!$B$4:$F$63,5,FALSE),""),"")</f>
        <v/>
      </c>
      <c r="CZ19" s="41" t="str">
        <f>IFERROR(IF(AR19=1,VLOOKUP(AR$2,활동내용입력!$B$4:$F$63,5,FALSE),""),"")</f>
        <v/>
      </c>
      <c r="DA19" s="41" t="str">
        <f>IFERROR(IF(AS19=1,VLOOKUP(AS$2,활동내용입력!$B$4:$F$63,5,FALSE),""),"")</f>
        <v/>
      </c>
      <c r="DB19" s="41" t="str">
        <f>IFERROR(IF(AT19=1,VLOOKUP(AT$2,활동내용입력!$B$4:$F$63,5,FALSE),""),"")</f>
        <v/>
      </c>
      <c r="DC19" s="41" t="str">
        <f>IFERROR(IF(AU19=1,VLOOKUP(AU$2,활동내용입력!$B$4:$F$63,5,FALSE),""),"")</f>
        <v/>
      </c>
      <c r="DD19" s="41" t="str">
        <f>IFERROR(IF(AV19=1,VLOOKUP(AV$2,활동내용입력!$B$4:$F$63,5,FALSE),""),"")</f>
        <v/>
      </c>
      <c r="DE19" s="41" t="str">
        <f>IFERROR(IF(AW19=1,VLOOKUP(AW$2,활동내용입력!$B$4:$F$63,5,FALSE),""),"")</f>
        <v/>
      </c>
      <c r="DF19" s="41" t="str">
        <f>IFERROR(IF(AX19=1,VLOOKUP(AX$2,활동내용입력!$B$4:$F$63,5,FALSE),""),"")</f>
        <v/>
      </c>
      <c r="DG19" s="41" t="str">
        <f>IFERROR(IF(AY19=1,VLOOKUP(AY$2,활동내용입력!$B$4:$F$63,5,FALSE),""),"")</f>
        <v/>
      </c>
      <c r="DH19" s="41" t="str">
        <f>IFERROR(IF(AZ19=1,VLOOKUP(AZ$2,활동내용입력!$B$4:$F$63,5,FALSE),""),"")</f>
        <v/>
      </c>
      <c r="DI19" s="41" t="str">
        <f>IFERROR(IF(BA19=1,VLOOKUP(BA$2,활동내용입력!$B$4:$F$63,5,FALSE),""),"")</f>
        <v/>
      </c>
      <c r="DJ19" s="41" t="str">
        <f>IFERROR(IF(BB19=1,VLOOKUP(BB$2,활동내용입력!$B$4:$F$63,5,FALSE),""),"")</f>
        <v/>
      </c>
      <c r="DK19" s="41" t="str">
        <f>IFERROR(IF(BC19=1,VLOOKUP(BC$2,활동내용입력!$B$4:$F$63,5,FALSE),""),"")</f>
        <v/>
      </c>
      <c r="DL19" s="41" t="str">
        <f>IFERROR(IF(BD19=1,VLOOKUP(BD$2,활동내용입력!$B$4:$F$63,5,FALSE),""),"")</f>
        <v/>
      </c>
      <c r="DM19" s="41" t="str">
        <f>IFERROR(IF(BE19=1,VLOOKUP(BE$2,활동내용입력!$B$4:$F$63,5,FALSE),""),"")</f>
        <v/>
      </c>
      <c r="DN19" s="41" t="str">
        <f>IFERROR(IF(BF19=1,VLOOKUP(BF$2,활동내용입력!$B$4:$F$63,5,FALSE),""),"")</f>
        <v/>
      </c>
      <c r="DO19" s="41" t="str">
        <f>IFERROR(IF(BG19=1,VLOOKUP(BG$2,활동내용입력!$B$4:$F$63,5,FALSE),""),"")</f>
        <v/>
      </c>
      <c r="DP19" s="41" t="str">
        <f>IFERROR(IF(BH19=1,VLOOKUP(BH$2,활동내용입력!$B$4:$F$63,5,FALSE),""),"")</f>
        <v/>
      </c>
      <c r="DQ19" s="41" t="str">
        <f>IFERROR(IF(BI19=1,VLOOKUP(BI$2,활동내용입력!$B$4:$F$63,5,FALSE),""),"")</f>
        <v/>
      </c>
      <c r="DR19" s="41" t="str">
        <f>IFERROR(IF(BJ19=1,VLOOKUP(BJ$2,활동내용입력!$B$4:$F$63,5,FALSE),""),"")</f>
        <v/>
      </c>
      <c r="DS19" s="41" t="str">
        <f t="shared" si="7"/>
        <v xml:space="preserve">명시적 인텐트와 암시적 인텐트를 정확하게 이해하고 인텐트를 이용하여 다른 액티비티에 데이터를 전달하고 돌려받는 과정을 정확하게 활용함.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프로젝트 산출물을 발표하는 자리에서 프로그램의 동작 과정과 원리를 잘 설명하여 다른 친구들의 공감을 얻음.
</v>
      </c>
      <c r="DT19" s="42">
        <f t="shared" si="6"/>
        <v>7</v>
      </c>
      <c r="DU19" s="34"/>
    </row>
    <row r="20" spans="1:125" x14ac:dyDescent="0.4">
      <c r="A20" s="58">
        <v>16</v>
      </c>
      <c r="B20" s="57" t="s">
        <v>227</v>
      </c>
      <c r="C20" s="40">
        <v>1</v>
      </c>
      <c r="D20" s="40"/>
      <c r="E20" s="40"/>
      <c r="F20" s="40"/>
      <c r="G20" s="40"/>
      <c r="H20" s="40"/>
      <c r="I20" s="40"/>
      <c r="J20" s="40"/>
      <c r="K20" s="40"/>
      <c r="L20" s="40">
        <v>1</v>
      </c>
      <c r="M20" s="40"/>
      <c r="N20" s="40"/>
      <c r="O20" s="40">
        <v>1</v>
      </c>
      <c r="P20" s="40"/>
      <c r="Q20" s="40"/>
      <c r="R20" s="40"/>
      <c r="S20" s="40"/>
      <c r="T20" s="40"/>
      <c r="U20" s="40">
        <v>1</v>
      </c>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1" t="str">
        <f>IFERROR(IF(C20=1,VLOOKUP(C$2,활동내용입력!$B$4:$F$63,5,FALSE),""),"")</f>
        <v>안드로이드Layout의 구성과 동작 원리를 분석하여 Widget 간의 관계와 역할을 탐색하고, 주어진 문제 해결에 필요한 Layout과 Widget을 선택하여 프로그램을 설계 개발함.</v>
      </c>
      <c r="BL20" s="41" t="str">
        <f>IFERROR(IF(D20=1,VLOOKUP(D$2,활동내용입력!$B$4:$F$63,5,FALSE),""),"")</f>
        <v/>
      </c>
      <c r="BM20" s="41" t="str">
        <f>IFERROR(IF(E20=1,VLOOKUP(E$2,활동내용입력!$B$4:$F$63,5,FALSE),""),"")</f>
        <v/>
      </c>
      <c r="BN20" s="41" t="str">
        <f>IFERROR(IF(F20=1,VLOOKUP(F$2,활동내용입력!$B$4:$F$63,5,FALSE),""),"")</f>
        <v/>
      </c>
      <c r="BO20" s="41" t="str">
        <f>IFERROR(IF(G20=1,VLOOKUP(G$2,활동내용입력!$B$4:$F$63,5,FALSE),""),"")</f>
        <v/>
      </c>
      <c r="BP20" s="41" t="str">
        <f>IFERROR(IF(H20=1,VLOOKUP(H$2,활동내용입력!$B$4:$F$63,5,FALSE),""),"")</f>
        <v/>
      </c>
      <c r="BQ20" s="41" t="str">
        <f>IFERROR(IF(I20=1,VLOOKUP(I$2,활동내용입력!$B$4:$F$63,5,FALSE),""),"")</f>
        <v/>
      </c>
      <c r="BR20" s="41" t="str">
        <f>IFERROR(IF(J20=1,VLOOKUP(J$2,활동내용입력!$B$4:$F$63,5,FALSE),""),"")</f>
        <v/>
      </c>
      <c r="BS20" s="41" t="str">
        <f>IFERROR(IF(K20=1,VLOOKUP(K$2,활동내용입력!$B$4:$F$63,5,FALSE),""),"")</f>
        <v/>
      </c>
      <c r="BT20" s="41" t="str">
        <f>IFERROR(IF(L20=1,VLOOKUP(L$2,활동내용입력!$B$4:$F$63,5,FALSE),""),"")</f>
        <v>문제 상황을 분석하여 문제의 현재 상태와 목표 상태를 설명할 수 있고 문제의 현재 상태에서 목표 상태에 도달하기 위해 수행해야 할 작업이 무엇인지 설명할 수 있음.</v>
      </c>
      <c r="BU20" s="41" t="str">
        <f>IFERROR(IF(M20=1,VLOOKUP(M$2,활동내용입력!$B$4:$F$63,5,FALSE),""),"")</f>
        <v/>
      </c>
      <c r="BV20" s="41" t="str">
        <f>IFERROR(IF(N20=1,VLOOKUP(N$2,활동내용입력!$B$4:$F$63,5,FALSE),""),"")</f>
        <v/>
      </c>
      <c r="BW20" s="41" t="str">
        <f>IFERROR(IF(O20=1,VLOOKUP(O$2,활동내용입력!$B$4:$F$63,5,FALSE),""),"")</f>
        <v>제시된 문제를 추상화하여 해결하기 쉬운 형태로 만들고, 그 해법을 탐색하여 알고리즘으로 표현할 수 있음.</v>
      </c>
      <c r="BX20" s="41" t="str">
        <f>IFERROR(IF(P20=1,VLOOKUP(P$2,활동내용입력!$B$4:$F$63,5,FALSE),""),"")</f>
        <v/>
      </c>
      <c r="BY20" s="41" t="str">
        <f>IFERROR(IF(Q20=1,VLOOKUP(Q$2,활동내용입력!$B$4:$F$63,5,FALSE),""),"")</f>
        <v/>
      </c>
      <c r="BZ20" s="41" t="str">
        <f>IFERROR(IF(R20=1,VLOOKUP(R$2,활동내용입력!$B$4:$F$63,5,FALSE),""),"")</f>
        <v/>
      </c>
      <c r="CA20" s="41" t="str">
        <f>IFERROR(IF(S20=1,VLOOKUP(S$2,활동내용입력!$B$4:$F$63,5,FALSE),""),"")</f>
        <v/>
      </c>
      <c r="CB20" s="41" t="str">
        <f>IFERROR(IF(T20=1,VLOOKUP(T$2,활동내용입력!$B$4:$F$63,5,FALSE),""),"")</f>
        <v/>
      </c>
      <c r="CC20" s="41" t="str">
        <f>IFERROR(IF(U20=1,VLOOKUP(U$2,활동내용입력!$B$4:$F$63,5,FALSE),""),"")</f>
        <v>●●● 안드로이드 앱을 개발함.</v>
      </c>
      <c r="CD20" s="41" t="str">
        <f>IFERROR(IF(V20=1,VLOOKUP(V$2,활동내용입력!$B$4:$F$63,5,FALSE),""),"")</f>
        <v/>
      </c>
      <c r="CE20" s="41" t="str">
        <f>IFERROR(IF(W20=1,VLOOKUP(W$2,활동내용입력!$B$4:$F$63,5,FALSE),""),"")</f>
        <v/>
      </c>
      <c r="CF20" s="41" t="str">
        <f>IFERROR(IF(X20=1,VLOOKUP(X$2,활동내용입력!$B$4:$F$63,5,FALSE),""),"")</f>
        <v/>
      </c>
      <c r="CG20" s="41" t="str">
        <f>IFERROR(IF(Y20=1,VLOOKUP(Y$2,활동내용입력!$B$4:$F$63,5,FALSE),""),"")</f>
        <v/>
      </c>
      <c r="CH20" s="41" t="str">
        <f>IFERROR(IF(Z20=1,VLOOKUP(Z$2,활동내용입력!$B$4:$F$63,5,FALSE),""),"")</f>
        <v/>
      </c>
      <c r="CI20" s="41" t="str">
        <f>IFERROR(IF(AA20=1,VLOOKUP(AA$2,활동내용입력!$B$4:$F$63,5,FALSE),""),"")</f>
        <v/>
      </c>
      <c r="CJ20" s="41" t="str">
        <f>IFERROR(IF(AB20=1,VLOOKUP(AB$2,활동내용입력!$B$4:$F$63,5,FALSE),""),"")</f>
        <v/>
      </c>
      <c r="CK20" s="41" t="str">
        <f>IFERROR(IF(AC20=1,VLOOKUP(AC$2,활동내용입력!$B$4:$F$63,5,FALSE),""),"")</f>
        <v/>
      </c>
      <c r="CL20" s="41" t="str">
        <f>IFERROR(IF(AD20=1,VLOOKUP(AD$2,활동내용입력!$B$4:$F$63,5,FALSE),""),"")</f>
        <v/>
      </c>
      <c r="CM20" s="41" t="str">
        <f>IFERROR(IF(AE20=1,VLOOKUP(AE$2,활동내용입력!$B$4:$F$63,5,FALSE),""),"")</f>
        <v/>
      </c>
      <c r="CN20" s="41" t="str">
        <f>IFERROR(IF(AF20=1,VLOOKUP(AF$2,활동내용입력!$B$4:$F$63,5,FALSE),""),"")</f>
        <v/>
      </c>
      <c r="CO20" s="41" t="str">
        <f>IFERROR(IF(AG20=1,VLOOKUP(AG$2,활동내용입력!$B$4:$F$63,5,FALSE),""),"")</f>
        <v/>
      </c>
      <c r="CP20" s="41" t="str">
        <f>IFERROR(IF(AH20=1,VLOOKUP(AH$2,활동내용입력!$B$4:$F$63,5,FALSE),""),"")</f>
        <v/>
      </c>
      <c r="CQ20" s="41" t="str">
        <f>IFERROR(IF(AI20=1,VLOOKUP(AI$2,활동내용입력!$B$4:$F$63,5,FALSE),""),"")</f>
        <v/>
      </c>
      <c r="CR20" s="41" t="str">
        <f>IFERROR(IF(AJ20=1,VLOOKUP(AJ$2,활동내용입력!$B$4:$F$63,5,FALSE),""),"")</f>
        <v/>
      </c>
      <c r="CS20" s="41" t="str">
        <f>IFERROR(IF(AK20=1,VLOOKUP(AK$2,활동내용입력!$B$4:$F$63,5,FALSE),""),"")</f>
        <v/>
      </c>
      <c r="CT20" s="41" t="str">
        <f>IFERROR(IF(AL20=1,VLOOKUP(AL$2,활동내용입력!$B$4:$F$63,5,FALSE),""),"")</f>
        <v/>
      </c>
      <c r="CU20" s="41" t="str">
        <f>IFERROR(IF(AM20=1,VLOOKUP(AM$2,활동내용입력!$B$4:$F$63,5,FALSE),""),"")</f>
        <v/>
      </c>
      <c r="CV20" s="41" t="str">
        <f>IFERROR(IF(AN20=1,VLOOKUP(AN$2,활동내용입력!$B$4:$F$63,5,FALSE),""),"")</f>
        <v/>
      </c>
      <c r="CW20" s="41" t="str">
        <f>IFERROR(IF(AO20=1,VLOOKUP(AO$2,활동내용입력!$B$4:$F$63,5,FALSE),""),"")</f>
        <v/>
      </c>
      <c r="CX20" s="41" t="str">
        <f>IFERROR(IF(AP20=1,VLOOKUP(AP$2,활동내용입력!$B$4:$F$63,5,FALSE),""),"")</f>
        <v/>
      </c>
      <c r="CY20" s="41" t="str">
        <f>IFERROR(IF(AQ20=1,VLOOKUP(AQ$2,활동내용입력!$B$4:$F$63,5,FALSE),""),"")</f>
        <v/>
      </c>
      <c r="CZ20" s="41" t="str">
        <f>IFERROR(IF(AR20=1,VLOOKUP(AR$2,활동내용입력!$B$4:$F$63,5,FALSE),""),"")</f>
        <v/>
      </c>
      <c r="DA20" s="41" t="str">
        <f>IFERROR(IF(AS20=1,VLOOKUP(AS$2,활동내용입력!$B$4:$F$63,5,FALSE),""),"")</f>
        <v/>
      </c>
      <c r="DB20" s="41" t="str">
        <f>IFERROR(IF(AT20=1,VLOOKUP(AT$2,활동내용입력!$B$4:$F$63,5,FALSE),""),"")</f>
        <v/>
      </c>
      <c r="DC20" s="41" t="str">
        <f>IFERROR(IF(AU20=1,VLOOKUP(AU$2,활동내용입력!$B$4:$F$63,5,FALSE),""),"")</f>
        <v/>
      </c>
      <c r="DD20" s="41" t="str">
        <f>IFERROR(IF(AV20=1,VLOOKUP(AV$2,활동내용입력!$B$4:$F$63,5,FALSE),""),"")</f>
        <v/>
      </c>
      <c r="DE20" s="41" t="str">
        <f>IFERROR(IF(AW20=1,VLOOKUP(AW$2,활동내용입력!$B$4:$F$63,5,FALSE),""),"")</f>
        <v/>
      </c>
      <c r="DF20" s="41" t="str">
        <f>IFERROR(IF(AX20=1,VLOOKUP(AX$2,활동내용입력!$B$4:$F$63,5,FALSE),""),"")</f>
        <v/>
      </c>
      <c r="DG20" s="41" t="str">
        <f>IFERROR(IF(AY20=1,VLOOKUP(AY$2,활동내용입력!$B$4:$F$63,5,FALSE),""),"")</f>
        <v/>
      </c>
      <c r="DH20" s="41" t="str">
        <f>IFERROR(IF(AZ20=1,VLOOKUP(AZ$2,활동내용입력!$B$4:$F$63,5,FALSE),""),"")</f>
        <v/>
      </c>
      <c r="DI20" s="41" t="str">
        <f>IFERROR(IF(BA20=1,VLOOKUP(BA$2,활동내용입력!$B$4:$F$63,5,FALSE),""),"")</f>
        <v/>
      </c>
      <c r="DJ20" s="41" t="str">
        <f>IFERROR(IF(BB20=1,VLOOKUP(BB$2,활동내용입력!$B$4:$F$63,5,FALSE),""),"")</f>
        <v/>
      </c>
      <c r="DK20" s="41" t="str">
        <f>IFERROR(IF(BC20=1,VLOOKUP(BC$2,활동내용입력!$B$4:$F$63,5,FALSE),""),"")</f>
        <v/>
      </c>
      <c r="DL20" s="41" t="str">
        <f>IFERROR(IF(BD20=1,VLOOKUP(BD$2,활동내용입력!$B$4:$F$63,5,FALSE),""),"")</f>
        <v/>
      </c>
      <c r="DM20" s="41" t="str">
        <f>IFERROR(IF(BE20=1,VLOOKUP(BE$2,활동내용입력!$B$4:$F$63,5,FALSE),""),"")</f>
        <v/>
      </c>
      <c r="DN20" s="41" t="str">
        <f>IFERROR(IF(BF20=1,VLOOKUP(BF$2,활동내용입력!$B$4:$F$63,5,FALSE),""),"")</f>
        <v/>
      </c>
      <c r="DO20" s="41" t="str">
        <f>IFERROR(IF(BG20=1,VLOOKUP(BG$2,활동내용입력!$B$4:$F$63,5,FALSE),""),"")</f>
        <v/>
      </c>
      <c r="DP20" s="41" t="str">
        <f>IFERROR(IF(BH20=1,VLOOKUP(BH$2,활동내용입력!$B$4:$F$63,5,FALSE),""),"")</f>
        <v/>
      </c>
      <c r="DQ20" s="41" t="str">
        <f>IFERROR(IF(BI20=1,VLOOKUP(BI$2,활동내용입력!$B$4:$F$63,5,FALSE),""),"")</f>
        <v/>
      </c>
      <c r="DR20" s="41" t="str">
        <f>IFERROR(IF(BJ20=1,VLOOKUP(BJ$2,활동내용입력!$B$4:$F$63,5,FALSE),""),"")</f>
        <v/>
      </c>
      <c r="DS20" s="41" t="str">
        <f t="shared" si="7"/>
        <v xml:space="preserve">안드로이드Layout의 구성과 동작 원리를 분석하여 Widget 간의 관계와 역할을 탐색하고, 주어진 문제 해결에 필요한 Layout과 Widget을 선택하여 프로그램을 설계 개발함.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 안드로이드 앱을 개발함.
</v>
      </c>
      <c r="DT20" s="42">
        <f t="shared" si="6"/>
        <v>4</v>
      </c>
      <c r="DU20" s="34"/>
    </row>
    <row r="21" spans="1:125" x14ac:dyDescent="0.4">
      <c r="A21" s="58">
        <v>17</v>
      </c>
      <c r="B21" s="57" t="s">
        <v>228</v>
      </c>
      <c r="C21" s="40"/>
      <c r="D21" s="40"/>
      <c r="E21" s="40"/>
      <c r="F21" s="40"/>
      <c r="G21" s="40"/>
      <c r="H21" s="40"/>
      <c r="I21" s="40"/>
      <c r="J21" s="40">
        <v>1</v>
      </c>
      <c r="K21" s="40">
        <v>1</v>
      </c>
      <c r="L21" s="40"/>
      <c r="M21" s="40"/>
      <c r="N21" s="40">
        <v>1</v>
      </c>
      <c r="O21" s="40"/>
      <c r="P21" s="40"/>
      <c r="Q21" s="40">
        <v>1</v>
      </c>
      <c r="R21" s="40"/>
      <c r="S21" s="40"/>
      <c r="T21" s="40">
        <v>1</v>
      </c>
      <c r="U21" s="40">
        <v>1</v>
      </c>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1" t="str">
        <f>IFERROR(IF(C21=1,VLOOKUP(C$2,활동내용입력!$B$4:$F$63,5,FALSE),""),"")</f>
        <v/>
      </c>
      <c r="BL21" s="41" t="str">
        <f>IFERROR(IF(D21=1,VLOOKUP(D$2,활동내용입력!$B$4:$F$63,5,FALSE),""),"")</f>
        <v/>
      </c>
      <c r="BM21" s="41" t="str">
        <f>IFERROR(IF(E21=1,VLOOKUP(E$2,활동내용입력!$B$4:$F$63,5,FALSE),""),"")</f>
        <v/>
      </c>
      <c r="BN21" s="41" t="str">
        <f>IFERROR(IF(F21=1,VLOOKUP(F$2,활동내용입력!$B$4:$F$63,5,FALSE),""),"")</f>
        <v/>
      </c>
      <c r="BO21" s="41" t="str">
        <f>IFERROR(IF(G21=1,VLOOKUP(G$2,활동내용입력!$B$4:$F$63,5,FALSE),""),"")</f>
        <v/>
      </c>
      <c r="BP21" s="41" t="str">
        <f>IFERROR(IF(H21=1,VLOOKUP(H$2,활동내용입력!$B$4:$F$63,5,FALSE),""),"")</f>
        <v/>
      </c>
      <c r="BQ21" s="41" t="str">
        <f>IFERROR(IF(I21=1,VLOOKUP(I$2,활동내용입력!$B$4:$F$63,5,FALSE),""),"")</f>
        <v/>
      </c>
      <c r="BR21" s="41" t="str">
        <f>IFERROR(IF(J21=1,VLOOKUP(J$2,활동내용입력!$B$4:$F$63,5,FALSE),""),"")</f>
        <v>멀티미디어 자료를 활용하는 기본적인 방법과 응용 방법을 이해하고 있으며, 안드로이드 프로그램에서 음악과 사진 등의 멀티미디어 자료를 적절하게 활용함.</v>
      </c>
      <c r="BS21" s="41" t="str">
        <f>IFERROR(IF(K21=1,VLOOKUP(K$2,활동내용입력!$B$4:$F$63,5,FALSE),""),"")</f>
        <v>실생활 문제 상황을 분석하여 문제의 현재 상태와 목표 상태를 명확히 정의하고 실생활 문제의 현재 상태에서 목표 상태에 도달하기 위해 수행해야 할 작업을 순서대로 제시할 수 있음.</v>
      </c>
      <c r="BT21" s="41" t="str">
        <f>IFERROR(IF(L21=1,VLOOKUP(L$2,활동내용입력!$B$4:$F$63,5,FALSE),""),"")</f>
        <v/>
      </c>
      <c r="BU21" s="41" t="str">
        <f>IFERROR(IF(M21=1,VLOOKUP(M$2,활동내용입력!$B$4:$F$63,5,FALSE),""),"")</f>
        <v/>
      </c>
      <c r="BV21" s="41" t="str">
        <f>IFERROR(IF(N21=1,VLOOKUP(N$2,활동내용입력!$B$4:$F$63,5,FALSE),""),"")</f>
        <v>문제 해결을 위한 다양한 방법과 절차를 탐색하고 해결 절차를 글이나 그림으로 논리적이고 명확하게 표현할 수 있음.</v>
      </c>
      <c r="BW21" s="41" t="str">
        <f>IFERROR(IF(O21=1,VLOOKUP(O$2,활동내용입력!$B$4:$F$63,5,FALSE),""),"")</f>
        <v/>
      </c>
      <c r="BX21" s="41" t="str">
        <f>IFERROR(IF(P21=1,VLOOKUP(P$2,활동내용입력!$B$4:$F$63,5,FALSE),""),"")</f>
        <v/>
      </c>
      <c r="BY21" s="41" t="str">
        <f>IFERROR(IF(Q21=1,VLOOKUP(Q$2,활동내용입력!$B$4:$F$63,5,FALSE),""),"")</f>
        <v>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v>
      </c>
      <c r="BZ21" s="41" t="str">
        <f>IFERROR(IF(R21=1,VLOOKUP(R$2,활동내용입력!$B$4:$F$63,5,FALSE),""),"")</f>
        <v/>
      </c>
      <c r="CA21" s="41" t="str">
        <f>IFERROR(IF(S21=1,VLOOKUP(S$2,활동내용입력!$B$4:$F$63,5,FALSE),""),"")</f>
        <v/>
      </c>
      <c r="CB21" s="41" t="str">
        <f>IFERROR(IF(T21=1,VLOOKUP(T$2,활동내용입력!$B$4:$F$63,5,FALSE),""),"")</f>
        <v>안드로이드 앱 개발 프로젝트 수행 과정에 주도적으로 참여하여 과제를 수행함.</v>
      </c>
      <c r="CC21" s="41" t="str">
        <f>IFERROR(IF(U21=1,VLOOKUP(U$2,활동내용입력!$B$4:$F$63,5,FALSE),""),"")</f>
        <v>●●● 안드로이드 앱을 개발함.</v>
      </c>
      <c r="CD21" s="41" t="str">
        <f>IFERROR(IF(V21=1,VLOOKUP(V$2,활동내용입력!$B$4:$F$63,5,FALSE),""),"")</f>
        <v/>
      </c>
      <c r="CE21" s="41" t="str">
        <f>IFERROR(IF(W21=1,VLOOKUP(W$2,활동내용입력!$B$4:$F$63,5,FALSE),""),"")</f>
        <v/>
      </c>
      <c r="CF21" s="41" t="str">
        <f>IFERROR(IF(X21=1,VLOOKUP(X$2,활동내용입력!$B$4:$F$63,5,FALSE),""),"")</f>
        <v/>
      </c>
      <c r="CG21" s="41" t="str">
        <f>IFERROR(IF(Y21=1,VLOOKUP(Y$2,활동내용입력!$B$4:$F$63,5,FALSE),""),"")</f>
        <v/>
      </c>
      <c r="CH21" s="41" t="str">
        <f>IFERROR(IF(Z21=1,VLOOKUP(Z$2,활동내용입력!$B$4:$F$63,5,FALSE),""),"")</f>
        <v/>
      </c>
      <c r="CI21" s="41" t="str">
        <f>IFERROR(IF(AA21=1,VLOOKUP(AA$2,활동내용입력!$B$4:$F$63,5,FALSE),""),"")</f>
        <v/>
      </c>
      <c r="CJ21" s="41" t="str">
        <f>IFERROR(IF(AB21=1,VLOOKUP(AB$2,활동내용입력!$B$4:$F$63,5,FALSE),""),"")</f>
        <v/>
      </c>
      <c r="CK21" s="41" t="str">
        <f>IFERROR(IF(AC21=1,VLOOKUP(AC$2,활동내용입력!$B$4:$F$63,5,FALSE),""),"")</f>
        <v/>
      </c>
      <c r="CL21" s="41" t="str">
        <f>IFERROR(IF(AD21=1,VLOOKUP(AD$2,활동내용입력!$B$4:$F$63,5,FALSE),""),"")</f>
        <v/>
      </c>
      <c r="CM21" s="41" t="str">
        <f>IFERROR(IF(AE21=1,VLOOKUP(AE$2,활동내용입력!$B$4:$F$63,5,FALSE),""),"")</f>
        <v/>
      </c>
      <c r="CN21" s="41" t="str">
        <f>IFERROR(IF(AF21=1,VLOOKUP(AF$2,활동내용입력!$B$4:$F$63,5,FALSE),""),"")</f>
        <v/>
      </c>
      <c r="CO21" s="41" t="str">
        <f>IFERROR(IF(AG21=1,VLOOKUP(AG$2,활동내용입력!$B$4:$F$63,5,FALSE),""),"")</f>
        <v/>
      </c>
      <c r="CP21" s="41" t="str">
        <f>IFERROR(IF(AH21=1,VLOOKUP(AH$2,활동내용입력!$B$4:$F$63,5,FALSE),""),"")</f>
        <v/>
      </c>
      <c r="CQ21" s="41" t="str">
        <f>IFERROR(IF(AI21=1,VLOOKUP(AI$2,활동내용입력!$B$4:$F$63,5,FALSE),""),"")</f>
        <v/>
      </c>
      <c r="CR21" s="41" t="str">
        <f>IFERROR(IF(AJ21=1,VLOOKUP(AJ$2,활동내용입력!$B$4:$F$63,5,FALSE),""),"")</f>
        <v/>
      </c>
      <c r="CS21" s="41" t="str">
        <f>IFERROR(IF(AK21=1,VLOOKUP(AK$2,활동내용입력!$B$4:$F$63,5,FALSE),""),"")</f>
        <v/>
      </c>
      <c r="CT21" s="41" t="str">
        <f>IFERROR(IF(AL21=1,VLOOKUP(AL$2,활동내용입력!$B$4:$F$63,5,FALSE),""),"")</f>
        <v/>
      </c>
      <c r="CU21" s="41" t="str">
        <f>IFERROR(IF(AM21=1,VLOOKUP(AM$2,활동내용입력!$B$4:$F$63,5,FALSE),""),"")</f>
        <v/>
      </c>
      <c r="CV21" s="41" t="str">
        <f>IFERROR(IF(AN21=1,VLOOKUP(AN$2,활동내용입력!$B$4:$F$63,5,FALSE),""),"")</f>
        <v/>
      </c>
      <c r="CW21" s="41" t="str">
        <f>IFERROR(IF(AO21=1,VLOOKUP(AO$2,활동내용입력!$B$4:$F$63,5,FALSE),""),"")</f>
        <v/>
      </c>
      <c r="CX21" s="41" t="str">
        <f>IFERROR(IF(AP21=1,VLOOKUP(AP$2,활동내용입력!$B$4:$F$63,5,FALSE),""),"")</f>
        <v/>
      </c>
      <c r="CY21" s="41" t="str">
        <f>IFERROR(IF(AQ21=1,VLOOKUP(AQ$2,활동내용입력!$B$4:$F$63,5,FALSE),""),"")</f>
        <v/>
      </c>
      <c r="CZ21" s="41" t="str">
        <f>IFERROR(IF(AR21=1,VLOOKUP(AR$2,활동내용입력!$B$4:$F$63,5,FALSE),""),"")</f>
        <v/>
      </c>
      <c r="DA21" s="41" t="str">
        <f>IFERROR(IF(AS21=1,VLOOKUP(AS$2,활동내용입력!$B$4:$F$63,5,FALSE),""),"")</f>
        <v/>
      </c>
      <c r="DB21" s="41" t="str">
        <f>IFERROR(IF(AT21=1,VLOOKUP(AT$2,활동내용입력!$B$4:$F$63,5,FALSE),""),"")</f>
        <v/>
      </c>
      <c r="DC21" s="41" t="str">
        <f>IFERROR(IF(AU21=1,VLOOKUP(AU$2,활동내용입력!$B$4:$F$63,5,FALSE),""),"")</f>
        <v/>
      </c>
      <c r="DD21" s="41" t="str">
        <f>IFERROR(IF(AV21=1,VLOOKUP(AV$2,활동내용입력!$B$4:$F$63,5,FALSE),""),"")</f>
        <v/>
      </c>
      <c r="DE21" s="41" t="str">
        <f>IFERROR(IF(AW21=1,VLOOKUP(AW$2,활동내용입력!$B$4:$F$63,5,FALSE),""),"")</f>
        <v/>
      </c>
      <c r="DF21" s="41" t="str">
        <f>IFERROR(IF(AX21=1,VLOOKUP(AX$2,활동내용입력!$B$4:$F$63,5,FALSE),""),"")</f>
        <v/>
      </c>
      <c r="DG21" s="41" t="str">
        <f>IFERROR(IF(AY21=1,VLOOKUP(AY$2,활동내용입력!$B$4:$F$63,5,FALSE),""),"")</f>
        <v/>
      </c>
      <c r="DH21" s="41" t="str">
        <f>IFERROR(IF(AZ21=1,VLOOKUP(AZ$2,활동내용입력!$B$4:$F$63,5,FALSE),""),"")</f>
        <v/>
      </c>
      <c r="DI21" s="41" t="str">
        <f>IFERROR(IF(BA21=1,VLOOKUP(BA$2,활동내용입력!$B$4:$F$63,5,FALSE),""),"")</f>
        <v/>
      </c>
      <c r="DJ21" s="41" t="str">
        <f>IFERROR(IF(BB21=1,VLOOKUP(BB$2,활동내용입력!$B$4:$F$63,5,FALSE),""),"")</f>
        <v/>
      </c>
      <c r="DK21" s="41" t="str">
        <f>IFERROR(IF(BC21=1,VLOOKUP(BC$2,활동내용입력!$B$4:$F$63,5,FALSE),""),"")</f>
        <v/>
      </c>
      <c r="DL21" s="41" t="str">
        <f>IFERROR(IF(BD21=1,VLOOKUP(BD$2,활동내용입력!$B$4:$F$63,5,FALSE),""),"")</f>
        <v/>
      </c>
      <c r="DM21" s="41" t="str">
        <f>IFERROR(IF(BE21=1,VLOOKUP(BE$2,활동내용입력!$B$4:$F$63,5,FALSE),""),"")</f>
        <v/>
      </c>
      <c r="DN21" s="41" t="str">
        <f>IFERROR(IF(BF21=1,VLOOKUP(BF$2,활동내용입력!$B$4:$F$63,5,FALSE),""),"")</f>
        <v/>
      </c>
      <c r="DO21" s="41" t="str">
        <f>IFERROR(IF(BG21=1,VLOOKUP(BG$2,활동내용입력!$B$4:$F$63,5,FALSE),""),"")</f>
        <v/>
      </c>
      <c r="DP21" s="41" t="str">
        <f>IFERROR(IF(BH21=1,VLOOKUP(BH$2,활동내용입력!$B$4:$F$63,5,FALSE),""),"")</f>
        <v/>
      </c>
      <c r="DQ21" s="41" t="str">
        <f>IFERROR(IF(BI21=1,VLOOKUP(BI$2,활동내용입력!$B$4:$F$63,5,FALSE),""),"")</f>
        <v/>
      </c>
      <c r="DR21" s="41" t="str">
        <f>IFERROR(IF(BJ21=1,VLOOKUP(BJ$2,활동내용입력!$B$4:$F$63,5,FALSE),""),"")</f>
        <v/>
      </c>
      <c r="DS21" s="41" t="str">
        <f t="shared" si="7"/>
        <v xml:space="preserve">멀티미디어 자료를 활용하는 기본적인 방법과 응용 방법을 이해하고 있으며, 안드로이드 프로그램에서 음악과 사진 등의 멀티미디어 자료를 적절하게 활용함.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v>
      </c>
      <c r="DT21" s="42">
        <f t="shared" si="6"/>
        <v>6</v>
      </c>
      <c r="DU21" s="34"/>
    </row>
    <row r="22" spans="1:125" x14ac:dyDescent="0.4">
      <c r="A22" s="58">
        <v>18</v>
      </c>
      <c r="B22" s="57" t="s">
        <v>236</v>
      </c>
      <c r="C22" s="40"/>
      <c r="D22" s="40"/>
      <c r="E22" s="40"/>
      <c r="F22" s="40"/>
      <c r="G22" s="40"/>
      <c r="H22" s="40"/>
      <c r="I22" s="40">
        <v>1</v>
      </c>
      <c r="J22" s="40"/>
      <c r="K22" s="40"/>
      <c r="L22" s="40">
        <v>1</v>
      </c>
      <c r="M22" s="40"/>
      <c r="N22" s="40"/>
      <c r="O22" s="40"/>
      <c r="P22" s="40">
        <v>1</v>
      </c>
      <c r="Q22" s="40"/>
      <c r="R22" s="40"/>
      <c r="S22" s="40">
        <v>1</v>
      </c>
      <c r="T22" s="40"/>
      <c r="U22" s="40">
        <v>1</v>
      </c>
      <c r="V22" s="40"/>
      <c r="W22" s="40">
        <v>1</v>
      </c>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1" t="str">
        <f>IFERROR(IF(C22=1,VLOOKUP(C$2,활동내용입력!$B$4:$F$63,5,FALSE),""),"")</f>
        <v/>
      </c>
      <c r="BL22" s="41" t="str">
        <f>IFERROR(IF(D22=1,VLOOKUP(D$2,활동내용입력!$B$4:$F$63,5,FALSE),""),"")</f>
        <v/>
      </c>
      <c r="BM22" s="41" t="str">
        <f>IFERROR(IF(E22=1,VLOOKUP(E$2,활동내용입력!$B$4:$F$63,5,FALSE),""),"")</f>
        <v/>
      </c>
      <c r="BN22" s="41" t="str">
        <f>IFERROR(IF(F22=1,VLOOKUP(F$2,활동내용입력!$B$4:$F$63,5,FALSE),""),"")</f>
        <v/>
      </c>
      <c r="BO22" s="41" t="str">
        <f>IFERROR(IF(G22=1,VLOOKUP(G$2,활동내용입력!$B$4:$F$63,5,FALSE),""),"")</f>
        <v/>
      </c>
      <c r="BP22" s="41" t="str">
        <f>IFERROR(IF(H22=1,VLOOKUP(H$2,활동내용입력!$B$4:$F$63,5,FALSE),""),"")</f>
        <v/>
      </c>
      <c r="BQ22" s="41" t="str">
        <f>IFERROR(IF(I22=1,VLOOKUP(I$2,활동내용입력!$B$4:$F$63,5,FALSE),""),"")</f>
        <v>File을 생성하여 데이터를 저장하는 방법과 File에서 데이터를 불러와 활용하는 능력이 우수함.</v>
      </c>
      <c r="BR22" s="41" t="str">
        <f>IFERROR(IF(J22=1,VLOOKUP(J$2,활동내용입력!$B$4:$F$63,5,FALSE),""),"")</f>
        <v/>
      </c>
      <c r="BS22" s="41" t="str">
        <f>IFERROR(IF(K22=1,VLOOKUP(K$2,활동내용입력!$B$4:$F$63,5,FALSE),""),"")</f>
        <v/>
      </c>
      <c r="BT22" s="41" t="str">
        <f>IFERROR(IF(L22=1,VLOOKUP(L$2,활동내용입력!$B$4:$F$63,5,FALSE),""),"")</f>
        <v>문제 상황을 분석하여 문제의 현재 상태와 목표 상태를 설명할 수 있고 문제의 현재 상태에서 목표 상태에 도달하기 위해 수행해야 할 작업이 무엇인지 설명할 수 있음.</v>
      </c>
      <c r="BU22" s="41" t="str">
        <f>IFERROR(IF(M22=1,VLOOKUP(M$2,활동내용입력!$B$4:$F$63,5,FALSE),""),"")</f>
        <v/>
      </c>
      <c r="BV22" s="41" t="str">
        <f>IFERROR(IF(N22=1,VLOOKUP(N$2,활동내용입력!$B$4:$F$63,5,FALSE),""),"")</f>
        <v/>
      </c>
      <c r="BW22" s="41" t="str">
        <f>IFERROR(IF(O22=1,VLOOKUP(O$2,활동내용입력!$B$4:$F$63,5,FALSE),""),"")</f>
        <v/>
      </c>
      <c r="BX22" s="41" t="str">
        <f>IFERROR(IF(P22=1,VLOOKUP(P$2,활동내용입력!$B$4:$F$63,5,FALSE),""),"")</f>
        <v>제시된 문제 해결을 위한 소프트웨어를 설계 개발하고 동일한 문제 해결을 위해 활용 가능한 다양한 알고리즘의 차이를 비교할 수 있음.</v>
      </c>
      <c r="BY22" s="41" t="str">
        <f>IFERROR(IF(Q22=1,VLOOKUP(Q$2,활동내용입력!$B$4:$F$63,5,FALSE),""),"")</f>
        <v/>
      </c>
      <c r="BZ22" s="41" t="str">
        <f>IFERROR(IF(R22=1,VLOOKUP(R$2,활동내용입력!$B$4:$F$63,5,FALSE),""),"")</f>
        <v/>
      </c>
      <c r="CA22" s="41" t="str">
        <f>IFERROR(IF(S22=1,VLOOKUP(S$2,활동내용입력!$B$4:$F$63,5,FALSE),""),"")</f>
        <v>지적 호기심이 풍부하여 프로그램 개발 과정에서 새로운 해결방법을 발견하고 적용하는 것을 좋아함.</v>
      </c>
      <c r="CB22" s="41" t="str">
        <f>IFERROR(IF(T22=1,VLOOKUP(T$2,활동내용입력!$B$4:$F$63,5,FALSE),""),"")</f>
        <v/>
      </c>
      <c r="CC22" s="41" t="str">
        <f>IFERROR(IF(U22=1,VLOOKUP(U$2,활동내용입력!$B$4:$F$63,5,FALSE),""),"")</f>
        <v>●●● 안드로이드 앱을 개발함.</v>
      </c>
      <c r="CD22" s="41" t="str">
        <f>IFERROR(IF(V22=1,VLOOKUP(V$2,활동내용입력!$B$4:$F$63,5,FALSE),""),"")</f>
        <v/>
      </c>
      <c r="CE22" s="41" t="str">
        <f>IFERROR(IF(W22=1,VLOOKUP(W$2,활동내용입력!$B$4:$F$63,5,FALSE),""),"")</f>
        <v>프로젝트 산출물을 발표하는 자리에서 프로그램의 동작 과정과 원리를 잘 설명하여 다른 친구들의 공감을 얻음.</v>
      </c>
      <c r="CF22" s="41" t="str">
        <f>IFERROR(IF(X22=1,VLOOKUP(X$2,활동내용입력!$B$4:$F$63,5,FALSE),""),"")</f>
        <v/>
      </c>
      <c r="CG22" s="41" t="str">
        <f>IFERROR(IF(Y22=1,VLOOKUP(Y$2,활동내용입력!$B$4:$F$63,5,FALSE),""),"")</f>
        <v/>
      </c>
      <c r="CH22" s="41" t="str">
        <f>IFERROR(IF(Z22=1,VLOOKUP(Z$2,활동내용입력!$B$4:$F$63,5,FALSE),""),"")</f>
        <v/>
      </c>
      <c r="CI22" s="41" t="str">
        <f>IFERROR(IF(AA22=1,VLOOKUP(AA$2,활동내용입력!$B$4:$F$63,5,FALSE),""),"")</f>
        <v/>
      </c>
      <c r="CJ22" s="41" t="str">
        <f>IFERROR(IF(AB22=1,VLOOKUP(AB$2,활동내용입력!$B$4:$F$63,5,FALSE),""),"")</f>
        <v/>
      </c>
      <c r="CK22" s="41" t="str">
        <f>IFERROR(IF(AC22=1,VLOOKUP(AC$2,활동내용입력!$B$4:$F$63,5,FALSE),""),"")</f>
        <v/>
      </c>
      <c r="CL22" s="41" t="str">
        <f>IFERROR(IF(AD22=1,VLOOKUP(AD$2,활동내용입력!$B$4:$F$63,5,FALSE),""),"")</f>
        <v/>
      </c>
      <c r="CM22" s="41" t="str">
        <f>IFERROR(IF(AE22=1,VLOOKUP(AE$2,활동내용입력!$B$4:$F$63,5,FALSE),""),"")</f>
        <v/>
      </c>
      <c r="CN22" s="41" t="str">
        <f>IFERROR(IF(AF22=1,VLOOKUP(AF$2,활동내용입력!$B$4:$F$63,5,FALSE),""),"")</f>
        <v/>
      </c>
      <c r="CO22" s="41" t="str">
        <f>IFERROR(IF(AG22=1,VLOOKUP(AG$2,활동내용입력!$B$4:$F$63,5,FALSE),""),"")</f>
        <v/>
      </c>
      <c r="CP22" s="41" t="str">
        <f>IFERROR(IF(AH22=1,VLOOKUP(AH$2,활동내용입력!$B$4:$F$63,5,FALSE),""),"")</f>
        <v/>
      </c>
      <c r="CQ22" s="41" t="str">
        <f>IFERROR(IF(AI22=1,VLOOKUP(AI$2,활동내용입력!$B$4:$F$63,5,FALSE),""),"")</f>
        <v/>
      </c>
      <c r="CR22" s="41" t="str">
        <f>IFERROR(IF(AJ22=1,VLOOKUP(AJ$2,활동내용입력!$B$4:$F$63,5,FALSE),""),"")</f>
        <v/>
      </c>
      <c r="CS22" s="41" t="str">
        <f>IFERROR(IF(AK22=1,VLOOKUP(AK$2,활동내용입력!$B$4:$F$63,5,FALSE),""),"")</f>
        <v/>
      </c>
      <c r="CT22" s="41" t="str">
        <f>IFERROR(IF(AL22=1,VLOOKUP(AL$2,활동내용입력!$B$4:$F$63,5,FALSE),""),"")</f>
        <v/>
      </c>
      <c r="CU22" s="41" t="str">
        <f>IFERROR(IF(AM22=1,VLOOKUP(AM$2,활동내용입력!$B$4:$F$63,5,FALSE),""),"")</f>
        <v/>
      </c>
      <c r="CV22" s="41" t="str">
        <f>IFERROR(IF(AN22=1,VLOOKUP(AN$2,활동내용입력!$B$4:$F$63,5,FALSE),""),"")</f>
        <v/>
      </c>
      <c r="CW22" s="41" t="str">
        <f>IFERROR(IF(AO22=1,VLOOKUP(AO$2,활동내용입력!$B$4:$F$63,5,FALSE),""),"")</f>
        <v/>
      </c>
      <c r="CX22" s="41" t="str">
        <f>IFERROR(IF(AP22=1,VLOOKUP(AP$2,활동내용입력!$B$4:$F$63,5,FALSE),""),"")</f>
        <v/>
      </c>
      <c r="CY22" s="41" t="str">
        <f>IFERROR(IF(AQ22=1,VLOOKUP(AQ$2,활동내용입력!$B$4:$F$63,5,FALSE),""),"")</f>
        <v/>
      </c>
      <c r="CZ22" s="41" t="str">
        <f>IFERROR(IF(AR22=1,VLOOKUP(AR$2,활동내용입력!$B$4:$F$63,5,FALSE),""),"")</f>
        <v/>
      </c>
      <c r="DA22" s="41" t="str">
        <f>IFERROR(IF(AS22=1,VLOOKUP(AS$2,활동내용입력!$B$4:$F$63,5,FALSE),""),"")</f>
        <v/>
      </c>
      <c r="DB22" s="41" t="str">
        <f>IFERROR(IF(AT22=1,VLOOKUP(AT$2,활동내용입력!$B$4:$F$63,5,FALSE),""),"")</f>
        <v/>
      </c>
      <c r="DC22" s="41" t="str">
        <f>IFERROR(IF(AU22=1,VLOOKUP(AU$2,활동내용입력!$B$4:$F$63,5,FALSE),""),"")</f>
        <v/>
      </c>
      <c r="DD22" s="41" t="str">
        <f>IFERROR(IF(AV22=1,VLOOKUP(AV$2,활동내용입력!$B$4:$F$63,5,FALSE),""),"")</f>
        <v/>
      </c>
      <c r="DE22" s="41" t="str">
        <f>IFERROR(IF(AW22=1,VLOOKUP(AW$2,활동내용입력!$B$4:$F$63,5,FALSE),""),"")</f>
        <v/>
      </c>
      <c r="DF22" s="41" t="str">
        <f>IFERROR(IF(AX22=1,VLOOKUP(AX$2,활동내용입력!$B$4:$F$63,5,FALSE),""),"")</f>
        <v/>
      </c>
      <c r="DG22" s="41" t="str">
        <f>IFERROR(IF(AY22=1,VLOOKUP(AY$2,활동내용입력!$B$4:$F$63,5,FALSE),""),"")</f>
        <v/>
      </c>
      <c r="DH22" s="41" t="str">
        <f>IFERROR(IF(AZ22=1,VLOOKUP(AZ$2,활동내용입력!$B$4:$F$63,5,FALSE),""),"")</f>
        <v/>
      </c>
      <c r="DI22" s="41" t="str">
        <f>IFERROR(IF(BA22=1,VLOOKUP(BA$2,활동내용입력!$B$4:$F$63,5,FALSE),""),"")</f>
        <v/>
      </c>
      <c r="DJ22" s="41" t="str">
        <f>IFERROR(IF(BB22=1,VLOOKUP(BB$2,활동내용입력!$B$4:$F$63,5,FALSE),""),"")</f>
        <v/>
      </c>
      <c r="DK22" s="41" t="str">
        <f>IFERROR(IF(BC22=1,VLOOKUP(BC$2,활동내용입력!$B$4:$F$63,5,FALSE),""),"")</f>
        <v/>
      </c>
      <c r="DL22" s="41" t="str">
        <f>IFERROR(IF(BD22=1,VLOOKUP(BD$2,활동내용입력!$B$4:$F$63,5,FALSE),""),"")</f>
        <v/>
      </c>
      <c r="DM22" s="41" t="str">
        <f>IFERROR(IF(BE22=1,VLOOKUP(BE$2,활동내용입력!$B$4:$F$63,5,FALSE),""),"")</f>
        <v/>
      </c>
      <c r="DN22" s="41" t="str">
        <f>IFERROR(IF(BF22=1,VLOOKUP(BF$2,활동내용입력!$B$4:$F$63,5,FALSE),""),"")</f>
        <v/>
      </c>
      <c r="DO22" s="41" t="str">
        <f>IFERROR(IF(BG22=1,VLOOKUP(BG$2,활동내용입력!$B$4:$F$63,5,FALSE),""),"")</f>
        <v/>
      </c>
      <c r="DP22" s="41" t="str">
        <f>IFERROR(IF(BH22=1,VLOOKUP(BH$2,활동내용입력!$B$4:$F$63,5,FALSE),""),"")</f>
        <v/>
      </c>
      <c r="DQ22" s="41" t="str">
        <f>IFERROR(IF(BI22=1,VLOOKUP(BI$2,활동내용입력!$B$4:$F$63,5,FALSE),""),"")</f>
        <v/>
      </c>
      <c r="DR22" s="41" t="str">
        <f>IFERROR(IF(BJ22=1,VLOOKUP(BJ$2,활동내용입력!$B$4:$F$63,5,FALSE),""),"")</f>
        <v/>
      </c>
      <c r="DS22" s="41" t="str">
        <f t="shared" si="7"/>
        <v xml:space="preserve">File을 생성하여 데이터를 저장하는 방법과 File에서 데이터를 불러와 활용하는 능력이 우수함.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안드로이드 앱을 개발함.
프로젝트 산출물을 발표하는 자리에서 프로그램의 동작 과정과 원리를 잘 설명하여 다른 친구들의 공감을 얻음.
</v>
      </c>
      <c r="DT22" s="42">
        <f t="shared" si="6"/>
        <v>6</v>
      </c>
      <c r="DU22" s="34"/>
    </row>
    <row r="23" spans="1:125" x14ac:dyDescent="0.4">
      <c r="A23" s="58">
        <v>19</v>
      </c>
      <c r="B23" s="57"/>
      <c r="C23" s="40"/>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1" t="str">
        <f>IFERROR(IF(C23=1,VLOOKUP(C$2,활동내용입력!$B$4:$F$63,5,FALSE),""),"")</f>
        <v/>
      </c>
      <c r="BL23" s="41" t="str">
        <f>IFERROR(IF(D23=1,VLOOKUP(D$2,활동내용입력!$B$4:$F$63,5,FALSE),""),"")</f>
        <v/>
      </c>
      <c r="BM23" s="41" t="str">
        <f>IFERROR(IF(E23=1,VLOOKUP(E$2,활동내용입력!$B$4:$F$63,5,FALSE),""),"")</f>
        <v/>
      </c>
      <c r="BN23" s="41" t="str">
        <f>IFERROR(IF(F23=1,VLOOKUP(F$2,활동내용입력!$B$4:$F$63,5,FALSE),""),"")</f>
        <v/>
      </c>
      <c r="BO23" s="41" t="str">
        <f>IFERROR(IF(G23=1,VLOOKUP(G$2,활동내용입력!$B$4:$F$63,5,FALSE),""),"")</f>
        <v/>
      </c>
      <c r="BP23" s="41" t="str">
        <f>IFERROR(IF(H23=1,VLOOKUP(H$2,활동내용입력!$B$4:$F$63,5,FALSE),""),"")</f>
        <v/>
      </c>
      <c r="BQ23" s="41" t="str">
        <f>IFERROR(IF(I23=1,VLOOKUP(I$2,활동내용입력!$B$4:$F$63,5,FALSE),""),"")</f>
        <v/>
      </c>
      <c r="BR23" s="41" t="str">
        <f>IFERROR(IF(J23=1,VLOOKUP(J$2,활동내용입력!$B$4:$F$63,5,FALSE),""),"")</f>
        <v/>
      </c>
      <c r="BS23" s="41" t="str">
        <f>IFERROR(IF(K23=1,VLOOKUP(K$2,활동내용입력!$B$4:$F$63,5,FALSE),""),"")</f>
        <v/>
      </c>
      <c r="BT23" s="41" t="str">
        <f>IFERROR(IF(L23=1,VLOOKUP(L$2,활동내용입력!$B$4:$F$63,5,FALSE),""),"")</f>
        <v/>
      </c>
      <c r="BU23" s="41" t="str">
        <f>IFERROR(IF(M23=1,VLOOKUP(M$2,활동내용입력!$B$4:$F$63,5,FALSE),""),"")</f>
        <v/>
      </c>
      <c r="BV23" s="41" t="str">
        <f>IFERROR(IF(N23=1,VLOOKUP(N$2,활동내용입력!$B$4:$F$63,5,FALSE),""),"")</f>
        <v/>
      </c>
      <c r="BW23" s="41" t="str">
        <f>IFERROR(IF(O23=1,VLOOKUP(O$2,활동내용입력!$B$4:$F$63,5,FALSE),""),"")</f>
        <v/>
      </c>
      <c r="BX23" s="41" t="str">
        <f>IFERROR(IF(P23=1,VLOOKUP(P$2,활동내용입력!$B$4:$F$63,5,FALSE),""),"")</f>
        <v/>
      </c>
      <c r="BY23" s="41" t="str">
        <f>IFERROR(IF(Q23=1,VLOOKUP(Q$2,활동내용입력!$B$4:$F$63,5,FALSE),""),"")</f>
        <v/>
      </c>
      <c r="BZ23" s="41" t="str">
        <f>IFERROR(IF(R23=1,VLOOKUP(R$2,활동내용입력!$B$4:$F$63,5,FALSE),""),"")</f>
        <v/>
      </c>
      <c r="CA23" s="41" t="str">
        <f>IFERROR(IF(S23=1,VLOOKUP(S$2,활동내용입력!$B$4:$F$63,5,FALSE),""),"")</f>
        <v/>
      </c>
      <c r="CB23" s="41" t="str">
        <f>IFERROR(IF(T23=1,VLOOKUP(T$2,활동내용입력!$B$4:$F$63,5,FALSE),""),"")</f>
        <v/>
      </c>
      <c r="CC23" s="41" t="str">
        <f>IFERROR(IF(U23=1,VLOOKUP(U$2,활동내용입력!$B$4:$F$63,5,FALSE),""),"")</f>
        <v/>
      </c>
      <c r="CD23" s="41" t="str">
        <f>IFERROR(IF(V23=1,VLOOKUP(V$2,활동내용입력!$B$4:$F$63,5,FALSE),""),"")</f>
        <v/>
      </c>
      <c r="CE23" s="41" t="str">
        <f>IFERROR(IF(W23=1,VLOOKUP(W$2,활동내용입력!$B$4:$F$63,5,FALSE),""),"")</f>
        <v/>
      </c>
      <c r="CF23" s="41" t="str">
        <f>IFERROR(IF(X23=1,VLOOKUP(X$2,활동내용입력!$B$4:$F$63,5,FALSE),""),"")</f>
        <v/>
      </c>
      <c r="CG23" s="41" t="str">
        <f>IFERROR(IF(Y23=1,VLOOKUP(Y$2,활동내용입력!$B$4:$F$63,5,FALSE),""),"")</f>
        <v/>
      </c>
      <c r="CH23" s="41" t="str">
        <f>IFERROR(IF(Z23=1,VLOOKUP(Z$2,활동내용입력!$B$4:$F$63,5,FALSE),""),"")</f>
        <v/>
      </c>
      <c r="CI23" s="41" t="str">
        <f>IFERROR(IF(AA23=1,VLOOKUP(AA$2,활동내용입력!$B$4:$F$63,5,FALSE),""),"")</f>
        <v/>
      </c>
      <c r="CJ23" s="41" t="str">
        <f>IFERROR(IF(AB23=1,VLOOKUP(AB$2,활동내용입력!$B$4:$F$63,5,FALSE),""),"")</f>
        <v/>
      </c>
      <c r="CK23" s="41" t="str">
        <f>IFERROR(IF(AC23=1,VLOOKUP(AC$2,활동내용입력!$B$4:$F$63,5,FALSE),""),"")</f>
        <v/>
      </c>
      <c r="CL23" s="41" t="str">
        <f>IFERROR(IF(AD23=1,VLOOKUP(AD$2,활동내용입력!$B$4:$F$63,5,FALSE),""),"")</f>
        <v/>
      </c>
      <c r="CM23" s="41" t="str">
        <f>IFERROR(IF(AE23=1,VLOOKUP(AE$2,활동내용입력!$B$4:$F$63,5,FALSE),""),"")</f>
        <v/>
      </c>
      <c r="CN23" s="41" t="str">
        <f>IFERROR(IF(AF23=1,VLOOKUP(AF$2,활동내용입력!$B$4:$F$63,5,FALSE),""),"")</f>
        <v/>
      </c>
      <c r="CO23" s="41" t="str">
        <f>IFERROR(IF(AG23=1,VLOOKUP(AG$2,활동내용입력!$B$4:$F$63,5,FALSE),""),"")</f>
        <v/>
      </c>
      <c r="CP23" s="41" t="str">
        <f>IFERROR(IF(AH23=1,VLOOKUP(AH$2,활동내용입력!$B$4:$F$63,5,FALSE),""),"")</f>
        <v/>
      </c>
      <c r="CQ23" s="41" t="str">
        <f>IFERROR(IF(AI23=1,VLOOKUP(AI$2,활동내용입력!$B$4:$F$63,5,FALSE),""),"")</f>
        <v/>
      </c>
      <c r="CR23" s="41" t="str">
        <f>IFERROR(IF(AJ23=1,VLOOKUP(AJ$2,활동내용입력!$B$4:$F$63,5,FALSE),""),"")</f>
        <v/>
      </c>
      <c r="CS23" s="41" t="str">
        <f>IFERROR(IF(AK23=1,VLOOKUP(AK$2,활동내용입력!$B$4:$F$63,5,FALSE),""),"")</f>
        <v/>
      </c>
      <c r="CT23" s="41" t="str">
        <f>IFERROR(IF(AL23=1,VLOOKUP(AL$2,활동내용입력!$B$4:$F$63,5,FALSE),""),"")</f>
        <v/>
      </c>
      <c r="CU23" s="41" t="str">
        <f>IFERROR(IF(AM23=1,VLOOKUP(AM$2,활동내용입력!$B$4:$F$63,5,FALSE),""),"")</f>
        <v/>
      </c>
      <c r="CV23" s="41" t="str">
        <f>IFERROR(IF(AN23=1,VLOOKUP(AN$2,활동내용입력!$B$4:$F$63,5,FALSE),""),"")</f>
        <v/>
      </c>
      <c r="CW23" s="41" t="str">
        <f>IFERROR(IF(AO23=1,VLOOKUP(AO$2,활동내용입력!$B$4:$F$63,5,FALSE),""),"")</f>
        <v/>
      </c>
      <c r="CX23" s="41" t="str">
        <f>IFERROR(IF(AP23=1,VLOOKUP(AP$2,활동내용입력!$B$4:$F$63,5,FALSE),""),"")</f>
        <v/>
      </c>
      <c r="CY23" s="41" t="str">
        <f>IFERROR(IF(AQ23=1,VLOOKUP(AQ$2,활동내용입력!$B$4:$F$63,5,FALSE),""),"")</f>
        <v/>
      </c>
      <c r="CZ23" s="41" t="str">
        <f>IFERROR(IF(AR23=1,VLOOKUP(AR$2,활동내용입력!$B$4:$F$63,5,FALSE),""),"")</f>
        <v/>
      </c>
      <c r="DA23" s="41" t="str">
        <f>IFERROR(IF(AS23=1,VLOOKUP(AS$2,활동내용입력!$B$4:$F$63,5,FALSE),""),"")</f>
        <v/>
      </c>
      <c r="DB23" s="41" t="str">
        <f>IFERROR(IF(AT23=1,VLOOKUP(AT$2,활동내용입력!$B$4:$F$63,5,FALSE),""),"")</f>
        <v/>
      </c>
      <c r="DC23" s="41" t="str">
        <f>IFERROR(IF(AU23=1,VLOOKUP(AU$2,활동내용입력!$B$4:$F$63,5,FALSE),""),"")</f>
        <v/>
      </c>
      <c r="DD23" s="41" t="str">
        <f>IFERROR(IF(AV23=1,VLOOKUP(AV$2,활동내용입력!$B$4:$F$63,5,FALSE),""),"")</f>
        <v/>
      </c>
      <c r="DE23" s="41" t="str">
        <f>IFERROR(IF(AW23=1,VLOOKUP(AW$2,활동내용입력!$B$4:$F$63,5,FALSE),""),"")</f>
        <v/>
      </c>
      <c r="DF23" s="41" t="str">
        <f>IFERROR(IF(AX23=1,VLOOKUP(AX$2,활동내용입력!$B$4:$F$63,5,FALSE),""),"")</f>
        <v/>
      </c>
      <c r="DG23" s="41" t="str">
        <f>IFERROR(IF(AY23=1,VLOOKUP(AY$2,활동내용입력!$B$4:$F$63,5,FALSE),""),"")</f>
        <v/>
      </c>
      <c r="DH23" s="41" t="str">
        <f>IFERROR(IF(AZ23=1,VLOOKUP(AZ$2,활동내용입력!$B$4:$F$63,5,FALSE),""),"")</f>
        <v/>
      </c>
      <c r="DI23" s="41" t="str">
        <f>IFERROR(IF(BA23=1,VLOOKUP(BA$2,활동내용입력!$B$4:$F$63,5,FALSE),""),"")</f>
        <v/>
      </c>
      <c r="DJ23" s="41" t="str">
        <f>IFERROR(IF(BB23=1,VLOOKUP(BB$2,활동내용입력!$B$4:$F$63,5,FALSE),""),"")</f>
        <v/>
      </c>
      <c r="DK23" s="41" t="str">
        <f>IFERROR(IF(BC23=1,VLOOKUP(BC$2,활동내용입력!$B$4:$F$63,5,FALSE),""),"")</f>
        <v/>
      </c>
      <c r="DL23" s="41" t="str">
        <f>IFERROR(IF(BD23=1,VLOOKUP(BD$2,활동내용입력!$B$4:$F$63,5,FALSE),""),"")</f>
        <v/>
      </c>
      <c r="DM23" s="41" t="str">
        <f>IFERROR(IF(BE23=1,VLOOKUP(BE$2,활동내용입력!$B$4:$F$63,5,FALSE),""),"")</f>
        <v/>
      </c>
      <c r="DN23" s="41" t="str">
        <f>IFERROR(IF(BF23=1,VLOOKUP(BF$2,활동내용입력!$B$4:$F$63,5,FALSE),""),"")</f>
        <v/>
      </c>
      <c r="DO23" s="41" t="str">
        <f>IFERROR(IF(BG23=1,VLOOKUP(BG$2,활동내용입력!$B$4:$F$63,5,FALSE),""),"")</f>
        <v/>
      </c>
      <c r="DP23" s="41" t="str">
        <f>IFERROR(IF(BH23=1,VLOOKUP(BH$2,활동내용입력!$B$4:$F$63,5,FALSE),""),"")</f>
        <v/>
      </c>
      <c r="DQ23" s="41" t="str">
        <f>IFERROR(IF(BI23=1,VLOOKUP(BI$2,활동내용입력!$B$4:$F$63,5,FALSE),""),"")</f>
        <v/>
      </c>
      <c r="DR23" s="41" t="str">
        <f>IFERROR(IF(BJ23=1,VLOOKUP(BJ$2,활동내용입력!$B$4:$F$63,5,FALSE),""),"")</f>
        <v/>
      </c>
      <c r="DS23" s="41" t="str">
        <f t="shared" si="7"/>
        <v/>
      </c>
      <c r="DT23" s="42">
        <f t="shared" si="6"/>
        <v>0</v>
      </c>
      <c r="DU23" s="34"/>
    </row>
    <row r="24" spans="1:125" x14ac:dyDescent="0.4">
      <c r="A24" s="58">
        <v>20</v>
      </c>
      <c r="B24" s="57"/>
      <c r="C24" s="40"/>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1" t="str">
        <f>IFERROR(IF(C24=1,VLOOKUP(C$2,활동내용입력!$B$4:$F$63,5,FALSE),""),"")</f>
        <v/>
      </c>
      <c r="BL24" s="41" t="str">
        <f>IFERROR(IF(D24=1,VLOOKUP(D$2,활동내용입력!$B$4:$F$63,5,FALSE),""),"")</f>
        <v/>
      </c>
      <c r="BM24" s="41" t="str">
        <f>IFERROR(IF(E24=1,VLOOKUP(E$2,활동내용입력!$B$4:$F$63,5,FALSE),""),"")</f>
        <v/>
      </c>
      <c r="BN24" s="41" t="str">
        <f>IFERROR(IF(F24=1,VLOOKUP(F$2,활동내용입력!$B$4:$F$63,5,FALSE),""),"")</f>
        <v/>
      </c>
      <c r="BO24" s="41" t="str">
        <f>IFERROR(IF(G24=1,VLOOKUP(G$2,활동내용입력!$B$4:$F$63,5,FALSE),""),"")</f>
        <v/>
      </c>
      <c r="BP24" s="41" t="str">
        <f>IFERROR(IF(H24=1,VLOOKUP(H$2,활동내용입력!$B$4:$F$63,5,FALSE),""),"")</f>
        <v/>
      </c>
      <c r="BQ24" s="41" t="str">
        <f>IFERROR(IF(I24=1,VLOOKUP(I$2,활동내용입력!$B$4:$F$63,5,FALSE),""),"")</f>
        <v/>
      </c>
      <c r="BR24" s="41" t="str">
        <f>IFERROR(IF(J24=1,VLOOKUP(J$2,활동내용입력!$B$4:$F$63,5,FALSE),""),"")</f>
        <v/>
      </c>
      <c r="BS24" s="41" t="str">
        <f>IFERROR(IF(K24=1,VLOOKUP(K$2,활동내용입력!$B$4:$F$63,5,FALSE),""),"")</f>
        <v/>
      </c>
      <c r="BT24" s="41" t="str">
        <f>IFERROR(IF(L24=1,VLOOKUP(L$2,활동내용입력!$B$4:$F$63,5,FALSE),""),"")</f>
        <v/>
      </c>
      <c r="BU24" s="41" t="str">
        <f>IFERROR(IF(M24=1,VLOOKUP(M$2,활동내용입력!$B$4:$F$63,5,FALSE),""),"")</f>
        <v/>
      </c>
      <c r="BV24" s="41" t="str">
        <f>IFERROR(IF(N24=1,VLOOKUP(N$2,활동내용입력!$B$4:$F$63,5,FALSE),""),"")</f>
        <v/>
      </c>
      <c r="BW24" s="41" t="str">
        <f>IFERROR(IF(O24=1,VLOOKUP(O$2,활동내용입력!$B$4:$F$63,5,FALSE),""),"")</f>
        <v/>
      </c>
      <c r="BX24" s="41" t="str">
        <f>IFERROR(IF(P24=1,VLOOKUP(P$2,활동내용입력!$B$4:$F$63,5,FALSE),""),"")</f>
        <v/>
      </c>
      <c r="BY24" s="41" t="str">
        <f>IFERROR(IF(Q24=1,VLOOKUP(Q$2,활동내용입력!$B$4:$F$63,5,FALSE),""),"")</f>
        <v/>
      </c>
      <c r="BZ24" s="41" t="str">
        <f>IFERROR(IF(R24=1,VLOOKUP(R$2,활동내용입력!$B$4:$F$63,5,FALSE),""),"")</f>
        <v/>
      </c>
      <c r="CA24" s="41" t="str">
        <f>IFERROR(IF(S24=1,VLOOKUP(S$2,활동내용입력!$B$4:$F$63,5,FALSE),""),"")</f>
        <v/>
      </c>
      <c r="CB24" s="41" t="str">
        <f>IFERROR(IF(T24=1,VLOOKUP(T$2,활동내용입력!$B$4:$F$63,5,FALSE),""),"")</f>
        <v/>
      </c>
      <c r="CC24" s="41" t="str">
        <f>IFERROR(IF(U24=1,VLOOKUP(U$2,활동내용입력!$B$4:$F$63,5,FALSE),""),"")</f>
        <v/>
      </c>
      <c r="CD24" s="41" t="str">
        <f>IFERROR(IF(V24=1,VLOOKUP(V$2,활동내용입력!$B$4:$F$63,5,FALSE),""),"")</f>
        <v/>
      </c>
      <c r="CE24" s="41" t="str">
        <f>IFERROR(IF(W24=1,VLOOKUP(W$2,활동내용입력!$B$4:$F$63,5,FALSE),""),"")</f>
        <v/>
      </c>
      <c r="CF24" s="41" t="str">
        <f>IFERROR(IF(X24=1,VLOOKUP(X$2,활동내용입력!$B$4:$F$63,5,FALSE),""),"")</f>
        <v/>
      </c>
      <c r="CG24" s="41" t="str">
        <f>IFERROR(IF(Y24=1,VLOOKUP(Y$2,활동내용입력!$B$4:$F$63,5,FALSE),""),"")</f>
        <v/>
      </c>
      <c r="CH24" s="41" t="str">
        <f>IFERROR(IF(Z24=1,VLOOKUP(Z$2,활동내용입력!$B$4:$F$63,5,FALSE),""),"")</f>
        <v/>
      </c>
      <c r="CI24" s="41" t="str">
        <f>IFERROR(IF(AA24=1,VLOOKUP(AA$2,활동내용입력!$B$4:$F$63,5,FALSE),""),"")</f>
        <v/>
      </c>
      <c r="CJ24" s="41" t="str">
        <f>IFERROR(IF(AB24=1,VLOOKUP(AB$2,활동내용입력!$B$4:$F$63,5,FALSE),""),"")</f>
        <v/>
      </c>
      <c r="CK24" s="41" t="str">
        <f>IFERROR(IF(AC24=1,VLOOKUP(AC$2,활동내용입력!$B$4:$F$63,5,FALSE),""),"")</f>
        <v/>
      </c>
      <c r="CL24" s="41" t="str">
        <f>IFERROR(IF(AD24=1,VLOOKUP(AD$2,활동내용입력!$B$4:$F$63,5,FALSE),""),"")</f>
        <v/>
      </c>
      <c r="CM24" s="41" t="str">
        <f>IFERROR(IF(AE24=1,VLOOKUP(AE$2,활동내용입력!$B$4:$F$63,5,FALSE),""),"")</f>
        <v/>
      </c>
      <c r="CN24" s="41" t="str">
        <f>IFERROR(IF(AF24=1,VLOOKUP(AF$2,활동내용입력!$B$4:$F$63,5,FALSE),""),"")</f>
        <v/>
      </c>
      <c r="CO24" s="41" t="str">
        <f>IFERROR(IF(AG24=1,VLOOKUP(AG$2,활동내용입력!$B$4:$F$63,5,FALSE),""),"")</f>
        <v/>
      </c>
      <c r="CP24" s="41" t="str">
        <f>IFERROR(IF(AH24=1,VLOOKUP(AH$2,활동내용입력!$B$4:$F$63,5,FALSE),""),"")</f>
        <v/>
      </c>
      <c r="CQ24" s="41" t="str">
        <f>IFERROR(IF(AI24=1,VLOOKUP(AI$2,활동내용입력!$B$4:$F$63,5,FALSE),""),"")</f>
        <v/>
      </c>
      <c r="CR24" s="41" t="str">
        <f>IFERROR(IF(AJ24=1,VLOOKUP(AJ$2,활동내용입력!$B$4:$F$63,5,FALSE),""),"")</f>
        <v/>
      </c>
      <c r="CS24" s="41" t="str">
        <f>IFERROR(IF(AK24=1,VLOOKUP(AK$2,활동내용입력!$B$4:$F$63,5,FALSE),""),"")</f>
        <v/>
      </c>
      <c r="CT24" s="41" t="str">
        <f>IFERROR(IF(AL24=1,VLOOKUP(AL$2,활동내용입력!$B$4:$F$63,5,FALSE),""),"")</f>
        <v/>
      </c>
      <c r="CU24" s="41" t="str">
        <f>IFERROR(IF(AM24=1,VLOOKUP(AM$2,활동내용입력!$B$4:$F$63,5,FALSE),""),"")</f>
        <v/>
      </c>
      <c r="CV24" s="41" t="str">
        <f>IFERROR(IF(AN24=1,VLOOKUP(AN$2,활동내용입력!$B$4:$F$63,5,FALSE),""),"")</f>
        <v/>
      </c>
      <c r="CW24" s="41" t="str">
        <f>IFERROR(IF(AO24=1,VLOOKUP(AO$2,활동내용입력!$B$4:$F$63,5,FALSE),""),"")</f>
        <v/>
      </c>
      <c r="CX24" s="41" t="str">
        <f>IFERROR(IF(AP24=1,VLOOKUP(AP$2,활동내용입력!$B$4:$F$63,5,FALSE),""),"")</f>
        <v/>
      </c>
      <c r="CY24" s="41" t="str">
        <f>IFERROR(IF(AQ24=1,VLOOKUP(AQ$2,활동내용입력!$B$4:$F$63,5,FALSE),""),"")</f>
        <v/>
      </c>
      <c r="CZ24" s="41" t="str">
        <f>IFERROR(IF(AR24=1,VLOOKUP(AR$2,활동내용입력!$B$4:$F$63,5,FALSE),""),"")</f>
        <v/>
      </c>
      <c r="DA24" s="41" t="str">
        <f>IFERROR(IF(AS24=1,VLOOKUP(AS$2,활동내용입력!$B$4:$F$63,5,FALSE),""),"")</f>
        <v/>
      </c>
      <c r="DB24" s="41" t="str">
        <f>IFERROR(IF(AT24=1,VLOOKUP(AT$2,활동내용입력!$B$4:$F$63,5,FALSE),""),"")</f>
        <v/>
      </c>
      <c r="DC24" s="41" t="str">
        <f>IFERROR(IF(AU24=1,VLOOKUP(AU$2,활동내용입력!$B$4:$F$63,5,FALSE),""),"")</f>
        <v/>
      </c>
      <c r="DD24" s="41" t="str">
        <f>IFERROR(IF(AV24=1,VLOOKUP(AV$2,활동내용입력!$B$4:$F$63,5,FALSE),""),"")</f>
        <v/>
      </c>
      <c r="DE24" s="41" t="str">
        <f>IFERROR(IF(AW24=1,VLOOKUP(AW$2,활동내용입력!$B$4:$F$63,5,FALSE),""),"")</f>
        <v/>
      </c>
      <c r="DF24" s="41" t="str">
        <f>IFERROR(IF(AX24=1,VLOOKUP(AX$2,활동내용입력!$B$4:$F$63,5,FALSE),""),"")</f>
        <v/>
      </c>
      <c r="DG24" s="41" t="str">
        <f>IFERROR(IF(AY24=1,VLOOKUP(AY$2,활동내용입력!$B$4:$F$63,5,FALSE),""),"")</f>
        <v/>
      </c>
      <c r="DH24" s="41" t="str">
        <f>IFERROR(IF(AZ24=1,VLOOKUP(AZ$2,활동내용입력!$B$4:$F$63,5,FALSE),""),"")</f>
        <v/>
      </c>
      <c r="DI24" s="41" t="str">
        <f>IFERROR(IF(BA24=1,VLOOKUP(BA$2,활동내용입력!$B$4:$F$63,5,FALSE),""),"")</f>
        <v/>
      </c>
      <c r="DJ24" s="41" t="str">
        <f>IFERROR(IF(BB24=1,VLOOKUP(BB$2,활동내용입력!$B$4:$F$63,5,FALSE),""),"")</f>
        <v/>
      </c>
      <c r="DK24" s="41" t="str">
        <f>IFERROR(IF(BC24=1,VLOOKUP(BC$2,활동내용입력!$B$4:$F$63,5,FALSE),""),"")</f>
        <v/>
      </c>
      <c r="DL24" s="41" t="str">
        <f>IFERROR(IF(BD24=1,VLOOKUP(BD$2,활동내용입력!$B$4:$F$63,5,FALSE),""),"")</f>
        <v/>
      </c>
      <c r="DM24" s="41" t="str">
        <f>IFERROR(IF(BE24=1,VLOOKUP(BE$2,활동내용입력!$B$4:$F$63,5,FALSE),""),"")</f>
        <v/>
      </c>
      <c r="DN24" s="41" t="str">
        <f>IFERROR(IF(BF24=1,VLOOKUP(BF$2,활동내용입력!$B$4:$F$63,5,FALSE),""),"")</f>
        <v/>
      </c>
      <c r="DO24" s="41" t="str">
        <f>IFERROR(IF(BG24=1,VLOOKUP(BG$2,활동내용입력!$B$4:$F$63,5,FALSE),""),"")</f>
        <v/>
      </c>
      <c r="DP24" s="41" t="str">
        <f>IFERROR(IF(BH24=1,VLOOKUP(BH$2,활동내용입력!$B$4:$F$63,5,FALSE),""),"")</f>
        <v/>
      </c>
      <c r="DQ24" s="41" t="str">
        <f>IFERROR(IF(BI24=1,VLOOKUP(BI$2,활동내용입력!$B$4:$F$63,5,FALSE),""),"")</f>
        <v/>
      </c>
      <c r="DR24" s="41" t="str">
        <f>IFERROR(IF(BJ24=1,VLOOKUP(BJ$2,활동내용입력!$B$4:$F$63,5,FALSE),""),"")</f>
        <v/>
      </c>
      <c r="DS24" s="41" t="str">
        <f t="shared" si="7"/>
        <v/>
      </c>
      <c r="DT24" s="42">
        <f t="shared" si="6"/>
        <v>0</v>
      </c>
      <c r="DU24" s="34"/>
    </row>
    <row r="25" spans="1:125" x14ac:dyDescent="0.4">
      <c r="A25" s="58">
        <v>21</v>
      </c>
      <c r="B25" s="57"/>
      <c r="C25" s="40"/>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1" t="str">
        <f>IFERROR(IF(C25=1,VLOOKUP(C$2,활동내용입력!$B$4:$F$63,5,FALSE),""),"")</f>
        <v/>
      </c>
      <c r="BL25" s="41" t="str">
        <f>IFERROR(IF(D25=1,VLOOKUP(D$2,활동내용입력!$B$4:$F$63,5,FALSE),""),"")</f>
        <v/>
      </c>
      <c r="BM25" s="41" t="str">
        <f>IFERROR(IF(E25=1,VLOOKUP(E$2,활동내용입력!$B$4:$F$63,5,FALSE),""),"")</f>
        <v/>
      </c>
      <c r="BN25" s="41" t="str">
        <f>IFERROR(IF(F25=1,VLOOKUP(F$2,활동내용입력!$B$4:$F$63,5,FALSE),""),"")</f>
        <v/>
      </c>
      <c r="BO25" s="41" t="str">
        <f>IFERROR(IF(G25=1,VLOOKUP(G$2,활동내용입력!$B$4:$F$63,5,FALSE),""),"")</f>
        <v/>
      </c>
      <c r="BP25" s="41" t="str">
        <f>IFERROR(IF(H25=1,VLOOKUP(H$2,활동내용입력!$B$4:$F$63,5,FALSE),""),"")</f>
        <v/>
      </c>
      <c r="BQ25" s="41" t="str">
        <f>IFERROR(IF(I25=1,VLOOKUP(I$2,활동내용입력!$B$4:$F$63,5,FALSE),""),"")</f>
        <v/>
      </c>
      <c r="BR25" s="41" t="str">
        <f>IFERROR(IF(J25=1,VLOOKUP(J$2,활동내용입력!$B$4:$F$63,5,FALSE),""),"")</f>
        <v/>
      </c>
      <c r="BS25" s="41" t="str">
        <f>IFERROR(IF(K25=1,VLOOKUP(K$2,활동내용입력!$B$4:$F$63,5,FALSE),""),"")</f>
        <v/>
      </c>
      <c r="BT25" s="41" t="str">
        <f>IFERROR(IF(L25=1,VLOOKUP(L$2,활동내용입력!$B$4:$F$63,5,FALSE),""),"")</f>
        <v/>
      </c>
      <c r="BU25" s="41" t="str">
        <f>IFERROR(IF(M25=1,VLOOKUP(M$2,활동내용입력!$B$4:$F$63,5,FALSE),""),"")</f>
        <v/>
      </c>
      <c r="BV25" s="41" t="str">
        <f>IFERROR(IF(N25=1,VLOOKUP(N$2,활동내용입력!$B$4:$F$63,5,FALSE),""),"")</f>
        <v/>
      </c>
      <c r="BW25" s="41" t="str">
        <f>IFERROR(IF(O25=1,VLOOKUP(O$2,활동내용입력!$B$4:$F$63,5,FALSE),""),"")</f>
        <v/>
      </c>
      <c r="BX25" s="41" t="str">
        <f>IFERROR(IF(P25=1,VLOOKUP(P$2,활동내용입력!$B$4:$F$63,5,FALSE),""),"")</f>
        <v/>
      </c>
      <c r="BY25" s="41" t="str">
        <f>IFERROR(IF(Q25=1,VLOOKUP(Q$2,활동내용입력!$B$4:$F$63,5,FALSE),""),"")</f>
        <v/>
      </c>
      <c r="BZ25" s="41" t="str">
        <f>IFERROR(IF(R25=1,VLOOKUP(R$2,활동내용입력!$B$4:$F$63,5,FALSE),""),"")</f>
        <v/>
      </c>
      <c r="CA25" s="41" t="str">
        <f>IFERROR(IF(S25=1,VLOOKUP(S$2,활동내용입력!$B$4:$F$63,5,FALSE),""),"")</f>
        <v/>
      </c>
      <c r="CB25" s="41" t="str">
        <f>IFERROR(IF(T25=1,VLOOKUP(T$2,활동내용입력!$B$4:$F$63,5,FALSE),""),"")</f>
        <v/>
      </c>
      <c r="CC25" s="41" t="str">
        <f>IFERROR(IF(U25=1,VLOOKUP(U$2,활동내용입력!$B$4:$F$63,5,FALSE),""),"")</f>
        <v/>
      </c>
      <c r="CD25" s="41" t="str">
        <f>IFERROR(IF(V25=1,VLOOKUP(V$2,활동내용입력!$B$4:$F$63,5,FALSE),""),"")</f>
        <v/>
      </c>
      <c r="CE25" s="41" t="str">
        <f>IFERROR(IF(W25=1,VLOOKUP(W$2,활동내용입력!$B$4:$F$63,5,FALSE),""),"")</f>
        <v/>
      </c>
      <c r="CF25" s="41" t="str">
        <f>IFERROR(IF(X25=1,VLOOKUP(X$2,활동내용입력!$B$4:$F$63,5,FALSE),""),"")</f>
        <v/>
      </c>
      <c r="CG25" s="41" t="str">
        <f>IFERROR(IF(Y25=1,VLOOKUP(Y$2,활동내용입력!$B$4:$F$63,5,FALSE),""),"")</f>
        <v/>
      </c>
      <c r="CH25" s="41" t="str">
        <f>IFERROR(IF(Z25=1,VLOOKUP(Z$2,활동내용입력!$B$4:$F$63,5,FALSE),""),"")</f>
        <v/>
      </c>
      <c r="CI25" s="41" t="str">
        <f>IFERROR(IF(AA25=1,VLOOKUP(AA$2,활동내용입력!$B$4:$F$63,5,FALSE),""),"")</f>
        <v/>
      </c>
      <c r="CJ25" s="41" t="str">
        <f>IFERROR(IF(AB25=1,VLOOKUP(AB$2,활동내용입력!$B$4:$F$63,5,FALSE),""),"")</f>
        <v/>
      </c>
      <c r="CK25" s="41" t="str">
        <f>IFERROR(IF(AC25=1,VLOOKUP(AC$2,활동내용입력!$B$4:$F$63,5,FALSE),""),"")</f>
        <v/>
      </c>
      <c r="CL25" s="41" t="str">
        <f>IFERROR(IF(AD25=1,VLOOKUP(AD$2,활동내용입력!$B$4:$F$63,5,FALSE),""),"")</f>
        <v/>
      </c>
      <c r="CM25" s="41" t="str">
        <f>IFERROR(IF(AE25=1,VLOOKUP(AE$2,활동내용입력!$B$4:$F$63,5,FALSE),""),"")</f>
        <v/>
      </c>
      <c r="CN25" s="41" t="str">
        <f>IFERROR(IF(AF25=1,VLOOKUP(AF$2,활동내용입력!$B$4:$F$63,5,FALSE),""),"")</f>
        <v/>
      </c>
      <c r="CO25" s="41" t="str">
        <f>IFERROR(IF(AG25=1,VLOOKUP(AG$2,활동내용입력!$B$4:$F$63,5,FALSE),""),"")</f>
        <v/>
      </c>
      <c r="CP25" s="41" t="str">
        <f>IFERROR(IF(AH25=1,VLOOKUP(AH$2,활동내용입력!$B$4:$F$63,5,FALSE),""),"")</f>
        <v/>
      </c>
      <c r="CQ25" s="41" t="str">
        <f>IFERROR(IF(AI25=1,VLOOKUP(AI$2,활동내용입력!$B$4:$F$63,5,FALSE),""),"")</f>
        <v/>
      </c>
      <c r="CR25" s="41" t="str">
        <f>IFERROR(IF(AJ25=1,VLOOKUP(AJ$2,활동내용입력!$B$4:$F$63,5,FALSE),""),"")</f>
        <v/>
      </c>
      <c r="CS25" s="41" t="str">
        <f>IFERROR(IF(AK25=1,VLOOKUP(AK$2,활동내용입력!$B$4:$F$63,5,FALSE),""),"")</f>
        <v/>
      </c>
      <c r="CT25" s="41" t="str">
        <f>IFERROR(IF(AL25=1,VLOOKUP(AL$2,활동내용입력!$B$4:$F$63,5,FALSE),""),"")</f>
        <v/>
      </c>
      <c r="CU25" s="41" t="str">
        <f>IFERROR(IF(AM25=1,VLOOKUP(AM$2,활동내용입력!$B$4:$F$63,5,FALSE),""),"")</f>
        <v/>
      </c>
      <c r="CV25" s="41" t="str">
        <f>IFERROR(IF(AN25=1,VLOOKUP(AN$2,활동내용입력!$B$4:$F$63,5,FALSE),""),"")</f>
        <v/>
      </c>
      <c r="CW25" s="41" t="str">
        <f>IFERROR(IF(AO25=1,VLOOKUP(AO$2,활동내용입력!$B$4:$F$63,5,FALSE),""),"")</f>
        <v/>
      </c>
      <c r="CX25" s="41" t="str">
        <f>IFERROR(IF(AP25=1,VLOOKUP(AP$2,활동내용입력!$B$4:$F$63,5,FALSE),""),"")</f>
        <v/>
      </c>
      <c r="CY25" s="41" t="str">
        <f>IFERROR(IF(AQ25=1,VLOOKUP(AQ$2,활동내용입력!$B$4:$F$63,5,FALSE),""),"")</f>
        <v/>
      </c>
      <c r="CZ25" s="41" t="str">
        <f>IFERROR(IF(AR25=1,VLOOKUP(AR$2,활동내용입력!$B$4:$F$63,5,FALSE),""),"")</f>
        <v/>
      </c>
      <c r="DA25" s="41" t="str">
        <f>IFERROR(IF(AS25=1,VLOOKUP(AS$2,활동내용입력!$B$4:$F$63,5,FALSE),""),"")</f>
        <v/>
      </c>
      <c r="DB25" s="41" t="str">
        <f>IFERROR(IF(AT25=1,VLOOKUP(AT$2,활동내용입력!$B$4:$F$63,5,FALSE),""),"")</f>
        <v/>
      </c>
      <c r="DC25" s="41" t="str">
        <f>IFERROR(IF(AU25=1,VLOOKUP(AU$2,활동내용입력!$B$4:$F$63,5,FALSE),""),"")</f>
        <v/>
      </c>
      <c r="DD25" s="41" t="str">
        <f>IFERROR(IF(AV25=1,VLOOKUP(AV$2,활동내용입력!$B$4:$F$63,5,FALSE),""),"")</f>
        <v/>
      </c>
      <c r="DE25" s="41" t="str">
        <f>IFERROR(IF(AW25=1,VLOOKUP(AW$2,활동내용입력!$B$4:$F$63,5,FALSE),""),"")</f>
        <v/>
      </c>
      <c r="DF25" s="41" t="str">
        <f>IFERROR(IF(AX25=1,VLOOKUP(AX$2,활동내용입력!$B$4:$F$63,5,FALSE),""),"")</f>
        <v/>
      </c>
      <c r="DG25" s="41" t="str">
        <f>IFERROR(IF(AY25=1,VLOOKUP(AY$2,활동내용입력!$B$4:$F$63,5,FALSE),""),"")</f>
        <v/>
      </c>
      <c r="DH25" s="41" t="str">
        <f>IFERROR(IF(AZ25=1,VLOOKUP(AZ$2,활동내용입력!$B$4:$F$63,5,FALSE),""),"")</f>
        <v/>
      </c>
      <c r="DI25" s="41" t="str">
        <f>IFERROR(IF(BA25=1,VLOOKUP(BA$2,활동내용입력!$B$4:$F$63,5,FALSE),""),"")</f>
        <v/>
      </c>
      <c r="DJ25" s="41" t="str">
        <f>IFERROR(IF(BB25=1,VLOOKUP(BB$2,활동내용입력!$B$4:$F$63,5,FALSE),""),"")</f>
        <v/>
      </c>
      <c r="DK25" s="41" t="str">
        <f>IFERROR(IF(BC25=1,VLOOKUP(BC$2,활동내용입력!$B$4:$F$63,5,FALSE),""),"")</f>
        <v/>
      </c>
      <c r="DL25" s="41" t="str">
        <f>IFERROR(IF(BD25=1,VLOOKUP(BD$2,활동내용입력!$B$4:$F$63,5,FALSE),""),"")</f>
        <v/>
      </c>
      <c r="DM25" s="41" t="str">
        <f>IFERROR(IF(BE25=1,VLOOKUP(BE$2,활동내용입력!$B$4:$F$63,5,FALSE),""),"")</f>
        <v/>
      </c>
      <c r="DN25" s="41" t="str">
        <f>IFERROR(IF(BF25=1,VLOOKUP(BF$2,활동내용입력!$B$4:$F$63,5,FALSE),""),"")</f>
        <v/>
      </c>
      <c r="DO25" s="41" t="str">
        <f>IFERROR(IF(BG25=1,VLOOKUP(BG$2,활동내용입력!$B$4:$F$63,5,FALSE),""),"")</f>
        <v/>
      </c>
      <c r="DP25" s="41" t="str">
        <f>IFERROR(IF(BH25=1,VLOOKUP(BH$2,활동내용입력!$B$4:$F$63,5,FALSE),""),"")</f>
        <v/>
      </c>
      <c r="DQ25" s="41" t="str">
        <f>IFERROR(IF(BI25=1,VLOOKUP(BI$2,활동내용입력!$B$4:$F$63,5,FALSE),""),"")</f>
        <v/>
      </c>
      <c r="DR25" s="41" t="str">
        <f>IFERROR(IF(BJ25=1,VLOOKUP(BJ$2,활동내용입력!$B$4:$F$63,5,FALSE),""),"")</f>
        <v/>
      </c>
      <c r="DS25" s="41" t="str">
        <f t="shared" si="7"/>
        <v/>
      </c>
      <c r="DT25" s="42">
        <f t="shared" si="6"/>
        <v>0</v>
      </c>
      <c r="DU25" s="34"/>
    </row>
    <row r="26" spans="1:125" x14ac:dyDescent="0.4">
      <c r="A26" s="58">
        <v>22</v>
      </c>
      <c r="B26" s="57"/>
      <c r="C26" s="40"/>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1" t="str">
        <f>IFERROR(IF(C26=1,VLOOKUP(C$2,활동내용입력!$B$4:$F$63,5,FALSE),""),"")</f>
        <v/>
      </c>
      <c r="BL26" s="41" t="str">
        <f>IFERROR(IF(D26=1,VLOOKUP(D$2,활동내용입력!$B$4:$F$63,5,FALSE),""),"")</f>
        <v/>
      </c>
      <c r="BM26" s="41" t="str">
        <f>IFERROR(IF(E26=1,VLOOKUP(E$2,활동내용입력!$B$4:$F$63,5,FALSE),""),"")</f>
        <v/>
      </c>
      <c r="BN26" s="41" t="str">
        <f>IFERROR(IF(F26=1,VLOOKUP(F$2,활동내용입력!$B$4:$F$63,5,FALSE),""),"")</f>
        <v/>
      </c>
      <c r="BO26" s="41" t="str">
        <f>IFERROR(IF(G26=1,VLOOKUP(G$2,활동내용입력!$B$4:$F$63,5,FALSE),""),"")</f>
        <v/>
      </c>
      <c r="BP26" s="41" t="str">
        <f>IFERROR(IF(H26=1,VLOOKUP(H$2,활동내용입력!$B$4:$F$63,5,FALSE),""),"")</f>
        <v/>
      </c>
      <c r="BQ26" s="41" t="str">
        <f>IFERROR(IF(I26=1,VLOOKUP(I$2,활동내용입력!$B$4:$F$63,5,FALSE),""),"")</f>
        <v/>
      </c>
      <c r="BR26" s="41" t="str">
        <f>IFERROR(IF(J26=1,VLOOKUP(J$2,활동내용입력!$B$4:$F$63,5,FALSE),""),"")</f>
        <v/>
      </c>
      <c r="BS26" s="41" t="str">
        <f>IFERROR(IF(K26=1,VLOOKUP(K$2,활동내용입력!$B$4:$F$63,5,FALSE),""),"")</f>
        <v/>
      </c>
      <c r="BT26" s="41" t="str">
        <f>IFERROR(IF(L26=1,VLOOKUP(L$2,활동내용입력!$B$4:$F$63,5,FALSE),""),"")</f>
        <v/>
      </c>
      <c r="BU26" s="41" t="str">
        <f>IFERROR(IF(M26=1,VLOOKUP(M$2,활동내용입력!$B$4:$F$63,5,FALSE),""),"")</f>
        <v/>
      </c>
      <c r="BV26" s="41" t="str">
        <f>IFERROR(IF(N26=1,VLOOKUP(N$2,활동내용입력!$B$4:$F$63,5,FALSE),""),"")</f>
        <v/>
      </c>
      <c r="BW26" s="41" t="str">
        <f>IFERROR(IF(O26=1,VLOOKUP(O$2,활동내용입력!$B$4:$F$63,5,FALSE),""),"")</f>
        <v/>
      </c>
      <c r="BX26" s="41" t="str">
        <f>IFERROR(IF(P26=1,VLOOKUP(P$2,활동내용입력!$B$4:$F$63,5,FALSE),""),"")</f>
        <v/>
      </c>
      <c r="BY26" s="41" t="str">
        <f>IFERROR(IF(Q26=1,VLOOKUP(Q$2,활동내용입력!$B$4:$F$63,5,FALSE),""),"")</f>
        <v/>
      </c>
      <c r="BZ26" s="41" t="str">
        <f>IFERROR(IF(R26=1,VLOOKUP(R$2,활동내용입력!$B$4:$F$63,5,FALSE),""),"")</f>
        <v/>
      </c>
      <c r="CA26" s="41" t="str">
        <f>IFERROR(IF(S26=1,VLOOKUP(S$2,활동내용입력!$B$4:$F$63,5,FALSE),""),"")</f>
        <v/>
      </c>
      <c r="CB26" s="41" t="str">
        <f>IFERROR(IF(T26=1,VLOOKUP(T$2,활동내용입력!$B$4:$F$63,5,FALSE),""),"")</f>
        <v/>
      </c>
      <c r="CC26" s="41" t="str">
        <f>IFERROR(IF(U26=1,VLOOKUP(U$2,활동내용입력!$B$4:$F$63,5,FALSE),""),"")</f>
        <v/>
      </c>
      <c r="CD26" s="41" t="str">
        <f>IFERROR(IF(V26=1,VLOOKUP(V$2,활동내용입력!$B$4:$F$63,5,FALSE),""),"")</f>
        <v/>
      </c>
      <c r="CE26" s="41" t="str">
        <f>IFERROR(IF(W26=1,VLOOKUP(W$2,활동내용입력!$B$4:$F$63,5,FALSE),""),"")</f>
        <v/>
      </c>
      <c r="CF26" s="41" t="str">
        <f>IFERROR(IF(X26=1,VLOOKUP(X$2,활동내용입력!$B$4:$F$63,5,FALSE),""),"")</f>
        <v/>
      </c>
      <c r="CG26" s="41" t="str">
        <f>IFERROR(IF(Y26=1,VLOOKUP(Y$2,활동내용입력!$B$4:$F$63,5,FALSE),""),"")</f>
        <v/>
      </c>
      <c r="CH26" s="41" t="str">
        <f>IFERROR(IF(Z26=1,VLOOKUP(Z$2,활동내용입력!$B$4:$F$63,5,FALSE),""),"")</f>
        <v/>
      </c>
      <c r="CI26" s="41" t="str">
        <f>IFERROR(IF(AA26=1,VLOOKUP(AA$2,활동내용입력!$B$4:$F$63,5,FALSE),""),"")</f>
        <v/>
      </c>
      <c r="CJ26" s="41" t="str">
        <f>IFERROR(IF(AB26=1,VLOOKUP(AB$2,활동내용입력!$B$4:$F$63,5,FALSE),""),"")</f>
        <v/>
      </c>
      <c r="CK26" s="41" t="str">
        <f>IFERROR(IF(AC26=1,VLOOKUP(AC$2,활동내용입력!$B$4:$F$63,5,FALSE),""),"")</f>
        <v/>
      </c>
      <c r="CL26" s="41" t="str">
        <f>IFERROR(IF(AD26=1,VLOOKUP(AD$2,활동내용입력!$B$4:$F$63,5,FALSE),""),"")</f>
        <v/>
      </c>
      <c r="CM26" s="41" t="str">
        <f>IFERROR(IF(AE26=1,VLOOKUP(AE$2,활동내용입력!$B$4:$F$63,5,FALSE),""),"")</f>
        <v/>
      </c>
      <c r="CN26" s="41" t="str">
        <f>IFERROR(IF(AF26=1,VLOOKUP(AF$2,활동내용입력!$B$4:$F$63,5,FALSE),""),"")</f>
        <v/>
      </c>
      <c r="CO26" s="41" t="str">
        <f>IFERROR(IF(AG26=1,VLOOKUP(AG$2,활동내용입력!$B$4:$F$63,5,FALSE),""),"")</f>
        <v/>
      </c>
      <c r="CP26" s="41" t="str">
        <f>IFERROR(IF(AH26=1,VLOOKUP(AH$2,활동내용입력!$B$4:$F$63,5,FALSE),""),"")</f>
        <v/>
      </c>
      <c r="CQ26" s="41" t="str">
        <f>IFERROR(IF(AI26=1,VLOOKUP(AI$2,활동내용입력!$B$4:$F$63,5,FALSE),""),"")</f>
        <v/>
      </c>
      <c r="CR26" s="41" t="str">
        <f>IFERROR(IF(AJ26=1,VLOOKUP(AJ$2,활동내용입력!$B$4:$F$63,5,FALSE),""),"")</f>
        <v/>
      </c>
      <c r="CS26" s="41" t="str">
        <f>IFERROR(IF(AK26=1,VLOOKUP(AK$2,활동내용입력!$B$4:$F$63,5,FALSE),""),"")</f>
        <v/>
      </c>
      <c r="CT26" s="41" t="str">
        <f>IFERROR(IF(AL26=1,VLOOKUP(AL$2,활동내용입력!$B$4:$F$63,5,FALSE),""),"")</f>
        <v/>
      </c>
      <c r="CU26" s="41" t="str">
        <f>IFERROR(IF(AM26=1,VLOOKUP(AM$2,활동내용입력!$B$4:$F$63,5,FALSE),""),"")</f>
        <v/>
      </c>
      <c r="CV26" s="41" t="str">
        <f>IFERROR(IF(AN26=1,VLOOKUP(AN$2,활동내용입력!$B$4:$F$63,5,FALSE),""),"")</f>
        <v/>
      </c>
      <c r="CW26" s="41" t="str">
        <f>IFERROR(IF(AO26=1,VLOOKUP(AO$2,활동내용입력!$B$4:$F$63,5,FALSE),""),"")</f>
        <v/>
      </c>
      <c r="CX26" s="41" t="str">
        <f>IFERROR(IF(AP26=1,VLOOKUP(AP$2,활동내용입력!$B$4:$F$63,5,FALSE),""),"")</f>
        <v/>
      </c>
      <c r="CY26" s="41" t="str">
        <f>IFERROR(IF(AQ26=1,VLOOKUP(AQ$2,활동내용입력!$B$4:$F$63,5,FALSE),""),"")</f>
        <v/>
      </c>
      <c r="CZ26" s="41" t="str">
        <f>IFERROR(IF(AR26=1,VLOOKUP(AR$2,활동내용입력!$B$4:$F$63,5,FALSE),""),"")</f>
        <v/>
      </c>
      <c r="DA26" s="41" t="str">
        <f>IFERROR(IF(AS26=1,VLOOKUP(AS$2,활동내용입력!$B$4:$F$63,5,FALSE),""),"")</f>
        <v/>
      </c>
      <c r="DB26" s="41" t="str">
        <f>IFERROR(IF(AT26=1,VLOOKUP(AT$2,활동내용입력!$B$4:$F$63,5,FALSE),""),"")</f>
        <v/>
      </c>
      <c r="DC26" s="41" t="str">
        <f>IFERROR(IF(AU26=1,VLOOKUP(AU$2,활동내용입력!$B$4:$F$63,5,FALSE),""),"")</f>
        <v/>
      </c>
      <c r="DD26" s="41" t="str">
        <f>IFERROR(IF(AV26=1,VLOOKUP(AV$2,활동내용입력!$B$4:$F$63,5,FALSE),""),"")</f>
        <v/>
      </c>
      <c r="DE26" s="41" t="str">
        <f>IFERROR(IF(AW26=1,VLOOKUP(AW$2,활동내용입력!$B$4:$F$63,5,FALSE),""),"")</f>
        <v/>
      </c>
      <c r="DF26" s="41" t="str">
        <f>IFERROR(IF(AX26=1,VLOOKUP(AX$2,활동내용입력!$B$4:$F$63,5,FALSE),""),"")</f>
        <v/>
      </c>
      <c r="DG26" s="41" t="str">
        <f>IFERROR(IF(AY26=1,VLOOKUP(AY$2,활동내용입력!$B$4:$F$63,5,FALSE),""),"")</f>
        <v/>
      </c>
      <c r="DH26" s="41" t="str">
        <f>IFERROR(IF(AZ26=1,VLOOKUP(AZ$2,활동내용입력!$B$4:$F$63,5,FALSE),""),"")</f>
        <v/>
      </c>
      <c r="DI26" s="41" t="str">
        <f>IFERROR(IF(BA26=1,VLOOKUP(BA$2,활동내용입력!$B$4:$F$63,5,FALSE),""),"")</f>
        <v/>
      </c>
      <c r="DJ26" s="41" t="str">
        <f>IFERROR(IF(BB26=1,VLOOKUP(BB$2,활동내용입력!$B$4:$F$63,5,FALSE),""),"")</f>
        <v/>
      </c>
      <c r="DK26" s="41" t="str">
        <f>IFERROR(IF(BC26=1,VLOOKUP(BC$2,활동내용입력!$B$4:$F$63,5,FALSE),""),"")</f>
        <v/>
      </c>
      <c r="DL26" s="41" t="str">
        <f>IFERROR(IF(BD26=1,VLOOKUP(BD$2,활동내용입력!$B$4:$F$63,5,FALSE),""),"")</f>
        <v/>
      </c>
      <c r="DM26" s="41" t="str">
        <f>IFERROR(IF(BE26=1,VLOOKUP(BE$2,활동내용입력!$B$4:$F$63,5,FALSE),""),"")</f>
        <v/>
      </c>
      <c r="DN26" s="41" t="str">
        <f>IFERROR(IF(BF26=1,VLOOKUP(BF$2,활동내용입력!$B$4:$F$63,5,FALSE),""),"")</f>
        <v/>
      </c>
      <c r="DO26" s="41" t="str">
        <f>IFERROR(IF(BG26=1,VLOOKUP(BG$2,활동내용입력!$B$4:$F$63,5,FALSE),""),"")</f>
        <v/>
      </c>
      <c r="DP26" s="41" t="str">
        <f>IFERROR(IF(BH26=1,VLOOKUP(BH$2,활동내용입력!$B$4:$F$63,5,FALSE),""),"")</f>
        <v/>
      </c>
      <c r="DQ26" s="41" t="str">
        <f>IFERROR(IF(BI26=1,VLOOKUP(BI$2,활동내용입력!$B$4:$F$63,5,FALSE),""),"")</f>
        <v/>
      </c>
      <c r="DR26" s="41" t="str">
        <f>IFERROR(IF(BJ26=1,VLOOKUP(BJ$2,활동내용입력!$B$4:$F$63,5,FALSE),""),"")</f>
        <v/>
      </c>
      <c r="DS26" s="41" t="str">
        <f t="shared" si="7"/>
        <v/>
      </c>
      <c r="DT26" s="42">
        <f t="shared" si="6"/>
        <v>0</v>
      </c>
      <c r="DU26" s="34"/>
    </row>
    <row r="27" spans="1:125" x14ac:dyDescent="0.4">
      <c r="A27" s="58">
        <v>23</v>
      </c>
      <c r="B27" s="57"/>
      <c r="C27" s="40"/>
      <c r="D27" s="40"/>
      <c r="E27" s="40"/>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1" t="str">
        <f>IFERROR(IF(C27=1,VLOOKUP(C$2,활동내용입력!$B$4:$F$63,5,FALSE),""),"")</f>
        <v/>
      </c>
      <c r="BL27" s="41" t="str">
        <f>IFERROR(IF(D27=1,VLOOKUP(D$2,활동내용입력!$B$4:$F$63,5,FALSE),""),"")</f>
        <v/>
      </c>
      <c r="BM27" s="41" t="str">
        <f>IFERROR(IF(E27=1,VLOOKUP(E$2,활동내용입력!$B$4:$F$63,5,FALSE),""),"")</f>
        <v/>
      </c>
      <c r="BN27" s="41" t="str">
        <f>IFERROR(IF(F27=1,VLOOKUP(F$2,활동내용입력!$B$4:$F$63,5,FALSE),""),"")</f>
        <v/>
      </c>
      <c r="BO27" s="41" t="str">
        <f>IFERROR(IF(G27=1,VLOOKUP(G$2,활동내용입력!$B$4:$F$63,5,FALSE),""),"")</f>
        <v/>
      </c>
      <c r="BP27" s="41" t="str">
        <f>IFERROR(IF(H27=1,VLOOKUP(H$2,활동내용입력!$B$4:$F$63,5,FALSE),""),"")</f>
        <v/>
      </c>
      <c r="BQ27" s="41" t="str">
        <f>IFERROR(IF(I27=1,VLOOKUP(I$2,활동내용입력!$B$4:$F$63,5,FALSE),""),"")</f>
        <v/>
      </c>
      <c r="BR27" s="41" t="str">
        <f>IFERROR(IF(J27=1,VLOOKUP(J$2,활동내용입력!$B$4:$F$63,5,FALSE),""),"")</f>
        <v/>
      </c>
      <c r="BS27" s="41" t="str">
        <f>IFERROR(IF(K27=1,VLOOKUP(K$2,활동내용입력!$B$4:$F$63,5,FALSE),""),"")</f>
        <v/>
      </c>
      <c r="BT27" s="41" t="str">
        <f>IFERROR(IF(L27=1,VLOOKUP(L$2,활동내용입력!$B$4:$F$63,5,FALSE),""),"")</f>
        <v/>
      </c>
      <c r="BU27" s="41" t="str">
        <f>IFERROR(IF(M27=1,VLOOKUP(M$2,활동내용입력!$B$4:$F$63,5,FALSE),""),"")</f>
        <v/>
      </c>
      <c r="BV27" s="41" t="str">
        <f>IFERROR(IF(N27=1,VLOOKUP(N$2,활동내용입력!$B$4:$F$63,5,FALSE),""),"")</f>
        <v/>
      </c>
      <c r="BW27" s="41" t="str">
        <f>IFERROR(IF(O27=1,VLOOKUP(O$2,활동내용입력!$B$4:$F$63,5,FALSE),""),"")</f>
        <v/>
      </c>
      <c r="BX27" s="41" t="str">
        <f>IFERROR(IF(P27=1,VLOOKUP(P$2,활동내용입력!$B$4:$F$63,5,FALSE),""),"")</f>
        <v/>
      </c>
      <c r="BY27" s="41" t="str">
        <f>IFERROR(IF(Q27=1,VLOOKUP(Q$2,활동내용입력!$B$4:$F$63,5,FALSE),""),"")</f>
        <v/>
      </c>
      <c r="BZ27" s="41" t="str">
        <f>IFERROR(IF(R27=1,VLOOKUP(R$2,활동내용입력!$B$4:$F$63,5,FALSE),""),"")</f>
        <v/>
      </c>
      <c r="CA27" s="41" t="str">
        <f>IFERROR(IF(S27=1,VLOOKUP(S$2,활동내용입력!$B$4:$F$63,5,FALSE),""),"")</f>
        <v/>
      </c>
      <c r="CB27" s="41" t="str">
        <f>IFERROR(IF(T27=1,VLOOKUP(T$2,활동내용입력!$B$4:$F$63,5,FALSE),""),"")</f>
        <v/>
      </c>
      <c r="CC27" s="41" t="str">
        <f>IFERROR(IF(U27=1,VLOOKUP(U$2,활동내용입력!$B$4:$F$63,5,FALSE),""),"")</f>
        <v/>
      </c>
      <c r="CD27" s="41" t="str">
        <f>IFERROR(IF(V27=1,VLOOKUP(V$2,활동내용입력!$B$4:$F$63,5,FALSE),""),"")</f>
        <v/>
      </c>
      <c r="CE27" s="41" t="str">
        <f>IFERROR(IF(W27=1,VLOOKUP(W$2,활동내용입력!$B$4:$F$63,5,FALSE),""),"")</f>
        <v/>
      </c>
      <c r="CF27" s="41" t="str">
        <f>IFERROR(IF(X27=1,VLOOKUP(X$2,활동내용입력!$B$4:$F$63,5,FALSE),""),"")</f>
        <v/>
      </c>
      <c r="CG27" s="41" t="str">
        <f>IFERROR(IF(Y27=1,VLOOKUP(Y$2,활동내용입력!$B$4:$F$63,5,FALSE),""),"")</f>
        <v/>
      </c>
      <c r="CH27" s="41" t="str">
        <f>IFERROR(IF(Z27=1,VLOOKUP(Z$2,활동내용입력!$B$4:$F$63,5,FALSE),""),"")</f>
        <v/>
      </c>
      <c r="CI27" s="41" t="str">
        <f>IFERROR(IF(AA27=1,VLOOKUP(AA$2,활동내용입력!$B$4:$F$63,5,FALSE),""),"")</f>
        <v/>
      </c>
      <c r="CJ27" s="41" t="str">
        <f>IFERROR(IF(AB27=1,VLOOKUP(AB$2,활동내용입력!$B$4:$F$63,5,FALSE),""),"")</f>
        <v/>
      </c>
      <c r="CK27" s="41" t="str">
        <f>IFERROR(IF(AC27=1,VLOOKUP(AC$2,활동내용입력!$B$4:$F$63,5,FALSE),""),"")</f>
        <v/>
      </c>
      <c r="CL27" s="41" t="str">
        <f>IFERROR(IF(AD27=1,VLOOKUP(AD$2,활동내용입력!$B$4:$F$63,5,FALSE),""),"")</f>
        <v/>
      </c>
      <c r="CM27" s="41" t="str">
        <f>IFERROR(IF(AE27=1,VLOOKUP(AE$2,활동내용입력!$B$4:$F$63,5,FALSE),""),"")</f>
        <v/>
      </c>
      <c r="CN27" s="41" t="str">
        <f>IFERROR(IF(AF27=1,VLOOKUP(AF$2,활동내용입력!$B$4:$F$63,5,FALSE),""),"")</f>
        <v/>
      </c>
      <c r="CO27" s="41" t="str">
        <f>IFERROR(IF(AG27=1,VLOOKUP(AG$2,활동내용입력!$B$4:$F$63,5,FALSE),""),"")</f>
        <v/>
      </c>
      <c r="CP27" s="41" t="str">
        <f>IFERROR(IF(AH27=1,VLOOKUP(AH$2,활동내용입력!$B$4:$F$63,5,FALSE),""),"")</f>
        <v/>
      </c>
      <c r="CQ27" s="41" t="str">
        <f>IFERROR(IF(AI27=1,VLOOKUP(AI$2,활동내용입력!$B$4:$F$63,5,FALSE),""),"")</f>
        <v/>
      </c>
      <c r="CR27" s="41" t="str">
        <f>IFERROR(IF(AJ27=1,VLOOKUP(AJ$2,활동내용입력!$B$4:$F$63,5,FALSE),""),"")</f>
        <v/>
      </c>
      <c r="CS27" s="41" t="str">
        <f>IFERROR(IF(AK27=1,VLOOKUP(AK$2,활동내용입력!$B$4:$F$63,5,FALSE),""),"")</f>
        <v/>
      </c>
      <c r="CT27" s="41" t="str">
        <f>IFERROR(IF(AL27=1,VLOOKUP(AL$2,활동내용입력!$B$4:$F$63,5,FALSE),""),"")</f>
        <v/>
      </c>
      <c r="CU27" s="41" t="str">
        <f>IFERROR(IF(AM27=1,VLOOKUP(AM$2,활동내용입력!$B$4:$F$63,5,FALSE),""),"")</f>
        <v/>
      </c>
      <c r="CV27" s="41" t="str">
        <f>IFERROR(IF(AN27=1,VLOOKUP(AN$2,활동내용입력!$B$4:$F$63,5,FALSE),""),"")</f>
        <v/>
      </c>
      <c r="CW27" s="41" t="str">
        <f>IFERROR(IF(AO27=1,VLOOKUP(AO$2,활동내용입력!$B$4:$F$63,5,FALSE),""),"")</f>
        <v/>
      </c>
      <c r="CX27" s="41" t="str">
        <f>IFERROR(IF(AP27=1,VLOOKUP(AP$2,활동내용입력!$B$4:$F$63,5,FALSE),""),"")</f>
        <v/>
      </c>
      <c r="CY27" s="41" t="str">
        <f>IFERROR(IF(AQ27=1,VLOOKUP(AQ$2,활동내용입력!$B$4:$F$63,5,FALSE),""),"")</f>
        <v/>
      </c>
      <c r="CZ27" s="41" t="str">
        <f>IFERROR(IF(AR27=1,VLOOKUP(AR$2,활동내용입력!$B$4:$F$63,5,FALSE),""),"")</f>
        <v/>
      </c>
      <c r="DA27" s="41" t="str">
        <f>IFERROR(IF(AS27=1,VLOOKUP(AS$2,활동내용입력!$B$4:$F$63,5,FALSE),""),"")</f>
        <v/>
      </c>
      <c r="DB27" s="41" t="str">
        <f>IFERROR(IF(AT27=1,VLOOKUP(AT$2,활동내용입력!$B$4:$F$63,5,FALSE),""),"")</f>
        <v/>
      </c>
      <c r="DC27" s="41" t="str">
        <f>IFERROR(IF(AU27=1,VLOOKUP(AU$2,활동내용입력!$B$4:$F$63,5,FALSE),""),"")</f>
        <v/>
      </c>
      <c r="DD27" s="41" t="str">
        <f>IFERROR(IF(AV27=1,VLOOKUP(AV$2,활동내용입력!$B$4:$F$63,5,FALSE),""),"")</f>
        <v/>
      </c>
      <c r="DE27" s="41" t="str">
        <f>IFERROR(IF(AW27=1,VLOOKUP(AW$2,활동내용입력!$B$4:$F$63,5,FALSE),""),"")</f>
        <v/>
      </c>
      <c r="DF27" s="41" t="str">
        <f>IFERROR(IF(AX27=1,VLOOKUP(AX$2,활동내용입력!$B$4:$F$63,5,FALSE),""),"")</f>
        <v/>
      </c>
      <c r="DG27" s="41" t="str">
        <f>IFERROR(IF(AY27=1,VLOOKUP(AY$2,활동내용입력!$B$4:$F$63,5,FALSE),""),"")</f>
        <v/>
      </c>
      <c r="DH27" s="41" t="str">
        <f>IFERROR(IF(AZ27=1,VLOOKUP(AZ$2,활동내용입력!$B$4:$F$63,5,FALSE),""),"")</f>
        <v/>
      </c>
      <c r="DI27" s="41" t="str">
        <f>IFERROR(IF(BA27=1,VLOOKUP(BA$2,활동내용입력!$B$4:$F$63,5,FALSE),""),"")</f>
        <v/>
      </c>
      <c r="DJ27" s="41" t="str">
        <f>IFERROR(IF(BB27=1,VLOOKUP(BB$2,활동내용입력!$B$4:$F$63,5,FALSE),""),"")</f>
        <v/>
      </c>
      <c r="DK27" s="41" t="str">
        <f>IFERROR(IF(BC27=1,VLOOKUP(BC$2,활동내용입력!$B$4:$F$63,5,FALSE),""),"")</f>
        <v/>
      </c>
      <c r="DL27" s="41" t="str">
        <f>IFERROR(IF(BD27=1,VLOOKUP(BD$2,활동내용입력!$B$4:$F$63,5,FALSE),""),"")</f>
        <v/>
      </c>
      <c r="DM27" s="41" t="str">
        <f>IFERROR(IF(BE27=1,VLOOKUP(BE$2,활동내용입력!$B$4:$F$63,5,FALSE),""),"")</f>
        <v/>
      </c>
      <c r="DN27" s="41" t="str">
        <f>IFERROR(IF(BF27=1,VLOOKUP(BF$2,활동내용입력!$B$4:$F$63,5,FALSE),""),"")</f>
        <v/>
      </c>
      <c r="DO27" s="41" t="str">
        <f>IFERROR(IF(BG27=1,VLOOKUP(BG$2,활동내용입력!$B$4:$F$63,5,FALSE),""),"")</f>
        <v/>
      </c>
      <c r="DP27" s="41" t="str">
        <f>IFERROR(IF(BH27=1,VLOOKUP(BH$2,활동내용입력!$B$4:$F$63,5,FALSE),""),"")</f>
        <v/>
      </c>
      <c r="DQ27" s="41" t="str">
        <f>IFERROR(IF(BI27=1,VLOOKUP(BI$2,활동내용입력!$B$4:$F$63,5,FALSE),""),"")</f>
        <v/>
      </c>
      <c r="DR27" s="41" t="str">
        <f>IFERROR(IF(BJ27=1,VLOOKUP(BJ$2,활동내용입력!$B$4:$F$63,5,FALSE),""),"")</f>
        <v/>
      </c>
      <c r="DS27" s="41" t="str">
        <f t="shared" si="7"/>
        <v/>
      </c>
      <c r="DT27" s="42">
        <f t="shared" si="6"/>
        <v>0</v>
      </c>
      <c r="DU27" s="34"/>
    </row>
    <row r="28" spans="1:125" x14ac:dyDescent="0.4">
      <c r="A28" s="58">
        <v>24</v>
      </c>
      <c r="B28" s="57"/>
      <c r="C28" s="40"/>
      <c r="D28" s="40"/>
      <c r="E28" s="40"/>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1" t="str">
        <f>IFERROR(IF(C28=1,VLOOKUP(C$2,활동내용입력!$B$4:$F$63,5,FALSE),""),"")</f>
        <v/>
      </c>
      <c r="BL28" s="41" t="str">
        <f>IFERROR(IF(D28=1,VLOOKUP(D$2,활동내용입력!$B$4:$F$63,5,FALSE),""),"")</f>
        <v/>
      </c>
      <c r="BM28" s="41" t="str">
        <f>IFERROR(IF(E28=1,VLOOKUP(E$2,활동내용입력!$B$4:$F$63,5,FALSE),""),"")</f>
        <v/>
      </c>
      <c r="BN28" s="41" t="str">
        <f>IFERROR(IF(F28=1,VLOOKUP(F$2,활동내용입력!$B$4:$F$63,5,FALSE),""),"")</f>
        <v/>
      </c>
      <c r="BO28" s="41" t="str">
        <f>IFERROR(IF(G28=1,VLOOKUP(G$2,활동내용입력!$B$4:$F$63,5,FALSE),""),"")</f>
        <v/>
      </c>
      <c r="BP28" s="41" t="str">
        <f>IFERROR(IF(H28=1,VLOOKUP(H$2,활동내용입력!$B$4:$F$63,5,FALSE),""),"")</f>
        <v/>
      </c>
      <c r="BQ28" s="41" t="str">
        <f>IFERROR(IF(I28=1,VLOOKUP(I$2,활동내용입력!$B$4:$F$63,5,FALSE),""),"")</f>
        <v/>
      </c>
      <c r="BR28" s="41" t="str">
        <f>IFERROR(IF(J28=1,VLOOKUP(J$2,활동내용입력!$B$4:$F$63,5,FALSE),""),"")</f>
        <v/>
      </c>
      <c r="BS28" s="41" t="str">
        <f>IFERROR(IF(K28=1,VLOOKUP(K$2,활동내용입력!$B$4:$F$63,5,FALSE),""),"")</f>
        <v/>
      </c>
      <c r="BT28" s="41" t="str">
        <f>IFERROR(IF(L28=1,VLOOKUP(L$2,활동내용입력!$B$4:$F$63,5,FALSE),""),"")</f>
        <v/>
      </c>
      <c r="BU28" s="41" t="str">
        <f>IFERROR(IF(M28=1,VLOOKUP(M$2,활동내용입력!$B$4:$F$63,5,FALSE),""),"")</f>
        <v/>
      </c>
      <c r="BV28" s="41" t="str">
        <f>IFERROR(IF(N28=1,VLOOKUP(N$2,활동내용입력!$B$4:$F$63,5,FALSE),""),"")</f>
        <v/>
      </c>
      <c r="BW28" s="41" t="str">
        <f>IFERROR(IF(O28=1,VLOOKUP(O$2,활동내용입력!$B$4:$F$63,5,FALSE),""),"")</f>
        <v/>
      </c>
      <c r="BX28" s="41" t="str">
        <f>IFERROR(IF(P28=1,VLOOKUP(P$2,활동내용입력!$B$4:$F$63,5,FALSE),""),"")</f>
        <v/>
      </c>
      <c r="BY28" s="41" t="str">
        <f>IFERROR(IF(Q28=1,VLOOKUP(Q$2,활동내용입력!$B$4:$F$63,5,FALSE),""),"")</f>
        <v/>
      </c>
      <c r="BZ28" s="41" t="str">
        <f>IFERROR(IF(R28=1,VLOOKUP(R$2,활동내용입력!$B$4:$F$63,5,FALSE),""),"")</f>
        <v/>
      </c>
      <c r="CA28" s="41" t="str">
        <f>IFERROR(IF(S28=1,VLOOKUP(S$2,활동내용입력!$B$4:$F$63,5,FALSE),""),"")</f>
        <v/>
      </c>
      <c r="CB28" s="41" t="str">
        <f>IFERROR(IF(T28=1,VLOOKUP(T$2,활동내용입력!$B$4:$F$63,5,FALSE),""),"")</f>
        <v/>
      </c>
      <c r="CC28" s="41" t="str">
        <f>IFERROR(IF(U28=1,VLOOKUP(U$2,활동내용입력!$B$4:$F$63,5,FALSE),""),"")</f>
        <v/>
      </c>
      <c r="CD28" s="41" t="str">
        <f>IFERROR(IF(V28=1,VLOOKUP(V$2,활동내용입력!$B$4:$F$63,5,FALSE),""),"")</f>
        <v/>
      </c>
      <c r="CE28" s="41" t="str">
        <f>IFERROR(IF(W28=1,VLOOKUP(W$2,활동내용입력!$B$4:$F$63,5,FALSE),""),"")</f>
        <v/>
      </c>
      <c r="CF28" s="41" t="str">
        <f>IFERROR(IF(X28=1,VLOOKUP(X$2,활동내용입력!$B$4:$F$63,5,FALSE),""),"")</f>
        <v/>
      </c>
      <c r="CG28" s="41" t="str">
        <f>IFERROR(IF(Y28=1,VLOOKUP(Y$2,활동내용입력!$B$4:$F$63,5,FALSE),""),"")</f>
        <v/>
      </c>
      <c r="CH28" s="41" t="str">
        <f>IFERROR(IF(Z28=1,VLOOKUP(Z$2,활동내용입력!$B$4:$F$63,5,FALSE),""),"")</f>
        <v/>
      </c>
      <c r="CI28" s="41" t="str">
        <f>IFERROR(IF(AA28=1,VLOOKUP(AA$2,활동내용입력!$B$4:$F$63,5,FALSE),""),"")</f>
        <v/>
      </c>
      <c r="CJ28" s="41" t="str">
        <f>IFERROR(IF(AB28=1,VLOOKUP(AB$2,활동내용입력!$B$4:$F$63,5,FALSE),""),"")</f>
        <v/>
      </c>
      <c r="CK28" s="41" t="str">
        <f>IFERROR(IF(AC28=1,VLOOKUP(AC$2,활동내용입력!$B$4:$F$63,5,FALSE),""),"")</f>
        <v/>
      </c>
      <c r="CL28" s="41" t="str">
        <f>IFERROR(IF(AD28=1,VLOOKUP(AD$2,활동내용입력!$B$4:$F$63,5,FALSE),""),"")</f>
        <v/>
      </c>
      <c r="CM28" s="41" t="str">
        <f>IFERROR(IF(AE28=1,VLOOKUP(AE$2,활동내용입력!$B$4:$F$63,5,FALSE),""),"")</f>
        <v/>
      </c>
      <c r="CN28" s="41" t="str">
        <f>IFERROR(IF(AF28=1,VLOOKUP(AF$2,활동내용입력!$B$4:$F$63,5,FALSE),""),"")</f>
        <v/>
      </c>
      <c r="CO28" s="41" t="str">
        <f>IFERROR(IF(AG28=1,VLOOKUP(AG$2,활동내용입력!$B$4:$F$63,5,FALSE),""),"")</f>
        <v/>
      </c>
      <c r="CP28" s="41" t="str">
        <f>IFERROR(IF(AH28=1,VLOOKUP(AH$2,활동내용입력!$B$4:$F$63,5,FALSE),""),"")</f>
        <v/>
      </c>
      <c r="CQ28" s="41" t="str">
        <f>IFERROR(IF(AI28=1,VLOOKUP(AI$2,활동내용입력!$B$4:$F$63,5,FALSE),""),"")</f>
        <v/>
      </c>
      <c r="CR28" s="41" t="str">
        <f>IFERROR(IF(AJ28=1,VLOOKUP(AJ$2,활동내용입력!$B$4:$F$63,5,FALSE),""),"")</f>
        <v/>
      </c>
      <c r="CS28" s="41" t="str">
        <f>IFERROR(IF(AK28=1,VLOOKUP(AK$2,활동내용입력!$B$4:$F$63,5,FALSE),""),"")</f>
        <v/>
      </c>
      <c r="CT28" s="41" t="str">
        <f>IFERROR(IF(AL28=1,VLOOKUP(AL$2,활동내용입력!$B$4:$F$63,5,FALSE),""),"")</f>
        <v/>
      </c>
      <c r="CU28" s="41" t="str">
        <f>IFERROR(IF(AM28=1,VLOOKUP(AM$2,활동내용입력!$B$4:$F$63,5,FALSE),""),"")</f>
        <v/>
      </c>
      <c r="CV28" s="41" t="str">
        <f>IFERROR(IF(AN28=1,VLOOKUP(AN$2,활동내용입력!$B$4:$F$63,5,FALSE),""),"")</f>
        <v/>
      </c>
      <c r="CW28" s="41" t="str">
        <f>IFERROR(IF(AO28=1,VLOOKUP(AO$2,활동내용입력!$B$4:$F$63,5,FALSE),""),"")</f>
        <v/>
      </c>
      <c r="CX28" s="41" t="str">
        <f>IFERROR(IF(AP28=1,VLOOKUP(AP$2,활동내용입력!$B$4:$F$63,5,FALSE),""),"")</f>
        <v/>
      </c>
      <c r="CY28" s="41" t="str">
        <f>IFERROR(IF(AQ28=1,VLOOKUP(AQ$2,활동내용입력!$B$4:$F$63,5,FALSE),""),"")</f>
        <v/>
      </c>
      <c r="CZ28" s="41" t="str">
        <f>IFERROR(IF(AR28=1,VLOOKUP(AR$2,활동내용입력!$B$4:$F$63,5,FALSE),""),"")</f>
        <v/>
      </c>
      <c r="DA28" s="41" t="str">
        <f>IFERROR(IF(AS28=1,VLOOKUP(AS$2,활동내용입력!$B$4:$F$63,5,FALSE),""),"")</f>
        <v/>
      </c>
      <c r="DB28" s="41" t="str">
        <f>IFERROR(IF(AT28=1,VLOOKUP(AT$2,활동내용입력!$B$4:$F$63,5,FALSE),""),"")</f>
        <v/>
      </c>
      <c r="DC28" s="41" t="str">
        <f>IFERROR(IF(AU28=1,VLOOKUP(AU$2,활동내용입력!$B$4:$F$63,5,FALSE),""),"")</f>
        <v/>
      </c>
      <c r="DD28" s="41" t="str">
        <f>IFERROR(IF(AV28=1,VLOOKUP(AV$2,활동내용입력!$B$4:$F$63,5,FALSE),""),"")</f>
        <v/>
      </c>
      <c r="DE28" s="41" t="str">
        <f>IFERROR(IF(AW28=1,VLOOKUP(AW$2,활동내용입력!$B$4:$F$63,5,FALSE),""),"")</f>
        <v/>
      </c>
      <c r="DF28" s="41" t="str">
        <f>IFERROR(IF(AX28=1,VLOOKUP(AX$2,활동내용입력!$B$4:$F$63,5,FALSE),""),"")</f>
        <v/>
      </c>
      <c r="DG28" s="41" t="str">
        <f>IFERROR(IF(AY28=1,VLOOKUP(AY$2,활동내용입력!$B$4:$F$63,5,FALSE),""),"")</f>
        <v/>
      </c>
      <c r="DH28" s="41" t="str">
        <f>IFERROR(IF(AZ28=1,VLOOKUP(AZ$2,활동내용입력!$B$4:$F$63,5,FALSE),""),"")</f>
        <v/>
      </c>
      <c r="DI28" s="41" t="str">
        <f>IFERROR(IF(BA28=1,VLOOKUP(BA$2,활동내용입력!$B$4:$F$63,5,FALSE),""),"")</f>
        <v/>
      </c>
      <c r="DJ28" s="41" t="str">
        <f>IFERROR(IF(BB28=1,VLOOKUP(BB$2,활동내용입력!$B$4:$F$63,5,FALSE),""),"")</f>
        <v/>
      </c>
      <c r="DK28" s="41" t="str">
        <f>IFERROR(IF(BC28=1,VLOOKUP(BC$2,활동내용입력!$B$4:$F$63,5,FALSE),""),"")</f>
        <v/>
      </c>
      <c r="DL28" s="41" t="str">
        <f>IFERROR(IF(BD28=1,VLOOKUP(BD$2,활동내용입력!$B$4:$F$63,5,FALSE),""),"")</f>
        <v/>
      </c>
      <c r="DM28" s="41" t="str">
        <f>IFERROR(IF(BE28=1,VLOOKUP(BE$2,활동내용입력!$B$4:$F$63,5,FALSE),""),"")</f>
        <v/>
      </c>
      <c r="DN28" s="41" t="str">
        <f>IFERROR(IF(BF28=1,VLOOKUP(BF$2,활동내용입력!$B$4:$F$63,5,FALSE),""),"")</f>
        <v/>
      </c>
      <c r="DO28" s="41" t="str">
        <f>IFERROR(IF(BG28=1,VLOOKUP(BG$2,활동내용입력!$B$4:$F$63,5,FALSE),""),"")</f>
        <v/>
      </c>
      <c r="DP28" s="41" t="str">
        <f>IFERROR(IF(BH28=1,VLOOKUP(BH$2,활동내용입력!$B$4:$F$63,5,FALSE),""),"")</f>
        <v/>
      </c>
      <c r="DQ28" s="41" t="str">
        <f>IFERROR(IF(BI28=1,VLOOKUP(BI$2,활동내용입력!$B$4:$F$63,5,FALSE),""),"")</f>
        <v/>
      </c>
      <c r="DR28" s="41" t="str">
        <f>IFERROR(IF(BJ28=1,VLOOKUP(BJ$2,활동내용입력!$B$4:$F$63,5,FALSE),""),"")</f>
        <v/>
      </c>
      <c r="DS28" s="41" t="str">
        <f t="shared" si="7"/>
        <v/>
      </c>
      <c r="DT28" s="42">
        <f t="shared" si="6"/>
        <v>0</v>
      </c>
      <c r="DU28" s="34"/>
    </row>
    <row r="29" spans="1:125" x14ac:dyDescent="0.4">
      <c r="A29" s="58">
        <v>25</v>
      </c>
      <c r="B29" s="57"/>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1" t="str">
        <f>IFERROR(IF(C29=1,VLOOKUP(C$2,활동내용입력!$B$4:$F$63,5,FALSE),""),"")</f>
        <v/>
      </c>
      <c r="BL29" s="41" t="str">
        <f>IFERROR(IF(D29=1,VLOOKUP(D$2,활동내용입력!$B$4:$F$63,5,FALSE),""),"")</f>
        <v/>
      </c>
      <c r="BM29" s="41" t="str">
        <f>IFERROR(IF(E29=1,VLOOKUP(E$2,활동내용입력!$B$4:$F$63,5,FALSE),""),"")</f>
        <v/>
      </c>
      <c r="BN29" s="41" t="str">
        <f>IFERROR(IF(F29=1,VLOOKUP(F$2,활동내용입력!$B$4:$F$63,5,FALSE),""),"")</f>
        <v/>
      </c>
      <c r="BO29" s="41" t="str">
        <f>IFERROR(IF(G29=1,VLOOKUP(G$2,활동내용입력!$B$4:$F$63,5,FALSE),""),"")</f>
        <v/>
      </c>
      <c r="BP29" s="41" t="str">
        <f>IFERROR(IF(H29=1,VLOOKUP(H$2,활동내용입력!$B$4:$F$63,5,FALSE),""),"")</f>
        <v/>
      </c>
      <c r="BQ29" s="41" t="str">
        <f>IFERROR(IF(I29=1,VLOOKUP(I$2,활동내용입력!$B$4:$F$63,5,FALSE),""),"")</f>
        <v/>
      </c>
      <c r="BR29" s="41" t="str">
        <f>IFERROR(IF(J29=1,VLOOKUP(J$2,활동내용입력!$B$4:$F$63,5,FALSE),""),"")</f>
        <v/>
      </c>
      <c r="BS29" s="41" t="str">
        <f>IFERROR(IF(K29=1,VLOOKUP(K$2,활동내용입력!$B$4:$F$63,5,FALSE),""),"")</f>
        <v/>
      </c>
      <c r="BT29" s="41" t="str">
        <f>IFERROR(IF(L29=1,VLOOKUP(L$2,활동내용입력!$B$4:$F$63,5,FALSE),""),"")</f>
        <v/>
      </c>
      <c r="BU29" s="41" t="str">
        <f>IFERROR(IF(M29=1,VLOOKUP(M$2,활동내용입력!$B$4:$F$63,5,FALSE),""),"")</f>
        <v/>
      </c>
      <c r="BV29" s="41" t="str">
        <f>IFERROR(IF(N29=1,VLOOKUP(N$2,활동내용입력!$B$4:$F$63,5,FALSE),""),"")</f>
        <v/>
      </c>
      <c r="BW29" s="41" t="str">
        <f>IFERROR(IF(O29=1,VLOOKUP(O$2,활동내용입력!$B$4:$F$63,5,FALSE),""),"")</f>
        <v/>
      </c>
      <c r="BX29" s="41" t="str">
        <f>IFERROR(IF(P29=1,VLOOKUP(P$2,활동내용입력!$B$4:$F$63,5,FALSE),""),"")</f>
        <v/>
      </c>
      <c r="BY29" s="41" t="str">
        <f>IFERROR(IF(Q29=1,VLOOKUP(Q$2,활동내용입력!$B$4:$F$63,5,FALSE),""),"")</f>
        <v/>
      </c>
      <c r="BZ29" s="41" t="str">
        <f>IFERROR(IF(R29=1,VLOOKUP(R$2,활동내용입력!$B$4:$F$63,5,FALSE),""),"")</f>
        <v/>
      </c>
      <c r="CA29" s="41" t="str">
        <f>IFERROR(IF(S29=1,VLOOKUP(S$2,활동내용입력!$B$4:$F$63,5,FALSE),""),"")</f>
        <v/>
      </c>
      <c r="CB29" s="41" t="str">
        <f>IFERROR(IF(T29=1,VLOOKUP(T$2,활동내용입력!$B$4:$F$63,5,FALSE),""),"")</f>
        <v/>
      </c>
      <c r="CC29" s="41" t="str">
        <f>IFERROR(IF(U29=1,VLOOKUP(U$2,활동내용입력!$B$4:$F$63,5,FALSE),""),"")</f>
        <v/>
      </c>
      <c r="CD29" s="41" t="str">
        <f>IFERROR(IF(V29=1,VLOOKUP(V$2,활동내용입력!$B$4:$F$63,5,FALSE),""),"")</f>
        <v/>
      </c>
      <c r="CE29" s="41" t="str">
        <f>IFERROR(IF(W29=1,VLOOKUP(W$2,활동내용입력!$B$4:$F$63,5,FALSE),""),"")</f>
        <v/>
      </c>
      <c r="CF29" s="41" t="str">
        <f>IFERROR(IF(X29=1,VLOOKUP(X$2,활동내용입력!$B$4:$F$63,5,FALSE),""),"")</f>
        <v/>
      </c>
      <c r="CG29" s="41" t="str">
        <f>IFERROR(IF(Y29=1,VLOOKUP(Y$2,활동내용입력!$B$4:$F$63,5,FALSE),""),"")</f>
        <v/>
      </c>
      <c r="CH29" s="41" t="str">
        <f>IFERROR(IF(Z29=1,VLOOKUP(Z$2,활동내용입력!$B$4:$F$63,5,FALSE),""),"")</f>
        <v/>
      </c>
      <c r="CI29" s="41" t="str">
        <f>IFERROR(IF(AA29=1,VLOOKUP(AA$2,활동내용입력!$B$4:$F$63,5,FALSE),""),"")</f>
        <v/>
      </c>
      <c r="CJ29" s="41" t="str">
        <f>IFERROR(IF(AB29=1,VLOOKUP(AB$2,활동내용입력!$B$4:$F$63,5,FALSE),""),"")</f>
        <v/>
      </c>
      <c r="CK29" s="41" t="str">
        <f>IFERROR(IF(AC29=1,VLOOKUP(AC$2,활동내용입력!$B$4:$F$63,5,FALSE),""),"")</f>
        <v/>
      </c>
      <c r="CL29" s="41" t="str">
        <f>IFERROR(IF(AD29=1,VLOOKUP(AD$2,활동내용입력!$B$4:$F$63,5,FALSE),""),"")</f>
        <v/>
      </c>
      <c r="CM29" s="41" t="str">
        <f>IFERROR(IF(AE29=1,VLOOKUP(AE$2,활동내용입력!$B$4:$F$63,5,FALSE),""),"")</f>
        <v/>
      </c>
      <c r="CN29" s="41" t="str">
        <f>IFERROR(IF(AF29=1,VLOOKUP(AF$2,활동내용입력!$B$4:$F$63,5,FALSE),""),"")</f>
        <v/>
      </c>
      <c r="CO29" s="41" t="str">
        <f>IFERROR(IF(AG29=1,VLOOKUP(AG$2,활동내용입력!$B$4:$F$63,5,FALSE),""),"")</f>
        <v/>
      </c>
      <c r="CP29" s="41" t="str">
        <f>IFERROR(IF(AH29=1,VLOOKUP(AH$2,활동내용입력!$B$4:$F$63,5,FALSE),""),"")</f>
        <v/>
      </c>
      <c r="CQ29" s="41" t="str">
        <f>IFERROR(IF(AI29=1,VLOOKUP(AI$2,활동내용입력!$B$4:$F$63,5,FALSE),""),"")</f>
        <v/>
      </c>
      <c r="CR29" s="41" t="str">
        <f>IFERROR(IF(AJ29=1,VLOOKUP(AJ$2,활동내용입력!$B$4:$F$63,5,FALSE),""),"")</f>
        <v/>
      </c>
      <c r="CS29" s="41" t="str">
        <f>IFERROR(IF(AK29=1,VLOOKUP(AK$2,활동내용입력!$B$4:$F$63,5,FALSE),""),"")</f>
        <v/>
      </c>
      <c r="CT29" s="41" t="str">
        <f>IFERROR(IF(AL29=1,VLOOKUP(AL$2,활동내용입력!$B$4:$F$63,5,FALSE),""),"")</f>
        <v/>
      </c>
      <c r="CU29" s="41" t="str">
        <f>IFERROR(IF(AM29=1,VLOOKUP(AM$2,활동내용입력!$B$4:$F$63,5,FALSE),""),"")</f>
        <v/>
      </c>
      <c r="CV29" s="41" t="str">
        <f>IFERROR(IF(AN29=1,VLOOKUP(AN$2,활동내용입력!$B$4:$F$63,5,FALSE),""),"")</f>
        <v/>
      </c>
      <c r="CW29" s="41" t="str">
        <f>IFERROR(IF(AO29=1,VLOOKUP(AO$2,활동내용입력!$B$4:$F$63,5,FALSE),""),"")</f>
        <v/>
      </c>
      <c r="CX29" s="41" t="str">
        <f>IFERROR(IF(AP29=1,VLOOKUP(AP$2,활동내용입력!$B$4:$F$63,5,FALSE),""),"")</f>
        <v/>
      </c>
      <c r="CY29" s="41" t="str">
        <f>IFERROR(IF(AQ29=1,VLOOKUP(AQ$2,활동내용입력!$B$4:$F$63,5,FALSE),""),"")</f>
        <v/>
      </c>
      <c r="CZ29" s="41" t="str">
        <f>IFERROR(IF(AR29=1,VLOOKUP(AR$2,활동내용입력!$B$4:$F$63,5,FALSE),""),"")</f>
        <v/>
      </c>
      <c r="DA29" s="41" t="str">
        <f>IFERROR(IF(AS29=1,VLOOKUP(AS$2,활동내용입력!$B$4:$F$63,5,FALSE),""),"")</f>
        <v/>
      </c>
      <c r="DB29" s="41" t="str">
        <f>IFERROR(IF(AT29=1,VLOOKUP(AT$2,활동내용입력!$B$4:$F$63,5,FALSE),""),"")</f>
        <v/>
      </c>
      <c r="DC29" s="41" t="str">
        <f>IFERROR(IF(AU29=1,VLOOKUP(AU$2,활동내용입력!$B$4:$F$63,5,FALSE),""),"")</f>
        <v/>
      </c>
      <c r="DD29" s="41" t="str">
        <f>IFERROR(IF(AV29=1,VLOOKUP(AV$2,활동내용입력!$B$4:$F$63,5,FALSE),""),"")</f>
        <v/>
      </c>
      <c r="DE29" s="41" t="str">
        <f>IFERROR(IF(AW29=1,VLOOKUP(AW$2,활동내용입력!$B$4:$F$63,5,FALSE),""),"")</f>
        <v/>
      </c>
      <c r="DF29" s="41" t="str">
        <f>IFERROR(IF(AX29=1,VLOOKUP(AX$2,활동내용입력!$B$4:$F$63,5,FALSE),""),"")</f>
        <v/>
      </c>
      <c r="DG29" s="41" t="str">
        <f>IFERROR(IF(AY29=1,VLOOKUP(AY$2,활동내용입력!$B$4:$F$63,5,FALSE),""),"")</f>
        <v/>
      </c>
      <c r="DH29" s="41" t="str">
        <f>IFERROR(IF(AZ29=1,VLOOKUP(AZ$2,활동내용입력!$B$4:$F$63,5,FALSE),""),"")</f>
        <v/>
      </c>
      <c r="DI29" s="41" t="str">
        <f>IFERROR(IF(BA29=1,VLOOKUP(BA$2,활동내용입력!$B$4:$F$63,5,FALSE),""),"")</f>
        <v/>
      </c>
      <c r="DJ29" s="41" t="str">
        <f>IFERROR(IF(BB29=1,VLOOKUP(BB$2,활동내용입력!$B$4:$F$63,5,FALSE),""),"")</f>
        <v/>
      </c>
      <c r="DK29" s="41" t="str">
        <f>IFERROR(IF(BC29=1,VLOOKUP(BC$2,활동내용입력!$B$4:$F$63,5,FALSE),""),"")</f>
        <v/>
      </c>
      <c r="DL29" s="41" t="str">
        <f>IFERROR(IF(BD29=1,VLOOKUP(BD$2,활동내용입력!$B$4:$F$63,5,FALSE),""),"")</f>
        <v/>
      </c>
      <c r="DM29" s="41" t="str">
        <f>IFERROR(IF(BE29=1,VLOOKUP(BE$2,활동내용입력!$B$4:$F$63,5,FALSE),""),"")</f>
        <v/>
      </c>
      <c r="DN29" s="41" t="str">
        <f>IFERROR(IF(BF29=1,VLOOKUP(BF$2,활동내용입력!$B$4:$F$63,5,FALSE),""),"")</f>
        <v/>
      </c>
      <c r="DO29" s="41" t="str">
        <f>IFERROR(IF(BG29=1,VLOOKUP(BG$2,활동내용입력!$B$4:$F$63,5,FALSE),""),"")</f>
        <v/>
      </c>
      <c r="DP29" s="41" t="str">
        <f>IFERROR(IF(BH29=1,VLOOKUP(BH$2,활동내용입력!$B$4:$F$63,5,FALSE),""),"")</f>
        <v/>
      </c>
      <c r="DQ29" s="41" t="str">
        <f>IFERROR(IF(BI29=1,VLOOKUP(BI$2,활동내용입력!$B$4:$F$63,5,FALSE),""),"")</f>
        <v/>
      </c>
      <c r="DR29" s="41" t="str">
        <f>IFERROR(IF(BJ29=1,VLOOKUP(BJ$2,활동내용입력!$B$4:$F$63,5,FALSE),""),"")</f>
        <v/>
      </c>
      <c r="DS29" s="41" t="str">
        <f t="shared" si="7"/>
        <v/>
      </c>
      <c r="DT29" s="42">
        <f t="shared" si="6"/>
        <v>0</v>
      </c>
      <c r="DU29" s="34"/>
    </row>
    <row r="30" spans="1:125" x14ac:dyDescent="0.4">
      <c r="A30" s="58">
        <v>26</v>
      </c>
      <c r="B30" s="57"/>
      <c r="C30" s="40"/>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1" t="str">
        <f>IFERROR(IF(C30=1,VLOOKUP(C$2,활동내용입력!$B$4:$F$63,5,FALSE),""),"")</f>
        <v/>
      </c>
      <c r="BL30" s="41" t="str">
        <f>IFERROR(IF(D30=1,VLOOKUP(D$2,활동내용입력!$B$4:$F$63,5,FALSE),""),"")</f>
        <v/>
      </c>
      <c r="BM30" s="41" t="str">
        <f>IFERROR(IF(E30=1,VLOOKUP(E$2,활동내용입력!$B$4:$F$63,5,FALSE),""),"")</f>
        <v/>
      </c>
      <c r="BN30" s="41" t="str">
        <f>IFERROR(IF(F30=1,VLOOKUP(F$2,활동내용입력!$B$4:$F$63,5,FALSE),""),"")</f>
        <v/>
      </c>
      <c r="BO30" s="41" t="str">
        <f>IFERROR(IF(G30=1,VLOOKUP(G$2,활동내용입력!$B$4:$F$63,5,FALSE),""),"")</f>
        <v/>
      </c>
      <c r="BP30" s="41" t="str">
        <f>IFERROR(IF(H30=1,VLOOKUP(H$2,활동내용입력!$B$4:$F$63,5,FALSE),""),"")</f>
        <v/>
      </c>
      <c r="BQ30" s="41" t="str">
        <f>IFERROR(IF(I30=1,VLOOKUP(I$2,활동내용입력!$B$4:$F$63,5,FALSE),""),"")</f>
        <v/>
      </c>
      <c r="BR30" s="41" t="str">
        <f>IFERROR(IF(J30=1,VLOOKUP(J$2,활동내용입력!$B$4:$F$63,5,FALSE),""),"")</f>
        <v/>
      </c>
      <c r="BS30" s="41" t="str">
        <f>IFERROR(IF(K30=1,VLOOKUP(K$2,활동내용입력!$B$4:$F$63,5,FALSE),""),"")</f>
        <v/>
      </c>
      <c r="BT30" s="41" t="str">
        <f>IFERROR(IF(L30=1,VLOOKUP(L$2,활동내용입력!$B$4:$F$63,5,FALSE),""),"")</f>
        <v/>
      </c>
      <c r="BU30" s="41" t="str">
        <f>IFERROR(IF(M30=1,VLOOKUP(M$2,활동내용입력!$B$4:$F$63,5,FALSE),""),"")</f>
        <v/>
      </c>
      <c r="BV30" s="41" t="str">
        <f>IFERROR(IF(N30=1,VLOOKUP(N$2,활동내용입력!$B$4:$F$63,5,FALSE),""),"")</f>
        <v/>
      </c>
      <c r="BW30" s="41" t="str">
        <f>IFERROR(IF(O30=1,VLOOKUP(O$2,활동내용입력!$B$4:$F$63,5,FALSE),""),"")</f>
        <v/>
      </c>
      <c r="BX30" s="41" t="str">
        <f>IFERROR(IF(P30=1,VLOOKUP(P$2,활동내용입력!$B$4:$F$63,5,FALSE),""),"")</f>
        <v/>
      </c>
      <c r="BY30" s="41" t="str">
        <f>IFERROR(IF(Q30=1,VLOOKUP(Q$2,활동내용입력!$B$4:$F$63,5,FALSE),""),"")</f>
        <v/>
      </c>
      <c r="BZ30" s="41" t="str">
        <f>IFERROR(IF(R30=1,VLOOKUP(R$2,활동내용입력!$B$4:$F$63,5,FALSE),""),"")</f>
        <v/>
      </c>
      <c r="CA30" s="41" t="str">
        <f>IFERROR(IF(S30=1,VLOOKUP(S$2,활동내용입력!$B$4:$F$63,5,FALSE),""),"")</f>
        <v/>
      </c>
      <c r="CB30" s="41" t="str">
        <f>IFERROR(IF(T30=1,VLOOKUP(T$2,활동내용입력!$B$4:$F$63,5,FALSE),""),"")</f>
        <v/>
      </c>
      <c r="CC30" s="41" t="str">
        <f>IFERROR(IF(U30=1,VLOOKUP(U$2,활동내용입력!$B$4:$F$63,5,FALSE),""),"")</f>
        <v/>
      </c>
      <c r="CD30" s="41" t="str">
        <f>IFERROR(IF(V30=1,VLOOKUP(V$2,활동내용입력!$B$4:$F$63,5,FALSE),""),"")</f>
        <v/>
      </c>
      <c r="CE30" s="41" t="str">
        <f>IFERROR(IF(W30=1,VLOOKUP(W$2,활동내용입력!$B$4:$F$63,5,FALSE),""),"")</f>
        <v/>
      </c>
      <c r="CF30" s="41" t="str">
        <f>IFERROR(IF(X30=1,VLOOKUP(X$2,활동내용입력!$B$4:$F$63,5,FALSE),""),"")</f>
        <v/>
      </c>
      <c r="CG30" s="41" t="str">
        <f>IFERROR(IF(Y30=1,VLOOKUP(Y$2,활동내용입력!$B$4:$F$63,5,FALSE),""),"")</f>
        <v/>
      </c>
      <c r="CH30" s="41" t="str">
        <f>IFERROR(IF(Z30=1,VLOOKUP(Z$2,활동내용입력!$B$4:$F$63,5,FALSE),""),"")</f>
        <v/>
      </c>
      <c r="CI30" s="41" t="str">
        <f>IFERROR(IF(AA30=1,VLOOKUP(AA$2,활동내용입력!$B$4:$F$63,5,FALSE),""),"")</f>
        <v/>
      </c>
      <c r="CJ30" s="41" t="str">
        <f>IFERROR(IF(AB30=1,VLOOKUP(AB$2,활동내용입력!$B$4:$F$63,5,FALSE),""),"")</f>
        <v/>
      </c>
      <c r="CK30" s="41" t="str">
        <f>IFERROR(IF(AC30=1,VLOOKUP(AC$2,활동내용입력!$B$4:$F$63,5,FALSE),""),"")</f>
        <v/>
      </c>
      <c r="CL30" s="41" t="str">
        <f>IFERROR(IF(AD30=1,VLOOKUP(AD$2,활동내용입력!$B$4:$F$63,5,FALSE),""),"")</f>
        <v/>
      </c>
      <c r="CM30" s="41" t="str">
        <f>IFERROR(IF(AE30=1,VLOOKUP(AE$2,활동내용입력!$B$4:$F$63,5,FALSE),""),"")</f>
        <v/>
      </c>
      <c r="CN30" s="41" t="str">
        <f>IFERROR(IF(AF30=1,VLOOKUP(AF$2,활동내용입력!$B$4:$F$63,5,FALSE),""),"")</f>
        <v/>
      </c>
      <c r="CO30" s="41" t="str">
        <f>IFERROR(IF(AG30=1,VLOOKUP(AG$2,활동내용입력!$B$4:$F$63,5,FALSE),""),"")</f>
        <v/>
      </c>
      <c r="CP30" s="41" t="str">
        <f>IFERROR(IF(AH30=1,VLOOKUP(AH$2,활동내용입력!$B$4:$F$63,5,FALSE),""),"")</f>
        <v/>
      </c>
      <c r="CQ30" s="41" t="str">
        <f>IFERROR(IF(AI30=1,VLOOKUP(AI$2,활동내용입력!$B$4:$F$63,5,FALSE),""),"")</f>
        <v/>
      </c>
      <c r="CR30" s="41" t="str">
        <f>IFERROR(IF(AJ30=1,VLOOKUP(AJ$2,활동내용입력!$B$4:$F$63,5,FALSE),""),"")</f>
        <v/>
      </c>
      <c r="CS30" s="41" t="str">
        <f>IFERROR(IF(AK30=1,VLOOKUP(AK$2,활동내용입력!$B$4:$F$63,5,FALSE),""),"")</f>
        <v/>
      </c>
      <c r="CT30" s="41" t="str">
        <f>IFERROR(IF(AL30=1,VLOOKUP(AL$2,활동내용입력!$B$4:$F$63,5,FALSE),""),"")</f>
        <v/>
      </c>
      <c r="CU30" s="41" t="str">
        <f>IFERROR(IF(AM30=1,VLOOKUP(AM$2,활동내용입력!$B$4:$F$63,5,FALSE),""),"")</f>
        <v/>
      </c>
      <c r="CV30" s="41" t="str">
        <f>IFERROR(IF(AN30=1,VLOOKUP(AN$2,활동내용입력!$B$4:$F$63,5,FALSE),""),"")</f>
        <v/>
      </c>
      <c r="CW30" s="41" t="str">
        <f>IFERROR(IF(AO30=1,VLOOKUP(AO$2,활동내용입력!$B$4:$F$63,5,FALSE),""),"")</f>
        <v/>
      </c>
      <c r="CX30" s="41" t="str">
        <f>IFERROR(IF(AP30=1,VLOOKUP(AP$2,활동내용입력!$B$4:$F$63,5,FALSE),""),"")</f>
        <v/>
      </c>
      <c r="CY30" s="41" t="str">
        <f>IFERROR(IF(AQ30=1,VLOOKUP(AQ$2,활동내용입력!$B$4:$F$63,5,FALSE),""),"")</f>
        <v/>
      </c>
      <c r="CZ30" s="41" t="str">
        <f>IFERROR(IF(AR30=1,VLOOKUP(AR$2,활동내용입력!$B$4:$F$63,5,FALSE),""),"")</f>
        <v/>
      </c>
      <c r="DA30" s="41" t="str">
        <f>IFERROR(IF(AS30=1,VLOOKUP(AS$2,활동내용입력!$B$4:$F$63,5,FALSE),""),"")</f>
        <v/>
      </c>
      <c r="DB30" s="41" t="str">
        <f>IFERROR(IF(AT30=1,VLOOKUP(AT$2,활동내용입력!$B$4:$F$63,5,FALSE),""),"")</f>
        <v/>
      </c>
      <c r="DC30" s="41" t="str">
        <f>IFERROR(IF(AU30=1,VLOOKUP(AU$2,활동내용입력!$B$4:$F$63,5,FALSE),""),"")</f>
        <v/>
      </c>
      <c r="DD30" s="41" t="str">
        <f>IFERROR(IF(AV30=1,VLOOKUP(AV$2,활동내용입력!$B$4:$F$63,5,FALSE),""),"")</f>
        <v/>
      </c>
      <c r="DE30" s="41" t="str">
        <f>IFERROR(IF(AW30=1,VLOOKUP(AW$2,활동내용입력!$B$4:$F$63,5,FALSE),""),"")</f>
        <v/>
      </c>
      <c r="DF30" s="41" t="str">
        <f>IFERROR(IF(AX30=1,VLOOKUP(AX$2,활동내용입력!$B$4:$F$63,5,FALSE),""),"")</f>
        <v/>
      </c>
      <c r="DG30" s="41" t="str">
        <f>IFERROR(IF(AY30=1,VLOOKUP(AY$2,활동내용입력!$B$4:$F$63,5,FALSE),""),"")</f>
        <v/>
      </c>
      <c r="DH30" s="41" t="str">
        <f>IFERROR(IF(AZ30=1,VLOOKUP(AZ$2,활동내용입력!$B$4:$F$63,5,FALSE),""),"")</f>
        <v/>
      </c>
      <c r="DI30" s="41" t="str">
        <f>IFERROR(IF(BA30=1,VLOOKUP(BA$2,활동내용입력!$B$4:$F$63,5,FALSE),""),"")</f>
        <v/>
      </c>
      <c r="DJ30" s="41" t="str">
        <f>IFERROR(IF(BB30=1,VLOOKUP(BB$2,활동내용입력!$B$4:$F$63,5,FALSE),""),"")</f>
        <v/>
      </c>
      <c r="DK30" s="41" t="str">
        <f>IFERROR(IF(BC30=1,VLOOKUP(BC$2,활동내용입력!$B$4:$F$63,5,FALSE),""),"")</f>
        <v/>
      </c>
      <c r="DL30" s="41" t="str">
        <f>IFERROR(IF(BD30=1,VLOOKUP(BD$2,활동내용입력!$B$4:$F$63,5,FALSE),""),"")</f>
        <v/>
      </c>
      <c r="DM30" s="41" t="str">
        <f>IFERROR(IF(BE30=1,VLOOKUP(BE$2,활동내용입력!$B$4:$F$63,5,FALSE),""),"")</f>
        <v/>
      </c>
      <c r="DN30" s="41" t="str">
        <f>IFERROR(IF(BF30=1,VLOOKUP(BF$2,활동내용입력!$B$4:$F$63,5,FALSE),""),"")</f>
        <v/>
      </c>
      <c r="DO30" s="41" t="str">
        <f>IFERROR(IF(BG30=1,VLOOKUP(BG$2,활동내용입력!$B$4:$F$63,5,FALSE),""),"")</f>
        <v/>
      </c>
      <c r="DP30" s="41" t="str">
        <f>IFERROR(IF(BH30=1,VLOOKUP(BH$2,활동내용입력!$B$4:$F$63,5,FALSE),""),"")</f>
        <v/>
      </c>
      <c r="DQ30" s="41" t="str">
        <f>IFERROR(IF(BI30=1,VLOOKUP(BI$2,활동내용입력!$B$4:$F$63,5,FALSE),""),"")</f>
        <v/>
      </c>
      <c r="DR30" s="41" t="str">
        <f>IFERROR(IF(BJ30=1,VLOOKUP(BJ$2,활동내용입력!$B$4:$F$63,5,FALSE),""),"")</f>
        <v/>
      </c>
      <c r="DS30" s="41" t="str">
        <f t="shared" si="7"/>
        <v/>
      </c>
      <c r="DT30" s="42">
        <f t="shared" si="6"/>
        <v>0</v>
      </c>
      <c r="DU30" s="34"/>
    </row>
    <row r="31" spans="1:125" x14ac:dyDescent="0.4">
      <c r="A31" s="58">
        <v>27</v>
      </c>
      <c r="B31" s="57"/>
      <c r="C31" s="40"/>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1" t="str">
        <f>IFERROR(IF(C31=1,VLOOKUP(C$2,활동내용입력!$B$4:$F$63,5,FALSE),""),"")</f>
        <v/>
      </c>
      <c r="BL31" s="41" t="str">
        <f>IFERROR(IF(D31=1,VLOOKUP(D$2,활동내용입력!$B$4:$F$63,5,FALSE),""),"")</f>
        <v/>
      </c>
      <c r="BM31" s="41" t="str">
        <f>IFERROR(IF(E31=1,VLOOKUP(E$2,활동내용입력!$B$4:$F$63,5,FALSE),""),"")</f>
        <v/>
      </c>
      <c r="BN31" s="41" t="str">
        <f>IFERROR(IF(F31=1,VLOOKUP(F$2,활동내용입력!$B$4:$F$63,5,FALSE),""),"")</f>
        <v/>
      </c>
      <c r="BO31" s="41" t="str">
        <f>IFERROR(IF(G31=1,VLOOKUP(G$2,활동내용입력!$B$4:$F$63,5,FALSE),""),"")</f>
        <v/>
      </c>
      <c r="BP31" s="41" t="str">
        <f>IFERROR(IF(H31=1,VLOOKUP(H$2,활동내용입력!$B$4:$F$63,5,FALSE),""),"")</f>
        <v/>
      </c>
      <c r="BQ31" s="41" t="str">
        <f>IFERROR(IF(I31=1,VLOOKUP(I$2,활동내용입력!$B$4:$F$63,5,FALSE),""),"")</f>
        <v/>
      </c>
      <c r="BR31" s="41" t="str">
        <f>IFERROR(IF(J31=1,VLOOKUP(J$2,활동내용입력!$B$4:$F$63,5,FALSE),""),"")</f>
        <v/>
      </c>
      <c r="BS31" s="41" t="str">
        <f>IFERROR(IF(K31=1,VLOOKUP(K$2,활동내용입력!$B$4:$F$63,5,FALSE),""),"")</f>
        <v/>
      </c>
      <c r="BT31" s="41" t="str">
        <f>IFERROR(IF(L31=1,VLOOKUP(L$2,활동내용입력!$B$4:$F$63,5,FALSE),""),"")</f>
        <v/>
      </c>
      <c r="BU31" s="41" t="str">
        <f>IFERROR(IF(M31=1,VLOOKUP(M$2,활동내용입력!$B$4:$F$63,5,FALSE),""),"")</f>
        <v/>
      </c>
      <c r="BV31" s="41" t="str">
        <f>IFERROR(IF(N31=1,VLOOKUP(N$2,활동내용입력!$B$4:$F$63,5,FALSE),""),"")</f>
        <v/>
      </c>
      <c r="BW31" s="41" t="str">
        <f>IFERROR(IF(O31=1,VLOOKUP(O$2,활동내용입력!$B$4:$F$63,5,FALSE),""),"")</f>
        <v/>
      </c>
      <c r="BX31" s="41" t="str">
        <f>IFERROR(IF(P31=1,VLOOKUP(P$2,활동내용입력!$B$4:$F$63,5,FALSE),""),"")</f>
        <v/>
      </c>
      <c r="BY31" s="41" t="str">
        <f>IFERROR(IF(Q31=1,VLOOKUP(Q$2,활동내용입력!$B$4:$F$63,5,FALSE),""),"")</f>
        <v/>
      </c>
      <c r="BZ31" s="41" t="str">
        <f>IFERROR(IF(R31=1,VLOOKUP(R$2,활동내용입력!$B$4:$F$63,5,FALSE),""),"")</f>
        <v/>
      </c>
      <c r="CA31" s="41" t="str">
        <f>IFERROR(IF(S31=1,VLOOKUP(S$2,활동내용입력!$B$4:$F$63,5,FALSE),""),"")</f>
        <v/>
      </c>
      <c r="CB31" s="41" t="str">
        <f>IFERROR(IF(T31=1,VLOOKUP(T$2,활동내용입력!$B$4:$F$63,5,FALSE),""),"")</f>
        <v/>
      </c>
      <c r="CC31" s="41" t="str">
        <f>IFERROR(IF(U31=1,VLOOKUP(U$2,활동내용입력!$B$4:$F$63,5,FALSE),""),"")</f>
        <v/>
      </c>
      <c r="CD31" s="41" t="str">
        <f>IFERROR(IF(V31=1,VLOOKUP(V$2,활동내용입력!$B$4:$F$63,5,FALSE),""),"")</f>
        <v/>
      </c>
      <c r="CE31" s="41" t="str">
        <f>IFERROR(IF(W31=1,VLOOKUP(W$2,활동내용입력!$B$4:$F$63,5,FALSE),""),"")</f>
        <v/>
      </c>
      <c r="CF31" s="41" t="str">
        <f>IFERROR(IF(X31=1,VLOOKUP(X$2,활동내용입력!$B$4:$F$63,5,FALSE),""),"")</f>
        <v/>
      </c>
      <c r="CG31" s="41" t="str">
        <f>IFERROR(IF(Y31=1,VLOOKUP(Y$2,활동내용입력!$B$4:$F$63,5,FALSE),""),"")</f>
        <v/>
      </c>
      <c r="CH31" s="41" t="str">
        <f>IFERROR(IF(Z31=1,VLOOKUP(Z$2,활동내용입력!$B$4:$F$63,5,FALSE),""),"")</f>
        <v/>
      </c>
      <c r="CI31" s="41" t="str">
        <f>IFERROR(IF(AA31=1,VLOOKUP(AA$2,활동내용입력!$B$4:$F$63,5,FALSE),""),"")</f>
        <v/>
      </c>
      <c r="CJ31" s="41" t="str">
        <f>IFERROR(IF(AB31=1,VLOOKUP(AB$2,활동내용입력!$B$4:$F$63,5,FALSE),""),"")</f>
        <v/>
      </c>
      <c r="CK31" s="41" t="str">
        <f>IFERROR(IF(AC31=1,VLOOKUP(AC$2,활동내용입력!$B$4:$F$63,5,FALSE),""),"")</f>
        <v/>
      </c>
      <c r="CL31" s="41" t="str">
        <f>IFERROR(IF(AD31=1,VLOOKUP(AD$2,활동내용입력!$B$4:$F$63,5,FALSE),""),"")</f>
        <v/>
      </c>
      <c r="CM31" s="41" t="str">
        <f>IFERROR(IF(AE31=1,VLOOKUP(AE$2,활동내용입력!$B$4:$F$63,5,FALSE),""),"")</f>
        <v/>
      </c>
      <c r="CN31" s="41" t="str">
        <f>IFERROR(IF(AF31=1,VLOOKUP(AF$2,활동내용입력!$B$4:$F$63,5,FALSE),""),"")</f>
        <v/>
      </c>
      <c r="CO31" s="41" t="str">
        <f>IFERROR(IF(AG31=1,VLOOKUP(AG$2,활동내용입력!$B$4:$F$63,5,FALSE),""),"")</f>
        <v/>
      </c>
      <c r="CP31" s="41" t="str">
        <f>IFERROR(IF(AH31=1,VLOOKUP(AH$2,활동내용입력!$B$4:$F$63,5,FALSE),""),"")</f>
        <v/>
      </c>
      <c r="CQ31" s="41" t="str">
        <f>IFERROR(IF(AI31=1,VLOOKUP(AI$2,활동내용입력!$B$4:$F$63,5,FALSE),""),"")</f>
        <v/>
      </c>
      <c r="CR31" s="41" t="str">
        <f>IFERROR(IF(AJ31=1,VLOOKUP(AJ$2,활동내용입력!$B$4:$F$63,5,FALSE),""),"")</f>
        <v/>
      </c>
      <c r="CS31" s="41" t="str">
        <f>IFERROR(IF(AK31=1,VLOOKUP(AK$2,활동내용입력!$B$4:$F$63,5,FALSE),""),"")</f>
        <v/>
      </c>
      <c r="CT31" s="41" t="str">
        <f>IFERROR(IF(AL31=1,VLOOKUP(AL$2,활동내용입력!$B$4:$F$63,5,FALSE),""),"")</f>
        <v/>
      </c>
      <c r="CU31" s="41" t="str">
        <f>IFERROR(IF(AM31=1,VLOOKUP(AM$2,활동내용입력!$B$4:$F$63,5,FALSE),""),"")</f>
        <v/>
      </c>
      <c r="CV31" s="41" t="str">
        <f>IFERROR(IF(AN31=1,VLOOKUP(AN$2,활동내용입력!$B$4:$F$63,5,FALSE),""),"")</f>
        <v/>
      </c>
      <c r="CW31" s="41" t="str">
        <f>IFERROR(IF(AO31=1,VLOOKUP(AO$2,활동내용입력!$B$4:$F$63,5,FALSE),""),"")</f>
        <v/>
      </c>
      <c r="CX31" s="41" t="str">
        <f>IFERROR(IF(AP31=1,VLOOKUP(AP$2,활동내용입력!$B$4:$F$63,5,FALSE),""),"")</f>
        <v/>
      </c>
      <c r="CY31" s="41" t="str">
        <f>IFERROR(IF(AQ31=1,VLOOKUP(AQ$2,활동내용입력!$B$4:$F$63,5,FALSE),""),"")</f>
        <v/>
      </c>
      <c r="CZ31" s="41" t="str">
        <f>IFERROR(IF(AR31=1,VLOOKUP(AR$2,활동내용입력!$B$4:$F$63,5,FALSE),""),"")</f>
        <v/>
      </c>
      <c r="DA31" s="41" t="str">
        <f>IFERROR(IF(AS31=1,VLOOKUP(AS$2,활동내용입력!$B$4:$F$63,5,FALSE),""),"")</f>
        <v/>
      </c>
      <c r="DB31" s="41" t="str">
        <f>IFERROR(IF(AT31=1,VLOOKUP(AT$2,활동내용입력!$B$4:$F$63,5,FALSE),""),"")</f>
        <v/>
      </c>
      <c r="DC31" s="41" t="str">
        <f>IFERROR(IF(AU31=1,VLOOKUP(AU$2,활동내용입력!$B$4:$F$63,5,FALSE),""),"")</f>
        <v/>
      </c>
      <c r="DD31" s="41" t="str">
        <f>IFERROR(IF(AV31=1,VLOOKUP(AV$2,활동내용입력!$B$4:$F$63,5,FALSE),""),"")</f>
        <v/>
      </c>
      <c r="DE31" s="41" t="str">
        <f>IFERROR(IF(AW31=1,VLOOKUP(AW$2,활동내용입력!$B$4:$F$63,5,FALSE),""),"")</f>
        <v/>
      </c>
      <c r="DF31" s="41" t="str">
        <f>IFERROR(IF(AX31=1,VLOOKUP(AX$2,활동내용입력!$B$4:$F$63,5,FALSE),""),"")</f>
        <v/>
      </c>
      <c r="DG31" s="41" t="str">
        <f>IFERROR(IF(AY31=1,VLOOKUP(AY$2,활동내용입력!$B$4:$F$63,5,FALSE),""),"")</f>
        <v/>
      </c>
      <c r="DH31" s="41" t="str">
        <f>IFERROR(IF(AZ31=1,VLOOKUP(AZ$2,활동내용입력!$B$4:$F$63,5,FALSE),""),"")</f>
        <v/>
      </c>
      <c r="DI31" s="41" t="str">
        <f>IFERROR(IF(BA31=1,VLOOKUP(BA$2,활동내용입력!$B$4:$F$63,5,FALSE),""),"")</f>
        <v/>
      </c>
      <c r="DJ31" s="41" t="str">
        <f>IFERROR(IF(BB31=1,VLOOKUP(BB$2,활동내용입력!$B$4:$F$63,5,FALSE),""),"")</f>
        <v/>
      </c>
      <c r="DK31" s="41" t="str">
        <f>IFERROR(IF(BC31=1,VLOOKUP(BC$2,활동내용입력!$B$4:$F$63,5,FALSE),""),"")</f>
        <v/>
      </c>
      <c r="DL31" s="41" t="str">
        <f>IFERROR(IF(BD31=1,VLOOKUP(BD$2,활동내용입력!$B$4:$F$63,5,FALSE),""),"")</f>
        <v/>
      </c>
      <c r="DM31" s="41" t="str">
        <f>IFERROR(IF(BE31=1,VLOOKUP(BE$2,활동내용입력!$B$4:$F$63,5,FALSE),""),"")</f>
        <v/>
      </c>
      <c r="DN31" s="41" t="str">
        <f>IFERROR(IF(BF31=1,VLOOKUP(BF$2,활동내용입력!$B$4:$F$63,5,FALSE),""),"")</f>
        <v/>
      </c>
      <c r="DO31" s="41" t="str">
        <f>IFERROR(IF(BG31=1,VLOOKUP(BG$2,활동내용입력!$B$4:$F$63,5,FALSE),""),"")</f>
        <v/>
      </c>
      <c r="DP31" s="41" t="str">
        <f>IFERROR(IF(BH31=1,VLOOKUP(BH$2,활동내용입력!$B$4:$F$63,5,FALSE),""),"")</f>
        <v/>
      </c>
      <c r="DQ31" s="41" t="str">
        <f>IFERROR(IF(BI31=1,VLOOKUP(BI$2,활동내용입력!$B$4:$F$63,5,FALSE),""),"")</f>
        <v/>
      </c>
      <c r="DR31" s="41" t="str">
        <f>IFERROR(IF(BJ31=1,VLOOKUP(BJ$2,활동내용입력!$B$4:$F$63,5,FALSE),""),"")</f>
        <v/>
      </c>
      <c r="DS31" s="41" t="str">
        <f t="shared" si="7"/>
        <v/>
      </c>
      <c r="DT31" s="42">
        <f t="shared" si="6"/>
        <v>0</v>
      </c>
      <c r="DU31" s="34"/>
    </row>
    <row r="32" spans="1:125" x14ac:dyDescent="0.4">
      <c r="A32" s="58">
        <v>28</v>
      </c>
      <c r="B32" s="57"/>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1" t="str">
        <f>IFERROR(IF(C32=1,VLOOKUP(C$2,활동내용입력!$B$4:$F$63,5,FALSE),""),"")</f>
        <v/>
      </c>
      <c r="BL32" s="41" t="str">
        <f>IFERROR(IF(D32=1,VLOOKUP(D$2,활동내용입력!$B$4:$F$63,5,FALSE),""),"")</f>
        <v/>
      </c>
      <c r="BM32" s="41" t="str">
        <f>IFERROR(IF(E32=1,VLOOKUP(E$2,활동내용입력!$B$4:$F$63,5,FALSE),""),"")</f>
        <v/>
      </c>
      <c r="BN32" s="41" t="str">
        <f>IFERROR(IF(F32=1,VLOOKUP(F$2,활동내용입력!$B$4:$F$63,5,FALSE),""),"")</f>
        <v/>
      </c>
      <c r="BO32" s="41" t="str">
        <f>IFERROR(IF(G32=1,VLOOKUP(G$2,활동내용입력!$B$4:$F$63,5,FALSE),""),"")</f>
        <v/>
      </c>
      <c r="BP32" s="41" t="str">
        <f>IFERROR(IF(H32=1,VLOOKUP(H$2,활동내용입력!$B$4:$F$63,5,FALSE),""),"")</f>
        <v/>
      </c>
      <c r="BQ32" s="41" t="str">
        <f>IFERROR(IF(I32=1,VLOOKUP(I$2,활동내용입력!$B$4:$F$63,5,FALSE),""),"")</f>
        <v/>
      </c>
      <c r="BR32" s="41" t="str">
        <f>IFERROR(IF(J32=1,VLOOKUP(J$2,활동내용입력!$B$4:$F$63,5,FALSE),""),"")</f>
        <v/>
      </c>
      <c r="BS32" s="41" t="str">
        <f>IFERROR(IF(K32=1,VLOOKUP(K$2,활동내용입력!$B$4:$F$63,5,FALSE),""),"")</f>
        <v/>
      </c>
      <c r="BT32" s="41" t="str">
        <f>IFERROR(IF(L32=1,VLOOKUP(L$2,활동내용입력!$B$4:$F$63,5,FALSE),""),"")</f>
        <v/>
      </c>
      <c r="BU32" s="41" t="str">
        <f>IFERROR(IF(M32=1,VLOOKUP(M$2,활동내용입력!$B$4:$F$63,5,FALSE),""),"")</f>
        <v/>
      </c>
      <c r="BV32" s="41" t="str">
        <f>IFERROR(IF(N32=1,VLOOKUP(N$2,활동내용입력!$B$4:$F$63,5,FALSE),""),"")</f>
        <v/>
      </c>
      <c r="BW32" s="41" t="str">
        <f>IFERROR(IF(O32=1,VLOOKUP(O$2,활동내용입력!$B$4:$F$63,5,FALSE),""),"")</f>
        <v/>
      </c>
      <c r="BX32" s="41" t="str">
        <f>IFERROR(IF(P32=1,VLOOKUP(P$2,활동내용입력!$B$4:$F$63,5,FALSE),""),"")</f>
        <v/>
      </c>
      <c r="BY32" s="41" t="str">
        <f>IFERROR(IF(Q32=1,VLOOKUP(Q$2,활동내용입력!$B$4:$F$63,5,FALSE),""),"")</f>
        <v/>
      </c>
      <c r="BZ32" s="41" t="str">
        <f>IFERROR(IF(R32=1,VLOOKUP(R$2,활동내용입력!$B$4:$F$63,5,FALSE),""),"")</f>
        <v/>
      </c>
      <c r="CA32" s="41" t="str">
        <f>IFERROR(IF(S32=1,VLOOKUP(S$2,활동내용입력!$B$4:$F$63,5,FALSE),""),"")</f>
        <v/>
      </c>
      <c r="CB32" s="41" t="str">
        <f>IFERROR(IF(T32=1,VLOOKUP(T$2,활동내용입력!$B$4:$F$63,5,FALSE),""),"")</f>
        <v/>
      </c>
      <c r="CC32" s="41" t="str">
        <f>IFERROR(IF(U32=1,VLOOKUP(U$2,활동내용입력!$B$4:$F$63,5,FALSE),""),"")</f>
        <v/>
      </c>
      <c r="CD32" s="41" t="str">
        <f>IFERROR(IF(V32=1,VLOOKUP(V$2,활동내용입력!$B$4:$F$63,5,FALSE),""),"")</f>
        <v/>
      </c>
      <c r="CE32" s="41" t="str">
        <f>IFERROR(IF(W32=1,VLOOKUP(W$2,활동내용입력!$B$4:$F$63,5,FALSE),""),"")</f>
        <v/>
      </c>
      <c r="CF32" s="41" t="str">
        <f>IFERROR(IF(X32=1,VLOOKUP(X$2,활동내용입력!$B$4:$F$63,5,FALSE),""),"")</f>
        <v/>
      </c>
      <c r="CG32" s="41" t="str">
        <f>IFERROR(IF(Y32=1,VLOOKUP(Y$2,활동내용입력!$B$4:$F$63,5,FALSE),""),"")</f>
        <v/>
      </c>
      <c r="CH32" s="41" t="str">
        <f>IFERROR(IF(Z32=1,VLOOKUP(Z$2,활동내용입력!$B$4:$F$63,5,FALSE),""),"")</f>
        <v/>
      </c>
      <c r="CI32" s="41" t="str">
        <f>IFERROR(IF(AA32=1,VLOOKUP(AA$2,활동내용입력!$B$4:$F$63,5,FALSE),""),"")</f>
        <v/>
      </c>
      <c r="CJ32" s="41" t="str">
        <f>IFERROR(IF(AB32=1,VLOOKUP(AB$2,활동내용입력!$B$4:$F$63,5,FALSE),""),"")</f>
        <v/>
      </c>
      <c r="CK32" s="41" t="str">
        <f>IFERROR(IF(AC32=1,VLOOKUP(AC$2,활동내용입력!$B$4:$F$63,5,FALSE),""),"")</f>
        <v/>
      </c>
      <c r="CL32" s="41" t="str">
        <f>IFERROR(IF(AD32=1,VLOOKUP(AD$2,활동내용입력!$B$4:$F$63,5,FALSE),""),"")</f>
        <v/>
      </c>
      <c r="CM32" s="41" t="str">
        <f>IFERROR(IF(AE32=1,VLOOKUP(AE$2,활동내용입력!$B$4:$F$63,5,FALSE),""),"")</f>
        <v/>
      </c>
      <c r="CN32" s="41" t="str">
        <f>IFERROR(IF(AF32=1,VLOOKUP(AF$2,활동내용입력!$B$4:$F$63,5,FALSE),""),"")</f>
        <v/>
      </c>
      <c r="CO32" s="41" t="str">
        <f>IFERROR(IF(AG32=1,VLOOKUP(AG$2,활동내용입력!$B$4:$F$63,5,FALSE),""),"")</f>
        <v/>
      </c>
      <c r="CP32" s="41" t="str">
        <f>IFERROR(IF(AH32=1,VLOOKUP(AH$2,활동내용입력!$B$4:$F$63,5,FALSE),""),"")</f>
        <v/>
      </c>
      <c r="CQ32" s="41" t="str">
        <f>IFERROR(IF(AI32=1,VLOOKUP(AI$2,활동내용입력!$B$4:$F$63,5,FALSE),""),"")</f>
        <v/>
      </c>
      <c r="CR32" s="41" t="str">
        <f>IFERROR(IF(AJ32=1,VLOOKUP(AJ$2,활동내용입력!$B$4:$F$63,5,FALSE),""),"")</f>
        <v/>
      </c>
      <c r="CS32" s="41" t="str">
        <f>IFERROR(IF(AK32=1,VLOOKUP(AK$2,활동내용입력!$B$4:$F$63,5,FALSE),""),"")</f>
        <v/>
      </c>
      <c r="CT32" s="41" t="str">
        <f>IFERROR(IF(AL32=1,VLOOKUP(AL$2,활동내용입력!$B$4:$F$63,5,FALSE),""),"")</f>
        <v/>
      </c>
      <c r="CU32" s="41" t="str">
        <f>IFERROR(IF(AM32=1,VLOOKUP(AM$2,활동내용입력!$B$4:$F$63,5,FALSE),""),"")</f>
        <v/>
      </c>
      <c r="CV32" s="41" t="str">
        <f>IFERROR(IF(AN32=1,VLOOKUP(AN$2,활동내용입력!$B$4:$F$63,5,FALSE),""),"")</f>
        <v/>
      </c>
      <c r="CW32" s="41" t="str">
        <f>IFERROR(IF(AO32=1,VLOOKUP(AO$2,활동내용입력!$B$4:$F$63,5,FALSE),""),"")</f>
        <v/>
      </c>
      <c r="CX32" s="41" t="str">
        <f>IFERROR(IF(AP32=1,VLOOKUP(AP$2,활동내용입력!$B$4:$F$63,5,FALSE),""),"")</f>
        <v/>
      </c>
      <c r="CY32" s="41" t="str">
        <f>IFERROR(IF(AQ32=1,VLOOKUP(AQ$2,활동내용입력!$B$4:$F$63,5,FALSE),""),"")</f>
        <v/>
      </c>
      <c r="CZ32" s="41" t="str">
        <f>IFERROR(IF(AR32=1,VLOOKUP(AR$2,활동내용입력!$B$4:$F$63,5,FALSE),""),"")</f>
        <v/>
      </c>
      <c r="DA32" s="41" t="str">
        <f>IFERROR(IF(AS32=1,VLOOKUP(AS$2,활동내용입력!$B$4:$F$63,5,FALSE),""),"")</f>
        <v/>
      </c>
      <c r="DB32" s="41" t="str">
        <f>IFERROR(IF(AT32=1,VLOOKUP(AT$2,활동내용입력!$B$4:$F$63,5,FALSE),""),"")</f>
        <v/>
      </c>
      <c r="DC32" s="41" t="str">
        <f>IFERROR(IF(AU32=1,VLOOKUP(AU$2,활동내용입력!$B$4:$F$63,5,FALSE),""),"")</f>
        <v/>
      </c>
      <c r="DD32" s="41" t="str">
        <f>IFERROR(IF(AV32=1,VLOOKUP(AV$2,활동내용입력!$B$4:$F$63,5,FALSE),""),"")</f>
        <v/>
      </c>
      <c r="DE32" s="41" t="str">
        <f>IFERROR(IF(AW32=1,VLOOKUP(AW$2,활동내용입력!$B$4:$F$63,5,FALSE),""),"")</f>
        <v/>
      </c>
      <c r="DF32" s="41" t="str">
        <f>IFERROR(IF(AX32=1,VLOOKUP(AX$2,활동내용입력!$B$4:$F$63,5,FALSE),""),"")</f>
        <v/>
      </c>
      <c r="DG32" s="41" t="str">
        <f>IFERROR(IF(AY32=1,VLOOKUP(AY$2,활동내용입력!$B$4:$F$63,5,FALSE),""),"")</f>
        <v/>
      </c>
      <c r="DH32" s="41" t="str">
        <f>IFERROR(IF(AZ32=1,VLOOKUP(AZ$2,활동내용입력!$B$4:$F$63,5,FALSE),""),"")</f>
        <v/>
      </c>
      <c r="DI32" s="41" t="str">
        <f>IFERROR(IF(BA32=1,VLOOKUP(BA$2,활동내용입력!$B$4:$F$63,5,FALSE),""),"")</f>
        <v/>
      </c>
      <c r="DJ32" s="41" t="str">
        <f>IFERROR(IF(BB32=1,VLOOKUP(BB$2,활동내용입력!$B$4:$F$63,5,FALSE),""),"")</f>
        <v/>
      </c>
      <c r="DK32" s="41" t="str">
        <f>IFERROR(IF(BC32=1,VLOOKUP(BC$2,활동내용입력!$B$4:$F$63,5,FALSE),""),"")</f>
        <v/>
      </c>
      <c r="DL32" s="41" t="str">
        <f>IFERROR(IF(BD32=1,VLOOKUP(BD$2,활동내용입력!$B$4:$F$63,5,FALSE),""),"")</f>
        <v/>
      </c>
      <c r="DM32" s="41" t="str">
        <f>IFERROR(IF(BE32=1,VLOOKUP(BE$2,활동내용입력!$B$4:$F$63,5,FALSE),""),"")</f>
        <v/>
      </c>
      <c r="DN32" s="41" t="str">
        <f>IFERROR(IF(BF32=1,VLOOKUP(BF$2,활동내용입력!$B$4:$F$63,5,FALSE),""),"")</f>
        <v/>
      </c>
      <c r="DO32" s="41" t="str">
        <f>IFERROR(IF(BG32=1,VLOOKUP(BG$2,활동내용입력!$B$4:$F$63,5,FALSE),""),"")</f>
        <v/>
      </c>
      <c r="DP32" s="41" t="str">
        <f>IFERROR(IF(BH32=1,VLOOKUP(BH$2,활동내용입력!$B$4:$F$63,5,FALSE),""),"")</f>
        <v/>
      </c>
      <c r="DQ32" s="41" t="str">
        <f>IFERROR(IF(BI32=1,VLOOKUP(BI$2,활동내용입력!$B$4:$F$63,5,FALSE),""),"")</f>
        <v/>
      </c>
      <c r="DR32" s="41" t="str">
        <f>IFERROR(IF(BJ32=1,VLOOKUP(BJ$2,활동내용입력!$B$4:$F$63,5,FALSE),""),"")</f>
        <v/>
      </c>
      <c r="DS32" s="41" t="str">
        <f t="shared" si="7"/>
        <v/>
      </c>
      <c r="DT32" s="42">
        <f t="shared" si="6"/>
        <v>0</v>
      </c>
      <c r="DU32" s="34"/>
    </row>
    <row r="33" spans="1:125" x14ac:dyDescent="0.4">
      <c r="A33" s="58">
        <v>29</v>
      </c>
      <c r="B33" s="57"/>
      <c r="C33" s="40"/>
      <c r="D33" s="40"/>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1" t="str">
        <f>IFERROR(IF(C33=1,VLOOKUP(C$2,활동내용입력!$B$4:$F$63,5,FALSE),""),"")</f>
        <v/>
      </c>
      <c r="BL33" s="41" t="str">
        <f>IFERROR(IF(D33=1,VLOOKUP(D$2,활동내용입력!$B$4:$F$63,5,FALSE),""),"")</f>
        <v/>
      </c>
      <c r="BM33" s="41" t="str">
        <f>IFERROR(IF(E33=1,VLOOKUP(E$2,활동내용입력!$B$4:$F$63,5,FALSE),""),"")</f>
        <v/>
      </c>
      <c r="BN33" s="41" t="str">
        <f>IFERROR(IF(F33=1,VLOOKUP(F$2,활동내용입력!$B$4:$F$63,5,FALSE),""),"")</f>
        <v/>
      </c>
      <c r="BO33" s="41" t="str">
        <f>IFERROR(IF(G33=1,VLOOKUP(G$2,활동내용입력!$B$4:$F$63,5,FALSE),""),"")</f>
        <v/>
      </c>
      <c r="BP33" s="41" t="str">
        <f>IFERROR(IF(H33=1,VLOOKUP(H$2,활동내용입력!$B$4:$F$63,5,FALSE),""),"")</f>
        <v/>
      </c>
      <c r="BQ33" s="41" t="str">
        <f>IFERROR(IF(I33=1,VLOOKUP(I$2,활동내용입력!$B$4:$F$63,5,FALSE),""),"")</f>
        <v/>
      </c>
      <c r="BR33" s="41" t="str">
        <f>IFERROR(IF(J33=1,VLOOKUP(J$2,활동내용입력!$B$4:$F$63,5,FALSE),""),"")</f>
        <v/>
      </c>
      <c r="BS33" s="41" t="str">
        <f>IFERROR(IF(K33=1,VLOOKUP(K$2,활동내용입력!$B$4:$F$63,5,FALSE),""),"")</f>
        <v/>
      </c>
      <c r="BT33" s="41" t="str">
        <f>IFERROR(IF(L33=1,VLOOKUP(L$2,활동내용입력!$B$4:$F$63,5,FALSE),""),"")</f>
        <v/>
      </c>
      <c r="BU33" s="41" t="str">
        <f>IFERROR(IF(M33=1,VLOOKUP(M$2,활동내용입력!$B$4:$F$63,5,FALSE),""),"")</f>
        <v/>
      </c>
      <c r="BV33" s="41" t="str">
        <f>IFERROR(IF(N33=1,VLOOKUP(N$2,활동내용입력!$B$4:$F$63,5,FALSE),""),"")</f>
        <v/>
      </c>
      <c r="BW33" s="41" t="str">
        <f>IFERROR(IF(O33=1,VLOOKUP(O$2,활동내용입력!$B$4:$F$63,5,FALSE),""),"")</f>
        <v/>
      </c>
      <c r="BX33" s="41" t="str">
        <f>IFERROR(IF(P33=1,VLOOKUP(P$2,활동내용입력!$B$4:$F$63,5,FALSE),""),"")</f>
        <v/>
      </c>
      <c r="BY33" s="41" t="str">
        <f>IFERROR(IF(Q33=1,VLOOKUP(Q$2,활동내용입력!$B$4:$F$63,5,FALSE),""),"")</f>
        <v/>
      </c>
      <c r="BZ33" s="41" t="str">
        <f>IFERROR(IF(R33=1,VLOOKUP(R$2,활동내용입력!$B$4:$F$63,5,FALSE),""),"")</f>
        <v/>
      </c>
      <c r="CA33" s="41" t="str">
        <f>IFERROR(IF(S33=1,VLOOKUP(S$2,활동내용입력!$B$4:$F$63,5,FALSE),""),"")</f>
        <v/>
      </c>
      <c r="CB33" s="41" t="str">
        <f>IFERROR(IF(T33=1,VLOOKUP(T$2,활동내용입력!$B$4:$F$63,5,FALSE),""),"")</f>
        <v/>
      </c>
      <c r="CC33" s="41" t="str">
        <f>IFERROR(IF(U33=1,VLOOKUP(U$2,활동내용입력!$B$4:$F$63,5,FALSE),""),"")</f>
        <v/>
      </c>
      <c r="CD33" s="41" t="str">
        <f>IFERROR(IF(V33=1,VLOOKUP(V$2,활동내용입력!$B$4:$F$63,5,FALSE),""),"")</f>
        <v/>
      </c>
      <c r="CE33" s="41" t="str">
        <f>IFERROR(IF(W33=1,VLOOKUP(W$2,활동내용입력!$B$4:$F$63,5,FALSE),""),"")</f>
        <v/>
      </c>
      <c r="CF33" s="41" t="str">
        <f>IFERROR(IF(X33=1,VLOOKUP(X$2,활동내용입력!$B$4:$F$63,5,FALSE),""),"")</f>
        <v/>
      </c>
      <c r="CG33" s="41" t="str">
        <f>IFERROR(IF(Y33=1,VLOOKUP(Y$2,활동내용입력!$B$4:$F$63,5,FALSE),""),"")</f>
        <v/>
      </c>
      <c r="CH33" s="41" t="str">
        <f>IFERROR(IF(Z33=1,VLOOKUP(Z$2,활동내용입력!$B$4:$F$63,5,FALSE),""),"")</f>
        <v/>
      </c>
      <c r="CI33" s="41" t="str">
        <f>IFERROR(IF(AA33=1,VLOOKUP(AA$2,활동내용입력!$B$4:$F$63,5,FALSE),""),"")</f>
        <v/>
      </c>
      <c r="CJ33" s="41" t="str">
        <f>IFERROR(IF(AB33=1,VLOOKUP(AB$2,활동내용입력!$B$4:$F$63,5,FALSE),""),"")</f>
        <v/>
      </c>
      <c r="CK33" s="41" t="str">
        <f>IFERROR(IF(AC33=1,VLOOKUP(AC$2,활동내용입력!$B$4:$F$63,5,FALSE),""),"")</f>
        <v/>
      </c>
      <c r="CL33" s="41" t="str">
        <f>IFERROR(IF(AD33=1,VLOOKUP(AD$2,활동내용입력!$B$4:$F$63,5,FALSE),""),"")</f>
        <v/>
      </c>
      <c r="CM33" s="41" t="str">
        <f>IFERROR(IF(AE33=1,VLOOKUP(AE$2,활동내용입력!$B$4:$F$63,5,FALSE),""),"")</f>
        <v/>
      </c>
      <c r="CN33" s="41" t="str">
        <f>IFERROR(IF(AF33=1,VLOOKUP(AF$2,활동내용입력!$B$4:$F$63,5,FALSE),""),"")</f>
        <v/>
      </c>
      <c r="CO33" s="41" t="str">
        <f>IFERROR(IF(AG33=1,VLOOKUP(AG$2,활동내용입력!$B$4:$F$63,5,FALSE),""),"")</f>
        <v/>
      </c>
      <c r="CP33" s="41" t="str">
        <f>IFERROR(IF(AH33=1,VLOOKUP(AH$2,활동내용입력!$B$4:$F$63,5,FALSE),""),"")</f>
        <v/>
      </c>
      <c r="CQ33" s="41" t="str">
        <f>IFERROR(IF(AI33=1,VLOOKUP(AI$2,활동내용입력!$B$4:$F$63,5,FALSE),""),"")</f>
        <v/>
      </c>
      <c r="CR33" s="41" t="str">
        <f>IFERROR(IF(AJ33=1,VLOOKUP(AJ$2,활동내용입력!$B$4:$F$63,5,FALSE),""),"")</f>
        <v/>
      </c>
      <c r="CS33" s="41" t="str">
        <f>IFERROR(IF(AK33=1,VLOOKUP(AK$2,활동내용입력!$B$4:$F$63,5,FALSE),""),"")</f>
        <v/>
      </c>
      <c r="CT33" s="41" t="str">
        <f>IFERROR(IF(AL33=1,VLOOKUP(AL$2,활동내용입력!$B$4:$F$63,5,FALSE),""),"")</f>
        <v/>
      </c>
      <c r="CU33" s="41" t="str">
        <f>IFERROR(IF(AM33=1,VLOOKUP(AM$2,활동내용입력!$B$4:$F$63,5,FALSE),""),"")</f>
        <v/>
      </c>
      <c r="CV33" s="41" t="str">
        <f>IFERROR(IF(AN33=1,VLOOKUP(AN$2,활동내용입력!$B$4:$F$63,5,FALSE),""),"")</f>
        <v/>
      </c>
      <c r="CW33" s="41" t="str">
        <f>IFERROR(IF(AO33=1,VLOOKUP(AO$2,활동내용입력!$B$4:$F$63,5,FALSE),""),"")</f>
        <v/>
      </c>
      <c r="CX33" s="41" t="str">
        <f>IFERROR(IF(AP33=1,VLOOKUP(AP$2,활동내용입력!$B$4:$F$63,5,FALSE),""),"")</f>
        <v/>
      </c>
      <c r="CY33" s="41" t="str">
        <f>IFERROR(IF(AQ33=1,VLOOKUP(AQ$2,활동내용입력!$B$4:$F$63,5,FALSE),""),"")</f>
        <v/>
      </c>
      <c r="CZ33" s="41" t="str">
        <f>IFERROR(IF(AR33=1,VLOOKUP(AR$2,활동내용입력!$B$4:$F$63,5,FALSE),""),"")</f>
        <v/>
      </c>
      <c r="DA33" s="41" t="str">
        <f>IFERROR(IF(AS33=1,VLOOKUP(AS$2,활동내용입력!$B$4:$F$63,5,FALSE),""),"")</f>
        <v/>
      </c>
      <c r="DB33" s="41" t="str">
        <f>IFERROR(IF(AT33=1,VLOOKUP(AT$2,활동내용입력!$B$4:$F$63,5,FALSE),""),"")</f>
        <v/>
      </c>
      <c r="DC33" s="41" t="str">
        <f>IFERROR(IF(AU33=1,VLOOKUP(AU$2,활동내용입력!$B$4:$F$63,5,FALSE),""),"")</f>
        <v/>
      </c>
      <c r="DD33" s="41" t="str">
        <f>IFERROR(IF(AV33=1,VLOOKUP(AV$2,활동내용입력!$B$4:$F$63,5,FALSE),""),"")</f>
        <v/>
      </c>
      <c r="DE33" s="41" t="str">
        <f>IFERROR(IF(AW33=1,VLOOKUP(AW$2,활동내용입력!$B$4:$F$63,5,FALSE),""),"")</f>
        <v/>
      </c>
      <c r="DF33" s="41" t="str">
        <f>IFERROR(IF(AX33=1,VLOOKUP(AX$2,활동내용입력!$B$4:$F$63,5,FALSE),""),"")</f>
        <v/>
      </c>
      <c r="DG33" s="41" t="str">
        <f>IFERROR(IF(AY33=1,VLOOKUP(AY$2,활동내용입력!$B$4:$F$63,5,FALSE),""),"")</f>
        <v/>
      </c>
      <c r="DH33" s="41" t="str">
        <f>IFERROR(IF(AZ33=1,VLOOKUP(AZ$2,활동내용입력!$B$4:$F$63,5,FALSE),""),"")</f>
        <v/>
      </c>
      <c r="DI33" s="41" t="str">
        <f>IFERROR(IF(BA33=1,VLOOKUP(BA$2,활동내용입력!$B$4:$F$63,5,FALSE),""),"")</f>
        <v/>
      </c>
      <c r="DJ33" s="41" t="str">
        <f>IFERROR(IF(BB33=1,VLOOKUP(BB$2,활동내용입력!$B$4:$F$63,5,FALSE),""),"")</f>
        <v/>
      </c>
      <c r="DK33" s="41" t="str">
        <f>IFERROR(IF(BC33=1,VLOOKUP(BC$2,활동내용입력!$B$4:$F$63,5,FALSE),""),"")</f>
        <v/>
      </c>
      <c r="DL33" s="41" t="str">
        <f>IFERROR(IF(BD33=1,VLOOKUP(BD$2,활동내용입력!$B$4:$F$63,5,FALSE),""),"")</f>
        <v/>
      </c>
      <c r="DM33" s="41" t="str">
        <f>IFERROR(IF(BE33=1,VLOOKUP(BE$2,활동내용입력!$B$4:$F$63,5,FALSE),""),"")</f>
        <v/>
      </c>
      <c r="DN33" s="41" t="str">
        <f>IFERROR(IF(BF33=1,VLOOKUP(BF$2,활동내용입력!$B$4:$F$63,5,FALSE),""),"")</f>
        <v/>
      </c>
      <c r="DO33" s="41" t="str">
        <f>IFERROR(IF(BG33=1,VLOOKUP(BG$2,활동내용입력!$B$4:$F$63,5,FALSE),""),"")</f>
        <v/>
      </c>
      <c r="DP33" s="41" t="str">
        <f>IFERROR(IF(BH33=1,VLOOKUP(BH$2,활동내용입력!$B$4:$F$63,5,FALSE),""),"")</f>
        <v/>
      </c>
      <c r="DQ33" s="41" t="str">
        <f>IFERROR(IF(BI33=1,VLOOKUP(BI$2,활동내용입력!$B$4:$F$63,5,FALSE),""),"")</f>
        <v/>
      </c>
      <c r="DR33" s="41" t="str">
        <f>IFERROR(IF(BJ33=1,VLOOKUP(BJ$2,활동내용입력!$B$4:$F$63,5,FALSE),""),"")</f>
        <v/>
      </c>
      <c r="DS33" s="41" t="str">
        <f t="shared" si="7"/>
        <v/>
      </c>
      <c r="DT33" s="42">
        <f t="shared" si="6"/>
        <v>0</v>
      </c>
      <c r="DU33" s="34"/>
    </row>
    <row r="34" spans="1:125" x14ac:dyDescent="0.4">
      <c r="A34" s="58">
        <v>30</v>
      </c>
      <c r="B34" s="57"/>
      <c r="C34" s="40"/>
      <c r="D34" s="40"/>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1" t="str">
        <f>IFERROR(IF(C34=1,VLOOKUP(C$2,활동내용입력!$B$4:$F$63,5,FALSE),""),"")</f>
        <v/>
      </c>
      <c r="BL34" s="41" t="str">
        <f>IFERROR(IF(D34=1,VLOOKUP(D$2,활동내용입력!$B$4:$F$63,5,FALSE),""),"")</f>
        <v/>
      </c>
      <c r="BM34" s="41" t="str">
        <f>IFERROR(IF(E34=1,VLOOKUP(E$2,활동내용입력!$B$4:$F$63,5,FALSE),""),"")</f>
        <v/>
      </c>
      <c r="BN34" s="41" t="str">
        <f>IFERROR(IF(F34=1,VLOOKUP(F$2,활동내용입력!$B$4:$F$63,5,FALSE),""),"")</f>
        <v/>
      </c>
      <c r="BO34" s="41" t="str">
        <f>IFERROR(IF(G34=1,VLOOKUP(G$2,활동내용입력!$B$4:$F$63,5,FALSE),""),"")</f>
        <v/>
      </c>
      <c r="BP34" s="41" t="str">
        <f>IFERROR(IF(H34=1,VLOOKUP(H$2,활동내용입력!$B$4:$F$63,5,FALSE),""),"")</f>
        <v/>
      </c>
      <c r="BQ34" s="41" t="str">
        <f>IFERROR(IF(I34=1,VLOOKUP(I$2,활동내용입력!$B$4:$F$63,5,FALSE),""),"")</f>
        <v/>
      </c>
      <c r="BR34" s="41" t="str">
        <f>IFERROR(IF(J34=1,VLOOKUP(J$2,활동내용입력!$B$4:$F$63,5,FALSE),""),"")</f>
        <v/>
      </c>
      <c r="BS34" s="41" t="str">
        <f>IFERROR(IF(K34=1,VLOOKUP(K$2,활동내용입력!$B$4:$F$63,5,FALSE),""),"")</f>
        <v/>
      </c>
      <c r="BT34" s="41" t="str">
        <f>IFERROR(IF(L34=1,VLOOKUP(L$2,활동내용입력!$B$4:$F$63,5,FALSE),""),"")</f>
        <v/>
      </c>
      <c r="BU34" s="41" t="str">
        <f>IFERROR(IF(M34=1,VLOOKUP(M$2,활동내용입력!$B$4:$F$63,5,FALSE),""),"")</f>
        <v/>
      </c>
      <c r="BV34" s="41" t="str">
        <f>IFERROR(IF(N34=1,VLOOKUP(N$2,활동내용입력!$B$4:$F$63,5,FALSE),""),"")</f>
        <v/>
      </c>
      <c r="BW34" s="41" t="str">
        <f>IFERROR(IF(O34=1,VLOOKUP(O$2,활동내용입력!$B$4:$F$63,5,FALSE),""),"")</f>
        <v/>
      </c>
      <c r="BX34" s="41" t="str">
        <f>IFERROR(IF(P34=1,VLOOKUP(P$2,활동내용입력!$B$4:$F$63,5,FALSE),""),"")</f>
        <v/>
      </c>
      <c r="BY34" s="41" t="str">
        <f>IFERROR(IF(Q34=1,VLOOKUP(Q$2,활동내용입력!$B$4:$F$63,5,FALSE),""),"")</f>
        <v/>
      </c>
      <c r="BZ34" s="41" t="str">
        <f>IFERROR(IF(R34=1,VLOOKUP(R$2,활동내용입력!$B$4:$F$63,5,FALSE),""),"")</f>
        <v/>
      </c>
      <c r="CA34" s="41" t="str">
        <f>IFERROR(IF(S34=1,VLOOKUP(S$2,활동내용입력!$B$4:$F$63,5,FALSE),""),"")</f>
        <v/>
      </c>
      <c r="CB34" s="41" t="str">
        <f>IFERROR(IF(T34=1,VLOOKUP(T$2,활동내용입력!$B$4:$F$63,5,FALSE),""),"")</f>
        <v/>
      </c>
      <c r="CC34" s="41" t="str">
        <f>IFERROR(IF(U34=1,VLOOKUP(U$2,활동내용입력!$B$4:$F$63,5,FALSE),""),"")</f>
        <v/>
      </c>
      <c r="CD34" s="41" t="str">
        <f>IFERROR(IF(V34=1,VLOOKUP(V$2,활동내용입력!$B$4:$F$63,5,FALSE),""),"")</f>
        <v/>
      </c>
      <c r="CE34" s="41" t="str">
        <f>IFERROR(IF(W34=1,VLOOKUP(W$2,활동내용입력!$B$4:$F$63,5,FALSE),""),"")</f>
        <v/>
      </c>
      <c r="CF34" s="41" t="str">
        <f>IFERROR(IF(X34=1,VLOOKUP(X$2,활동내용입력!$B$4:$F$63,5,FALSE),""),"")</f>
        <v/>
      </c>
      <c r="CG34" s="41" t="str">
        <f>IFERROR(IF(Y34=1,VLOOKUP(Y$2,활동내용입력!$B$4:$F$63,5,FALSE),""),"")</f>
        <v/>
      </c>
      <c r="CH34" s="41" t="str">
        <f>IFERROR(IF(Z34=1,VLOOKUP(Z$2,활동내용입력!$B$4:$F$63,5,FALSE),""),"")</f>
        <v/>
      </c>
      <c r="CI34" s="41" t="str">
        <f>IFERROR(IF(AA34=1,VLOOKUP(AA$2,활동내용입력!$B$4:$F$63,5,FALSE),""),"")</f>
        <v/>
      </c>
      <c r="CJ34" s="41" t="str">
        <f>IFERROR(IF(AB34=1,VLOOKUP(AB$2,활동내용입력!$B$4:$F$63,5,FALSE),""),"")</f>
        <v/>
      </c>
      <c r="CK34" s="41" t="str">
        <f>IFERROR(IF(AC34=1,VLOOKUP(AC$2,활동내용입력!$B$4:$F$63,5,FALSE),""),"")</f>
        <v/>
      </c>
      <c r="CL34" s="41" t="str">
        <f>IFERROR(IF(AD34=1,VLOOKUP(AD$2,활동내용입력!$B$4:$F$63,5,FALSE),""),"")</f>
        <v/>
      </c>
      <c r="CM34" s="41" t="str">
        <f>IFERROR(IF(AE34=1,VLOOKUP(AE$2,활동내용입력!$B$4:$F$63,5,FALSE),""),"")</f>
        <v/>
      </c>
      <c r="CN34" s="41" t="str">
        <f>IFERROR(IF(AF34=1,VLOOKUP(AF$2,활동내용입력!$B$4:$F$63,5,FALSE),""),"")</f>
        <v/>
      </c>
      <c r="CO34" s="41" t="str">
        <f>IFERROR(IF(AG34=1,VLOOKUP(AG$2,활동내용입력!$B$4:$F$63,5,FALSE),""),"")</f>
        <v/>
      </c>
      <c r="CP34" s="41" t="str">
        <f>IFERROR(IF(AH34=1,VLOOKUP(AH$2,활동내용입력!$B$4:$F$63,5,FALSE),""),"")</f>
        <v/>
      </c>
      <c r="CQ34" s="41" t="str">
        <f>IFERROR(IF(AI34=1,VLOOKUP(AI$2,활동내용입력!$B$4:$F$63,5,FALSE),""),"")</f>
        <v/>
      </c>
      <c r="CR34" s="41" t="str">
        <f>IFERROR(IF(AJ34=1,VLOOKUP(AJ$2,활동내용입력!$B$4:$F$63,5,FALSE),""),"")</f>
        <v/>
      </c>
      <c r="CS34" s="41" t="str">
        <f>IFERROR(IF(AK34=1,VLOOKUP(AK$2,활동내용입력!$B$4:$F$63,5,FALSE),""),"")</f>
        <v/>
      </c>
      <c r="CT34" s="41" t="str">
        <f>IFERROR(IF(AL34=1,VLOOKUP(AL$2,활동내용입력!$B$4:$F$63,5,FALSE),""),"")</f>
        <v/>
      </c>
      <c r="CU34" s="41" t="str">
        <f>IFERROR(IF(AM34=1,VLOOKUP(AM$2,활동내용입력!$B$4:$F$63,5,FALSE),""),"")</f>
        <v/>
      </c>
      <c r="CV34" s="41" t="str">
        <f>IFERROR(IF(AN34=1,VLOOKUP(AN$2,활동내용입력!$B$4:$F$63,5,FALSE),""),"")</f>
        <v/>
      </c>
      <c r="CW34" s="41" t="str">
        <f>IFERROR(IF(AO34=1,VLOOKUP(AO$2,활동내용입력!$B$4:$F$63,5,FALSE),""),"")</f>
        <v/>
      </c>
      <c r="CX34" s="41" t="str">
        <f>IFERROR(IF(AP34=1,VLOOKUP(AP$2,활동내용입력!$B$4:$F$63,5,FALSE),""),"")</f>
        <v/>
      </c>
      <c r="CY34" s="41" t="str">
        <f>IFERROR(IF(AQ34=1,VLOOKUP(AQ$2,활동내용입력!$B$4:$F$63,5,FALSE),""),"")</f>
        <v/>
      </c>
      <c r="CZ34" s="41" t="str">
        <f>IFERROR(IF(AR34=1,VLOOKUP(AR$2,활동내용입력!$B$4:$F$63,5,FALSE),""),"")</f>
        <v/>
      </c>
      <c r="DA34" s="41" t="str">
        <f>IFERROR(IF(AS34=1,VLOOKUP(AS$2,활동내용입력!$B$4:$F$63,5,FALSE),""),"")</f>
        <v/>
      </c>
      <c r="DB34" s="41" t="str">
        <f>IFERROR(IF(AT34=1,VLOOKUP(AT$2,활동내용입력!$B$4:$F$63,5,FALSE),""),"")</f>
        <v/>
      </c>
      <c r="DC34" s="41" t="str">
        <f>IFERROR(IF(AU34=1,VLOOKUP(AU$2,활동내용입력!$B$4:$F$63,5,FALSE),""),"")</f>
        <v/>
      </c>
      <c r="DD34" s="41" t="str">
        <f>IFERROR(IF(AV34=1,VLOOKUP(AV$2,활동내용입력!$B$4:$F$63,5,FALSE),""),"")</f>
        <v/>
      </c>
      <c r="DE34" s="41" t="str">
        <f>IFERROR(IF(AW34=1,VLOOKUP(AW$2,활동내용입력!$B$4:$F$63,5,FALSE),""),"")</f>
        <v/>
      </c>
      <c r="DF34" s="41" t="str">
        <f>IFERROR(IF(AX34=1,VLOOKUP(AX$2,활동내용입력!$B$4:$F$63,5,FALSE),""),"")</f>
        <v/>
      </c>
      <c r="DG34" s="41" t="str">
        <f>IFERROR(IF(AY34=1,VLOOKUP(AY$2,활동내용입력!$B$4:$F$63,5,FALSE),""),"")</f>
        <v/>
      </c>
      <c r="DH34" s="41" t="str">
        <f>IFERROR(IF(AZ34=1,VLOOKUP(AZ$2,활동내용입력!$B$4:$F$63,5,FALSE),""),"")</f>
        <v/>
      </c>
      <c r="DI34" s="41" t="str">
        <f>IFERROR(IF(BA34=1,VLOOKUP(BA$2,활동내용입력!$B$4:$F$63,5,FALSE),""),"")</f>
        <v/>
      </c>
      <c r="DJ34" s="41" t="str">
        <f>IFERROR(IF(BB34=1,VLOOKUP(BB$2,활동내용입력!$B$4:$F$63,5,FALSE),""),"")</f>
        <v/>
      </c>
      <c r="DK34" s="41" t="str">
        <f>IFERROR(IF(BC34=1,VLOOKUP(BC$2,활동내용입력!$B$4:$F$63,5,FALSE),""),"")</f>
        <v/>
      </c>
      <c r="DL34" s="41" t="str">
        <f>IFERROR(IF(BD34=1,VLOOKUP(BD$2,활동내용입력!$B$4:$F$63,5,FALSE),""),"")</f>
        <v/>
      </c>
      <c r="DM34" s="41" t="str">
        <f>IFERROR(IF(BE34=1,VLOOKUP(BE$2,활동내용입력!$B$4:$F$63,5,FALSE),""),"")</f>
        <v/>
      </c>
      <c r="DN34" s="41" t="str">
        <f>IFERROR(IF(BF34=1,VLOOKUP(BF$2,활동내용입력!$B$4:$F$63,5,FALSE),""),"")</f>
        <v/>
      </c>
      <c r="DO34" s="41" t="str">
        <f>IFERROR(IF(BG34=1,VLOOKUP(BG$2,활동내용입력!$B$4:$F$63,5,FALSE),""),"")</f>
        <v/>
      </c>
      <c r="DP34" s="41" t="str">
        <f>IFERROR(IF(BH34=1,VLOOKUP(BH$2,활동내용입력!$B$4:$F$63,5,FALSE),""),"")</f>
        <v/>
      </c>
      <c r="DQ34" s="41" t="str">
        <f>IFERROR(IF(BI34=1,VLOOKUP(BI$2,활동내용입력!$B$4:$F$63,5,FALSE),""),"")</f>
        <v/>
      </c>
      <c r="DR34" s="41" t="str">
        <f>IFERROR(IF(BJ34=1,VLOOKUP(BJ$2,활동내용입력!$B$4:$F$63,5,FALSE),""),"")</f>
        <v/>
      </c>
      <c r="DS34" s="41" t="str">
        <f t="shared" si="7"/>
        <v/>
      </c>
      <c r="DT34" s="42">
        <f t="shared" si="6"/>
        <v>0</v>
      </c>
      <c r="DU34" s="34"/>
    </row>
    <row r="35" spans="1:125" x14ac:dyDescent="0.4">
      <c r="A35" s="58">
        <v>31</v>
      </c>
      <c r="B35" s="57"/>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1" t="str">
        <f>IFERROR(IF(C35=1,VLOOKUP(C$2,활동내용입력!$B$4:$F$63,5,FALSE),""),"")</f>
        <v/>
      </c>
      <c r="BL35" s="41" t="str">
        <f>IFERROR(IF(D35=1,VLOOKUP(D$2,활동내용입력!$B$4:$F$63,5,FALSE),""),"")</f>
        <v/>
      </c>
      <c r="BM35" s="41" t="str">
        <f>IFERROR(IF(E35=1,VLOOKUP(E$2,활동내용입력!$B$4:$F$63,5,FALSE),""),"")</f>
        <v/>
      </c>
      <c r="BN35" s="41" t="str">
        <f>IFERROR(IF(F35=1,VLOOKUP(F$2,활동내용입력!$B$4:$F$63,5,FALSE),""),"")</f>
        <v/>
      </c>
      <c r="BO35" s="41" t="str">
        <f>IFERROR(IF(G35=1,VLOOKUP(G$2,활동내용입력!$B$4:$F$63,5,FALSE),""),"")</f>
        <v/>
      </c>
      <c r="BP35" s="41" t="str">
        <f>IFERROR(IF(H35=1,VLOOKUP(H$2,활동내용입력!$B$4:$F$63,5,FALSE),""),"")</f>
        <v/>
      </c>
      <c r="BQ35" s="41" t="str">
        <f>IFERROR(IF(I35=1,VLOOKUP(I$2,활동내용입력!$B$4:$F$63,5,FALSE),""),"")</f>
        <v/>
      </c>
      <c r="BR35" s="41" t="str">
        <f>IFERROR(IF(J35=1,VLOOKUP(J$2,활동내용입력!$B$4:$F$63,5,FALSE),""),"")</f>
        <v/>
      </c>
      <c r="BS35" s="41" t="str">
        <f>IFERROR(IF(K35=1,VLOOKUP(K$2,활동내용입력!$B$4:$F$63,5,FALSE),""),"")</f>
        <v/>
      </c>
      <c r="BT35" s="41" t="str">
        <f>IFERROR(IF(L35=1,VLOOKUP(L$2,활동내용입력!$B$4:$F$63,5,FALSE),""),"")</f>
        <v/>
      </c>
      <c r="BU35" s="41" t="str">
        <f>IFERROR(IF(M35=1,VLOOKUP(M$2,활동내용입력!$B$4:$F$63,5,FALSE),""),"")</f>
        <v/>
      </c>
      <c r="BV35" s="41" t="str">
        <f>IFERROR(IF(N35=1,VLOOKUP(N$2,활동내용입력!$B$4:$F$63,5,FALSE),""),"")</f>
        <v/>
      </c>
      <c r="BW35" s="41" t="str">
        <f>IFERROR(IF(O35=1,VLOOKUP(O$2,활동내용입력!$B$4:$F$63,5,FALSE),""),"")</f>
        <v/>
      </c>
      <c r="BX35" s="41" t="str">
        <f>IFERROR(IF(P35=1,VLOOKUP(P$2,활동내용입력!$B$4:$F$63,5,FALSE),""),"")</f>
        <v/>
      </c>
      <c r="BY35" s="41" t="str">
        <f>IFERROR(IF(Q35=1,VLOOKUP(Q$2,활동내용입력!$B$4:$F$63,5,FALSE),""),"")</f>
        <v/>
      </c>
      <c r="BZ35" s="41" t="str">
        <f>IFERROR(IF(R35=1,VLOOKUP(R$2,활동내용입력!$B$4:$F$63,5,FALSE),""),"")</f>
        <v/>
      </c>
      <c r="CA35" s="41" t="str">
        <f>IFERROR(IF(S35=1,VLOOKUP(S$2,활동내용입력!$B$4:$F$63,5,FALSE),""),"")</f>
        <v/>
      </c>
      <c r="CB35" s="41" t="str">
        <f>IFERROR(IF(T35=1,VLOOKUP(T$2,활동내용입력!$B$4:$F$63,5,FALSE),""),"")</f>
        <v/>
      </c>
      <c r="CC35" s="41" t="str">
        <f>IFERROR(IF(U35=1,VLOOKUP(U$2,활동내용입력!$B$4:$F$63,5,FALSE),""),"")</f>
        <v/>
      </c>
      <c r="CD35" s="41" t="str">
        <f>IFERROR(IF(V35=1,VLOOKUP(V$2,활동내용입력!$B$4:$F$63,5,FALSE),""),"")</f>
        <v/>
      </c>
      <c r="CE35" s="41" t="str">
        <f>IFERROR(IF(W35=1,VLOOKUP(W$2,활동내용입력!$B$4:$F$63,5,FALSE),""),"")</f>
        <v/>
      </c>
      <c r="CF35" s="41" t="str">
        <f>IFERROR(IF(X35=1,VLOOKUP(X$2,활동내용입력!$B$4:$F$63,5,FALSE),""),"")</f>
        <v/>
      </c>
      <c r="CG35" s="41" t="str">
        <f>IFERROR(IF(Y35=1,VLOOKUP(Y$2,활동내용입력!$B$4:$F$63,5,FALSE),""),"")</f>
        <v/>
      </c>
      <c r="CH35" s="41" t="str">
        <f>IFERROR(IF(Z35=1,VLOOKUP(Z$2,활동내용입력!$B$4:$F$63,5,FALSE),""),"")</f>
        <v/>
      </c>
      <c r="CI35" s="41" t="str">
        <f>IFERROR(IF(AA35=1,VLOOKUP(AA$2,활동내용입력!$B$4:$F$63,5,FALSE),""),"")</f>
        <v/>
      </c>
      <c r="CJ35" s="41" t="str">
        <f>IFERROR(IF(AB35=1,VLOOKUP(AB$2,활동내용입력!$B$4:$F$63,5,FALSE),""),"")</f>
        <v/>
      </c>
      <c r="CK35" s="41" t="str">
        <f>IFERROR(IF(AC35=1,VLOOKUP(AC$2,활동내용입력!$B$4:$F$63,5,FALSE),""),"")</f>
        <v/>
      </c>
      <c r="CL35" s="41" t="str">
        <f>IFERROR(IF(AD35=1,VLOOKUP(AD$2,활동내용입력!$B$4:$F$63,5,FALSE),""),"")</f>
        <v/>
      </c>
      <c r="CM35" s="41" t="str">
        <f>IFERROR(IF(AE35=1,VLOOKUP(AE$2,활동내용입력!$B$4:$F$63,5,FALSE),""),"")</f>
        <v/>
      </c>
      <c r="CN35" s="41" t="str">
        <f>IFERROR(IF(AF35=1,VLOOKUP(AF$2,활동내용입력!$B$4:$F$63,5,FALSE),""),"")</f>
        <v/>
      </c>
      <c r="CO35" s="41" t="str">
        <f>IFERROR(IF(AG35=1,VLOOKUP(AG$2,활동내용입력!$B$4:$F$63,5,FALSE),""),"")</f>
        <v/>
      </c>
      <c r="CP35" s="41" t="str">
        <f>IFERROR(IF(AH35=1,VLOOKUP(AH$2,활동내용입력!$B$4:$F$63,5,FALSE),""),"")</f>
        <v/>
      </c>
      <c r="CQ35" s="41" t="str">
        <f>IFERROR(IF(AI35=1,VLOOKUP(AI$2,활동내용입력!$B$4:$F$63,5,FALSE),""),"")</f>
        <v/>
      </c>
      <c r="CR35" s="41" t="str">
        <f>IFERROR(IF(AJ35=1,VLOOKUP(AJ$2,활동내용입력!$B$4:$F$63,5,FALSE),""),"")</f>
        <v/>
      </c>
      <c r="CS35" s="41" t="str">
        <f>IFERROR(IF(AK35=1,VLOOKUP(AK$2,활동내용입력!$B$4:$F$63,5,FALSE),""),"")</f>
        <v/>
      </c>
      <c r="CT35" s="41" t="str">
        <f>IFERROR(IF(AL35=1,VLOOKUP(AL$2,활동내용입력!$B$4:$F$63,5,FALSE),""),"")</f>
        <v/>
      </c>
      <c r="CU35" s="41" t="str">
        <f>IFERROR(IF(AM35=1,VLOOKUP(AM$2,활동내용입력!$B$4:$F$63,5,FALSE),""),"")</f>
        <v/>
      </c>
      <c r="CV35" s="41" t="str">
        <f>IFERROR(IF(AN35=1,VLOOKUP(AN$2,활동내용입력!$B$4:$F$63,5,FALSE),""),"")</f>
        <v/>
      </c>
      <c r="CW35" s="41" t="str">
        <f>IFERROR(IF(AO35=1,VLOOKUP(AO$2,활동내용입력!$B$4:$F$63,5,FALSE),""),"")</f>
        <v/>
      </c>
      <c r="CX35" s="41" t="str">
        <f>IFERROR(IF(AP35=1,VLOOKUP(AP$2,활동내용입력!$B$4:$F$63,5,FALSE),""),"")</f>
        <v/>
      </c>
      <c r="CY35" s="41" t="str">
        <f>IFERROR(IF(AQ35=1,VLOOKUP(AQ$2,활동내용입력!$B$4:$F$63,5,FALSE),""),"")</f>
        <v/>
      </c>
      <c r="CZ35" s="41" t="str">
        <f>IFERROR(IF(AR35=1,VLOOKUP(AR$2,활동내용입력!$B$4:$F$63,5,FALSE),""),"")</f>
        <v/>
      </c>
      <c r="DA35" s="41" t="str">
        <f>IFERROR(IF(AS35=1,VLOOKUP(AS$2,활동내용입력!$B$4:$F$63,5,FALSE),""),"")</f>
        <v/>
      </c>
      <c r="DB35" s="41" t="str">
        <f>IFERROR(IF(AT35=1,VLOOKUP(AT$2,활동내용입력!$B$4:$F$63,5,FALSE),""),"")</f>
        <v/>
      </c>
      <c r="DC35" s="41" t="str">
        <f>IFERROR(IF(AU35=1,VLOOKUP(AU$2,활동내용입력!$B$4:$F$63,5,FALSE),""),"")</f>
        <v/>
      </c>
      <c r="DD35" s="41" t="str">
        <f>IFERROR(IF(AV35=1,VLOOKUP(AV$2,활동내용입력!$B$4:$F$63,5,FALSE),""),"")</f>
        <v/>
      </c>
      <c r="DE35" s="41" t="str">
        <f>IFERROR(IF(AW35=1,VLOOKUP(AW$2,활동내용입력!$B$4:$F$63,5,FALSE),""),"")</f>
        <v/>
      </c>
      <c r="DF35" s="41" t="str">
        <f>IFERROR(IF(AX35=1,VLOOKUP(AX$2,활동내용입력!$B$4:$F$63,5,FALSE),""),"")</f>
        <v/>
      </c>
      <c r="DG35" s="41" t="str">
        <f>IFERROR(IF(AY35=1,VLOOKUP(AY$2,활동내용입력!$B$4:$F$63,5,FALSE),""),"")</f>
        <v/>
      </c>
      <c r="DH35" s="41" t="str">
        <f>IFERROR(IF(AZ35=1,VLOOKUP(AZ$2,활동내용입력!$B$4:$F$63,5,FALSE),""),"")</f>
        <v/>
      </c>
      <c r="DI35" s="41" t="str">
        <f>IFERROR(IF(BA35=1,VLOOKUP(BA$2,활동내용입력!$B$4:$F$63,5,FALSE),""),"")</f>
        <v/>
      </c>
      <c r="DJ35" s="41" t="str">
        <f>IFERROR(IF(BB35=1,VLOOKUP(BB$2,활동내용입력!$B$4:$F$63,5,FALSE),""),"")</f>
        <v/>
      </c>
      <c r="DK35" s="41" t="str">
        <f>IFERROR(IF(BC35=1,VLOOKUP(BC$2,활동내용입력!$B$4:$F$63,5,FALSE),""),"")</f>
        <v/>
      </c>
      <c r="DL35" s="41" t="str">
        <f>IFERROR(IF(BD35=1,VLOOKUP(BD$2,활동내용입력!$B$4:$F$63,5,FALSE),""),"")</f>
        <v/>
      </c>
      <c r="DM35" s="41" t="str">
        <f>IFERROR(IF(BE35=1,VLOOKUP(BE$2,활동내용입력!$B$4:$F$63,5,FALSE),""),"")</f>
        <v/>
      </c>
      <c r="DN35" s="41" t="str">
        <f>IFERROR(IF(BF35=1,VLOOKUP(BF$2,활동내용입력!$B$4:$F$63,5,FALSE),""),"")</f>
        <v/>
      </c>
      <c r="DO35" s="41" t="str">
        <f>IFERROR(IF(BG35=1,VLOOKUP(BG$2,활동내용입력!$B$4:$F$63,5,FALSE),""),"")</f>
        <v/>
      </c>
      <c r="DP35" s="41" t="str">
        <f>IFERROR(IF(BH35=1,VLOOKUP(BH$2,활동내용입력!$B$4:$F$63,5,FALSE),""),"")</f>
        <v/>
      </c>
      <c r="DQ35" s="41" t="str">
        <f>IFERROR(IF(BI35=1,VLOOKUP(BI$2,활동내용입력!$B$4:$F$63,5,FALSE),""),"")</f>
        <v/>
      </c>
      <c r="DR35" s="41" t="str">
        <f>IFERROR(IF(BJ35=1,VLOOKUP(BJ$2,활동내용입력!$B$4:$F$63,5,FALSE),""),"")</f>
        <v/>
      </c>
      <c r="DS35" s="41" t="str">
        <f t="shared" si="7"/>
        <v/>
      </c>
      <c r="DT35" s="42">
        <f t="shared" si="6"/>
        <v>0</v>
      </c>
      <c r="DU35" s="34"/>
    </row>
    <row r="36" spans="1:125" x14ac:dyDescent="0.4">
      <c r="A36" s="58">
        <v>32</v>
      </c>
      <c r="B36" s="57"/>
      <c r="C36" s="40"/>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1" t="str">
        <f>IFERROR(IF(C36=1,VLOOKUP(C$2,활동내용입력!$B$4:$F$63,5,FALSE),""),"")</f>
        <v/>
      </c>
      <c r="BL36" s="41" t="str">
        <f>IFERROR(IF(D36=1,VLOOKUP(D$2,활동내용입력!$B$4:$F$63,5,FALSE),""),"")</f>
        <v/>
      </c>
      <c r="BM36" s="41" t="str">
        <f>IFERROR(IF(E36=1,VLOOKUP(E$2,활동내용입력!$B$4:$F$63,5,FALSE),""),"")</f>
        <v/>
      </c>
      <c r="BN36" s="41" t="str">
        <f>IFERROR(IF(F36=1,VLOOKUP(F$2,활동내용입력!$B$4:$F$63,5,FALSE),""),"")</f>
        <v/>
      </c>
      <c r="BO36" s="41" t="str">
        <f>IFERROR(IF(G36=1,VLOOKUP(G$2,활동내용입력!$B$4:$F$63,5,FALSE),""),"")</f>
        <v/>
      </c>
      <c r="BP36" s="41" t="str">
        <f>IFERROR(IF(H36=1,VLOOKUP(H$2,활동내용입력!$B$4:$F$63,5,FALSE),""),"")</f>
        <v/>
      </c>
      <c r="BQ36" s="41" t="str">
        <f>IFERROR(IF(I36=1,VLOOKUP(I$2,활동내용입력!$B$4:$F$63,5,FALSE),""),"")</f>
        <v/>
      </c>
      <c r="BR36" s="41" t="str">
        <f>IFERROR(IF(J36=1,VLOOKUP(J$2,활동내용입력!$B$4:$F$63,5,FALSE),""),"")</f>
        <v/>
      </c>
      <c r="BS36" s="41" t="str">
        <f>IFERROR(IF(K36=1,VLOOKUP(K$2,활동내용입력!$B$4:$F$63,5,FALSE),""),"")</f>
        <v/>
      </c>
      <c r="BT36" s="41" t="str">
        <f>IFERROR(IF(L36=1,VLOOKUP(L$2,활동내용입력!$B$4:$F$63,5,FALSE),""),"")</f>
        <v/>
      </c>
      <c r="BU36" s="41" t="str">
        <f>IFERROR(IF(M36=1,VLOOKUP(M$2,활동내용입력!$B$4:$F$63,5,FALSE),""),"")</f>
        <v/>
      </c>
      <c r="BV36" s="41" t="str">
        <f>IFERROR(IF(N36=1,VLOOKUP(N$2,활동내용입력!$B$4:$F$63,5,FALSE),""),"")</f>
        <v/>
      </c>
      <c r="BW36" s="41" t="str">
        <f>IFERROR(IF(O36=1,VLOOKUP(O$2,활동내용입력!$B$4:$F$63,5,FALSE),""),"")</f>
        <v/>
      </c>
      <c r="BX36" s="41" t="str">
        <f>IFERROR(IF(P36=1,VLOOKUP(P$2,활동내용입력!$B$4:$F$63,5,FALSE),""),"")</f>
        <v/>
      </c>
      <c r="BY36" s="41" t="str">
        <f>IFERROR(IF(Q36=1,VLOOKUP(Q$2,활동내용입력!$B$4:$F$63,5,FALSE),""),"")</f>
        <v/>
      </c>
      <c r="BZ36" s="41" t="str">
        <f>IFERROR(IF(R36=1,VLOOKUP(R$2,활동내용입력!$B$4:$F$63,5,FALSE),""),"")</f>
        <v/>
      </c>
      <c r="CA36" s="41" t="str">
        <f>IFERROR(IF(S36=1,VLOOKUP(S$2,활동내용입력!$B$4:$F$63,5,FALSE),""),"")</f>
        <v/>
      </c>
      <c r="CB36" s="41" t="str">
        <f>IFERROR(IF(T36=1,VLOOKUP(T$2,활동내용입력!$B$4:$F$63,5,FALSE),""),"")</f>
        <v/>
      </c>
      <c r="CC36" s="41" t="str">
        <f>IFERROR(IF(U36=1,VLOOKUP(U$2,활동내용입력!$B$4:$F$63,5,FALSE),""),"")</f>
        <v/>
      </c>
      <c r="CD36" s="41" t="str">
        <f>IFERROR(IF(V36=1,VLOOKUP(V$2,활동내용입력!$B$4:$F$63,5,FALSE),""),"")</f>
        <v/>
      </c>
      <c r="CE36" s="41" t="str">
        <f>IFERROR(IF(W36=1,VLOOKUP(W$2,활동내용입력!$B$4:$F$63,5,FALSE),""),"")</f>
        <v/>
      </c>
      <c r="CF36" s="41" t="str">
        <f>IFERROR(IF(X36=1,VLOOKUP(X$2,활동내용입력!$B$4:$F$63,5,FALSE),""),"")</f>
        <v/>
      </c>
      <c r="CG36" s="41" t="str">
        <f>IFERROR(IF(Y36=1,VLOOKUP(Y$2,활동내용입력!$B$4:$F$63,5,FALSE),""),"")</f>
        <v/>
      </c>
      <c r="CH36" s="41" t="str">
        <f>IFERROR(IF(Z36=1,VLOOKUP(Z$2,활동내용입력!$B$4:$F$63,5,FALSE),""),"")</f>
        <v/>
      </c>
      <c r="CI36" s="41" t="str">
        <f>IFERROR(IF(AA36=1,VLOOKUP(AA$2,활동내용입력!$B$4:$F$63,5,FALSE),""),"")</f>
        <v/>
      </c>
      <c r="CJ36" s="41" t="str">
        <f>IFERROR(IF(AB36=1,VLOOKUP(AB$2,활동내용입력!$B$4:$F$63,5,FALSE),""),"")</f>
        <v/>
      </c>
      <c r="CK36" s="41" t="str">
        <f>IFERROR(IF(AC36=1,VLOOKUP(AC$2,활동내용입력!$B$4:$F$63,5,FALSE),""),"")</f>
        <v/>
      </c>
      <c r="CL36" s="41" t="str">
        <f>IFERROR(IF(AD36=1,VLOOKUP(AD$2,활동내용입력!$B$4:$F$63,5,FALSE),""),"")</f>
        <v/>
      </c>
      <c r="CM36" s="41" t="str">
        <f>IFERROR(IF(AE36=1,VLOOKUP(AE$2,활동내용입력!$B$4:$F$63,5,FALSE),""),"")</f>
        <v/>
      </c>
      <c r="CN36" s="41" t="str">
        <f>IFERROR(IF(AF36=1,VLOOKUP(AF$2,활동내용입력!$B$4:$F$63,5,FALSE),""),"")</f>
        <v/>
      </c>
      <c r="CO36" s="41" t="str">
        <f>IFERROR(IF(AG36=1,VLOOKUP(AG$2,활동내용입력!$B$4:$F$63,5,FALSE),""),"")</f>
        <v/>
      </c>
      <c r="CP36" s="41" t="str">
        <f>IFERROR(IF(AH36=1,VLOOKUP(AH$2,활동내용입력!$B$4:$F$63,5,FALSE),""),"")</f>
        <v/>
      </c>
      <c r="CQ36" s="41" t="str">
        <f>IFERROR(IF(AI36=1,VLOOKUP(AI$2,활동내용입력!$B$4:$F$63,5,FALSE),""),"")</f>
        <v/>
      </c>
      <c r="CR36" s="41" t="str">
        <f>IFERROR(IF(AJ36=1,VLOOKUP(AJ$2,활동내용입력!$B$4:$F$63,5,FALSE),""),"")</f>
        <v/>
      </c>
      <c r="CS36" s="41" t="str">
        <f>IFERROR(IF(AK36=1,VLOOKUP(AK$2,활동내용입력!$B$4:$F$63,5,FALSE),""),"")</f>
        <v/>
      </c>
      <c r="CT36" s="41" t="str">
        <f>IFERROR(IF(AL36=1,VLOOKUP(AL$2,활동내용입력!$B$4:$F$63,5,FALSE),""),"")</f>
        <v/>
      </c>
      <c r="CU36" s="41" t="str">
        <f>IFERROR(IF(AM36=1,VLOOKUP(AM$2,활동내용입력!$B$4:$F$63,5,FALSE),""),"")</f>
        <v/>
      </c>
      <c r="CV36" s="41" t="str">
        <f>IFERROR(IF(AN36=1,VLOOKUP(AN$2,활동내용입력!$B$4:$F$63,5,FALSE),""),"")</f>
        <v/>
      </c>
      <c r="CW36" s="41" t="str">
        <f>IFERROR(IF(AO36=1,VLOOKUP(AO$2,활동내용입력!$B$4:$F$63,5,FALSE),""),"")</f>
        <v/>
      </c>
      <c r="CX36" s="41" t="str">
        <f>IFERROR(IF(AP36=1,VLOOKUP(AP$2,활동내용입력!$B$4:$F$63,5,FALSE),""),"")</f>
        <v/>
      </c>
      <c r="CY36" s="41" t="str">
        <f>IFERROR(IF(AQ36=1,VLOOKUP(AQ$2,활동내용입력!$B$4:$F$63,5,FALSE),""),"")</f>
        <v/>
      </c>
      <c r="CZ36" s="41" t="str">
        <f>IFERROR(IF(AR36=1,VLOOKUP(AR$2,활동내용입력!$B$4:$F$63,5,FALSE),""),"")</f>
        <v/>
      </c>
      <c r="DA36" s="41" t="str">
        <f>IFERROR(IF(AS36=1,VLOOKUP(AS$2,활동내용입력!$B$4:$F$63,5,FALSE),""),"")</f>
        <v/>
      </c>
      <c r="DB36" s="41" t="str">
        <f>IFERROR(IF(AT36=1,VLOOKUP(AT$2,활동내용입력!$B$4:$F$63,5,FALSE),""),"")</f>
        <v/>
      </c>
      <c r="DC36" s="41" t="str">
        <f>IFERROR(IF(AU36=1,VLOOKUP(AU$2,활동내용입력!$B$4:$F$63,5,FALSE),""),"")</f>
        <v/>
      </c>
      <c r="DD36" s="41" t="str">
        <f>IFERROR(IF(AV36=1,VLOOKUP(AV$2,활동내용입력!$B$4:$F$63,5,FALSE),""),"")</f>
        <v/>
      </c>
      <c r="DE36" s="41" t="str">
        <f>IFERROR(IF(AW36=1,VLOOKUP(AW$2,활동내용입력!$B$4:$F$63,5,FALSE),""),"")</f>
        <v/>
      </c>
      <c r="DF36" s="41" t="str">
        <f>IFERROR(IF(AX36=1,VLOOKUP(AX$2,활동내용입력!$B$4:$F$63,5,FALSE),""),"")</f>
        <v/>
      </c>
      <c r="DG36" s="41" t="str">
        <f>IFERROR(IF(AY36=1,VLOOKUP(AY$2,활동내용입력!$B$4:$F$63,5,FALSE),""),"")</f>
        <v/>
      </c>
      <c r="DH36" s="41" t="str">
        <f>IFERROR(IF(AZ36=1,VLOOKUP(AZ$2,활동내용입력!$B$4:$F$63,5,FALSE),""),"")</f>
        <v/>
      </c>
      <c r="DI36" s="41" t="str">
        <f>IFERROR(IF(BA36=1,VLOOKUP(BA$2,활동내용입력!$B$4:$F$63,5,FALSE),""),"")</f>
        <v/>
      </c>
      <c r="DJ36" s="41" t="str">
        <f>IFERROR(IF(BB36=1,VLOOKUP(BB$2,활동내용입력!$B$4:$F$63,5,FALSE),""),"")</f>
        <v/>
      </c>
      <c r="DK36" s="41" t="str">
        <f>IFERROR(IF(BC36=1,VLOOKUP(BC$2,활동내용입력!$B$4:$F$63,5,FALSE),""),"")</f>
        <v/>
      </c>
      <c r="DL36" s="41" t="str">
        <f>IFERROR(IF(BD36=1,VLOOKUP(BD$2,활동내용입력!$B$4:$F$63,5,FALSE),""),"")</f>
        <v/>
      </c>
      <c r="DM36" s="41" t="str">
        <f>IFERROR(IF(BE36=1,VLOOKUP(BE$2,활동내용입력!$B$4:$F$63,5,FALSE),""),"")</f>
        <v/>
      </c>
      <c r="DN36" s="41" t="str">
        <f>IFERROR(IF(BF36=1,VLOOKUP(BF$2,활동내용입력!$B$4:$F$63,5,FALSE),""),"")</f>
        <v/>
      </c>
      <c r="DO36" s="41" t="str">
        <f>IFERROR(IF(BG36=1,VLOOKUP(BG$2,활동내용입력!$B$4:$F$63,5,FALSE),""),"")</f>
        <v/>
      </c>
      <c r="DP36" s="41" t="str">
        <f>IFERROR(IF(BH36=1,VLOOKUP(BH$2,활동내용입력!$B$4:$F$63,5,FALSE),""),"")</f>
        <v/>
      </c>
      <c r="DQ36" s="41" t="str">
        <f>IFERROR(IF(BI36=1,VLOOKUP(BI$2,활동내용입력!$B$4:$F$63,5,FALSE),""),"")</f>
        <v/>
      </c>
      <c r="DR36" s="41" t="str">
        <f>IFERROR(IF(BJ36=1,VLOOKUP(BJ$2,활동내용입력!$B$4:$F$63,5,FALSE),""),"")</f>
        <v/>
      </c>
      <c r="DS36" s="41" t="str">
        <f t="shared" si="7"/>
        <v/>
      </c>
      <c r="DT36" s="42">
        <f t="shared" si="6"/>
        <v>0</v>
      </c>
      <c r="DU36" s="34"/>
    </row>
    <row r="37" spans="1:125" x14ac:dyDescent="0.4">
      <c r="A37" s="58">
        <v>33</v>
      </c>
      <c r="B37" s="57"/>
      <c r="C37" s="40"/>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1" t="str">
        <f>IFERROR(IF(C37=1,VLOOKUP(C$2,활동내용입력!$B$4:$F$63,5,FALSE),""),"")</f>
        <v/>
      </c>
      <c r="BL37" s="41" t="str">
        <f>IFERROR(IF(D37=1,VLOOKUP(D$2,활동내용입력!$B$4:$F$63,5,FALSE),""),"")</f>
        <v/>
      </c>
      <c r="BM37" s="41" t="str">
        <f>IFERROR(IF(E37=1,VLOOKUP(E$2,활동내용입력!$B$4:$F$63,5,FALSE),""),"")</f>
        <v/>
      </c>
      <c r="BN37" s="41" t="str">
        <f>IFERROR(IF(F37=1,VLOOKUP(F$2,활동내용입력!$B$4:$F$63,5,FALSE),""),"")</f>
        <v/>
      </c>
      <c r="BO37" s="41" t="str">
        <f>IFERROR(IF(G37=1,VLOOKUP(G$2,활동내용입력!$B$4:$F$63,5,FALSE),""),"")</f>
        <v/>
      </c>
      <c r="BP37" s="41" t="str">
        <f>IFERROR(IF(H37=1,VLOOKUP(H$2,활동내용입력!$B$4:$F$63,5,FALSE),""),"")</f>
        <v/>
      </c>
      <c r="BQ37" s="41" t="str">
        <f>IFERROR(IF(I37=1,VLOOKUP(I$2,활동내용입력!$B$4:$F$63,5,FALSE),""),"")</f>
        <v/>
      </c>
      <c r="BR37" s="41" t="str">
        <f>IFERROR(IF(J37=1,VLOOKUP(J$2,활동내용입력!$B$4:$F$63,5,FALSE),""),"")</f>
        <v/>
      </c>
      <c r="BS37" s="41" t="str">
        <f>IFERROR(IF(K37=1,VLOOKUP(K$2,활동내용입력!$B$4:$F$63,5,FALSE),""),"")</f>
        <v/>
      </c>
      <c r="BT37" s="41" t="str">
        <f>IFERROR(IF(L37=1,VLOOKUP(L$2,활동내용입력!$B$4:$F$63,5,FALSE),""),"")</f>
        <v/>
      </c>
      <c r="BU37" s="41" t="str">
        <f>IFERROR(IF(M37=1,VLOOKUP(M$2,활동내용입력!$B$4:$F$63,5,FALSE),""),"")</f>
        <v/>
      </c>
      <c r="BV37" s="41" t="str">
        <f>IFERROR(IF(N37=1,VLOOKUP(N$2,활동내용입력!$B$4:$F$63,5,FALSE),""),"")</f>
        <v/>
      </c>
      <c r="BW37" s="41" t="str">
        <f>IFERROR(IF(O37=1,VLOOKUP(O$2,활동내용입력!$B$4:$F$63,5,FALSE),""),"")</f>
        <v/>
      </c>
      <c r="BX37" s="41" t="str">
        <f>IFERROR(IF(P37=1,VLOOKUP(P$2,활동내용입력!$B$4:$F$63,5,FALSE),""),"")</f>
        <v/>
      </c>
      <c r="BY37" s="41" t="str">
        <f>IFERROR(IF(Q37=1,VLOOKUP(Q$2,활동내용입력!$B$4:$F$63,5,FALSE),""),"")</f>
        <v/>
      </c>
      <c r="BZ37" s="41" t="str">
        <f>IFERROR(IF(R37=1,VLOOKUP(R$2,활동내용입력!$B$4:$F$63,5,FALSE),""),"")</f>
        <v/>
      </c>
      <c r="CA37" s="41" t="str">
        <f>IFERROR(IF(S37=1,VLOOKUP(S$2,활동내용입력!$B$4:$F$63,5,FALSE),""),"")</f>
        <v/>
      </c>
      <c r="CB37" s="41" t="str">
        <f>IFERROR(IF(T37=1,VLOOKUP(T$2,활동내용입력!$B$4:$F$63,5,FALSE),""),"")</f>
        <v/>
      </c>
      <c r="CC37" s="41" t="str">
        <f>IFERROR(IF(U37=1,VLOOKUP(U$2,활동내용입력!$B$4:$F$63,5,FALSE),""),"")</f>
        <v/>
      </c>
      <c r="CD37" s="41" t="str">
        <f>IFERROR(IF(V37=1,VLOOKUP(V$2,활동내용입력!$B$4:$F$63,5,FALSE),""),"")</f>
        <v/>
      </c>
      <c r="CE37" s="41" t="str">
        <f>IFERROR(IF(W37=1,VLOOKUP(W$2,활동내용입력!$B$4:$F$63,5,FALSE),""),"")</f>
        <v/>
      </c>
      <c r="CF37" s="41" t="str">
        <f>IFERROR(IF(X37=1,VLOOKUP(X$2,활동내용입력!$B$4:$F$63,5,FALSE),""),"")</f>
        <v/>
      </c>
      <c r="CG37" s="41" t="str">
        <f>IFERROR(IF(Y37=1,VLOOKUP(Y$2,활동내용입력!$B$4:$F$63,5,FALSE),""),"")</f>
        <v/>
      </c>
      <c r="CH37" s="41" t="str">
        <f>IFERROR(IF(Z37=1,VLOOKUP(Z$2,활동내용입력!$B$4:$F$63,5,FALSE),""),"")</f>
        <v/>
      </c>
      <c r="CI37" s="41" t="str">
        <f>IFERROR(IF(AA37=1,VLOOKUP(AA$2,활동내용입력!$B$4:$F$63,5,FALSE),""),"")</f>
        <v/>
      </c>
      <c r="CJ37" s="41" t="str">
        <f>IFERROR(IF(AB37=1,VLOOKUP(AB$2,활동내용입력!$B$4:$F$63,5,FALSE),""),"")</f>
        <v/>
      </c>
      <c r="CK37" s="41" t="str">
        <f>IFERROR(IF(AC37=1,VLOOKUP(AC$2,활동내용입력!$B$4:$F$63,5,FALSE),""),"")</f>
        <v/>
      </c>
      <c r="CL37" s="41" t="str">
        <f>IFERROR(IF(AD37=1,VLOOKUP(AD$2,활동내용입력!$B$4:$F$63,5,FALSE),""),"")</f>
        <v/>
      </c>
      <c r="CM37" s="41" t="str">
        <f>IFERROR(IF(AE37=1,VLOOKUP(AE$2,활동내용입력!$B$4:$F$63,5,FALSE),""),"")</f>
        <v/>
      </c>
      <c r="CN37" s="41" t="str">
        <f>IFERROR(IF(AF37=1,VLOOKUP(AF$2,활동내용입력!$B$4:$F$63,5,FALSE),""),"")</f>
        <v/>
      </c>
      <c r="CO37" s="41" t="str">
        <f>IFERROR(IF(AG37=1,VLOOKUP(AG$2,활동내용입력!$B$4:$F$63,5,FALSE),""),"")</f>
        <v/>
      </c>
      <c r="CP37" s="41" t="str">
        <f>IFERROR(IF(AH37=1,VLOOKUP(AH$2,활동내용입력!$B$4:$F$63,5,FALSE),""),"")</f>
        <v/>
      </c>
      <c r="CQ37" s="41" t="str">
        <f>IFERROR(IF(AI37=1,VLOOKUP(AI$2,활동내용입력!$B$4:$F$63,5,FALSE),""),"")</f>
        <v/>
      </c>
      <c r="CR37" s="41" t="str">
        <f>IFERROR(IF(AJ37=1,VLOOKUP(AJ$2,활동내용입력!$B$4:$F$63,5,FALSE),""),"")</f>
        <v/>
      </c>
      <c r="CS37" s="41" t="str">
        <f>IFERROR(IF(AK37=1,VLOOKUP(AK$2,활동내용입력!$B$4:$F$63,5,FALSE),""),"")</f>
        <v/>
      </c>
      <c r="CT37" s="41" t="str">
        <f>IFERROR(IF(AL37=1,VLOOKUP(AL$2,활동내용입력!$B$4:$F$63,5,FALSE),""),"")</f>
        <v/>
      </c>
      <c r="CU37" s="41" t="str">
        <f>IFERROR(IF(AM37=1,VLOOKUP(AM$2,활동내용입력!$B$4:$F$63,5,FALSE),""),"")</f>
        <v/>
      </c>
      <c r="CV37" s="41" t="str">
        <f>IFERROR(IF(AN37=1,VLOOKUP(AN$2,활동내용입력!$B$4:$F$63,5,FALSE),""),"")</f>
        <v/>
      </c>
      <c r="CW37" s="41" t="str">
        <f>IFERROR(IF(AO37=1,VLOOKUP(AO$2,활동내용입력!$B$4:$F$63,5,FALSE),""),"")</f>
        <v/>
      </c>
      <c r="CX37" s="41" t="str">
        <f>IFERROR(IF(AP37=1,VLOOKUP(AP$2,활동내용입력!$B$4:$F$63,5,FALSE),""),"")</f>
        <v/>
      </c>
      <c r="CY37" s="41" t="str">
        <f>IFERROR(IF(AQ37=1,VLOOKUP(AQ$2,활동내용입력!$B$4:$F$63,5,FALSE),""),"")</f>
        <v/>
      </c>
      <c r="CZ37" s="41" t="str">
        <f>IFERROR(IF(AR37=1,VLOOKUP(AR$2,활동내용입력!$B$4:$F$63,5,FALSE),""),"")</f>
        <v/>
      </c>
      <c r="DA37" s="41" t="str">
        <f>IFERROR(IF(AS37=1,VLOOKUP(AS$2,활동내용입력!$B$4:$F$63,5,FALSE),""),"")</f>
        <v/>
      </c>
      <c r="DB37" s="41" t="str">
        <f>IFERROR(IF(AT37=1,VLOOKUP(AT$2,활동내용입력!$B$4:$F$63,5,FALSE),""),"")</f>
        <v/>
      </c>
      <c r="DC37" s="41" t="str">
        <f>IFERROR(IF(AU37=1,VLOOKUP(AU$2,활동내용입력!$B$4:$F$63,5,FALSE),""),"")</f>
        <v/>
      </c>
      <c r="DD37" s="41" t="str">
        <f>IFERROR(IF(AV37=1,VLOOKUP(AV$2,활동내용입력!$B$4:$F$63,5,FALSE),""),"")</f>
        <v/>
      </c>
      <c r="DE37" s="41" t="str">
        <f>IFERROR(IF(AW37=1,VLOOKUP(AW$2,활동내용입력!$B$4:$F$63,5,FALSE),""),"")</f>
        <v/>
      </c>
      <c r="DF37" s="41" t="str">
        <f>IFERROR(IF(AX37=1,VLOOKUP(AX$2,활동내용입력!$B$4:$F$63,5,FALSE),""),"")</f>
        <v/>
      </c>
      <c r="DG37" s="41" t="str">
        <f>IFERROR(IF(AY37=1,VLOOKUP(AY$2,활동내용입력!$B$4:$F$63,5,FALSE),""),"")</f>
        <v/>
      </c>
      <c r="DH37" s="41" t="str">
        <f>IFERROR(IF(AZ37=1,VLOOKUP(AZ$2,활동내용입력!$B$4:$F$63,5,FALSE),""),"")</f>
        <v/>
      </c>
      <c r="DI37" s="41" t="str">
        <f>IFERROR(IF(BA37=1,VLOOKUP(BA$2,활동내용입력!$B$4:$F$63,5,FALSE),""),"")</f>
        <v/>
      </c>
      <c r="DJ37" s="41" t="str">
        <f>IFERROR(IF(BB37=1,VLOOKUP(BB$2,활동내용입력!$B$4:$F$63,5,FALSE),""),"")</f>
        <v/>
      </c>
      <c r="DK37" s="41" t="str">
        <f>IFERROR(IF(BC37=1,VLOOKUP(BC$2,활동내용입력!$B$4:$F$63,5,FALSE),""),"")</f>
        <v/>
      </c>
      <c r="DL37" s="41" t="str">
        <f>IFERROR(IF(BD37=1,VLOOKUP(BD$2,활동내용입력!$B$4:$F$63,5,FALSE),""),"")</f>
        <v/>
      </c>
      <c r="DM37" s="41" t="str">
        <f>IFERROR(IF(BE37=1,VLOOKUP(BE$2,활동내용입력!$B$4:$F$63,5,FALSE),""),"")</f>
        <v/>
      </c>
      <c r="DN37" s="41" t="str">
        <f>IFERROR(IF(BF37=1,VLOOKUP(BF$2,활동내용입력!$B$4:$F$63,5,FALSE),""),"")</f>
        <v/>
      </c>
      <c r="DO37" s="41" t="str">
        <f>IFERROR(IF(BG37=1,VLOOKUP(BG$2,활동내용입력!$B$4:$F$63,5,FALSE),""),"")</f>
        <v/>
      </c>
      <c r="DP37" s="41" t="str">
        <f>IFERROR(IF(BH37=1,VLOOKUP(BH$2,활동내용입력!$B$4:$F$63,5,FALSE),""),"")</f>
        <v/>
      </c>
      <c r="DQ37" s="41" t="str">
        <f>IFERROR(IF(BI37=1,VLOOKUP(BI$2,활동내용입력!$B$4:$F$63,5,FALSE),""),"")</f>
        <v/>
      </c>
      <c r="DR37" s="41" t="str">
        <f>IFERROR(IF(BJ37=1,VLOOKUP(BJ$2,활동내용입력!$B$4:$F$63,5,FALSE),""),"")</f>
        <v/>
      </c>
      <c r="DS37" s="41" t="str">
        <f t="shared" si="7"/>
        <v/>
      </c>
      <c r="DT37" s="42">
        <f t="shared" si="6"/>
        <v>0</v>
      </c>
      <c r="DU37" s="34"/>
    </row>
    <row r="38" spans="1:125" x14ac:dyDescent="0.4">
      <c r="A38" s="58">
        <v>34</v>
      </c>
      <c r="B38" s="57"/>
      <c r="C38" s="40"/>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1" t="str">
        <f>IFERROR(IF(C38=1,VLOOKUP(C$2,활동내용입력!$B$4:$F$63,5,FALSE),""),"")</f>
        <v/>
      </c>
      <c r="BL38" s="41" t="str">
        <f>IFERROR(IF(D38=1,VLOOKUP(D$2,활동내용입력!$B$4:$F$63,5,FALSE),""),"")</f>
        <v/>
      </c>
      <c r="BM38" s="41" t="str">
        <f>IFERROR(IF(E38=1,VLOOKUP(E$2,활동내용입력!$B$4:$F$63,5,FALSE),""),"")</f>
        <v/>
      </c>
      <c r="BN38" s="41" t="str">
        <f>IFERROR(IF(F38=1,VLOOKUP(F$2,활동내용입력!$B$4:$F$63,5,FALSE),""),"")</f>
        <v/>
      </c>
      <c r="BO38" s="41" t="str">
        <f>IFERROR(IF(G38=1,VLOOKUP(G$2,활동내용입력!$B$4:$F$63,5,FALSE),""),"")</f>
        <v/>
      </c>
      <c r="BP38" s="41" t="str">
        <f>IFERROR(IF(H38=1,VLOOKUP(H$2,활동내용입력!$B$4:$F$63,5,FALSE),""),"")</f>
        <v/>
      </c>
      <c r="BQ38" s="41" t="str">
        <f>IFERROR(IF(I38=1,VLOOKUP(I$2,활동내용입력!$B$4:$F$63,5,FALSE),""),"")</f>
        <v/>
      </c>
      <c r="BR38" s="41" t="str">
        <f>IFERROR(IF(J38=1,VLOOKUP(J$2,활동내용입력!$B$4:$F$63,5,FALSE),""),"")</f>
        <v/>
      </c>
      <c r="BS38" s="41" t="str">
        <f>IFERROR(IF(K38=1,VLOOKUP(K$2,활동내용입력!$B$4:$F$63,5,FALSE),""),"")</f>
        <v/>
      </c>
      <c r="BT38" s="41" t="str">
        <f>IFERROR(IF(L38=1,VLOOKUP(L$2,활동내용입력!$B$4:$F$63,5,FALSE),""),"")</f>
        <v/>
      </c>
      <c r="BU38" s="41" t="str">
        <f>IFERROR(IF(M38=1,VLOOKUP(M$2,활동내용입력!$B$4:$F$63,5,FALSE),""),"")</f>
        <v/>
      </c>
      <c r="BV38" s="41" t="str">
        <f>IFERROR(IF(N38=1,VLOOKUP(N$2,활동내용입력!$B$4:$F$63,5,FALSE),""),"")</f>
        <v/>
      </c>
      <c r="BW38" s="41" t="str">
        <f>IFERROR(IF(O38=1,VLOOKUP(O$2,활동내용입력!$B$4:$F$63,5,FALSE),""),"")</f>
        <v/>
      </c>
      <c r="BX38" s="41" t="str">
        <f>IFERROR(IF(P38=1,VLOOKUP(P$2,활동내용입력!$B$4:$F$63,5,FALSE),""),"")</f>
        <v/>
      </c>
      <c r="BY38" s="41" t="str">
        <f>IFERROR(IF(Q38=1,VLOOKUP(Q$2,활동내용입력!$B$4:$F$63,5,FALSE),""),"")</f>
        <v/>
      </c>
      <c r="BZ38" s="41" t="str">
        <f>IFERROR(IF(R38=1,VLOOKUP(R$2,활동내용입력!$B$4:$F$63,5,FALSE),""),"")</f>
        <v/>
      </c>
      <c r="CA38" s="41" t="str">
        <f>IFERROR(IF(S38=1,VLOOKUP(S$2,활동내용입력!$B$4:$F$63,5,FALSE),""),"")</f>
        <v/>
      </c>
      <c r="CB38" s="41" t="str">
        <f>IFERROR(IF(T38=1,VLOOKUP(T$2,활동내용입력!$B$4:$F$63,5,FALSE),""),"")</f>
        <v/>
      </c>
      <c r="CC38" s="41" t="str">
        <f>IFERROR(IF(U38=1,VLOOKUP(U$2,활동내용입력!$B$4:$F$63,5,FALSE),""),"")</f>
        <v/>
      </c>
      <c r="CD38" s="41" t="str">
        <f>IFERROR(IF(V38=1,VLOOKUP(V$2,활동내용입력!$B$4:$F$63,5,FALSE),""),"")</f>
        <v/>
      </c>
      <c r="CE38" s="41" t="str">
        <f>IFERROR(IF(W38=1,VLOOKUP(W$2,활동내용입력!$B$4:$F$63,5,FALSE),""),"")</f>
        <v/>
      </c>
      <c r="CF38" s="41" t="str">
        <f>IFERROR(IF(X38=1,VLOOKUP(X$2,활동내용입력!$B$4:$F$63,5,FALSE),""),"")</f>
        <v/>
      </c>
      <c r="CG38" s="41" t="str">
        <f>IFERROR(IF(Y38=1,VLOOKUP(Y$2,활동내용입력!$B$4:$F$63,5,FALSE),""),"")</f>
        <v/>
      </c>
      <c r="CH38" s="41" t="str">
        <f>IFERROR(IF(Z38=1,VLOOKUP(Z$2,활동내용입력!$B$4:$F$63,5,FALSE),""),"")</f>
        <v/>
      </c>
      <c r="CI38" s="41" t="str">
        <f>IFERROR(IF(AA38=1,VLOOKUP(AA$2,활동내용입력!$B$4:$F$63,5,FALSE),""),"")</f>
        <v/>
      </c>
      <c r="CJ38" s="41" t="str">
        <f>IFERROR(IF(AB38=1,VLOOKUP(AB$2,활동내용입력!$B$4:$F$63,5,FALSE),""),"")</f>
        <v/>
      </c>
      <c r="CK38" s="41" t="str">
        <f>IFERROR(IF(AC38=1,VLOOKUP(AC$2,활동내용입력!$B$4:$F$63,5,FALSE),""),"")</f>
        <v/>
      </c>
      <c r="CL38" s="41" t="str">
        <f>IFERROR(IF(AD38=1,VLOOKUP(AD$2,활동내용입력!$B$4:$F$63,5,FALSE),""),"")</f>
        <v/>
      </c>
      <c r="CM38" s="41" t="str">
        <f>IFERROR(IF(AE38=1,VLOOKUP(AE$2,활동내용입력!$B$4:$F$63,5,FALSE),""),"")</f>
        <v/>
      </c>
      <c r="CN38" s="41" t="str">
        <f>IFERROR(IF(AF38=1,VLOOKUP(AF$2,활동내용입력!$B$4:$F$63,5,FALSE),""),"")</f>
        <v/>
      </c>
      <c r="CO38" s="41" t="str">
        <f>IFERROR(IF(AG38=1,VLOOKUP(AG$2,활동내용입력!$B$4:$F$63,5,FALSE),""),"")</f>
        <v/>
      </c>
      <c r="CP38" s="41" t="str">
        <f>IFERROR(IF(AH38=1,VLOOKUP(AH$2,활동내용입력!$B$4:$F$63,5,FALSE),""),"")</f>
        <v/>
      </c>
      <c r="CQ38" s="41" t="str">
        <f>IFERROR(IF(AI38=1,VLOOKUP(AI$2,활동내용입력!$B$4:$F$63,5,FALSE),""),"")</f>
        <v/>
      </c>
      <c r="CR38" s="41" t="str">
        <f>IFERROR(IF(AJ38=1,VLOOKUP(AJ$2,활동내용입력!$B$4:$F$63,5,FALSE),""),"")</f>
        <v/>
      </c>
      <c r="CS38" s="41" t="str">
        <f>IFERROR(IF(AK38=1,VLOOKUP(AK$2,활동내용입력!$B$4:$F$63,5,FALSE),""),"")</f>
        <v/>
      </c>
      <c r="CT38" s="41" t="str">
        <f>IFERROR(IF(AL38=1,VLOOKUP(AL$2,활동내용입력!$B$4:$F$63,5,FALSE),""),"")</f>
        <v/>
      </c>
      <c r="CU38" s="41" t="str">
        <f>IFERROR(IF(AM38=1,VLOOKUP(AM$2,활동내용입력!$B$4:$F$63,5,FALSE),""),"")</f>
        <v/>
      </c>
      <c r="CV38" s="41" t="str">
        <f>IFERROR(IF(AN38=1,VLOOKUP(AN$2,활동내용입력!$B$4:$F$63,5,FALSE),""),"")</f>
        <v/>
      </c>
      <c r="CW38" s="41" t="str">
        <f>IFERROR(IF(AO38=1,VLOOKUP(AO$2,활동내용입력!$B$4:$F$63,5,FALSE),""),"")</f>
        <v/>
      </c>
      <c r="CX38" s="41" t="str">
        <f>IFERROR(IF(AP38=1,VLOOKUP(AP$2,활동내용입력!$B$4:$F$63,5,FALSE),""),"")</f>
        <v/>
      </c>
      <c r="CY38" s="41" t="str">
        <f>IFERROR(IF(AQ38=1,VLOOKUP(AQ$2,활동내용입력!$B$4:$F$63,5,FALSE),""),"")</f>
        <v/>
      </c>
      <c r="CZ38" s="41" t="str">
        <f>IFERROR(IF(AR38=1,VLOOKUP(AR$2,활동내용입력!$B$4:$F$63,5,FALSE),""),"")</f>
        <v/>
      </c>
      <c r="DA38" s="41" t="str">
        <f>IFERROR(IF(AS38=1,VLOOKUP(AS$2,활동내용입력!$B$4:$F$63,5,FALSE),""),"")</f>
        <v/>
      </c>
      <c r="DB38" s="41" t="str">
        <f>IFERROR(IF(AT38=1,VLOOKUP(AT$2,활동내용입력!$B$4:$F$63,5,FALSE),""),"")</f>
        <v/>
      </c>
      <c r="DC38" s="41" t="str">
        <f>IFERROR(IF(AU38=1,VLOOKUP(AU$2,활동내용입력!$B$4:$F$63,5,FALSE),""),"")</f>
        <v/>
      </c>
      <c r="DD38" s="41" t="str">
        <f>IFERROR(IF(AV38=1,VLOOKUP(AV$2,활동내용입력!$B$4:$F$63,5,FALSE),""),"")</f>
        <v/>
      </c>
      <c r="DE38" s="41" t="str">
        <f>IFERROR(IF(AW38=1,VLOOKUP(AW$2,활동내용입력!$B$4:$F$63,5,FALSE),""),"")</f>
        <v/>
      </c>
      <c r="DF38" s="41" t="str">
        <f>IFERROR(IF(AX38=1,VLOOKUP(AX$2,활동내용입력!$B$4:$F$63,5,FALSE),""),"")</f>
        <v/>
      </c>
      <c r="DG38" s="41" t="str">
        <f>IFERROR(IF(AY38=1,VLOOKUP(AY$2,활동내용입력!$B$4:$F$63,5,FALSE),""),"")</f>
        <v/>
      </c>
      <c r="DH38" s="41" t="str">
        <f>IFERROR(IF(AZ38=1,VLOOKUP(AZ$2,활동내용입력!$B$4:$F$63,5,FALSE),""),"")</f>
        <v/>
      </c>
      <c r="DI38" s="41" t="str">
        <f>IFERROR(IF(BA38=1,VLOOKUP(BA$2,활동내용입력!$B$4:$F$63,5,FALSE),""),"")</f>
        <v/>
      </c>
      <c r="DJ38" s="41" t="str">
        <f>IFERROR(IF(BB38=1,VLOOKUP(BB$2,활동내용입력!$B$4:$F$63,5,FALSE),""),"")</f>
        <v/>
      </c>
      <c r="DK38" s="41" t="str">
        <f>IFERROR(IF(BC38=1,VLOOKUP(BC$2,활동내용입력!$B$4:$F$63,5,FALSE),""),"")</f>
        <v/>
      </c>
      <c r="DL38" s="41" t="str">
        <f>IFERROR(IF(BD38=1,VLOOKUP(BD$2,활동내용입력!$B$4:$F$63,5,FALSE),""),"")</f>
        <v/>
      </c>
      <c r="DM38" s="41" t="str">
        <f>IFERROR(IF(BE38=1,VLOOKUP(BE$2,활동내용입력!$B$4:$F$63,5,FALSE),""),"")</f>
        <v/>
      </c>
      <c r="DN38" s="41" t="str">
        <f>IFERROR(IF(BF38=1,VLOOKUP(BF$2,활동내용입력!$B$4:$F$63,5,FALSE),""),"")</f>
        <v/>
      </c>
      <c r="DO38" s="41" t="str">
        <f>IFERROR(IF(BG38=1,VLOOKUP(BG$2,활동내용입력!$B$4:$F$63,5,FALSE),""),"")</f>
        <v/>
      </c>
      <c r="DP38" s="41" t="str">
        <f>IFERROR(IF(BH38=1,VLOOKUP(BH$2,활동내용입력!$B$4:$F$63,5,FALSE),""),"")</f>
        <v/>
      </c>
      <c r="DQ38" s="41" t="str">
        <f>IFERROR(IF(BI38=1,VLOOKUP(BI$2,활동내용입력!$B$4:$F$63,5,FALSE),""),"")</f>
        <v/>
      </c>
      <c r="DR38" s="41" t="str">
        <f>IFERROR(IF(BJ38=1,VLOOKUP(BJ$2,활동내용입력!$B$4:$F$63,5,FALSE),""),"")</f>
        <v/>
      </c>
      <c r="DS38" s="41" t="str">
        <f t="shared" si="7"/>
        <v/>
      </c>
      <c r="DT38" s="42">
        <f t="shared" si="6"/>
        <v>0</v>
      </c>
      <c r="DU38" s="34"/>
    </row>
    <row r="39" spans="1:125" x14ac:dyDescent="0.4">
      <c r="A39" s="58">
        <v>35</v>
      </c>
      <c r="B39" s="57"/>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1" t="str">
        <f>IFERROR(IF(C39=1,VLOOKUP(C$2,활동내용입력!$B$4:$F$63,5,FALSE),""),"")</f>
        <v/>
      </c>
      <c r="BL39" s="41" t="str">
        <f>IFERROR(IF(D39=1,VLOOKUP(D$2,활동내용입력!$B$4:$F$63,5,FALSE),""),"")</f>
        <v/>
      </c>
      <c r="BM39" s="41" t="str">
        <f>IFERROR(IF(E39=1,VLOOKUP(E$2,활동내용입력!$B$4:$F$63,5,FALSE),""),"")</f>
        <v/>
      </c>
      <c r="BN39" s="41" t="str">
        <f>IFERROR(IF(F39=1,VLOOKUP(F$2,활동내용입력!$B$4:$F$63,5,FALSE),""),"")</f>
        <v/>
      </c>
      <c r="BO39" s="41" t="str">
        <f>IFERROR(IF(G39=1,VLOOKUP(G$2,활동내용입력!$B$4:$F$63,5,FALSE),""),"")</f>
        <v/>
      </c>
      <c r="BP39" s="41" t="str">
        <f>IFERROR(IF(H39=1,VLOOKUP(H$2,활동내용입력!$B$4:$F$63,5,FALSE),""),"")</f>
        <v/>
      </c>
      <c r="BQ39" s="41" t="str">
        <f>IFERROR(IF(I39=1,VLOOKUP(I$2,활동내용입력!$B$4:$F$63,5,FALSE),""),"")</f>
        <v/>
      </c>
      <c r="BR39" s="41" t="str">
        <f>IFERROR(IF(J39=1,VLOOKUP(J$2,활동내용입력!$B$4:$F$63,5,FALSE),""),"")</f>
        <v/>
      </c>
      <c r="BS39" s="41" t="str">
        <f>IFERROR(IF(K39=1,VLOOKUP(K$2,활동내용입력!$B$4:$F$63,5,FALSE),""),"")</f>
        <v/>
      </c>
      <c r="BT39" s="41" t="str">
        <f>IFERROR(IF(L39=1,VLOOKUP(L$2,활동내용입력!$B$4:$F$63,5,FALSE),""),"")</f>
        <v/>
      </c>
      <c r="BU39" s="41" t="str">
        <f>IFERROR(IF(M39=1,VLOOKUP(M$2,활동내용입력!$B$4:$F$63,5,FALSE),""),"")</f>
        <v/>
      </c>
      <c r="BV39" s="41" t="str">
        <f>IFERROR(IF(N39=1,VLOOKUP(N$2,활동내용입력!$B$4:$F$63,5,FALSE),""),"")</f>
        <v/>
      </c>
      <c r="BW39" s="41" t="str">
        <f>IFERROR(IF(O39=1,VLOOKUP(O$2,활동내용입력!$B$4:$F$63,5,FALSE),""),"")</f>
        <v/>
      </c>
      <c r="BX39" s="41" t="str">
        <f>IFERROR(IF(P39=1,VLOOKUP(P$2,활동내용입력!$B$4:$F$63,5,FALSE),""),"")</f>
        <v/>
      </c>
      <c r="BY39" s="41" t="str">
        <f>IFERROR(IF(Q39=1,VLOOKUP(Q$2,활동내용입력!$B$4:$F$63,5,FALSE),""),"")</f>
        <v/>
      </c>
      <c r="BZ39" s="41" t="str">
        <f>IFERROR(IF(R39=1,VLOOKUP(R$2,활동내용입력!$B$4:$F$63,5,FALSE),""),"")</f>
        <v/>
      </c>
      <c r="CA39" s="41" t="str">
        <f>IFERROR(IF(S39=1,VLOOKUP(S$2,활동내용입력!$B$4:$F$63,5,FALSE),""),"")</f>
        <v/>
      </c>
      <c r="CB39" s="41" t="str">
        <f>IFERROR(IF(T39=1,VLOOKUP(T$2,활동내용입력!$B$4:$F$63,5,FALSE),""),"")</f>
        <v/>
      </c>
      <c r="CC39" s="41" t="str">
        <f>IFERROR(IF(U39=1,VLOOKUP(U$2,활동내용입력!$B$4:$F$63,5,FALSE),""),"")</f>
        <v/>
      </c>
      <c r="CD39" s="41" t="str">
        <f>IFERROR(IF(V39=1,VLOOKUP(V$2,활동내용입력!$B$4:$F$63,5,FALSE),""),"")</f>
        <v/>
      </c>
      <c r="CE39" s="41" t="str">
        <f>IFERROR(IF(W39=1,VLOOKUP(W$2,활동내용입력!$B$4:$F$63,5,FALSE),""),"")</f>
        <v/>
      </c>
      <c r="CF39" s="41" t="str">
        <f>IFERROR(IF(X39=1,VLOOKUP(X$2,활동내용입력!$B$4:$F$63,5,FALSE),""),"")</f>
        <v/>
      </c>
      <c r="CG39" s="41" t="str">
        <f>IFERROR(IF(Y39=1,VLOOKUP(Y$2,활동내용입력!$B$4:$F$63,5,FALSE),""),"")</f>
        <v/>
      </c>
      <c r="CH39" s="41" t="str">
        <f>IFERROR(IF(Z39=1,VLOOKUP(Z$2,활동내용입력!$B$4:$F$63,5,FALSE),""),"")</f>
        <v/>
      </c>
      <c r="CI39" s="41" t="str">
        <f>IFERROR(IF(AA39=1,VLOOKUP(AA$2,활동내용입력!$B$4:$F$63,5,FALSE),""),"")</f>
        <v/>
      </c>
      <c r="CJ39" s="41" t="str">
        <f>IFERROR(IF(AB39=1,VLOOKUP(AB$2,활동내용입력!$B$4:$F$63,5,FALSE),""),"")</f>
        <v/>
      </c>
      <c r="CK39" s="41" t="str">
        <f>IFERROR(IF(AC39=1,VLOOKUP(AC$2,활동내용입력!$B$4:$F$63,5,FALSE),""),"")</f>
        <v/>
      </c>
      <c r="CL39" s="41" t="str">
        <f>IFERROR(IF(AD39=1,VLOOKUP(AD$2,활동내용입력!$B$4:$F$63,5,FALSE),""),"")</f>
        <v/>
      </c>
      <c r="CM39" s="41" t="str">
        <f>IFERROR(IF(AE39=1,VLOOKUP(AE$2,활동내용입력!$B$4:$F$63,5,FALSE),""),"")</f>
        <v/>
      </c>
      <c r="CN39" s="41" t="str">
        <f>IFERROR(IF(AF39=1,VLOOKUP(AF$2,활동내용입력!$B$4:$F$63,5,FALSE),""),"")</f>
        <v/>
      </c>
      <c r="CO39" s="41" t="str">
        <f>IFERROR(IF(AG39=1,VLOOKUP(AG$2,활동내용입력!$B$4:$F$63,5,FALSE),""),"")</f>
        <v/>
      </c>
      <c r="CP39" s="41" t="str">
        <f>IFERROR(IF(AH39=1,VLOOKUP(AH$2,활동내용입력!$B$4:$F$63,5,FALSE),""),"")</f>
        <v/>
      </c>
      <c r="CQ39" s="41" t="str">
        <f>IFERROR(IF(AI39=1,VLOOKUP(AI$2,활동내용입력!$B$4:$F$63,5,FALSE),""),"")</f>
        <v/>
      </c>
      <c r="CR39" s="41" t="str">
        <f>IFERROR(IF(AJ39=1,VLOOKUP(AJ$2,활동내용입력!$B$4:$F$63,5,FALSE),""),"")</f>
        <v/>
      </c>
      <c r="CS39" s="41" t="str">
        <f>IFERROR(IF(AK39=1,VLOOKUP(AK$2,활동내용입력!$B$4:$F$63,5,FALSE),""),"")</f>
        <v/>
      </c>
      <c r="CT39" s="41" t="str">
        <f>IFERROR(IF(AL39=1,VLOOKUP(AL$2,활동내용입력!$B$4:$F$63,5,FALSE),""),"")</f>
        <v/>
      </c>
      <c r="CU39" s="41" t="str">
        <f>IFERROR(IF(AM39=1,VLOOKUP(AM$2,활동내용입력!$B$4:$F$63,5,FALSE),""),"")</f>
        <v/>
      </c>
      <c r="CV39" s="41" t="str">
        <f>IFERROR(IF(AN39=1,VLOOKUP(AN$2,활동내용입력!$B$4:$F$63,5,FALSE),""),"")</f>
        <v/>
      </c>
      <c r="CW39" s="41" t="str">
        <f>IFERROR(IF(AO39=1,VLOOKUP(AO$2,활동내용입력!$B$4:$F$63,5,FALSE),""),"")</f>
        <v/>
      </c>
      <c r="CX39" s="41" t="str">
        <f>IFERROR(IF(AP39=1,VLOOKUP(AP$2,활동내용입력!$B$4:$F$63,5,FALSE),""),"")</f>
        <v/>
      </c>
      <c r="CY39" s="41" t="str">
        <f>IFERROR(IF(AQ39=1,VLOOKUP(AQ$2,활동내용입력!$B$4:$F$63,5,FALSE),""),"")</f>
        <v/>
      </c>
      <c r="CZ39" s="41" t="str">
        <f>IFERROR(IF(AR39=1,VLOOKUP(AR$2,활동내용입력!$B$4:$F$63,5,FALSE),""),"")</f>
        <v/>
      </c>
      <c r="DA39" s="41" t="str">
        <f>IFERROR(IF(AS39=1,VLOOKUP(AS$2,활동내용입력!$B$4:$F$63,5,FALSE),""),"")</f>
        <v/>
      </c>
      <c r="DB39" s="41" t="str">
        <f>IFERROR(IF(AT39=1,VLOOKUP(AT$2,활동내용입력!$B$4:$F$63,5,FALSE),""),"")</f>
        <v/>
      </c>
      <c r="DC39" s="41" t="str">
        <f>IFERROR(IF(AU39=1,VLOOKUP(AU$2,활동내용입력!$B$4:$F$63,5,FALSE),""),"")</f>
        <v/>
      </c>
      <c r="DD39" s="41" t="str">
        <f>IFERROR(IF(AV39=1,VLOOKUP(AV$2,활동내용입력!$B$4:$F$63,5,FALSE),""),"")</f>
        <v/>
      </c>
      <c r="DE39" s="41" t="str">
        <f>IFERROR(IF(AW39=1,VLOOKUP(AW$2,활동내용입력!$B$4:$F$63,5,FALSE),""),"")</f>
        <v/>
      </c>
      <c r="DF39" s="41" t="str">
        <f>IFERROR(IF(AX39=1,VLOOKUP(AX$2,활동내용입력!$B$4:$F$63,5,FALSE),""),"")</f>
        <v/>
      </c>
      <c r="DG39" s="41" t="str">
        <f>IFERROR(IF(AY39=1,VLOOKUP(AY$2,활동내용입력!$B$4:$F$63,5,FALSE),""),"")</f>
        <v/>
      </c>
      <c r="DH39" s="41" t="str">
        <f>IFERROR(IF(AZ39=1,VLOOKUP(AZ$2,활동내용입력!$B$4:$F$63,5,FALSE),""),"")</f>
        <v/>
      </c>
      <c r="DI39" s="41" t="str">
        <f>IFERROR(IF(BA39=1,VLOOKUP(BA$2,활동내용입력!$B$4:$F$63,5,FALSE),""),"")</f>
        <v/>
      </c>
      <c r="DJ39" s="41" t="str">
        <f>IFERROR(IF(BB39=1,VLOOKUP(BB$2,활동내용입력!$B$4:$F$63,5,FALSE),""),"")</f>
        <v/>
      </c>
      <c r="DK39" s="41" t="str">
        <f>IFERROR(IF(BC39=1,VLOOKUP(BC$2,활동내용입력!$B$4:$F$63,5,FALSE),""),"")</f>
        <v/>
      </c>
      <c r="DL39" s="41" t="str">
        <f>IFERROR(IF(BD39=1,VLOOKUP(BD$2,활동내용입력!$B$4:$F$63,5,FALSE),""),"")</f>
        <v/>
      </c>
      <c r="DM39" s="41" t="str">
        <f>IFERROR(IF(BE39=1,VLOOKUP(BE$2,활동내용입력!$B$4:$F$63,5,FALSE),""),"")</f>
        <v/>
      </c>
      <c r="DN39" s="41" t="str">
        <f>IFERROR(IF(BF39=1,VLOOKUP(BF$2,활동내용입력!$B$4:$F$63,5,FALSE),""),"")</f>
        <v/>
      </c>
      <c r="DO39" s="41" t="str">
        <f>IFERROR(IF(BG39=1,VLOOKUP(BG$2,활동내용입력!$B$4:$F$63,5,FALSE),""),"")</f>
        <v/>
      </c>
      <c r="DP39" s="41" t="str">
        <f>IFERROR(IF(BH39=1,VLOOKUP(BH$2,활동내용입력!$B$4:$F$63,5,FALSE),""),"")</f>
        <v/>
      </c>
      <c r="DQ39" s="41" t="str">
        <f>IFERROR(IF(BI39=1,VLOOKUP(BI$2,활동내용입력!$B$4:$F$63,5,FALSE),""),"")</f>
        <v/>
      </c>
      <c r="DR39" s="41" t="str">
        <f>IFERROR(IF(BJ39=1,VLOOKUP(BJ$2,활동내용입력!$B$4:$F$63,5,FALSE),""),"")</f>
        <v/>
      </c>
      <c r="DS39" s="41" t="str">
        <f t="shared" si="7"/>
        <v/>
      </c>
      <c r="DT39" s="42">
        <f t="shared" si="6"/>
        <v>0</v>
      </c>
      <c r="DU39" s="34"/>
    </row>
    <row r="40" spans="1:125" x14ac:dyDescent="0.4">
      <c r="A40" s="58">
        <v>36</v>
      </c>
      <c r="B40" s="57"/>
      <c r="C40" s="40"/>
      <c r="D40" s="40"/>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1" t="str">
        <f>IFERROR(IF(C40=1,VLOOKUP(C$2,활동내용입력!$B$4:$F$63,5,FALSE),""),"")</f>
        <v/>
      </c>
      <c r="BL40" s="41" t="str">
        <f>IFERROR(IF(D40=1,VLOOKUP(D$2,활동내용입력!$B$4:$F$63,5,FALSE),""),"")</f>
        <v/>
      </c>
      <c r="BM40" s="41" t="str">
        <f>IFERROR(IF(E40=1,VLOOKUP(E$2,활동내용입력!$B$4:$F$63,5,FALSE),""),"")</f>
        <v/>
      </c>
      <c r="BN40" s="41" t="str">
        <f>IFERROR(IF(F40=1,VLOOKUP(F$2,활동내용입력!$B$4:$F$63,5,FALSE),""),"")</f>
        <v/>
      </c>
      <c r="BO40" s="41" t="str">
        <f>IFERROR(IF(G40=1,VLOOKUP(G$2,활동내용입력!$B$4:$F$63,5,FALSE),""),"")</f>
        <v/>
      </c>
      <c r="BP40" s="41" t="str">
        <f>IFERROR(IF(H40=1,VLOOKUP(H$2,활동내용입력!$B$4:$F$63,5,FALSE),""),"")</f>
        <v/>
      </c>
      <c r="BQ40" s="41" t="str">
        <f>IFERROR(IF(I40=1,VLOOKUP(I$2,활동내용입력!$B$4:$F$63,5,FALSE),""),"")</f>
        <v/>
      </c>
      <c r="BR40" s="41" t="str">
        <f>IFERROR(IF(J40=1,VLOOKUP(J$2,활동내용입력!$B$4:$F$63,5,FALSE),""),"")</f>
        <v/>
      </c>
      <c r="BS40" s="41" t="str">
        <f>IFERROR(IF(K40=1,VLOOKUP(K$2,활동내용입력!$B$4:$F$63,5,FALSE),""),"")</f>
        <v/>
      </c>
      <c r="BT40" s="41" t="str">
        <f>IFERROR(IF(L40=1,VLOOKUP(L$2,활동내용입력!$B$4:$F$63,5,FALSE),""),"")</f>
        <v/>
      </c>
      <c r="BU40" s="41" t="str">
        <f>IFERROR(IF(M40=1,VLOOKUP(M$2,활동내용입력!$B$4:$F$63,5,FALSE),""),"")</f>
        <v/>
      </c>
      <c r="BV40" s="41" t="str">
        <f>IFERROR(IF(N40=1,VLOOKUP(N$2,활동내용입력!$B$4:$F$63,5,FALSE),""),"")</f>
        <v/>
      </c>
      <c r="BW40" s="41" t="str">
        <f>IFERROR(IF(O40=1,VLOOKUP(O$2,활동내용입력!$B$4:$F$63,5,FALSE),""),"")</f>
        <v/>
      </c>
      <c r="BX40" s="41" t="str">
        <f>IFERROR(IF(P40=1,VLOOKUP(P$2,활동내용입력!$B$4:$F$63,5,FALSE),""),"")</f>
        <v/>
      </c>
      <c r="BY40" s="41" t="str">
        <f>IFERROR(IF(Q40=1,VLOOKUP(Q$2,활동내용입력!$B$4:$F$63,5,FALSE),""),"")</f>
        <v/>
      </c>
      <c r="BZ40" s="41" t="str">
        <f>IFERROR(IF(R40=1,VLOOKUP(R$2,활동내용입력!$B$4:$F$63,5,FALSE),""),"")</f>
        <v/>
      </c>
      <c r="CA40" s="41" t="str">
        <f>IFERROR(IF(S40=1,VLOOKUP(S$2,활동내용입력!$B$4:$F$63,5,FALSE),""),"")</f>
        <v/>
      </c>
      <c r="CB40" s="41" t="str">
        <f>IFERROR(IF(T40=1,VLOOKUP(T$2,활동내용입력!$B$4:$F$63,5,FALSE),""),"")</f>
        <v/>
      </c>
      <c r="CC40" s="41" t="str">
        <f>IFERROR(IF(U40=1,VLOOKUP(U$2,활동내용입력!$B$4:$F$63,5,FALSE),""),"")</f>
        <v/>
      </c>
      <c r="CD40" s="41" t="str">
        <f>IFERROR(IF(V40=1,VLOOKUP(V$2,활동내용입력!$B$4:$F$63,5,FALSE),""),"")</f>
        <v/>
      </c>
      <c r="CE40" s="41" t="str">
        <f>IFERROR(IF(W40=1,VLOOKUP(W$2,활동내용입력!$B$4:$F$63,5,FALSE),""),"")</f>
        <v/>
      </c>
      <c r="CF40" s="41" t="str">
        <f>IFERROR(IF(X40=1,VLOOKUP(X$2,활동내용입력!$B$4:$F$63,5,FALSE),""),"")</f>
        <v/>
      </c>
      <c r="CG40" s="41" t="str">
        <f>IFERROR(IF(Y40=1,VLOOKUP(Y$2,활동내용입력!$B$4:$F$63,5,FALSE),""),"")</f>
        <v/>
      </c>
      <c r="CH40" s="41" t="str">
        <f>IFERROR(IF(Z40=1,VLOOKUP(Z$2,활동내용입력!$B$4:$F$63,5,FALSE),""),"")</f>
        <v/>
      </c>
      <c r="CI40" s="41" t="str">
        <f>IFERROR(IF(AA40=1,VLOOKUP(AA$2,활동내용입력!$B$4:$F$63,5,FALSE),""),"")</f>
        <v/>
      </c>
      <c r="CJ40" s="41" t="str">
        <f>IFERROR(IF(AB40=1,VLOOKUP(AB$2,활동내용입력!$B$4:$F$63,5,FALSE),""),"")</f>
        <v/>
      </c>
      <c r="CK40" s="41" t="str">
        <f>IFERROR(IF(AC40=1,VLOOKUP(AC$2,활동내용입력!$B$4:$F$63,5,FALSE),""),"")</f>
        <v/>
      </c>
      <c r="CL40" s="41" t="str">
        <f>IFERROR(IF(AD40=1,VLOOKUP(AD$2,활동내용입력!$B$4:$F$63,5,FALSE),""),"")</f>
        <v/>
      </c>
      <c r="CM40" s="41" t="str">
        <f>IFERROR(IF(AE40=1,VLOOKUP(AE$2,활동내용입력!$B$4:$F$63,5,FALSE),""),"")</f>
        <v/>
      </c>
      <c r="CN40" s="41" t="str">
        <f>IFERROR(IF(AF40=1,VLOOKUP(AF$2,활동내용입력!$B$4:$F$63,5,FALSE),""),"")</f>
        <v/>
      </c>
      <c r="CO40" s="41" t="str">
        <f>IFERROR(IF(AG40=1,VLOOKUP(AG$2,활동내용입력!$B$4:$F$63,5,FALSE),""),"")</f>
        <v/>
      </c>
      <c r="CP40" s="41" t="str">
        <f>IFERROR(IF(AH40=1,VLOOKUP(AH$2,활동내용입력!$B$4:$F$63,5,FALSE),""),"")</f>
        <v/>
      </c>
      <c r="CQ40" s="41" t="str">
        <f>IFERROR(IF(AI40=1,VLOOKUP(AI$2,활동내용입력!$B$4:$F$63,5,FALSE),""),"")</f>
        <v/>
      </c>
      <c r="CR40" s="41" t="str">
        <f>IFERROR(IF(AJ40=1,VLOOKUP(AJ$2,활동내용입력!$B$4:$F$63,5,FALSE),""),"")</f>
        <v/>
      </c>
      <c r="CS40" s="41" t="str">
        <f>IFERROR(IF(AK40=1,VLOOKUP(AK$2,활동내용입력!$B$4:$F$63,5,FALSE),""),"")</f>
        <v/>
      </c>
      <c r="CT40" s="41" t="str">
        <f>IFERROR(IF(AL40=1,VLOOKUP(AL$2,활동내용입력!$B$4:$F$63,5,FALSE),""),"")</f>
        <v/>
      </c>
      <c r="CU40" s="41" t="str">
        <f>IFERROR(IF(AM40=1,VLOOKUP(AM$2,활동내용입력!$B$4:$F$63,5,FALSE),""),"")</f>
        <v/>
      </c>
      <c r="CV40" s="41" t="str">
        <f>IFERROR(IF(AN40=1,VLOOKUP(AN$2,활동내용입력!$B$4:$F$63,5,FALSE),""),"")</f>
        <v/>
      </c>
      <c r="CW40" s="41" t="str">
        <f>IFERROR(IF(AO40=1,VLOOKUP(AO$2,활동내용입력!$B$4:$F$63,5,FALSE),""),"")</f>
        <v/>
      </c>
      <c r="CX40" s="41" t="str">
        <f>IFERROR(IF(AP40=1,VLOOKUP(AP$2,활동내용입력!$B$4:$F$63,5,FALSE),""),"")</f>
        <v/>
      </c>
      <c r="CY40" s="41" t="str">
        <f>IFERROR(IF(AQ40=1,VLOOKUP(AQ$2,활동내용입력!$B$4:$F$63,5,FALSE),""),"")</f>
        <v/>
      </c>
      <c r="CZ40" s="41" t="str">
        <f>IFERROR(IF(AR40=1,VLOOKUP(AR$2,활동내용입력!$B$4:$F$63,5,FALSE),""),"")</f>
        <v/>
      </c>
      <c r="DA40" s="41" t="str">
        <f>IFERROR(IF(AS40=1,VLOOKUP(AS$2,활동내용입력!$B$4:$F$63,5,FALSE),""),"")</f>
        <v/>
      </c>
      <c r="DB40" s="41" t="str">
        <f>IFERROR(IF(AT40=1,VLOOKUP(AT$2,활동내용입력!$B$4:$F$63,5,FALSE),""),"")</f>
        <v/>
      </c>
      <c r="DC40" s="41" t="str">
        <f>IFERROR(IF(AU40=1,VLOOKUP(AU$2,활동내용입력!$B$4:$F$63,5,FALSE),""),"")</f>
        <v/>
      </c>
      <c r="DD40" s="41" t="str">
        <f>IFERROR(IF(AV40=1,VLOOKUP(AV$2,활동내용입력!$B$4:$F$63,5,FALSE),""),"")</f>
        <v/>
      </c>
      <c r="DE40" s="41" t="str">
        <f>IFERROR(IF(AW40=1,VLOOKUP(AW$2,활동내용입력!$B$4:$F$63,5,FALSE),""),"")</f>
        <v/>
      </c>
      <c r="DF40" s="41" t="str">
        <f>IFERROR(IF(AX40=1,VLOOKUP(AX$2,활동내용입력!$B$4:$F$63,5,FALSE),""),"")</f>
        <v/>
      </c>
      <c r="DG40" s="41" t="str">
        <f>IFERROR(IF(AY40=1,VLOOKUP(AY$2,활동내용입력!$B$4:$F$63,5,FALSE),""),"")</f>
        <v/>
      </c>
      <c r="DH40" s="41" t="str">
        <f>IFERROR(IF(AZ40=1,VLOOKUP(AZ$2,활동내용입력!$B$4:$F$63,5,FALSE),""),"")</f>
        <v/>
      </c>
      <c r="DI40" s="41" t="str">
        <f>IFERROR(IF(BA40=1,VLOOKUP(BA$2,활동내용입력!$B$4:$F$63,5,FALSE),""),"")</f>
        <v/>
      </c>
      <c r="DJ40" s="41" t="str">
        <f>IFERROR(IF(BB40=1,VLOOKUP(BB$2,활동내용입력!$B$4:$F$63,5,FALSE),""),"")</f>
        <v/>
      </c>
      <c r="DK40" s="41" t="str">
        <f>IFERROR(IF(BC40=1,VLOOKUP(BC$2,활동내용입력!$B$4:$F$63,5,FALSE),""),"")</f>
        <v/>
      </c>
      <c r="DL40" s="41" t="str">
        <f>IFERROR(IF(BD40=1,VLOOKUP(BD$2,활동내용입력!$B$4:$F$63,5,FALSE),""),"")</f>
        <v/>
      </c>
      <c r="DM40" s="41" t="str">
        <f>IFERROR(IF(BE40=1,VLOOKUP(BE$2,활동내용입력!$B$4:$F$63,5,FALSE),""),"")</f>
        <v/>
      </c>
      <c r="DN40" s="41" t="str">
        <f>IFERROR(IF(BF40=1,VLOOKUP(BF$2,활동내용입력!$B$4:$F$63,5,FALSE),""),"")</f>
        <v/>
      </c>
      <c r="DO40" s="41" t="str">
        <f>IFERROR(IF(BG40=1,VLOOKUP(BG$2,활동내용입력!$B$4:$F$63,5,FALSE),""),"")</f>
        <v/>
      </c>
      <c r="DP40" s="41" t="str">
        <f>IFERROR(IF(BH40=1,VLOOKUP(BH$2,활동내용입력!$B$4:$F$63,5,FALSE),""),"")</f>
        <v/>
      </c>
      <c r="DQ40" s="41" t="str">
        <f>IFERROR(IF(BI40=1,VLOOKUP(BI$2,활동내용입력!$B$4:$F$63,5,FALSE),""),"")</f>
        <v/>
      </c>
      <c r="DR40" s="41" t="str">
        <f>IFERROR(IF(BJ40=1,VLOOKUP(BJ$2,활동내용입력!$B$4:$F$63,5,FALSE),""),"")</f>
        <v/>
      </c>
      <c r="DS40" s="41" t="str">
        <f t="shared" si="7"/>
        <v/>
      </c>
      <c r="DT40" s="42">
        <f t="shared" si="6"/>
        <v>0</v>
      </c>
      <c r="DU40" s="34"/>
    </row>
    <row r="41" spans="1:125" x14ac:dyDescent="0.4">
      <c r="A41" s="58">
        <v>37</v>
      </c>
      <c r="B41" s="57"/>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1" t="str">
        <f>IFERROR(IF(C41=1,VLOOKUP(C$2,활동내용입력!$B$4:$F$63,5,FALSE),""),"")</f>
        <v/>
      </c>
      <c r="BL41" s="41" t="str">
        <f>IFERROR(IF(D41=1,VLOOKUP(D$2,활동내용입력!$B$4:$F$63,5,FALSE),""),"")</f>
        <v/>
      </c>
      <c r="BM41" s="41" t="str">
        <f>IFERROR(IF(E41=1,VLOOKUP(E$2,활동내용입력!$B$4:$F$63,5,FALSE),""),"")</f>
        <v/>
      </c>
      <c r="BN41" s="41" t="str">
        <f>IFERROR(IF(F41=1,VLOOKUP(F$2,활동내용입력!$B$4:$F$63,5,FALSE),""),"")</f>
        <v/>
      </c>
      <c r="BO41" s="41" t="str">
        <f>IFERROR(IF(G41=1,VLOOKUP(G$2,활동내용입력!$B$4:$F$63,5,FALSE),""),"")</f>
        <v/>
      </c>
      <c r="BP41" s="41" t="str">
        <f>IFERROR(IF(H41=1,VLOOKUP(H$2,활동내용입력!$B$4:$F$63,5,FALSE),""),"")</f>
        <v/>
      </c>
      <c r="BQ41" s="41" t="str">
        <f>IFERROR(IF(I41=1,VLOOKUP(I$2,활동내용입력!$B$4:$F$63,5,FALSE),""),"")</f>
        <v/>
      </c>
      <c r="BR41" s="41" t="str">
        <f>IFERROR(IF(J41=1,VLOOKUP(J$2,활동내용입력!$B$4:$F$63,5,FALSE),""),"")</f>
        <v/>
      </c>
      <c r="BS41" s="41" t="str">
        <f>IFERROR(IF(K41=1,VLOOKUP(K$2,활동내용입력!$B$4:$F$63,5,FALSE),""),"")</f>
        <v/>
      </c>
      <c r="BT41" s="41" t="str">
        <f>IFERROR(IF(L41=1,VLOOKUP(L$2,활동내용입력!$B$4:$F$63,5,FALSE),""),"")</f>
        <v/>
      </c>
      <c r="BU41" s="41" t="str">
        <f>IFERROR(IF(M41=1,VLOOKUP(M$2,활동내용입력!$B$4:$F$63,5,FALSE),""),"")</f>
        <v/>
      </c>
      <c r="BV41" s="41" t="str">
        <f>IFERROR(IF(N41=1,VLOOKUP(N$2,활동내용입력!$B$4:$F$63,5,FALSE),""),"")</f>
        <v/>
      </c>
      <c r="BW41" s="41" t="str">
        <f>IFERROR(IF(O41=1,VLOOKUP(O$2,활동내용입력!$B$4:$F$63,5,FALSE),""),"")</f>
        <v/>
      </c>
      <c r="BX41" s="41" t="str">
        <f>IFERROR(IF(P41=1,VLOOKUP(P$2,활동내용입력!$B$4:$F$63,5,FALSE),""),"")</f>
        <v/>
      </c>
      <c r="BY41" s="41" t="str">
        <f>IFERROR(IF(Q41=1,VLOOKUP(Q$2,활동내용입력!$B$4:$F$63,5,FALSE),""),"")</f>
        <v/>
      </c>
      <c r="BZ41" s="41" t="str">
        <f>IFERROR(IF(R41=1,VLOOKUP(R$2,활동내용입력!$B$4:$F$63,5,FALSE),""),"")</f>
        <v/>
      </c>
      <c r="CA41" s="41" t="str">
        <f>IFERROR(IF(S41=1,VLOOKUP(S$2,활동내용입력!$B$4:$F$63,5,FALSE),""),"")</f>
        <v/>
      </c>
      <c r="CB41" s="41" t="str">
        <f>IFERROR(IF(T41=1,VLOOKUP(T$2,활동내용입력!$B$4:$F$63,5,FALSE),""),"")</f>
        <v/>
      </c>
      <c r="CC41" s="41" t="str">
        <f>IFERROR(IF(U41=1,VLOOKUP(U$2,활동내용입력!$B$4:$F$63,5,FALSE),""),"")</f>
        <v/>
      </c>
      <c r="CD41" s="41" t="str">
        <f>IFERROR(IF(V41=1,VLOOKUP(V$2,활동내용입력!$B$4:$F$63,5,FALSE),""),"")</f>
        <v/>
      </c>
      <c r="CE41" s="41" t="str">
        <f>IFERROR(IF(W41=1,VLOOKUP(W$2,활동내용입력!$B$4:$F$63,5,FALSE),""),"")</f>
        <v/>
      </c>
      <c r="CF41" s="41" t="str">
        <f>IFERROR(IF(X41=1,VLOOKUP(X$2,활동내용입력!$B$4:$F$63,5,FALSE),""),"")</f>
        <v/>
      </c>
      <c r="CG41" s="41" t="str">
        <f>IFERROR(IF(Y41=1,VLOOKUP(Y$2,활동내용입력!$B$4:$F$63,5,FALSE),""),"")</f>
        <v/>
      </c>
      <c r="CH41" s="41" t="str">
        <f>IFERROR(IF(Z41=1,VLOOKUP(Z$2,활동내용입력!$B$4:$F$63,5,FALSE),""),"")</f>
        <v/>
      </c>
      <c r="CI41" s="41" t="str">
        <f>IFERROR(IF(AA41=1,VLOOKUP(AA$2,활동내용입력!$B$4:$F$63,5,FALSE),""),"")</f>
        <v/>
      </c>
      <c r="CJ41" s="41" t="str">
        <f>IFERROR(IF(AB41=1,VLOOKUP(AB$2,활동내용입력!$B$4:$F$63,5,FALSE),""),"")</f>
        <v/>
      </c>
      <c r="CK41" s="41" t="str">
        <f>IFERROR(IF(AC41=1,VLOOKUP(AC$2,활동내용입력!$B$4:$F$63,5,FALSE),""),"")</f>
        <v/>
      </c>
      <c r="CL41" s="41" t="str">
        <f>IFERROR(IF(AD41=1,VLOOKUP(AD$2,활동내용입력!$B$4:$F$63,5,FALSE),""),"")</f>
        <v/>
      </c>
      <c r="CM41" s="41" t="str">
        <f>IFERROR(IF(AE41=1,VLOOKUP(AE$2,활동내용입력!$B$4:$F$63,5,FALSE),""),"")</f>
        <v/>
      </c>
      <c r="CN41" s="41" t="str">
        <f>IFERROR(IF(AF41=1,VLOOKUP(AF$2,활동내용입력!$B$4:$F$63,5,FALSE),""),"")</f>
        <v/>
      </c>
      <c r="CO41" s="41" t="str">
        <f>IFERROR(IF(AG41=1,VLOOKUP(AG$2,활동내용입력!$B$4:$F$63,5,FALSE),""),"")</f>
        <v/>
      </c>
      <c r="CP41" s="41" t="str">
        <f>IFERROR(IF(AH41=1,VLOOKUP(AH$2,활동내용입력!$B$4:$F$63,5,FALSE),""),"")</f>
        <v/>
      </c>
      <c r="CQ41" s="41" t="str">
        <f>IFERROR(IF(AI41=1,VLOOKUP(AI$2,활동내용입력!$B$4:$F$63,5,FALSE),""),"")</f>
        <v/>
      </c>
      <c r="CR41" s="41" t="str">
        <f>IFERROR(IF(AJ41=1,VLOOKUP(AJ$2,활동내용입력!$B$4:$F$63,5,FALSE),""),"")</f>
        <v/>
      </c>
      <c r="CS41" s="41" t="str">
        <f>IFERROR(IF(AK41=1,VLOOKUP(AK$2,활동내용입력!$B$4:$F$63,5,FALSE),""),"")</f>
        <v/>
      </c>
      <c r="CT41" s="41" t="str">
        <f>IFERROR(IF(AL41=1,VLOOKUP(AL$2,활동내용입력!$B$4:$F$63,5,FALSE),""),"")</f>
        <v/>
      </c>
      <c r="CU41" s="41" t="str">
        <f>IFERROR(IF(AM41=1,VLOOKUP(AM$2,활동내용입력!$B$4:$F$63,5,FALSE),""),"")</f>
        <v/>
      </c>
      <c r="CV41" s="41" t="str">
        <f>IFERROR(IF(AN41=1,VLOOKUP(AN$2,활동내용입력!$B$4:$F$63,5,FALSE),""),"")</f>
        <v/>
      </c>
      <c r="CW41" s="41" t="str">
        <f>IFERROR(IF(AO41=1,VLOOKUP(AO$2,활동내용입력!$B$4:$F$63,5,FALSE),""),"")</f>
        <v/>
      </c>
      <c r="CX41" s="41" t="str">
        <f>IFERROR(IF(AP41=1,VLOOKUP(AP$2,활동내용입력!$B$4:$F$63,5,FALSE),""),"")</f>
        <v/>
      </c>
      <c r="CY41" s="41" t="str">
        <f>IFERROR(IF(AQ41=1,VLOOKUP(AQ$2,활동내용입력!$B$4:$F$63,5,FALSE),""),"")</f>
        <v/>
      </c>
      <c r="CZ41" s="41" t="str">
        <f>IFERROR(IF(AR41=1,VLOOKUP(AR$2,활동내용입력!$B$4:$F$63,5,FALSE),""),"")</f>
        <v/>
      </c>
      <c r="DA41" s="41" t="str">
        <f>IFERROR(IF(AS41=1,VLOOKUP(AS$2,활동내용입력!$B$4:$F$63,5,FALSE),""),"")</f>
        <v/>
      </c>
      <c r="DB41" s="41" t="str">
        <f>IFERROR(IF(AT41=1,VLOOKUP(AT$2,활동내용입력!$B$4:$F$63,5,FALSE),""),"")</f>
        <v/>
      </c>
      <c r="DC41" s="41" t="str">
        <f>IFERROR(IF(AU41=1,VLOOKUP(AU$2,활동내용입력!$B$4:$F$63,5,FALSE),""),"")</f>
        <v/>
      </c>
      <c r="DD41" s="41" t="str">
        <f>IFERROR(IF(AV41=1,VLOOKUP(AV$2,활동내용입력!$B$4:$F$63,5,FALSE),""),"")</f>
        <v/>
      </c>
      <c r="DE41" s="41" t="str">
        <f>IFERROR(IF(AW41=1,VLOOKUP(AW$2,활동내용입력!$B$4:$F$63,5,FALSE),""),"")</f>
        <v/>
      </c>
      <c r="DF41" s="41" t="str">
        <f>IFERROR(IF(AX41=1,VLOOKUP(AX$2,활동내용입력!$B$4:$F$63,5,FALSE),""),"")</f>
        <v/>
      </c>
      <c r="DG41" s="41" t="str">
        <f>IFERROR(IF(AY41=1,VLOOKUP(AY$2,활동내용입력!$B$4:$F$63,5,FALSE),""),"")</f>
        <v/>
      </c>
      <c r="DH41" s="41" t="str">
        <f>IFERROR(IF(AZ41=1,VLOOKUP(AZ$2,활동내용입력!$B$4:$F$63,5,FALSE),""),"")</f>
        <v/>
      </c>
      <c r="DI41" s="41" t="str">
        <f>IFERROR(IF(BA41=1,VLOOKUP(BA$2,활동내용입력!$B$4:$F$63,5,FALSE),""),"")</f>
        <v/>
      </c>
      <c r="DJ41" s="41" t="str">
        <f>IFERROR(IF(BB41=1,VLOOKUP(BB$2,활동내용입력!$B$4:$F$63,5,FALSE),""),"")</f>
        <v/>
      </c>
      <c r="DK41" s="41" t="str">
        <f>IFERROR(IF(BC41=1,VLOOKUP(BC$2,활동내용입력!$B$4:$F$63,5,FALSE),""),"")</f>
        <v/>
      </c>
      <c r="DL41" s="41" t="str">
        <f>IFERROR(IF(BD41=1,VLOOKUP(BD$2,활동내용입력!$B$4:$F$63,5,FALSE),""),"")</f>
        <v/>
      </c>
      <c r="DM41" s="41" t="str">
        <f>IFERROR(IF(BE41=1,VLOOKUP(BE$2,활동내용입력!$B$4:$F$63,5,FALSE),""),"")</f>
        <v/>
      </c>
      <c r="DN41" s="41" t="str">
        <f>IFERROR(IF(BF41=1,VLOOKUP(BF$2,활동내용입력!$B$4:$F$63,5,FALSE),""),"")</f>
        <v/>
      </c>
      <c r="DO41" s="41" t="str">
        <f>IFERROR(IF(BG41=1,VLOOKUP(BG$2,활동내용입력!$B$4:$F$63,5,FALSE),""),"")</f>
        <v/>
      </c>
      <c r="DP41" s="41" t="str">
        <f>IFERROR(IF(BH41=1,VLOOKUP(BH$2,활동내용입력!$B$4:$F$63,5,FALSE),""),"")</f>
        <v/>
      </c>
      <c r="DQ41" s="41" t="str">
        <f>IFERROR(IF(BI41=1,VLOOKUP(BI$2,활동내용입력!$B$4:$F$63,5,FALSE),""),"")</f>
        <v/>
      </c>
      <c r="DR41" s="41" t="str">
        <f>IFERROR(IF(BJ41=1,VLOOKUP(BJ$2,활동내용입력!$B$4:$F$63,5,FALSE),""),"")</f>
        <v/>
      </c>
      <c r="DS41" s="41" t="str">
        <f t="shared" si="7"/>
        <v/>
      </c>
      <c r="DT41" s="42">
        <f t="shared" si="6"/>
        <v>0</v>
      </c>
      <c r="DU41" s="34"/>
    </row>
    <row r="42" spans="1:125" x14ac:dyDescent="0.4">
      <c r="A42" s="58"/>
      <c r="B42" s="57"/>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1" t="str">
        <f>IFERROR(IF(C42=1,VLOOKUP(C$2,활동내용입력!$B$4:$F$63,5,FALSE),""),"")</f>
        <v/>
      </c>
      <c r="BL42" s="41" t="str">
        <f>IFERROR(IF(D42=1,VLOOKUP(D$2,활동내용입력!$B$4:$F$63,5,FALSE),""),"")</f>
        <v/>
      </c>
      <c r="BM42" s="41" t="str">
        <f>IFERROR(IF(E42=1,VLOOKUP(E$2,활동내용입력!$B$4:$F$63,5,FALSE),""),"")</f>
        <v/>
      </c>
      <c r="BN42" s="41" t="str">
        <f>IFERROR(IF(F42=1,VLOOKUP(F$2,활동내용입력!$B$4:$F$63,5,FALSE),""),"")</f>
        <v/>
      </c>
      <c r="BO42" s="41" t="str">
        <f>IFERROR(IF(G42=1,VLOOKUP(G$2,활동내용입력!$B$4:$F$63,5,FALSE),""),"")</f>
        <v/>
      </c>
      <c r="BP42" s="41" t="str">
        <f>IFERROR(IF(H42=1,VLOOKUP(H$2,활동내용입력!$B$4:$F$63,5,FALSE),""),"")</f>
        <v/>
      </c>
      <c r="BQ42" s="41" t="str">
        <f>IFERROR(IF(I42=1,VLOOKUP(I$2,활동내용입력!$B$4:$F$63,5,FALSE),""),"")</f>
        <v/>
      </c>
      <c r="BR42" s="41" t="str">
        <f>IFERROR(IF(J42=1,VLOOKUP(J$2,활동내용입력!$B$4:$F$63,5,FALSE),""),"")</f>
        <v/>
      </c>
      <c r="BS42" s="41" t="str">
        <f>IFERROR(IF(K42=1,VLOOKUP(K$2,활동내용입력!$B$4:$F$63,5,FALSE),""),"")</f>
        <v/>
      </c>
      <c r="BT42" s="41" t="str">
        <f>IFERROR(IF(L42=1,VLOOKUP(L$2,활동내용입력!$B$4:$F$63,5,FALSE),""),"")</f>
        <v/>
      </c>
      <c r="BU42" s="41" t="str">
        <f>IFERROR(IF(M42=1,VLOOKUP(M$2,활동내용입력!$B$4:$F$63,5,FALSE),""),"")</f>
        <v/>
      </c>
      <c r="BV42" s="41" t="str">
        <f>IFERROR(IF(N42=1,VLOOKUP(N$2,활동내용입력!$B$4:$F$63,5,FALSE),""),"")</f>
        <v/>
      </c>
      <c r="BW42" s="41" t="str">
        <f>IFERROR(IF(O42=1,VLOOKUP(O$2,활동내용입력!$B$4:$F$63,5,FALSE),""),"")</f>
        <v/>
      </c>
      <c r="BX42" s="41" t="str">
        <f>IFERROR(IF(P42=1,VLOOKUP(P$2,활동내용입력!$B$4:$F$63,5,FALSE),""),"")</f>
        <v/>
      </c>
      <c r="BY42" s="41" t="str">
        <f>IFERROR(IF(Q42=1,VLOOKUP(Q$2,활동내용입력!$B$4:$F$63,5,FALSE),""),"")</f>
        <v/>
      </c>
      <c r="BZ42" s="41" t="str">
        <f>IFERROR(IF(R42=1,VLOOKUP(R$2,활동내용입력!$B$4:$F$63,5,FALSE),""),"")</f>
        <v/>
      </c>
      <c r="CA42" s="41" t="str">
        <f>IFERROR(IF(S42=1,VLOOKUP(S$2,활동내용입력!$B$4:$F$63,5,FALSE),""),"")</f>
        <v/>
      </c>
      <c r="CB42" s="41" t="str">
        <f>IFERROR(IF(T42=1,VLOOKUP(T$2,활동내용입력!$B$4:$F$63,5,FALSE),""),"")</f>
        <v/>
      </c>
      <c r="CC42" s="41" t="str">
        <f>IFERROR(IF(U42=1,VLOOKUP(U$2,활동내용입력!$B$4:$F$63,5,FALSE),""),"")</f>
        <v/>
      </c>
      <c r="CD42" s="41" t="str">
        <f>IFERROR(IF(V42=1,VLOOKUP(V$2,활동내용입력!$B$4:$F$63,5,FALSE),""),"")</f>
        <v/>
      </c>
      <c r="CE42" s="41" t="str">
        <f>IFERROR(IF(W42=1,VLOOKUP(W$2,활동내용입력!$B$4:$F$63,5,FALSE),""),"")</f>
        <v/>
      </c>
      <c r="CF42" s="41" t="str">
        <f>IFERROR(IF(X42=1,VLOOKUP(X$2,활동내용입력!$B$4:$F$63,5,FALSE),""),"")</f>
        <v/>
      </c>
      <c r="CG42" s="41" t="str">
        <f>IFERROR(IF(Y42=1,VLOOKUP(Y$2,활동내용입력!$B$4:$F$63,5,FALSE),""),"")</f>
        <v/>
      </c>
      <c r="CH42" s="41" t="str">
        <f>IFERROR(IF(Z42=1,VLOOKUP(Z$2,활동내용입력!$B$4:$F$63,5,FALSE),""),"")</f>
        <v/>
      </c>
      <c r="CI42" s="41" t="str">
        <f>IFERROR(IF(AA42=1,VLOOKUP(AA$2,활동내용입력!$B$4:$F$63,5,FALSE),""),"")</f>
        <v/>
      </c>
      <c r="CJ42" s="41" t="str">
        <f>IFERROR(IF(AB42=1,VLOOKUP(AB$2,활동내용입력!$B$4:$F$63,5,FALSE),""),"")</f>
        <v/>
      </c>
      <c r="CK42" s="41" t="str">
        <f>IFERROR(IF(AC42=1,VLOOKUP(AC$2,활동내용입력!$B$4:$F$63,5,FALSE),""),"")</f>
        <v/>
      </c>
      <c r="CL42" s="41" t="str">
        <f>IFERROR(IF(AD42=1,VLOOKUP(AD$2,활동내용입력!$B$4:$F$63,5,FALSE),""),"")</f>
        <v/>
      </c>
      <c r="CM42" s="41" t="str">
        <f>IFERROR(IF(AE42=1,VLOOKUP(AE$2,활동내용입력!$B$4:$F$63,5,FALSE),""),"")</f>
        <v/>
      </c>
      <c r="CN42" s="41" t="str">
        <f>IFERROR(IF(AF42=1,VLOOKUP(AF$2,활동내용입력!$B$4:$F$63,5,FALSE),""),"")</f>
        <v/>
      </c>
      <c r="CO42" s="41" t="str">
        <f>IFERROR(IF(AG42=1,VLOOKUP(AG$2,활동내용입력!$B$4:$F$63,5,FALSE),""),"")</f>
        <v/>
      </c>
      <c r="CP42" s="41" t="str">
        <f>IFERROR(IF(AH42=1,VLOOKUP(AH$2,활동내용입력!$B$4:$F$63,5,FALSE),""),"")</f>
        <v/>
      </c>
      <c r="CQ42" s="41" t="str">
        <f>IFERROR(IF(AI42=1,VLOOKUP(AI$2,활동내용입력!$B$4:$F$63,5,FALSE),""),"")</f>
        <v/>
      </c>
      <c r="CR42" s="41" t="str">
        <f>IFERROR(IF(AJ42=1,VLOOKUP(AJ$2,활동내용입력!$B$4:$F$63,5,FALSE),""),"")</f>
        <v/>
      </c>
      <c r="CS42" s="41" t="str">
        <f>IFERROR(IF(AK42=1,VLOOKUP(AK$2,활동내용입력!$B$4:$F$63,5,FALSE),""),"")</f>
        <v/>
      </c>
      <c r="CT42" s="41" t="str">
        <f>IFERROR(IF(AL42=1,VLOOKUP(AL$2,활동내용입력!$B$4:$F$63,5,FALSE),""),"")</f>
        <v/>
      </c>
      <c r="CU42" s="41" t="str">
        <f>IFERROR(IF(AM42=1,VLOOKUP(AM$2,활동내용입력!$B$4:$F$63,5,FALSE),""),"")</f>
        <v/>
      </c>
      <c r="CV42" s="41" t="str">
        <f>IFERROR(IF(AN42=1,VLOOKUP(AN$2,활동내용입력!$B$4:$F$63,5,FALSE),""),"")</f>
        <v/>
      </c>
      <c r="CW42" s="41" t="str">
        <f>IFERROR(IF(AO42=1,VLOOKUP(AO$2,활동내용입력!$B$4:$F$63,5,FALSE),""),"")</f>
        <v/>
      </c>
      <c r="CX42" s="41" t="str">
        <f>IFERROR(IF(AP42=1,VLOOKUP(AP$2,활동내용입력!$B$4:$F$63,5,FALSE),""),"")</f>
        <v/>
      </c>
      <c r="CY42" s="41" t="str">
        <f>IFERROR(IF(AQ42=1,VLOOKUP(AQ$2,활동내용입력!$B$4:$F$63,5,FALSE),""),"")</f>
        <v/>
      </c>
      <c r="CZ42" s="41" t="str">
        <f>IFERROR(IF(AR42=1,VLOOKUP(AR$2,활동내용입력!$B$4:$F$63,5,FALSE),""),"")</f>
        <v/>
      </c>
      <c r="DA42" s="41" t="str">
        <f>IFERROR(IF(AS42=1,VLOOKUP(AS$2,활동내용입력!$B$4:$F$63,5,FALSE),""),"")</f>
        <v/>
      </c>
      <c r="DB42" s="41" t="str">
        <f>IFERROR(IF(AT42=1,VLOOKUP(AT$2,활동내용입력!$B$4:$F$63,5,FALSE),""),"")</f>
        <v/>
      </c>
      <c r="DC42" s="41" t="str">
        <f>IFERROR(IF(AU42=1,VLOOKUP(AU$2,활동내용입력!$B$4:$F$63,5,FALSE),""),"")</f>
        <v/>
      </c>
      <c r="DD42" s="41" t="str">
        <f>IFERROR(IF(AV42=1,VLOOKUP(AV$2,활동내용입력!$B$4:$F$63,5,FALSE),""),"")</f>
        <v/>
      </c>
      <c r="DE42" s="41" t="str">
        <f>IFERROR(IF(AW42=1,VLOOKUP(AW$2,활동내용입력!$B$4:$F$63,5,FALSE),""),"")</f>
        <v/>
      </c>
      <c r="DF42" s="41" t="str">
        <f>IFERROR(IF(AX42=1,VLOOKUP(AX$2,활동내용입력!$B$4:$F$63,5,FALSE),""),"")</f>
        <v/>
      </c>
      <c r="DG42" s="41" t="str">
        <f>IFERROR(IF(AY42=1,VLOOKUP(AY$2,활동내용입력!$B$4:$F$63,5,FALSE),""),"")</f>
        <v/>
      </c>
      <c r="DH42" s="41" t="str">
        <f>IFERROR(IF(AZ42=1,VLOOKUP(AZ$2,활동내용입력!$B$4:$F$63,5,FALSE),""),"")</f>
        <v/>
      </c>
      <c r="DI42" s="41" t="str">
        <f>IFERROR(IF(BA42=1,VLOOKUP(BA$2,활동내용입력!$B$4:$F$63,5,FALSE),""),"")</f>
        <v/>
      </c>
      <c r="DJ42" s="41" t="str">
        <f>IFERROR(IF(BB42=1,VLOOKUP(BB$2,활동내용입력!$B$4:$F$63,5,FALSE),""),"")</f>
        <v/>
      </c>
      <c r="DK42" s="41" t="str">
        <f>IFERROR(IF(BC42=1,VLOOKUP(BC$2,활동내용입력!$B$4:$F$63,5,FALSE),""),"")</f>
        <v/>
      </c>
      <c r="DL42" s="41" t="str">
        <f>IFERROR(IF(BD42=1,VLOOKUP(BD$2,활동내용입력!$B$4:$F$63,5,FALSE),""),"")</f>
        <v/>
      </c>
      <c r="DM42" s="41" t="str">
        <f>IFERROR(IF(BE42=1,VLOOKUP(BE$2,활동내용입력!$B$4:$F$63,5,FALSE),""),"")</f>
        <v/>
      </c>
      <c r="DN42" s="41" t="str">
        <f>IFERROR(IF(BF42=1,VLOOKUP(BF$2,활동내용입력!$B$4:$F$63,5,FALSE),""),"")</f>
        <v/>
      </c>
      <c r="DO42" s="41" t="str">
        <f>IFERROR(IF(BG42=1,VLOOKUP(BG$2,활동내용입력!$B$4:$F$63,5,FALSE),""),"")</f>
        <v/>
      </c>
      <c r="DP42" s="41" t="str">
        <f>IFERROR(IF(BH42=1,VLOOKUP(BH$2,활동내용입력!$B$4:$F$63,5,FALSE),""),"")</f>
        <v/>
      </c>
      <c r="DQ42" s="41" t="str">
        <f>IFERROR(IF(BI42=1,VLOOKUP(BI$2,활동내용입력!$B$4:$F$63,5,FALSE),""),"")</f>
        <v/>
      </c>
      <c r="DR42" s="41" t="str">
        <f>IFERROR(IF(BJ42=1,VLOOKUP(BJ$2,활동내용입력!$B$4:$F$63,5,FALSE),""),"")</f>
        <v/>
      </c>
      <c r="DS42" s="41" t="str">
        <f t="shared" si="7"/>
        <v/>
      </c>
      <c r="DT42" s="42">
        <f t="shared" si="6"/>
        <v>0</v>
      </c>
      <c r="DU42" s="34"/>
    </row>
    <row r="43" spans="1:125" x14ac:dyDescent="0.4">
      <c r="A43" s="58"/>
      <c r="B43" s="57"/>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1" t="str">
        <f>IFERROR(IF(C43=1,VLOOKUP(C$2,활동내용입력!$B$4:$F$63,5,FALSE),""),"")</f>
        <v/>
      </c>
      <c r="BL43" s="41" t="str">
        <f>IFERROR(IF(D43=1,VLOOKUP(D$2,활동내용입력!$B$4:$F$63,5,FALSE),""),"")</f>
        <v/>
      </c>
      <c r="BM43" s="41" t="str">
        <f>IFERROR(IF(E43=1,VLOOKUP(E$2,활동내용입력!$B$4:$F$63,5,FALSE),""),"")</f>
        <v/>
      </c>
      <c r="BN43" s="41" t="str">
        <f>IFERROR(IF(F43=1,VLOOKUP(F$2,활동내용입력!$B$4:$F$63,5,FALSE),""),"")</f>
        <v/>
      </c>
      <c r="BO43" s="41" t="str">
        <f>IFERROR(IF(G43=1,VLOOKUP(G$2,활동내용입력!$B$4:$F$63,5,FALSE),""),"")</f>
        <v/>
      </c>
      <c r="BP43" s="41" t="str">
        <f>IFERROR(IF(H43=1,VLOOKUP(H$2,활동내용입력!$B$4:$F$63,5,FALSE),""),"")</f>
        <v/>
      </c>
      <c r="BQ43" s="41" t="str">
        <f>IFERROR(IF(I43=1,VLOOKUP(I$2,활동내용입력!$B$4:$F$63,5,FALSE),""),"")</f>
        <v/>
      </c>
      <c r="BR43" s="41" t="str">
        <f>IFERROR(IF(J43=1,VLOOKUP(J$2,활동내용입력!$B$4:$F$63,5,FALSE),""),"")</f>
        <v/>
      </c>
      <c r="BS43" s="41" t="str">
        <f>IFERROR(IF(K43=1,VLOOKUP(K$2,활동내용입력!$B$4:$F$63,5,FALSE),""),"")</f>
        <v/>
      </c>
      <c r="BT43" s="41" t="str">
        <f>IFERROR(IF(L43=1,VLOOKUP(L$2,활동내용입력!$B$4:$F$63,5,FALSE),""),"")</f>
        <v/>
      </c>
      <c r="BU43" s="41" t="str">
        <f>IFERROR(IF(M43=1,VLOOKUP(M$2,활동내용입력!$B$4:$F$63,5,FALSE),""),"")</f>
        <v/>
      </c>
      <c r="BV43" s="41" t="str">
        <f>IFERROR(IF(N43=1,VLOOKUP(N$2,활동내용입력!$B$4:$F$63,5,FALSE),""),"")</f>
        <v/>
      </c>
      <c r="BW43" s="41" t="str">
        <f>IFERROR(IF(O43=1,VLOOKUP(O$2,활동내용입력!$B$4:$F$63,5,FALSE),""),"")</f>
        <v/>
      </c>
      <c r="BX43" s="41" t="str">
        <f>IFERROR(IF(P43=1,VLOOKUP(P$2,활동내용입력!$B$4:$F$63,5,FALSE),""),"")</f>
        <v/>
      </c>
      <c r="BY43" s="41" t="str">
        <f>IFERROR(IF(Q43=1,VLOOKUP(Q$2,활동내용입력!$B$4:$F$63,5,FALSE),""),"")</f>
        <v/>
      </c>
      <c r="BZ43" s="41" t="str">
        <f>IFERROR(IF(R43=1,VLOOKUP(R$2,활동내용입력!$B$4:$F$63,5,FALSE),""),"")</f>
        <v/>
      </c>
      <c r="CA43" s="41" t="str">
        <f>IFERROR(IF(S43=1,VLOOKUP(S$2,활동내용입력!$B$4:$F$63,5,FALSE),""),"")</f>
        <v/>
      </c>
      <c r="CB43" s="41" t="str">
        <f>IFERROR(IF(T43=1,VLOOKUP(T$2,활동내용입력!$B$4:$F$63,5,FALSE),""),"")</f>
        <v/>
      </c>
      <c r="CC43" s="41" t="str">
        <f>IFERROR(IF(U43=1,VLOOKUP(U$2,활동내용입력!$B$4:$F$63,5,FALSE),""),"")</f>
        <v/>
      </c>
      <c r="CD43" s="41" t="str">
        <f>IFERROR(IF(V43=1,VLOOKUP(V$2,활동내용입력!$B$4:$F$63,5,FALSE),""),"")</f>
        <v/>
      </c>
      <c r="CE43" s="41" t="str">
        <f>IFERROR(IF(W43=1,VLOOKUP(W$2,활동내용입력!$B$4:$F$63,5,FALSE),""),"")</f>
        <v/>
      </c>
      <c r="CF43" s="41" t="str">
        <f>IFERROR(IF(X43=1,VLOOKUP(X$2,활동내용입력!$B$4:$F$63,5,FALSE),""),"")</f>
        <v/>
      </c>
      <c r="CG43" s="41" t="str">
        <f>IFERROR(IF(Y43=1,VLOOKUP(Y$2,활동내용입력!$B$4:$F$63,5,FALSE),""),"")</f>
        <v/>
      </c>
      <c r="CH43" s="41" t="str">
        <f>IFERROR(IF(Z43=1,VLOOKUP(Z$2,활동내용입력!$B$4:$F$63,5,FALSE),""),"")</f>
        <v/>
      </c>
      <c r="CI43" s="41" t="str">
        <f>IFERROR(IF(AA43=1,VLOOKUP(AA$2,활동내용입력!$B$4:$F$63,5,FALSE),""),"")</f>
        <v/>
      </c>
      <c r="CJ43" s="41" t="str">
        <f>IFERROR(IF(AB43=1,VLOOKUP(AB$2,활동내용입력!$B$4:$F$63,5,FALSE),""),"")</f>
        <v/>
      </c>
      <c r="CK43" s="41" t="str">
        <f>IFERROR(IF(AC43=1,VLOOKUP(AC$2,활동내용입력!$B$4:$F$63,5,FALSE),""),"")</f>
        <v/>
      </c>
      <c r="CL43" s="41" t="str">
        <f>IFERROR(IF(AD43=1,VLOOKUP(AD$2,활동내용입력!$B$4:$F$63,5,FALSE),""),"")</f>
        <v/>
      </c>
      <c r="CM43" s="41" t="str">
        <f>IFERROR(IF(AE43=1,VLOOKUP(AE$2,활동내용입력!$B$4:$F$63,5,FALSE),""),"")</f>
        <v/>
      </c>
      <c r="CN43" s="41" t="str">
        <f>IFERROR(IF(AF43=1,VLOOKUP(AF$2,활동내용입력!$B$4:$F$63,5,FALSE),""),"")</f>
        <v/>
      </c>
      <c r="CO43" s="41" t="str">
        <f>IFERROR(IF(AG43=1,VLOOKUP(AG$2,활동내용입력!$B$4:$F$63,5,FALSE),""),"")</f>
        <v/>
      </c>
      <c r="CP43" s="41" t="str">
        <f>IFERROR(IF(AH43=1,VLOOKUP(AH$2,활동내용입력!$B$4:$F$63,5,FALSE),""),"")</f>
        <v/>
      </c>
      <c r="CQ43" s="41" t="str">
        <f>IFERROR(IF(AI43=1,VLOOKUP(AI$2,활동내용입력!$B$4:$F$63,5,FALSE),""),"")</f>
        <v/>
      </c>
      <c r="CR43" s="41" t="str">
        <f>IFERROR(IF(AJ43=1,VLOOKUP(AJ$2,활동내용입력!$B$4:$F$63,5,FALSE),""),"")</f>
        <v/>
      </c>
      <c r="CS43" s="41" t="str">
        <f>IFERROR(IF(AK43=1,VLOOKUP(AK$2,활동내용입력!$B$4:$F$63,5,FALSE),""),"")</f>
        <v/>
      </c>
      <c r="CT43" s="41" t="str">
        <f>IFERROR(IF(AL43=1,VLOOKUP(AL$2,활동내용입력!$B$4:$F$63,5,FALSE),""),"")</f>
        <v/>
      </c>
      <c r="CU43" s="41" t="str">
        <f>IFERROR(IF(AM43=1,VLOOKUP(AM$2,활동내용입력!$B$4:$F$63,5,FALSE),""),"")</f>
        <v/>
      </c>
      <c r="CV43" s="41" t="str">
        <f>IFERROR(IF(AN43=1,VLOOKUP(AN$2,활동내용입력!$B$4:$F$63,5,FALSE),""),"")</f>
        <v/>
      </c>
      <c r="CW43" s="41" t="str">
        <f>IFERROR(IF(AO43=1,VLOOKUP(AO$2,활동내용입력!$B$4:$F$63,5,FALSE),""),"")</f>
        <v/>
      </c>
      <c r="CX43" s="41" t="str">
        <f>IFERROR(IF(AP43=1,VLOOKUP(AP$2,활동내용입력!$B$4:$F$63,5,FALSE),""),"")</f>
        <v/>
      </c>
      <c r="CY43" s="41" t="str">
        <f>IFERROR(IF(AQ43=1,VLOOKUP(AQ$2,활동내용입력!$B$4:$F$63,5,FALSE),""),"")</f>
        <v/>
      </c>
      <c r="CZ43" s="41" t="str">
        <f>IFERROR(IF(AR43=1,VLOOKUP(AR$2,활동내용입력!$B$4:$F$63,5,FALSE),""),"")</f>
        <v/>
      </c>
      <c r="DA43" s="41" t="str">
        <f>IFERROR(IF(AS43=1,VLOOKUP(AS$2,활동내용입력!$B$4:$F$63,5,FALSE),""),"")</f>
        <v/>
      </c>
      <c r="DB43" s="41" t="str">
        <f>IFERROR(IF(AT43=1,VLOOKUP(AT$2,활동내용입력!$B$4:$F$63,5,FALSE),""),"")</f>
        <v/>
      </c>
      <c r="DC43" s="41" t="str">
        <f>IFERROR(IF(AU43=1,VLOOKUP(AU$2,활동내용입력!$B$4:$F$63,5,FALSE),""),"")</f>
        <v/>
      </c>
      <c r="DD43" s="41" t="str">
        <f>IFERROR(IF(AV43=1,VLOOKUP(AV$2,활동내용입력!$B$4:$F$63,5,FALSE),""),"")</f>
        <v/>
      </c>
      <c r="DE43" s="41" t="str">
        <f>IFERROR(IF(AW43=1,VLOOKUP(AW$2,활동내용입력!$B$4:$F$63,5,FALSE),""),"")</f>
        <v/>
      </c>
      <c r="DF43" s="41" t="str">
        <f>IFERROR(IF(AX43=1,VLOOKUP(AX$2,활동내용입력!$B$4:$F$63,5,FALSE),""),"")</f>
        <v/>
      </c>
      <c r="DG43" s="41" t="str">
        <f>IFERROR(IF(AY43=1,VLOOKUP(AY$2,활동내용입력!$B$4:$F$63,5,FALSE),""),"")</f>
        <v/>
      </c>
      <c r="DH43" s="41" t="str">
        <f>IFERROR(IF(AZ43=1,VLOOKUP(AZ$2,활동내용입력!$B$4:$F$63,5,FALSE),""),"")</f>
        <v/>
      </c>
      <c r="DI43" s="41" t="str">
        <f>IFERROR(IF(BA43=1,VLOOKUP(BA$2,활동내용입력!$B$4:$F$63,5,FALSE),""),"")</f>
        <v/>
      </c>
      <c r="DJ43" s="41" t="str">
        <f>IFERROR(IF(BB43=1,VLOOKUP(BB$2,활동내용입력!$B$4:$F$63,5,FALSE),""),"")</f>
        <v/>
      </c>
      <c r="DK43" s="41" t="str">
        <f>IFERROR(IF(BC43=1,VLOOKUP(BC$2,활동내용입력!$B$4:$F$63,5,FALSE),""),"")</f>
        <v/>
      </c>
      <c r="DL43" s="41" t="str">
        <f>IFERROR(IF(BD43=1,VLOOKUP(BD$2,활동내용입력!$B$4:$F$63,5,FALSE),""),"")</f>
        <v/>
      </c>
      <c r="DM43" s="41" t="str">
        <f>IFERROR(IF(BE43=1,VLOOKUP(BE$2,활동내용입력!$B$4:$F$63,5,FALSE),""),"")</f>
        <v/>
      </c>
      <c r="DN43" s="41" t="str">
        <f>IFERROR(IF(BF43=1,VLOOKUP(BF$2,활동내용입력!$B$4:$F$63,5,FALSE),""),"")</f>
        <v/>
      </c>
      <c r="DO43" s="41" t="str">
        <f>IFERROR(IF(BG43=1,VLOOKUP(BG$2,활동내용입력!$B$4:$F$63,5,FALSE),""),"")</f>
        <v/>
      </c>
      <c r="DP43" s="41" t="str">
        <f>IFERROR(IF(BH43=1,VLOOKUP(BH$2,활동내용입력!$B$4:$F$63,5,FALSE),""),"")</f>
        <v/>
      </c>
      <c r="DQ43" s="41" t="str">
        <f>IFERROR(IF(BI43=1,VLOOKUP(BI$2,활동내용입력!$B$4:$F$63,5,FALSE),""),"")</f>
        <v/>
      </c>
      <c r="DR43" s="41" t="str">
        <f>IFERROR(IF(BJ43=1,VLOOKUP(BJ$2,활동내용입력!$B$4:$F$63,5,FALSE),""),"")</f>
        <v/>
      </c>
      <c r="DS43" s="41" t="str">
        <f t="shared" si="7"/>
        <v/>
      </c>
      <c r="DT43" s="42">
        <f t="shared" si="6"/>
        <v>0</v>
      </c>
      <c r="DU43" s="34"/>
    </row>
    <row r="44" spans="1:125" x14ac:dyDescent="0.4">
      <c r="A44" s="58"/>
      <c r="B44" s="57"/>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1" t="str">
        <f>IFERROR(IF(C44=1,VLOOKUP(C$2,활동내용입력!$B$4:$F$63,5,FALSE),""),"")</f>
        <v/>
      </c>
      <c r="BL44" s="41" t="str">
        <f>IFERROR(IF(D44=1,VLOOKUP(D$2,활동내용입력!$B$4:$F$63,5,FALSE),""),"")</f>
        <v/>
      </c>
      <c r="BM44" s="41" t="str">
        <f>IFERROR(IF(E44=1,VLOOKUP(E$2,활동내용입력!$B$4:$F$63,5,FALSE),""),"")</f>
        <v/>
      </c>
      <c r="BN44" s="41" t="str">
        <f>IFERROR(IF(F44=1,VLOOKUP(F$2,활동내용입력!$B$4:$F$63,5,FALSE),""),"")</f>
        <v/>
      </c>
      <c r="BO44" s="41" t="str">
        <f>IFERROR(IF(G44=1,VLOOKUP(G$2,활동내용입력!$B$4:$F$63,5,FALSE),""),"")</f>
        <v/>
      </c>
      <c r="BP44" s="41" t="str">
        <f>IFERROR(IF(H44=1,VLOOKUP(H$2,활동내용입력!$B$4:$F$63,5,FALSE),""),"")</f>
        <v/>
      </c>
      <c r="BQ44" s="41" t="str">
        <f>IFERROR(IF(I44=1,VLOOKUP(I$2,활동내용입력!$B$4:$F$63,5,FALSE),""),"")</f>
        <v/>
      </c>
      <c r="BR44" s="41" t="str">
        <f>IFERROR(IF(J44=1,VLOOKUP(J$2,활동내용입력!$B$4:$F$63,5,FALSE),""),"")</f>
        <v/>
      </c>
      <c r="BS44" s="41" t="str">
        <f>IFERROR(IF(K44=1,VLOOKUP(K$2,활동내용입력!$B$4:$F$63,5,FALSE),""),"")</f>
        <v/>
      </c>
      <c r="BT44" s="41" t="str">
        <f>IFERROR(IF(L44=1,VLOOKUP(L$2,활동내용입력!$B$4:$F$63,5,FALSE),""),"")</f>
        <v/>
      </c>
      <c r="BU44" s="41" t="str">
        <f>IFERROR(IF(M44=1,VLOOKUP(M$2,활동내용입력!$B$4:$F$63,5,FALSE),""),"")</f>
        <v/>
      </c>
      <c r="BV44" s="41" t="str">
        <f>IFERROR(IF(N44=1,VLOOKUP(N$2,활동내용입력!$B$4:$F$63,5,FALSE),""),"")</f>
        <v/>
      </c>
      <c r="BW44" s="41" t="str">
        <f>IFERROR(IF(O44=1,VLOOKUP(O$2,활동내용입력!$B$4:$F$63,5,FALSE),""),"")</f>
        <v/>
      </c>
      <c r="BX44" s="41" t="str">
        <f>IFERROR(IF(P44=1,VLOOKUP(P$2,활동내용입력!$B$4:$F$63,5,FALSE),""),"")</f>
        <v/>
      </c>
      <c r="BY44" s="41" t="str">
        <f>IFERROR(IF(Q44=1,VLOOKUP(Q$2,활동내용입력!$B$4:$F$63,5,FALSE),""),"")</f>
        <v/>
      </c>
      <c r="BZ44" s="41" t="str">
        <f>IFERROR(IF(R44=1,VLOOKUP(R$2,활동내용입력!$B$4:$F$63,5,FALSE),""),"")</f>
        <v/>
      </c>
      <c r="CA44" s="41" t="str">
        <f>IFERROR(IF(S44=1,VLOOKUP(S$2,활동내용입력!$B$4:$F$63,5,FALSE),""),"")</f>
        <v/>
      </c>
      <c r="CB44" s="41" t="str">
        <f>IFERROR(IF(T44=1,VLOOKUP(T$2,활동내용입력!$B$4:$F$63,5,FALSE),""),"")</f>
        <v/>
      </c>
      <c r="CC44" s="41" t="str">
        <f>IFERROR(IF(U44=1,VLOOKUP(U$2,활동내용입력!$B$4:$F$63,5,FALSE),""),"")</f>
        <v/>
      </c>
      <c r="CD44" s="41" t="str">
        <f>IFERROR(IF(V44=1,VLOOKUP(V$2,활동내용입력!$B$4:$F$63,5,FALSE),""),"")</f>
        <v/>
      </c>
      <c r="CE44" s="41" t="str">
        <f>IFERROR(IF(W44=1,VLOOKUP(W$2,활동내용입력!$B$4:$F$63,5,FALSE),""),"")</f>
        <v/>
      </c>
      <c r="CF44" s="41" t="str">
        <f>IFERROR(IF(X44=1,VLOOKUP(X$2,활동내용입력!$B$4:$F$63,5,FALSE),""),"")</f>
        <v/>
      </c>
      <c r="CG44" s="41" t="str">
        <f>IFERROR(IF(Y44=1,VLOOKUP(Y$2,활동내용입력!$B$4:$F$63,5,FALSE),""),"")</f>
        <v/>
      </c>
      <c r="CH44" s="41" t="str">
        <f>IFERROR(IF(Z44=1,VLOOKUP(Z$2,활동내용입력!$B$4:$F$63,5,FALSE),""),"")</f>
        <v/>
      </c>
      <c r="CI44" s="41" t="str">
        <f>IFERROR(IF(AA44=1,VLOOKUP(AA$2,활동내용입력!$B$4:$F$63,5,FALSE),""),"")</f>
        <v/>
      </c>
      <c r="CJ44" s="41" t="str">
        <f>IFERROR(IF(AB44=1,VLOOKUP(AB$2,활동내용입력!$B$4:$F$63,5,FALSE),""),"")</f>
        <v/>
      </c>
      <c r="CK44" s="41" t="str">
        <f>IFERROR(IF(AC44=1,VLOOKUP(AC$2,활동내용입력!$B$4:$F$63,5,FALSE),""),"")</f>
        <v/>
      </c>
      <c r="CL44" s="41" t="str">
        <f>IFERROR(IF(AD44=1,VLOOKUP(AD$2,활동내용입력!$B$4:$F$63,5,FALSE),""),"")</f>
        <v/>
      </c>
      <c r="CM44" s="41" t="str">
        <f>IFERROR(IF(AE44=1,VLOOKUP(AE$2,활동내용입력!$B$4:$F$63,5,FALSE),""),"")</f>
        <v/>
      </c>
      <c r="CN44" s="41" t="str">
        <f>IFERROR(IF(AF44=1,VLOOKUP(AF$2,활동내용입력!$B$4:$F$63,5,FALSE),""),"")</f>
        <v/>
      </c>
      <c r="CO44" s="41" t="str">
        <f>IFERROR(IF(AG44=1,VLOOKUP(AG$2,활동내용입력!$B$4:$F$63,5,FALSE),""),"")</f>
        <v/>
      </c>
      <c r="CP44" s="41" t="str">
        <f>IFERROR(IF(AH44=1,VLOOKUP(AH$2,활동내용입력!$B$4:$F$63,5,FALSE),""),"")</f>
        <v/>
      </c>
      <c r="CQ44" s="41" t="str">
        <f>IFERROR(IF(AI44=1,VLOOKUP(AI$2,활동내용입력!$B$4:$F$63,5,FALSE),""),"")</f>
        <v/>
      </c>
      <c r="CR44" s="41" t="str">
        <f>IFERROR(IF(AJ44=1,VLOOKUP(AJ$2,활동내용입력!$B$4:$F$63,5,FALSE),""),"")</f>
        <v/>
      </c>
      <c r="CS44" s="41" t="str">
        <f>IFERROR(IF(AK44=1,VLOOKUP(AK$2,활동내용입력!$B$4:$F$63,5,FALSE),""),"")</f>
        <v/>
      </c>
      <c r="CT44" s="41" t="str">
        <f>IFERROR(IF(AL44=1,VLOOKUP(AL$2,활동내용입력!$B$4:$F$63,5,FALSE),""),"")</f>
        <v/>
      </c>
      <c r="CU44" s="41" t="str">
        <f>IFERROR(IF(AM44=1,VLOOKUP(AM$2,활동내용입력!$B$4:$F$63,5,FALSE),""),"")</f>
        <v/>
      </c>
      <c r="CV44" s="41" t="str">
        <f>IFERROR(IF(AN44=1,VLOOKUP(AN$2,활동내용입력!$B$4:$F$63,5,FALSE),""),"")</f>
        <v/>
      </c>
      <c r="CW44" s="41" t="str">
        <f>IFERROR(IF(AO44=1,VLOOKUP(AO$2,활동내용입력!$B$4:$F$63,5,FALSE),""),"")</f>
        <v/>
      </c>
      <c r="CX44" s="41" t="str">
        <f>IFERROR(IF(AP44=1,VLOOKUP(AP$2,활동내용입력!$B$4:$F$63,5,FALSE),""),"")</f>
        <v/>
      </c>
      <c r="CY44" s="41" t="str">
        <f>IFERROR(IF(AQ44=1,VLOOKUP(AQ$2,활동내용입력!$B$4:$F$63,5,FALSE),""),"")</f>
        <v/>
      </c>
      <c r="CZ44" s="41" t="str">
        <f>IFERROR(IF(AR44=1,VLOOKUP(AR$2,활동내용입력!$B$4:$F$63,5,FALSE),""),"")</f>
        <v/>
      </c>
      <c r="DA44" s="41" t="str">
        <f>IFERROR(IF(AS44=1,VLOOKUP(AS$2,활동내용입력!$B$4:$F$63,5,FALSE),""),"")</f>
        <v/>
      </c>
      <c r="DB44" s="41" t="str">
        <f>IFERROR(IF(AT44=1,VLOOKUP(AT$2,활동내용입력!$B$4:$F$63,5,FALSE),""),"")</f>
        <v/>
      </c>
      <c r="DC44" s="41" t="str">
        <f>IFERROR(IF(AU44=1,VLOOKUP(AU$2,활동내용입력!$B$4:$F$63,5,FALSE),""),"")</f>
        <v/>
      </c>
      <c r="DD44" s="41" t="str">
        <f>IFERROR(IF(AV44=1,VLOOKUP(AV$2,활동내용입력!$B$4:$F$63,5,FALSE),""),"")</f>
        <v/>
      </c>
      <c r="DE44" s="41" t="str">
        <f>IFERROR(IF(AW44=1,VLOOKUP(AW$2,활동내용입력!$B$4:$F$63,5,FALSE),""),"")</f>
        <v/>
      </c>
      <c r="DF44" s="41" t="str">
        <f>IFERROR(IF(AX44=1,VLOOKUP(AX$2,활동내용입력!$B$4:$F$63,5,FALSE),""),"")</f>
        <v/>
      </c>
      <c r="DG44" s="41" t="str">
        <f>IFERROR(IF(AY44=1,VLOOKUP(AY$2,활동내용입력!$B$4:$F$63,5,FALSE),""),"")</f>
        <v/>
      </c>
      <c r="DH44" s="41" t="str">
        <f>IFERROR(IF(AZ44=1,VLOOKUP(AZ$2,활동내용입력!$B$4:$F$63,5,FALSE),""),"")</f>
        <v/>
      </c>
      <c r="DI44" s="41" t="str">
        <f>IFERROR(IF(BA44=1,VLOOKUP(BA$2,활동내용입력!$B$4:$F$63,5,FALSE),""),"")</f>
        <v/>
      </c>
      <c r="DJ44" s="41" t="str">
        <f>IFERROR(IF(BB44=1,VLOOKUP(BB$2,활동내용입력!$B$4:$F$63,5,FALSE),""),"")</f>
        <v/>
      </c>
      <c r="DK44" s="41" t="str">
        <f>IFERROR(IF(BC44=1,VLOOKUP(BC$2,활동내용입력!$B$4:$F$63,5,FALSE),""),"")</f>
        <v/>
      </c>
      <c r="DL44" s="41" t="str">
        <f>IFERROR(IF(BD44=1,VLOOKUP(BD$2,활동내용입력!$B$4:$F$63,5,FALSE),""),"")</f>
        <v/>
      </c>
      <c r="DM44" s="41" t="str">
        <f>IFERROR(IF(BE44=1,VLOOKUP(BE$2,활동내용입력!$B$4:$F$63,5,FALSE),""),"")</f>
        <v/>
      </c>
      <c r="DN44" s="41" t="str">
        <f>IFERROR(IF(BF44=1,VLOOKUP(BF$2,활동내용입력!$B$4:$F$63,5,FALSE),""),"")</f>
        <v/>
      </c>
      <c r="DO44" s="41" t="str">
        <f>IFERROR(IF(BG44=1,VLOOKUP(BG$2,활동내용입력!$B$4:$F$63,5,FALSE),""),"")</f>
        <v/>
      </c>
      <c r="DP44" s="41" t="str">
        <f>IFERROR(IF(BH44=1,VLOOKUP(BH$2,활동내용입력!$B$4:$F$63,5,FALSE),""),"")</f>
        <v/>
      </c>
      <c r="DQ44" s="41" t="str">
        <f>IFERROR(IF(BI44=1,VLOOKUP(BI$2,활동내용입력!$B$4:$F$63,5,FALSE),""),"")</f>
        <v/>
      </c>
      <c r="DR44" s="41" t="str">
        <f>IFERROR(IF(BJ44=1,VLOOKUP(BJ$2,활동내용입력!$B$4:$F$63,5,FALSE),""),"")</f>
        <v/>
      </c>
      <c r="DS44" s="41" t="str">
        <f t="shared" si="7"/>
        <v/>
      </c>
      <c r="DT44" s="42">
        <f t="shared" si="6"/>
        <v>0</v>
      </c>
      <c r="DU44" s="34"/>
    </row>
  </sheetData>
  <sheetProtection password="C6CC" sheet="1" objects="1" scenarios="1" selectLockedCells="1"/>
  <mergeCells count="6">
    <mergeCell ref="DT2:DT4"/>
    <mergeCell ref="A3:A4"/>
    <mergeCell ref="C1:N1"/>
    <mergeCell ref="B3:B4"/>
    <mergeCell ref="AP1:BJ1"/>
    <mergeCell ref="O1:AO1"/>
  </mergeCells>
  <phoneticPr fontId="2" type="noConversion"/>
  <printOptions horizontalCentered="1" verticalCentered="1"/>
  <pageMargins left="0.70866141732283472" right="0.70866141732283472" top="0.38" bottom="0.23622047244094491" header="0.31496062992125984" footer="0.15748031496062992"/>
  <pageSetup paperSize="9" scale="65"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rgb="FFFF0000"/>
  </sheetPr>
  <dimension ref="B1:G44"/>
  <sheetViews>
    <sheetView showZeros="0" tabSelected="1" workbookViewId="0">
      <pane xSplit="3" ySplit="4" topLeftCell="D20" activePane="bottomRight" state="frozen"/>
      <selection pane="topRight" activeCell="E1" sqref="E1"/>
      <selection pane="bottomLeft" activeCell="A4" sqref="A4"/>
      <selection pane="bottomRight" activeCell="D20" sqref="D20"/>
    </sheetView>
  </sheetViews>
  <sheetFormatPr defaultColWidth="9" defaultRowHeight="17.399999999999999" x14ac:dyDescent="0.4"/>
  <cols>
    <col min="1" max="1" width="5.5" style="1" customWidth="1"/>
    <col min="2" max="2" width="4.69921875" style="4" customWidth="1"/>
    <col min="3" max="3" width="8.8984375" style="4" customWidth="1"/>
    <col min="4" max="4" width="70.59765625" style="3" customWidth="1"/>
    <col min="5" max="5" width="9.09765625" style="1" hidden="1" customWidth="1"/>
    <col min="6" max="6" width="6.8984375" style="28" customWidth="1"/>
    <col min="7" max="7" width="27.5" style="1" customWidth="1"/>
    <col min="8" max="16384" width="9" style="1"/>
  </cols>
  <sheetData>
    <row r="1" spans="2:7" ht="22.5" customHeight="1" x14ac:dyDescent="0.4">
      <c r="B1" s="80" t="s">
        <v>108</v>
      </c>
      <c r="C1" s="80"/>
      <c r="D1" s="80"/>
      <c r="E1" s="80"/>
      <c r="F1" s="80"/>
      <c r="G1" s="27" t="s">
        <v>46</v>
      </c>
    </row>
    <row r="2" spans="2:7" ht="51" customHeight="1" x14ac:dyDescent="0.4">
      <c r="B2" s="81" t="s">
        <v>107</v>
      </c>
      <c r="C2" s="81"/>
      <c r="D2" s="81"/>
      <c r="E2" s="81"/>
      <c r="F2" s="81"/>
      <c r="G2" s="19"/>
    </row>
    <row r="3" spans="2:7" ht="31.5" customHeight="1" x14ac:dyDescent="0.4">
      <c r="B3" s="82" t="s">
        <v>48</v>
      </c>
      <c r="C3" s="82"/>
      <c r="D3" s="82"/>
      <c r="E3" s="82"/>
      <c r="F3" s="82"/>
    </row>
    <row r="4" spans="2:7" ht="26.4" x14ac:dyDescent="0.4">
      <c r="B4" s="5" t="s">
        <v>0</v>
      </c>
      <c r="C4" s="5" t="s">
        <v>38</v>
      </c>
      <c r="D4" s="6" t="s">
        <v>42</v>
      </c>
      <c r="E4" s="5" t="s">
        <v>45</v>
      </c>
      <c r="F4" s="29" t="s">
        <v>47</v>
      </c>
    </row>
    <row r="5" spans="2:7" ht="118.8" x14ac:dyDescent="0.4">
      <c r="B5" s="2">
        <f>활동항목선택!A5</f>
        <v>1</v>
      </c>
      <c r="C5" s="2" t="str">
        <f>활동항목선택!B5</f>
        <v>구자현</v>
      </c>
      <c r="D5" s="49" t="s">
        <v>247</v>
      </c>
      <c r="E5" s="18" t="str">
        <f>활동항목선택!DS5</f>
        <v xml:space="preserve">멀티미디어 자료를 활용하는 기본적인 방법과 응용 방법을 이해하고 있으며, 안드로이드 프로그램에서 음악과 사진 등의 멀티미디어 자료를 적절하게 활용함.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지적 호기심이 풍부하여 프로그램 개발 과정에서 새로운 해결방법을 발견하고 적용하는 것을 좋아함.
●●● 안드로이드 앱을 개발함.
</v>
      </c>
      <c r="F5" s="30">
        <f>IF((활동항목선택!DT5+COUNT(#REF!))=0,"",(활동항목선택!DT5+COUNT(#REF!)))</f>
        <v>5</v>
      </c>
    </row>
    <row r="6" spans="2:7" ht="118.8" x14ac:dyDescent="0.4">
      <c r="B6" s="2">
        <f>활동항목선택!A6</f>
        <v>2</v>
      </c>
      <c r="C6" s="2" t="str">
        <f>활동항목선택!B6</f>
        <v>김정현</v>
      </c>
      <c r="D6" s="49" t="s">
        <v>229</v>
      </c>
      <c r="E6" s="18" t="str">
        <f>활동항목선택!DS6</f>
        <v xml:space="preserve">File을 생성하여 데이터를 저장하는 방법과 File에서 데이터를 불러와 활용하는 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안드로이드 앱 개발에 흥미와 호기심을 가지고 수업시간 전 과정에 적극적으로 참여함.
●●● 안드로이드 앱을 개발함.
안드로이드 앱 개발에 관련된 산출물 제작 방법을 다른 사람들에게 체계적으로 설명함.
</v>
      </c>
      <c r="F6" s="30">
        <f>IF((활동항목선택!DT6+COUNT(#REF!))=0,"",(활동항목선택!DT6+COUNT(#REF!)))</f>
        <v>6</v>
      </c>
    </row>
    <row r="7" spans="2:7" ht="158.4" x14ac:dyDescent="0.4">
      <c r="B7" s="2">
        <f>활동항목선택!A7</f>
        <v>3</v>
      </c>
      <c r="C7" s="2" t="str">
        <f>활동항목선택!B7</f>
        <v>김아진</v>
      </c>
      <c r="D7" s="49" t="s">
        <v>230</v>
      </c>
      <c r="E7" s="18" t="str">
        <f>활동항목선택!DS7</f>
        <v xml:space="preserve">SQLite Database의 작동 방식을 정확하게 이해하고 있고 데이터베이스를 활용하여 데이터를 저장하고 출력하는 상황에 대한 문제해결능력이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v>
      </c>
      <c r="F7" s="30">
        <f>IF((활동항목선택!DT7+COUNT(#REF!))=0,"",(활동항목선택!DT7+COUNT(#REF!)))</f>
        <v>6</v>
      </c>
    </row>
    <row r="8" spans="2:7" ht="118.8" x14ac:dyDescent="0.4">
      <c r="B8" s="2">
        <f>활동항목선택!A8</f>
        <v>4</v>
      </c>
      <c r="C8" s="2" t="e">
        <f>활동항목선택!#REF!</f>
        <v>#REF!</v>
      </c>
      <c r="D8" s="49" t="s">
        <v>237</v>
      </c>
      <c r="E8" s="18" t="str">
        <f>활동항목선택!DS8</f>
        <v xml:space="preserve">다양한 형태의 Alert Dialog의 생성 방법 및 동작 원리에 대해 정확히 이해하고 있으며, 이를 바탕으로 다양한 상황에서 다양한 형태의 Alert Dialog를 활용하는 능력이 우수함.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안드로이드 앱 개발에 흥미와 호기심을 가지고 수업시간 전 과정에 적극적으로 참여함.
●●● 안드로이드 앱을 개발함.
</v>
      </c>
      <c r="F8" s="30">
        <f>IF((활동항목선택!DT8+COUNT(#REF!))=0,"",(활동항목선택!DT8+COUNT(#REF!)))</f>
        <v>5</v>
      </c>
    </row>
    <row r="9" spans="2:7" ht="118.8" x14ac:dyDescent="0.4">
      <c r="B9" s="2">
        <f>활동항목선택!A9</f>
        <v>5</v>
      </c>
      <c r="C9" s="2" t="str">
        <f>활동항목선택!B8</f>
        <v>송명근</v>
      </c>
      <c r="D9" s="49" t="s">
        <v>238</v>
      </c>
      <c r="E9" s="18" t="str">
        <f>활동항목선택!DS9</f>
        <v xml:space="preserve">Custom List의 작성 및 동작에 대한 개념을 완벽하게 이해하고 있으며, 이를 바탕으로 다양한 상황에서 다양한 형태의 Custom List를 활용하는 능력이 우수함.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안드로이드 앱을 개발함.
</v>
      </c>
      <c r="F9" s="30">
        <f>IF((활동항목선택!DT9+COUNT(#REF!))=0,"",(활동항목선택!DT9+COUNT(#REF!)))</f>
        <v>5</v>
      </c>
    </row>
    <row r="10" spans="2:7" ht="118.8" x14ac:dyDescent="0.4">
      <c r="B10" s="2">
        <f>활동항목선택!A10</f>
        <v>6</v>
      </c>
      <c r="C10" s="2" t="str">
        <f>활동항목선택!B9</f>
        <v>김혜연</v>
      </c>
      <c r="D10" s="49" t="s">
        <v>239</v>
      </c>
      <c r="E10" s="18" t="str">
        <f>활동항목선택!DS10</f>
        <v xml:space="preserve">액티비티의 LifeCycle에 대한 학습 과정 중 LifeCycle이 작동 순서와 활용 방법을 정확하게 이해하고 이를 활용하여 다양한 전략을 구사하는 등 유창성이 돋보임.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안드로이드 앱 개발에 흥미와 호기심을 가지고 수업시간 전 과정에 적극적으로 참여함.
●●● 안드로이드 앱을 개발함.
</v>
      </c>
      <c r="F10" s="30">
        <f>IF((활동항목선택!DT10+COUNT(#REF!))=0,"",(활동항목선택!DT10+COUNT(#REF!)))</f>
        <v>5</v>
      </c>
    </row>
    <row r="11" spans="2:7" ht="118.8" x14ac:dyDescent="0.4">
      <c r="B11" s="2">
        <f>활동항목선택!A11</f>
        <v>7</v>
      </c>
      <c r="C11" s="2" t="str">
        <f>활동항목선택!B10</f>
        <v>송창준</v>
      </c>
      <c r="D11" s="49" t="s">
        <v>240</v>
      </c>
      <c r="E11" s="18" t="str">
        <f>활동항목선택!DS11</f>
        <v xml:space="preserve">명시적 인텐트와 암시적 인텐트를 정확하게 이해하고 인텐트를 이용하여 다른 액티비티에 데이터를 전달하고 돌려받는 과정을 정확하게 활용함.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안드로이드 앱을 개발함.
</v>
      </c>
      <c r="F11" s="30">
        <f>IF((활동항목선택!DT11+COUNT(#REF!))=0,"",(활동항목선택!DT11+COUNT(#REF!)))</f>
        <v>5</v>
      </c>
    </row>
    <row r="12" spans="2:7" ht="184.8" x14ac:dyDescent="0.4">
      <c r="B12" s="2">
        <f>활동항목선택!A12</f>
        <v>8</v>
      </c>
      <c r="C12" s="2" t="str">
        <f>활동항목선택!B11</f>
        <v>이준</v>
      </c>
      <c r="D12" s="49" t="s">
        <v>231</v>
      </c>
      <c r="E12" s="18" t="str">
        <f>활동항목선택!DS12</f>
        <v xml:space="preserve">안드로이드Layout의 구성과 동작 원리를 분석하여 Widget 간의 관계와 역할을 탐색하고, 주어진 문제 해결에 필요한 Layout과 Widget을 선택하여 프로그램을 설계 개발함.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프로젝트 산출물을 발표하는 자리에서 프로그램의 동작 과정과 원리를 잘 설명하여 다른 친구들의 공감을 얻음.
</v>
      </c>
      <c r="F12" s="30">
        <f>IF((활동항목선택!DT12+COUNT(#REF!))=0,"",(활동항목선택!DT12+COUNT(#REF!)))</f>
        <v>7</v>
      </c>
    </row>
    <row r="13" spans="2:7" ht="171.6" x14ac:dyDescent="0.4">
      <c r="B13" s="2">
        <f>활동항목선택!A13</f>
        <v>9</v>
      </c>
      <c r="C13" s="2" t="str">
        <f>활동항목선택!B12</f>
        <v>이가은</v>
      </c>
      <c r="D13" s="49" t="s">
        <v>232</v>
      </c>
      <c r="E13" s="18" t="str">
        <f>활동항목선택!DS13</f>
        <v xml:space="preserve">멀티미디어 자료를 활용하는 기본적인 방법과 응용 방법을 이해하고 있으며, 안드로이드 프로그램에서 음악과 사진 등의 멀티미디어 자료를 적절하게 활용함.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안드로이드 앱 개발에 관련된 산출물 제작 방법을 다른 사람들에게 체계적으로 설명함.
</v>
      </c>
      <c r="F13" s="30">
        <f>IF((활동항목선택!DT13+COUNT(#REF!))=0,"",(활동항목선택!DT13+COUNT(#REF!)))</f>
        <v>7</v>
      </c>
    </row>
    <row r="14" spans="2:7" ht="171.6" x14ac:dyDescent="0.4">
      <c r="B14" s="2">
        <f>활동항목선택!A14</f>
        <v>10</v>
      </c>
      <c r="C14" s="2" t="str">
        <f>활동항목선택!B13</f>
        <v>소유정</v>
      </c>
      <c r="D14" s="49" t="s">
        <v>233</v>
      </c>
      <c r="E14" s="18" t="str">
        <f>활동항목선택!DS14</f>
        <v xml:space="preserve">File을 생성하여 데이터를 저장하는 방법과 File에서 데이터를 불러와 활용하는 능력이 우수함.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프로젝트 산출물을 발표하는 자리에서 프로그램의 동작 과정과 원리를 잘 설명하여 다른 친구들의 공감을 얻음.
</v>
      </c>
      <c r="F14" s="30">
        <f>IF((활동항목선택!DT14+COUNT(#REF!))=0,"",(활동항목선택!DT14+COUNT(#REF!)))</f>
        <v>7</v>
      </c>
    </row>
    <row r="15" spans="2:7" ht="132" x14ac:dyDescent="0.4">
      <c r="B15" s="2">
        <f>활동항목선택!A15</f>
        <v>11</v>
      </c>
      <c r="C15" s="2" t="str">
        <f>활동항목선택!B14</f>
        <v>양경빈</v>
      </c>
      <c r="D15" s="49" t="s">
        <v>234</v>
      </c>
      <c r="E15" s="18" t="str">
        <f>활동항목선택!DS15</f>
        <v xml:space="preserve">SQLite Database의 작동 방식을 정확하게 이해하고 있고 데이터베이스를 활용하여 데이터를 저장하고 출력하는 상황에 대한 문제해결능력이 우수함.
실생활 문제 상황을 분석하여 문제의 현재 상태와 목표 상태를 명확히 정의하고 실생활 문제의 현재 상태에서 목표 상태에 도달하기 위해 수행해야 할 작업을 순서대로 제시할 수 있음.
제시된 문제를 추상화하여 해결하기 쉬운 형태로 만들고, 그 해법을 탐색하여 알고리즘으로 표현할 수 있음.
안드로이드 앱 개발에 흥미와 호기심을 가지고 수업시간 전 과정에 적극적으로 참여함.
●●● 안드로이드 앱을 개발함.
안드로이드 앱 개발에 관련된 산출물 제작 방법을 다른 사람들에게 체계적으로 설명함.
</v>
      </c>
      <c r="F15" s="30">
        <f>IF((활동항목선택!DT15+COUNT(#REF!))=0,"",(활동항목선택!DT15+COUNT(#REF!)))</f>
        <v>6</v>
      </c>
    </row>
    <row r="16" spans="2:7" ht="132" x14ac:dyDescent="0.4">
      <c r="B16" s="2">
        <f>활동항목선택!A16</f>
        <v>12</v>
      </c>
      <c r="C16" s="2" t="str">
        <f>활동항목선택!B15</f>
        <v>이정빈</v>
      </c>
      <c r="D16" s="49" t="s">
        <v>235</v>
      </c>
      <c r="E16" s="18" t="str">
        <f>활동항목선택!DS16</f>
        <v xml:space="preserve">다양한 형태의 Alert Dialog의 생성 방법 및 동작 원리에 대해 정확히 이해하고 있으며, 이를 바탕으로 다양한 상황에서 다양한 형태의 Alert Dialog를 활용하는 능력이 우수함.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지적 호기심이 풍부하여 프로그램 개발 과정에서 새로운 해결방법을 발견하고 적용하는 것을 좋아함.
안드로이드 앱 개발 프로젝트 수행 과정에 주도적으로 참여하여 과제를 수행함.
●●● 안드로이드 앱을 개발함.
</v>
      </c>
      <c r="F16" s="30">
        <f>IF((활동항목선택!DT16+COUNT(#REF!))=0,"",(활동항목선택!DT16+COUNT(#REF!)))</f>
        <v>6</v>
      </c>
    </row>
    <row r="17" spans="2:6" ht="105.6" x14ac:dyDescent="0.4">
      <c r="B17" s="2">
        <f>활동항목선택!A17</f>
        <v>13</v>
      </c>
      <c r="C17" s="2" t="str">
        <f>활동항목선택!B16</f>
        <v>전형탁</v>
      </c>
      <c r="D17" s="49" t="s">
        <v>241</v>
      </c>
      <c r="E17" s="18" t="str">
        <f>활동항목선택!DS17</f>
        <v xml:space="preserve">Custom List의 작성 및 동작에 대한 개념을 완벽하게 이해하고 있으며, 이를 바탕으로 다양한 상황에서 다양한 형태의 Custom List를 활용하는 능력이 우수함.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 안드로이드 앱을 개발함.
</v>
      </c>
      <c r="F17" s="30">
        <f>IF((활동항목선택!DT17+COUNT(#REF!))=0,"",(활동항목선택!DT17+COUNT(#REF!)))</f>
        <v>4</v>
      </c>
    </row>
    <row r="18" spans="2:6" ht="118.8" x14ac:dyDescent="0.4">
      <c r="B18" s="2">
        <f>활동항목선택!A18</f>
        <v>14</v>
      </c>
      <c r="C18" s="2" t="str">
        <f>활동항목선택!B17</f>
        <v>조영환</v>
      </c>
      <c r="D18" s="49" t="s">
        <v>242</v>
      </c>
      <c r="E18" s="18" t="str">
        <f>활동항목선택!DS18</f>
        <v xml:space="preserve">액티비티의 LifeCycle에 대한 학습 과정 중 LifeCycle이 작동 순서와 활용 방법을 정확하게 이해하고 이를 활용하여 다양한 전략을 구사하는 등 유창성이 돋보임.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안드로이드 앱 개발에 흥미와 호기심을 가지고 수업시간 전 과정에 적극적으로 참여함.
●●● 안드로이드 앱을 개발함.
</v>
      </c>
      <c r="F18" s="30">
        <f>IF((활동항목선택!DT18+COUNT(#REF!))=0,"",(활동항목선택!DT18+COUNT(#REF!)))</f>
        <v>5</v>
      </c>
    </row>
    <row r="19" spans="2:6" ht="184.8" x14ac:dyDescent="0.4">
      <c r="B19" s="2">
        <f>활동항목선택!A19</f>
        <v>15</v>
      </c>
      <c r="C19" s="2" t="str">
        <f>활동항목선택!B18</f>
        <v>이준원</v>
      </c>
      <c r="D19" s="49" t="s">
        <v>243</v>
      </c>
      <c r="E19" s="18" t="str">
        <f>활동항목선택!DS19</f>
        <v xml:space="preserve">명시적 인텐트와 암시적 인텐트를 정확하게 이해하고 인텐트를 이용하여 다른 액티비티에 데이터를 전달하고 돌려받는 과정을 정확하게 활용함.
실생활 문제 상황을 분석하여 문제의 현재 상태와 목표 상태를 명확히 정의하고 실생활 문제의 현재 상태에서 목표 상태에 도달하기 위해 수행해야 할 작업을 순서대로 제시할 수 있음.
실생활 문제 해결을 위한 소프트웨어를 설계 개발하고 동일한 문제 해결을 위해 개발한 알고리즘과 프로그램의 동작 원리를 비교 분석할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프로젝트 산출물을 발표하는 자리에서 프로그램의 동작 과정과 원리를 잘 설명하여 다른 친구들의 공감을 얻음.
</v>
      </c>
      <c r="F19" s="30">
        <f>IF((활동항목선택!DT19+COUNT(#REF!))=0,"",(활동항목선택!DT19+COUNT(#REF!)))</f>
        <v>7</v>
      </c>
    </row>
    <row r="20" spans="2:6" ht="105.6" x14ac:dyDescent="0.4">
      <c r="B20" s="2">
        <f>활동항목선택!A20</f>
        <v>16</v>
      </c>
      <c r="C20" s="2" t="str">
        <f>활동항목선택!B19</f>
        <v>최화랑</v>
      </c>
      <c r="D20" s="49" t="s">
        <v>244</v>
      </c>
      <c r="E20" s="18" t="str">
        <f>활동항목선택!DS20</f>
        <v xml:space="preserve">안드로이드Layout의 구성과 동작 원리를 분석하여 Widget 간의 관계와 역할을 탐색하고, 주어진 문제 해결에 필요한 Layout과 Widget을 선택하여 프로그램을 설계 개발함.
문제 상황을 분석하여 문제의 현재 상태와 목표 상태를 설명할 수 있고 문제의 현재 상태에서 목표 상태에 도달하기 위해 수행해야 할 작업이 무엇인지 설명할 수 있음.
제시된 문제를 추상화하여 해결하기 쉬운 형태로 만들고, 그 해법을 탐색하여 알고리즘으로 표현할 수 있음.
●●● 안드로이드 앱을 개발함.
</v>
      </c>
      <c r="F20" s="30">
        <f>IF((활동항목선택!DT20+COUNT(#REF!))=0,"",(활동항목선택!DT20+COUNT(#REF!)))</f>
        <v>4</v>
      </c>
    </row>
    <row r="21" spans="2:6" ht="158.4" x14ac:dyDescent="0.4">
      <c r="B21" s="2">
        <f>활동항목선택!A21</f>
        <v>17</v>
      </c>
      <c r="C21" s="2" t="str">
        <f>활동항목선택!B20</f>
        <v>정현동</v>
      </c>
      <c r="D21" s="49" t="s">
        <v>245</v>
      </c>
      <c r="E21" s="18" t="str">
        <f>활동항목선택!DS21</f>
        <v xml:space="preserve">멀티미디어 자료를 활용하는 기본적인 방법과 응용 방법을 이해하고 있으며, 안드로이드 프로그램에서 음악과 사진 등의 멀티미디어 자료를 적절하게 활용함.
실생활 문제 상황을 분석하여 문제의 현재 상태와 목표 상태를 명확히 정의하고 실생활 문제의 현재 상태에서 목표 상태에 도달하기 위해 수행해야 할 작업을 순서대로 제시할 수 있음.
문제 해결을 위한 다양한 방법과 절차를 탐색하고 해결 절차를 글이나 그림으로 논리적이고 명확하게 표현할 수 있음.
모바일 프로그래밍에 흥미와 호기심을 가지고 있고 학습 의욕이 강하여 쉬는 시간 틈틈이 모르는 부분에 대해 질문을 하는 등 문제 해결 과정에서 열심히 노력하는 모습을 보이며 수업시간 전 과정에 적극적이고 성실하게 참여함.
안드로이드 앱 개발 프로젝트 수행 과정에 주도적으로 참여하여 과제를 수행함.
●●● 안드로이드 앱을 개발함.
</v>
      </c>
      <c r="F21" s="30">
        <f>IF((활동항목선택!DT21+COUNT(#REF!))=0,"",(활동항목선택!DT21+COUNT(#REF!)))</f>
        <v>6</v>
      </c>
    </row>
    <row r="22" spans="2:6" ht="132" x14ac:dyDescent="0.4">
      <c r="B22" s="2">
        <f>활동항목선택!A22</f>
        <v>18</v>
      </c>
      <c r="C22" s="2" t="str">
        <f>활동항목선택!B21</f>
        <v>하원호</v>
      </c>
      <c r="D22" s="49" t="s">
        <v>246</v>
      </c>
      <c r="E22" s="18" t="str">
        <f>활동항목선택!DS22</f>
        <v xml:space="preserve">File을 생성하여 데이터를 저장하는 방법과 File에서 데이터를 불러와 활용하는 능력이 우수함.
문제 상황을 분석하여 문제의 현재 상태와 목표 상태를 설명할 수 있고 문제의 현재 상태에서 목표 상태에 도달하기 위해 수행해야 할 작업이 무엇인지 설명할 수 있음.
제시된 문제 해결을 위한 소프트웨어를 설계 개발하고 동일한 문제 해결을 위해 활용 가능한 다양한 알고리즘의 차이를 비교할 수 있음.
지적 호기심이 풍부하여 프로그램 개발 과정에서 새로운 해결방법을 발견하고 적용하는 것을 좋아함.
●●● 안드로이드 앱을 개발함.
프로젝트 산출물을 발표하는 자리에서 프로그램의 동작 과정과 원리를 잘 설명하여 다른 친구들의 공감을 얻음.
</v>
      </c>
      <c r="F22" s="30">
        <f>IF((활동항목선택!DT22+COUNT(#REF!))=0,"",(활동항목선택!DT22+COUNT(#REF!)))</f>
        <v>6</v>
      </c>
    </row>
    <row r="23" spans="2:6" x14ac:dyDescent="0.4">
      <c r="B23" s="2">
        <f>활동항목선택!A23</f>
        <v>19</v>
      </c>
      <c r="C23" s="2">
        <f>활동항목선택!B23</f>
        <v>0</v>
      </c>
      <c r="D23" s="49"/>
      <c r="E23" s="18" t="str">
        <f>활동항목선택!DS23</f>
        <v/>
      </c>
      <c r="F23" s="30" t="str">
        <f>IF((활동항목선택!DT23+COUNT(#REF!))=0,"",(활동항목선택!DT23+COUNT(#REF!)))</f>
        <v/>
      </c>
    </row>
    <row r="24" spans="2:6" x14ac:dyDescent="0.4">
      <c r="B24" s="2">
        <f>활동항목선택!A24</f>
        <v>20</v>
      </c>
      <c r="C24" s="2">
        <f>활동항목선택!B24</f>
        <v>0</v>
      </c>
      <c r="D24" s="49"/>
      <c r="E24" s="18" t="str">
        <f>활동항목선택!DS24</f>
        <v/>
      </c>
      <c r="F24" s="30" t="str">
        <f>IF((활동항목선택!DT24+COUNT(#REF!))=0,"",(활동항목선택!DT24+COUNT(#REF!)))</f>
        <v/>
      </c>
    </row>
    <row r="25" spans="2:6" x14ac:dyDescent="0.4">
      <c r="B25" s="2">
        <f>활동항목선택!A25</f>
        <v>21</v>
      </c>
      <c r="C25" s="2">
        <f>활동항목선택!B25</f>
        <v>0</v>
      </c>
      <c r="D25" s="49"/>
      <c r="E25" s="18" t="str">
        <f>활동항목선택!DS25</f>
        <v/>
      </c>
      <c r="F25" s="30" t="str">
        <f>IF((활동항목선택!DT25+COUNT(#REF!))=0,"",(활동항목선택!DT25+COUNT(#REF!)))</f>
        <v/>
      </c>
    </row>
    <row r="26" spans="2:6" x14ac:dyDescent="0.4">
      <c r="B26" s="2">
        <f>활동항목선택!A26</f>
        <v>22</v>
      </c>
      <c r="C26" s="2">
        <f>활동항목선택!B26</f>
        <v>0</v>
      </c>
      <c r="D26" s="49"/>
      <c r="E26" s="18" t="str">
        <f>활동항목선택!DS26</f>
        <v/>
      </c>
      <c r="F26" s="30" t="str">
        <f>IF((활동항목선택!DT26+COUNT(#REF!))=0,"",(활동항목선택!DT26+COUNT(#REF!)))</f>
        <v/>
      </c>
    </row>
    <row r="27" spans="2:6" x14ac:dyDescent="0.4">
      <c r="B27" s="2">
        <f>활동항목선택!A27</f>
        <v>23</v>
      </c>
      <c r="C27" s="2">
        <f>활동항목선택!B27</f>
        <v>0</v>
      </c>
      <c r="D27" s="49"/>
      <c r="E27" s="18" t="str">
        <f>활동항목선택!DS27</f>
        <v/>
      </c>
      <c r="F27" s="30" t="str">
        <f>IF((활동항목선택!DT27+COUNT(#REF!))=0,"",(활동항목선택!DT27+COUNT(#REF!)))</f>
        <v/>
      </c>
    </row>
    <row r="28" spans="2:6" x14ac:dyDescent="0.4">
      <c r="B28" s="2">
        <f>활동항목선택!A28</f>
        <v>24</v>
      </c>
      <c r="C28" s="2">
        <f>활동항목선택!B28</f>
        <v>0</v>
      </c>
      <c r="D28" s="49"/>
      <c r="E28" s="18" t="str">
        <f>활동항목선택!DS28</f>
        <v/>
      </c>
      <c r="F28" s="30" t="str">
        <f>IF((활동항목선택!DT28+COUNT(#REF!))=0,"",(활동항목선택!DT28+COUNT(#REF!)))</f>
        <v/>
      </c>
    </row>
    <row r="29" spans="2:6" x14ac:dyDescent="0.4">
      <c r="B29" s="2">
        <f>활동항목선택!A29</f>
        <v>25</v>
      </c>
      <c r="C29" s="2">
        <f>활동항목선택!B29</f>
        <v>0</v>
      </c>
      <c r="D29" s="49"/>
      <c r="E29" s="18" t="str">
        <f>활동항목선택!DS29</f>
        <v/>
      </c>
      <c r="F29" s="30" t="str">
        <f>IF((활동항목선택!DT29+COUNT(#REF!))=0,"",(활동항목선택!DT29+COUNT(#REF!)))</f>
        <v/>
      </c>
    </row>
    <row r="30" spans="2:6" x14ac:dyDescent="0.4">
      <c r="B30" s="2">
        <f>활동항목선택!A30</f>
        <v>26</v>
      </c>
      <c r="C30" s="2">
        <f>활동항목선택!B30</f>
        <v>0</v>
      </c>
      <c r="D30" s="49"/>
      <c r="E30" s="18" t="str">
        <f>활동항목선택!DS30</f>
        <v/>
      </c>
      <c r="F30" s="30" t="str">
        <f>IF((활동항목선택!DT30+COUNT(#REF!))=0,"",(활동항목선택!DT30+COUNT(#REF!)))</f>
        <v/>
      </c>
    </row>
    <row r="31" spans="2:6" x14ac:dyDescent="0.4">
      <c r="B31" s="2">
        <f>활동항목선택!A31</f>
        <v>27</v>
      </c>
      <c r="C31" s="2">
        <f>활동항목선택!B31</f>
        <v>0</v>
      </c>
      <c r="D31" s="49"/>
      <c r="E31" s="18" t="str">
        <f>활동항목선택!DS31</f>
        <v/>
      </c>
      <c r="F31" s="30" t="str">
        <f>IF((활동항목선택!DT31+COUNT(#REF!))=0,"",(활동항목선택!DT31+COUNT(#REF!)))</f>
        <v/>
      </c>
    </row>
    <row r="32" spans="2:6" x14ac:dyDescent="0.4">
      <c r="B32" s="2">
        <f>활동항목선택!A32</f>
        <v>28</v>
      </c>
      <c r="C32" s="2">
        <f>활동항목선택!B32</f>
        <v>0</v>
      </c>
      <c r="D32" s="49"/>
      <c r="E32" s="18" t="str">
        <f>활동항목선택!DS32</f>
        <v/>
      </c>
      <c r="F32" s="30" t="str">
        <f>IF((활동항목선택!DT32+COUNT(#REF!))=0,"",(활동항목선택!DT32+COUNT(#REF!)))</f>
        <v/>
      </c>
    </row>
    <row r="33" spans="2:6" x14ac:dyDescent="0.4">
      <c r="B33" s="2">
        <f>활동항목선택!A33</f>
        <v>29</v>
      </c>
      <c r="C33" s="2">
        <f>활동항목선택!B33</f>
        <v>0</v>
      </c>
      <c r="D33" s="49"/>
      <c r="E33" s="18" t="str">
        <f>활동항목선택!DS33</f>
        <v/>
      </c>
      <c r="F33" s="30" t="str">
        <f>IF((활동항목선택!DT33+COUNT(#REF!))=0,"",(활동항목선택!DT33+COUNT(#REF!)))</f>
        <v/>
      </c>
    </row>
    <row r="34" spans="2:6" x14ac:dyDescent="0.4">
      <c r="B34" s="2">
        <f>활동항목선택!A34</f>
        <v>30</v>
      </c>
      <c r="C34" s="2">
        <f>활동항목선택!B34</f>
        <v>0</v>
      </c>
      <c r="D34" s="49"/>
      <c r="E34" s="18" t="str">
        <f>활동항목선택!DS34</f>
        <v/>
      </c>
      <c r="F34" s="30" t="str">
        <f>IF((활동항목선택!DT34+COUNT(#REF!))=0,"",(활동항목선택!DT34+COUNT(#REF!)))</f>
        <v/>
      </c>
    </row>
    <row r="35" spans="2:6" x14ac:dyDescent="0.4">
      <c r="B35" s="2">
        <f>활동항목선택!A35</f>
        <v>31</v>
      </c>
      <c r="C35" s="2">
        <f>활동항목선택!B35</f>
        <v>0</v>
      </c>
      <c r="D35" s="49"/>
      <c r="E35" s="18" t="str">
        <f>활동항목선택!DS35</f>
        <v/>
      </c>
      <c r="F35" s="30" t="str">
        <f>IF((활동항목선택!DT35+COUNT(#REF!))=0,"",(활동항목선택!DT35+COUNT(#REF!)))</f>
        <v/>
      </c>
    </row>
    <row r="36" spans="2:6" x14ac:dyDescent="0.4">
      <c r="B36" s="2">
        <f>활동항목선택!A36</f>
        <v>32</v>
      </c>
      <c r="C36" s="2">
        <f>활동항목선택!B36</f>
        <v>0</v>
      </c>
      <c r="D36" s="49"/>
      <c r="E36" s="18" t="str">
        <f>활동항목선택!DS36</f>
        <v/>
      </c>
      <c r="F36" s="30" t="str">
        <f>IF((활동항목선택!DT36+COUNT(#REF!))=0,"",(활동항목선택!DT36+COUNT(#REF!)))</f>
        <v/>
      </c>
    </row>
    <row r="37" spans="2:6" x14ac:dyDescent="0.4">
      <c r="B37" s="2">
        <f>활동항목선택!A37</f>
        <v>33</v>
      </c>
      <c r="C37" s="2">
        <f>활동항목선택!B37</f>
        <v>0</v>
      </c>
      <c r="D37" s="49"/>
      <c r="E37" s="18" t="str">
        <f>활동항목선택!DS37</f>
        <v/>
      </c>
      <c r="F37" s="30" t="str">
        <f>IF((활동항목선택!DT37+COUNT(#REF!))=0,"",(활동항목선택!DT37+COUNT(#REF!)))</f>
        <v/>
      </c>
    </row>
    <row r="38" spans="2:6" x14ac:dyDescent="0.4">
      <c r="B38" s="2">
        <f>활동항목선택!A38</f>
        <v>34</v>
      </c>
      <c r="C38" s="2">
        <f>활동항목선택!B38</f>
        <v>0</v>
      </c>
      <c r="D38" s="49"/>
      <c r="E38" s="18" t="str">
        <f>활동항목선택!DS38</f>
        <v/>
      </c>
      <c r="F38" s="30" t="str">
        <f>IF((활동항목선택!DT38+COUNT(#REF!))=0,"",(활동항목선택!DT38+COUNT(#REF!)))</f>
        <v/>
      </c>
    </row>
    <row r="39" spans="2:6" x14ac:dyDescent="0.4">
      <c r="B39" s="2">
        <f>활동항목선택!A39</f>
        <v>35</v>
      </c>
      <c r="C39" s="2">
        <f>활동항목선택!B39</f>
        <v>0</v>
      </c>
      <c r="D39" s="49"/>
      <c r="E39" s="18" t="str">
        <f>활동항목선택!DS39</f>
        <v/>
      </c>
      <c r="F39" s="30" t="str">
        <f>IF((활동항목선택!DT39+COUNT(#REF!))=0,"",(활동항목선택!DT39+COUNT(#REF!)))</f>
        <v/>
      </c>
    </row>
    <row r="40" spans="2:6" x14ac:dyDescent="0.4">
      <c r="B40" s="2">
        <f>활동항목선택!A40</f>
        <v>36</v>
      </c>
      <c r="C40" s="2">
        <f>활동항목선택!B40</f>
        <v>0</v>
      </c>
      <c r="D40" s="49"/>
      <c r="E40" s="18" t="str">
        <f>활동항목선택!DS40</f>
        <v/>
      </c>
      <c r="F40" s="30" t="str">
        <f>IF((활동항목선택!DT40+COUNT(#REF!))=0,"",(활동항목선택!DT40+COUNT(#REF!)))</f>
        <v/>
      </c>
    </row>
    <row r="41" spans="2:6" x14ac:dyDescent="0.4">
      <c r="B41" s="2">
        <f>활동항목선택!A41</f>
        <v>37</v>
      </c>
      <c r="C41" s="2">
        <f>활동항목선택!B41</f>
        <v>0</v>
      </c>
      <c r="D41" s="49"/>
      <c r="E41" s="18" t="str">
        <f>활동항목선택!DS41</f>
        <v/>
      </c>
      <c r="F41" s="30" t="str">
        <f>IF((활동항목선택!DT41+COUNT(#REF!))=0,"",(활동항목선택!DT41+COUNT(#REF!)))</f>
        <v/>
      </c>
    </row>
    <row r="42" spans="2:6" x14ac:dyDescent="0.4">
      <c r="B42" s="2">
        <f>활동항목선택!A42</f>
        <v>0</v>
      </c>
      <c r="C42" s="2">
        <f>활동항목선택!B42</f>
        <v>0</v>
      </c>
      <c r="D42" s="49"/>
      <c r="E42" s="18" t="str">
        <f>활동항목선택!DS42</f>
        <v/>
      </c>
      <c r="F42" s="30" t="str">
        <f>IF((활동항목선택!DT42+COUNT(#REF!))=0,"",(활동항목선택!DT42+COUNT(#REF!)))</f>
        <v/>
      </c>
    </row>
    <row r="43" spans="2:6" x14ac:dyDescent="0.4">
      <c r="B43" s="2">
        <f>활동항목선택!A43</f>
        <v>0</v>
      </c>
      <c r="C43" s="2">
        <f>활동항목선택!B43</f>
        <v>0</v>
      </c>
      <c r="D43" s="49"/>
      <c r="E43" s="18" t="str">
        <f>활동항목선택!DS43</f>
        <v/>
      </c>
      <c r="F43" s="30" t="str">
        <f>IF((활동항목선택!DT43+COUNT(#REF!))=0,"",(활동항목선택!DT43+COUNT(#REF!)))</f>
        <v/>
      </c>
    </row>
    <row r="44" spans="2:6" x14ac:dyDescent="0.4">
      <c r="B44" s="2">
        <f>활동항목선택!A44</f>
        <v>0</v>
      </c>
      <c r="C44" s="2">
        <f>활동항목선택!B44</f>
        <v>0</v>
      </c>
      <c r="D44" s="49"/>
      <c r="E44" s="18" t="str">
        <f>활동항목선택!DS44</f>
        <v/>
      </c>
      <c r="F44" s="30" t="str">
        <f>IF((활동항목선택!DT44+COUNT(#REF!))=0,"",(활동항목선택!DT44+COUNT(#REF!)))</f>
        <v/>
      </c>
    </row>
  </sheetData>
  <sheetProtection algorithmName="SHA-512" hashValue="75uc/XDDo0gfON7phh3ANQH87/s855h0XIlJ+QxFw9NDyGT3bF1NZ5Pc9myB3KqcbSWgzncNHCoEIBeiy8deAg==" saltValue="dufaNQgx50oXPa33WDBdMA==" spinCount="100000" sheet="1" objects="1" scenarios="1" selectLockedCells="1"/>
  <mergeCells count="3">
    <mergeCell ref="B1:F1"/>
    <mergeCell ref="B2:F2"/>
    <mergeCell ref="B3:F3"/>
  </mergeCells>
  <phoneticPr fontId="2" type="noConversion"/>
  <printOptions horizontalCentered="1"/>
  <pageMargins left="0.31496062992125984" right="0.31496062992125984" top="0.35433070866141736" bottom="0.35433070866141736"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 지정된 범위</vt:lpstr>
      </vt:variant>
      <vt:variant>
        <vt:i4>3</vt:i4>
      </vt:variant>
    </vt:vector>
  </HeadingPairs>
  <TitlesOfParts>
    <vt:vector size="6" baseType="lpstr">
      <vt:lpstr>활동내용입력</vt:lpstr>
      <vt:lpstr>활동항목선택</vt:lpstr>
      <vt:lpstr>정보세특내용</vt:lpstr>
      <vt:lpstr>정보세특내용!Print_Area</vt:lpstr>
      <vt:lpstr>활동내용입력!Print_Area</vt:lpstr>
      <vt:lpstr>활동항목선택!Print_Area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Registered User</dc:creator>
  <cp:lastModifiedBy>dongyoun lee</cp:lastModifiedBy>
  <cp:lastPrinted>2015-12-19T09:54:07Z</cp:lastPrinted>
  <dcterms:created xsi:type="dcterms:W3CDTF">2014-01-02T02:34:46Z</dcterms:created>
  <dcterms:modified xsi:type="dcterms:W3CDTF">2018-08-17T03:55:37Z</dcterms:modified>
</cp:coreProperties>
</file>