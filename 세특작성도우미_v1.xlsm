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Repository\VBA\"/>
    </mc:Choice>
  </mc:AlternateContent>
  <xr:revisionPtr revIDLastSave="0" documentId="13_ncr:1_{2E134790-E25E-445E-B2EB-25A8443A30BA}" xr6:coauthVersionLast="36" xr6:coauthVersionMax="36" xr10:uidLastSave="{00000000-0000-0000-0000-000000000000}"/>
  <bookViews>
    <workbookView xWindow="0" yWindow="0" windowWidth="38400" windowHeight="12180" tabRatio="963" activeTab="13" xr2:uid="{56C2AFEC-74B3-4AE3-AA20-9E1A6C00872D}"/>
  </bookViews>
  <sheets>
    <sheet name="학생명렬표" sheetId="1" r:id="rId1"/>
    <sheet name="1_교과이수내용" sheetId="2" r:id="rId2"/>
    <sheet name="2_지적성장과정" sheetId="4" r:id="rId3"/>
    <sheet name="3_학업성취도" sheetId="3" r:id="rId4"/>
    <sheet name="4_태도" sheetId="7" r:id="rId5"/>
    <sheet name="5_적극성" sheetId="13" r:id="rId6"/>
    <sheet name="6_지적호기심" sheetId="11" r:id="rId7"/>
    <sheet name="7_특별한관심" sheetId="8" r:id="rId8"/>
    <sheet name="8_탁월한능력" sheetId="9" r:id="rId9"/>
    <sheet name="9_탐구활동" sheetId="12" r:id="rId10"/>
    <sheet name="10_진로관련사항" sheetId="10" r:id="rId11"/>
    <sheet name="11_프로젝트활동" sheetId="15" r:id="rId12"/>
    <sheet name="종합" sheetId="6" r:id="rId13"/>
    <sheet name="예시문" sheetId="14" r:id="rId14"/>
    <sheet name="세특 예시" sheetId="17" r:id="rId15"/>
    <sheet name="Setting" sheetId="16" r:id="rId16"/>
    <sheet name="세특작성방법" sheetId="5" r:id="rId17"/>
  </sheets>
  <functionGroups builtInGroupCount="19"/>
  <definedNames>
    <definedName name="_xlnm._FilterDatabase" localSheetId="8" hidden="1">'8_탁월한능력'!$A$2:$F$101</definedName>
    <definedName name="_xlnm._FilterDatabase" localSheetId="13" hidden="1">예시문!$A$1:$D$21</definedName>
    <definedName name="_xlnm._FilterDatabase" localSheetId="12" hidden="1">종합!$B$2:$E$202</definedName>
    <definedName name="_xlnm.Criteria" localSheetId="13">예시문!$I$1:$J$2</definedName>
    <definedName name="_xlnm.Extract" localSheetId="13">예시문!$I$4:$K$5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6" l="1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4" i="6"/>
  <c r="E5" i="6"/>
  <c r="E6" i="6"/>
  <c r="E7" i="6"/>
  <c r="E8" i="6"/>
  <c r="E9" i="6"/>
  <c r="E10" i="6"/>
  <c r="E11" i="6"/>
  <c r="E12" i="6"/>
  <c r="E13" i="6"/>
  <c r="E14" i="6"/>
  <c r="E3" i="6"/>
  <c r="Q7" i="6" l="1"/>
  <c r="F202" i="6"/>
  <c r="G202" i="6"/>
  <c r="H202" i="6"/>
  <c r="I202" i="6"/>
  <c r="J202" i="6"/>
  <c r="K202" i="6"/>
  <c r="L202" i="6"/>
  <c r="M202" i="6"/>
  <c r="N202" i="6"/>
  <c r="O202" i="6"/>
  <c r="P202" i="6"/>
  <c r="F3" i="6"/>
  <c r="H2" i="14"/>
  <c r="F4" i="6"/>
  <c r="G4" i="6"/>
  <c r="H4" i="6"/>
  <c r="I4" i="6"/>
  <c r="J4" i="6"/>
  <c r="K4" i="6"/>
  <c r="L4" i="6"/>
  <c r="M4" i="6"/>
  <c r="N4" i="6"/>
  <c r="O4" i="6"/>
  <c r="P4" i="6"/>
  <c r="F5" i="6"/>
  <c r="G5" i="6"/>
  <c r="H5" i="6"/>
  <c r="I5" i="6"/>
  <c r="J5" i="6"/>
  <c r="K5" i="6"/>
  <c r="L5" i="6"/>
  <c r="M5" i="6"/>
  <c r="N5" i="6"/>
  <c r="O5" i="6"/>
  <c r="P5" i="6"/>
  <c r="F6" i="6"/>
  <c r="G6" i="6"/>
  <c r="H6" i="6"/>
  <c r="I6" i="6"/>
  <c r="J6" i="6"/>
  <c r="K6" i="6"/>
  <c r="L6" i="6"/>
  <c r="M6" i="6"/>
  <c r="N6" i="6"/>
  <c r="O6" i="6"/>
  <c r="P6" i="6"/>
  <c r="F7" i="6"/>
  <c r="G7" i="6"/>
  <c r="H7" i="6"/>
  <c r="I7" i="6"/>
  <c r="J7" i="6"/>
  <c r="K7" i="6"/>
  <c r="L7" i="6"/>
  <c r="M7" i="6"/>
  <c r="N7" i="6"/>
  <c r="O7" i="6"/>
  <c r="P7" i="6"/>
  <c r="F8" i="6"/>
  <c r="G8" i="6"/>
  <c r="H8" i="6"/>
  <c r="I8" i="6"/>
  <c r="J8" i="6"/>
  <c r="K8" i="6"/>
  <c r="L8" i="6"/>
  <c r="M8" i="6"/>
  <c r="N8" i="6"/>
  <c r="O8" i="6"/>
  <c r="P8" i="6"/>
  <c r="F9" i="6"/>
  <c r="G9" i="6"/>
  <c r="H9" i="6"/>
  <c r="I9" i="6"/>
  <c r="J9" i="6"/>
  <c r="K9" i="6"/>
  <c r="L9" i="6"/>
  <c r="M9" i="6"/>
  <c r="N9" i="6"/>
  <c r="O9" i="6"/>
  <c r="P9" i="6"/>
  <c r="F10" i="6"/>
  <c r="G10" i="6"/>
  <c r="H10" i="6"/>
  <c r="I10" i="6"/>
  <c r="J10" i="6"/>
  <c r="K10" i="6"/>
  <c r="L10" i="6"/>
  <c r="M10" i="6"/>
  <c r="N10" i="6"/>
  <c r="O10" i="6"/>
  <c r="P10" i="6"/>
  <c r="F11" i="6"/>
  <c r="G11" i="6"/>
  <c r="H11" i="6"/>
  <c r="I11" i="6"/>
  <c r="J11" i="6"/>
  <c r="K11" i="6"/>
  <c r="L11" i="6"/>
  <c r="M11" i="6"/>
  <c r="N11" i="6"/>
  <c r="O11" i="6"/>
  <c r="P11" i="6"/>
  <c r="F12" i="6"/>
  <c r="G12" i="6"/>
  <c r="H12" i="6"/>
  <c r="I12" i="6"/>
  <c r="J12" i="6"/>
  <c r="K12" i="6"/>
  <c r="L12" i="6"/>
  <c r="M12" i="6"/>
  <c r="N12" i="6"/>
  <c r="O12" i="6"/>
  <c r="P12" i="6"/>
  <c r="F13" i="6"/>
  <c r="G13" i="6"/>
  <c r="H13" i="6"/>
  <c r="I13" i="6"/>
  <c r="J13" i="6"/>
  <c r="K13" i="6"/>
  <c r="L13" i="6"/>
  <c r="M13" i="6"/>
  <c r="N13" i="6"/>
  <c r="O13" i="6"/>
  <c r="P13" i="6"/>
  <c r="F14" i="6"/>
  <c r="G14" i="6"/>
  <c r="H14" i="6"/>
  <c r="I14" i="6"/>
  <c r="J14" i="6"/>
  <c r="K14" i="6"/>
  <c r="L14" i="6"/>
  <c r="M14" i="6"/>
  <c r="N14" i="6"/>
  <c r="O14" i="6"/>
  <c r="P14" i="6"/>
  <c r="F15" i="6"/>
  <c r="G15" i="6"/>
  <c r="H15" i="6"/>
  <c r="I15" i="6"/>
  <c r="J15" i="6"/>
  <c r="K15" i="6"/>
  <c r="L15" i="6"/>
  <c r="M15" i="6"/>
  <c r="N15" i="6"/>
  <c r="O15" i="6"/>
  <c r="P15" i="6"/>
  <c r="F16" i="6"/>
  <c r="G16" i="6"/>
  <c r="H16" i="6"/>
  <c r="I16" i="6"/>
  <c r="J16" i="6"/>
  <c r="K16" i="6"/>
  <c r="L16" i="6"/>
  <c r="M16" i="6"/>
  <c r="N16" i="6"/>
  <c r="O16" i="6"/>
  <c r="P16" i="6"/>
  <c r="F17" i="6"/>
  <c r="G17" i="6"/>
  <c r="H17" i="6"/>
  <c r="I17" i="6"/>
  <c r="J17" i="6"/>
  <c r="K17" i="6"/>
  <c r="L17" i="6"/>
  <c r="M17" i="6"/>
  <c r="N17" i="6"/>
  <c r="O17" i="6"/>
  <c r="P17" i="6"/>
  <c r="F18" i="6"/>
  <c r="G18" i="6"/>
  <c r="H18" i="6"/>
  <c r="I18" i="6"/>
  <c r="J18" i="6"/>
  <c r="K18" i="6"/>
  <c r="L18" i="6"/>
  <c r="M18" i="6"/>
  <c r="N18" i="6"/>
  <c r="O18" i="6"/>
  <c r="P18" i="6"/>
  <c r="F19" i="6"/>
  <c r="G19" i="6"/>
  <c r="H19" i="6"/>
  <c r="I19" i="6"/>
  <c r="J19" i="6"/>
  <c r="K19" i="6"/>
  <c r="L19" i="6"/>
  <c r="M19" i="6"/>
  <c r="N19" i="6"/>
  <c r="O19" i="6"/>
  <c r="P19" i="6"/>
  <c r="F20" i="6"/>
  <c r="G20" i="6"/>
  <c r="H20" i="6"/>
  <c r="I20" i="6"/>
  <c r="J20" i="6"/>
  <c r="K20" i="6"/>
  <c r="L20" i="6"/>
  <c r="M20" i="6"/>
  <c r="N20" i="6"/>
  <c r="O20" i="6"/>
  <c r="P20" i="6"/>
  <c r="F21" i="6"/>
  <c r="G21" i="6"/>
  <c r="H21" i="6"/>
  <c r="I21" i="6"/>
  <c r="J21" i="6"/>
  <c r="K21" i="6"/>
  <c r="L21" i="6"/>
  <c r="M21" i="6"/>
  <c r="N21" i="6"/>
  <c r="O21" i="6"/>
  <c r="P21" i="6"/>
  <c r="F22" i="6"/>
  <c r="G22" i="6"/>
  <c r="H22" i="6"/>
  <c r="I22" i="6"/>
  <c r="J22" i="6"/>
  <c r="K22" i="6"/>
  <c r="L22" i="6"/>
  <c r="M22" i="6"/>
  <c r="N22" i="6"/>
  <c r="O22" i="6"/>
  <c r="P22" i="6"/>
  <c r="F23" i="6"/>
  <c r="G23" i="6"/>
  <c r="H23" i="6"/>
  <c r="I23" i="6"/>
  <c r="J23" i="6"/>
  <c r="K23" i="6"/>
  <c r="L23" i="6"/>
  <c r="M23" i="6"/>
  <c r="N23" i="6"/>
  <c r="O23" i="6"/>
  <c r="P23" i="6"/>
  <c r="F24" i="6"/>
  <c r="G24" i="6"/>
  <c r="H24" i="6"/>
  <c r="I24" i="6"/>
  <c r="J24" i="6"/>
  <c r="K24" i="6"/>
  <c r="L24" i="6"/>
  <c r="M24" i="6"/>
  <c r="N24" i="6"/>
  <c r="O24" i="6"/>
  <c r="P24" i="6"/>
  <c r="F25" i="6"/>
  <c r="G25" i="6"/>
  <c r="H25" i="6"/>
  <c r="I25" i="6"/>
  <c r="J25" i="6"/>
  <c r="K25" i="6"/>
  <c r="L25" i="6"/>
  <c r="M25" i="6"/>
  <c r="N25" i="6"/>
  <c r="O25" i="6"/>
  <c r="P25" i="6"/>
  <c r="F26" i="6"/>
  <c r="G26" i="6"/>
  <c r="H26" i="6"/>
  <c r="I26" i="6"/>
  <c r="J26" i="6"/>
  <c r="K26" i="6"/>
  <c r="L26" i="6"/>
  <c r="M26" i="6"/>
  <c r="N26" i="6"/>
  <c r="O26" i="6"/>
  <c r="P26" i="6"/>
  <c r="F27" i="6"/>
  <c r="G27" i="6"/>
  <c r="H27" i="6"/>
  <c r="I27" i="6"/>
  <c r="J27" i="6"/>
  <c r="K27" i="6"/>
  <c r="L27" i="6"/>
  <c r="M27" i="6"/>
  <c r="N27" i="6"/>
  <c r="O27" i="6"/>
  <c r="P27" i="6"/>
  <c r="F28" i="6"/>
  <c r="G28" i="6"/>
  <c r="H28" i="6"/>
  <c r="I28" i="6"/>
  <c r="J28" i="6"/>
  <c r="K28" i="6"/>
  <c r="L28" i="6"/>
  <c r="M28" i="6"/>
  <c r="N28" i="6"/>
  <c r="O28" i="6"/>
  <c r="P28" i="6"/>
  <c r="F29" i="6"/>
  <c r="G29" i="6"/>
  <c r="H29" i="6"/>
  <c r="I29" i="6"/>
  <c r="J29" i="6"/>
  <c r="K29" i="6"/>
  <c r="L29" i="6"/>
  <c r="M29" i="6"/>
  <c r="N29" i="6"/>
  <c r="O29" i="6"/>
  <c r="P29" i="6"/>
  <c r="F30" i="6"/>
  <c r="G30" i="6"/>
  <c r="H30" i="6"/>
  <c r="I30" i="6"/>
  <c r="J30" i="6"/>
  <c r="K30" i="6"/>
  <c r="L30" i="6"/>
  <c r="M30" i="6"/>
  <c r="N30" i="6"/>
  <c r="O30" i="6"/>
  <c r="P30" i="6"/>
  <c r="F31" i="6"/>
  <c r="G31" i="6"/>
  <c r="H31" i="6"/>
  <c r="I31" i="6"/>
  <c r="J31" i="6"/>
  <c r="K31" i="6"/>
  <c r="L31" i="6"/>
  <c r="M31" i="6"/>
  <c r="N31" i="6"/>
  <c r="O31" i="6"/>
  <c r="P31" i="6"/>
  <c r="F32" i="6"/>
  <c r="G32" i="6"/>
  <c r="H32" i="6"/>
  <c r="I32" i="6"/>
  <c r="J32" i="6"/>
  <c r="K32" i="6"/>
  <c r="L32" i="6"/>
  <c r="M32" i="6"/>
  <c r="N32" i="6"/>
  <c r="O32" i="6"/>
  <c r="P32" i="6"/>
  <c r="F33" i="6"/>
  <c r="G33" i="6"/>
  <c r="H33" i="6"/>
  <c r="I33" i="6"/>
  <c r="J33" i="6"/>
  <c r="K33" i="6"/>
  <c r="L33" i="6"/>
  <c r="M33" i="6"/>
  <c r="N33" i="6"/>
  <c r="O33" i="6"/>
  <c r="P33" i="6"/>
  <c r="F34" i="6"/>
  <c r="G34" i="6"/>
  <c r="H34" i="6"/>
  <c r="I34" i="6"/>
  <c r="J34" i="6"/>
  <c r="K34" i="6"/>
  <c r="L34" i="6"/>
  <c r="M34" i="6"/>
  <c r="N34" i="6"/>
  <c r="O34" i="6"/>
  <c r="P34" i="6"/>
  <c r="F35" i="6"/>
  <c r="G35" i="6"/>
  <c r="H35" i="6"/>
  <c r="I35" i="6"/>
  <c r="J35" i="6"/>
  <c r="K35" i="6"/>
  <c r="L35" i="6"/>
  <c r="M35" i="6"/>
  <c r="N35" i="6"/>
  <c r="O35" i="6"/>
  <c r="P35" i="6"/>
  <c r="F36" i="6"/>
  <c r="G36" i="6"/>
  <c r="H36" i="6"/>
  <c r="I36" i="6"/>
  <c r="J36" i="6"/>
  <c r="K36" i="6"/>
  <c r="L36" i="6"/>
  <c r="M36" i="6"/>
  <c r="N36" i="6"/>
  <c r="O36" i="6"/>
  <c r="P36" i="6"/>
  <c r="F37" i="6"/>
  <c r="G37" i="6"/>
  <c r="H37" i="6"/>
  <c r="I37" i="6"/>
  <c r="J37" i="6"/>
  <c r="K37" i="6"/>
  <c r="L37" i="6"/>
  <c r="M37" i="6"/>
  <c r="N37" i="6"/>
  <c r="O37" i="6"/>
  <c r="P37" i="6"/>
  <c r="F38" i="6"/>
  <c r="G38" i="6"/>
  <c r="H38" i="6"/>
  <c r="I38" i="6"/>
  <c r="J38" i="6"/>
  <c r="K38" i="6"/>
  <c r="L38" i="6"/>
  <c r="M38" i="6"/>
  <c r="N38" i="6"/>
  <c r="O38" i="6"/>
  <c r="P38" i="6"/>
  <c r="F39" i="6"/>
  <c r="G39" i="6"/>
  <c r="H39" i="6"/>
  <c r="I39" i="6"/>
  <c r="J39" i="6"/>
  <c r="K39" i="6"/>
  <c r="L39" i="6"/>
  <c r="M39" i="6"/>
  <c r="N39" i="6"/>
  <c r="O39" i="6"/>
  <c r="P39" i="6"/>
  <c r="F40" i="6"/>
  <c r="G40" i="6"/>
  <c r="H40" i="6"/>
  <c r="I40" i="6"/>
  <c r="J40" i="6"/>
  <c r="K40" i="6"/>
  <c r="L40" i="6"/>
  <c r="M40" i="6"/>
  <c r="N40" i="6"/>
  <c r="O40" i="6"/>
  <c r="P40" i="6"/>
  <c r="F41" i="6"/>
  <c r="G41" i="6"/>
  <c r="H41" i="6"/>
  <c r="I41" i="6"/>
  <c r="J41" i="6"/>
  <c r="K41" i="6"/>
  <c r="L41" i="6"/>
  <c r="M41" i="6"/>
  <c r="N41" i="6"/>
  <c r="O41" i="6"/>
  <c r="P41" i="6"/>
  <c r="F42" i="6"/>
  <c r="G42" i="6"/>
  <c r="H42" i="6"/>
  <c r="I42" i="6"/>
  <c r="J42" i="6"/>
  <c r="K42" i="6"/>
  <c r="L42" i="6"/>
  <c r="M42" i="6"/>
  <c r="N42" i="6"/>
  <c r="O42" i="6"/>
  <c r="P42" i="6"/>
  <c r="F43" i="6"/>
  <c r="G43" i="6"/>
  <c r="H43" i="6"/>
  <c r="I43" i="6"/>
  <c r="J43" i="6"/>
  <c r="K43" i="6"/>
  <c r="L43" i="6"/>
  <c r="M43" i="6"/>
  <c r="N43" i="6"/>
  <c r="O43" i="6"/>
  <c r="P43" i="6"/>
  <c r="F44" i="6"/>
  <c r="G44" i="6"/>
  <c r="H44" i="6"/>
  <c r="I44" i="6"/>
  <c r="J44" i="6"/>
  <c r="K44" i="6"/>
  <c r="L44" i="6"/>
  <c r="M44" i="6"/>
  <c r="N44" i="6"/>
  <c r="O44" i="6"/>
  <c r="P44" i="6"/>
  <c r="F45" i="6"/>
  <c r="G45" i="6"/>
  <c r="H45" i="6"/>
  <c r="I45" i="6"/>
  <c r="J45" i="6"/>
  <c r="K45" i="6"/>
  <c r="L45" i="6"/>
  <c r="M45" i="6"/>
  <c r="N45" i="6"/>
  <c r="O45" i="6"/>
  <c r="P45" i="6"/>
  <c r="F46" i="6"/>
  <c r="G46" i="6"/>
  <c r="H46" i="6"/>
  <c r="I46" i="6"/>
  <c r="J46" i="6"/>
  <c r="K46" i="6"/>
  <c r="L46" i="6"/>
  <c r="M46" i="6"/>
  <c r="N46" i="6"/>
  <c r="O46" i="6"/>
  <c r="P46" i="6"/>
  <c r="F47" i="6"/>
  <c r="G47" i="6"/>
  <c r="H47" i="6"/>
  <c r="I47" i="6"/>
  <c r="J47" i="6"/>
  <c r="K47" i="6"/>
  <c r="L47" i="6"/>
  <c r="M47" i="6"/>
  <c r="N47" i="6"/>
  <c r="O47" i="6"/>
  <c r="P47" i="6"/>
  <c r="F48" i="6"/>
  <c r="G48" i="6"/>
  <c r="H48" i="6"/>
  <c r="I48" i="6"/>
  <c r="J48" i="6"/>
  <c r="K48" i="6"/>
  <c r="L48" i="6"/>
  <c r="M48" i="6"/>
  <c r="N48" i="6"/>
  <c r="O48" i="6"/>
  <c r="P48" i="6"/>
  <c r="F49" i="6"/>
  <c r="G49" i="6"/>
  <c r="H49" i="6"/>
  <c r="I49" i="6"/>
  <c r="J49" i="6"/>
  <c r="K49" i="6"/>
  <c r="L49" i="6"/>
  <c r="M49" i="6"/>
  <c r="N49" i="6"/>
  <c r="O49" i="6"/>
  <c r="P49" i="6"/>
  <c r="F50" i="6"/>
  <c r="G50" i="6"/>
  <c r="H50" i="6"/>
  <c r="I50" i="6"/>
  <c r="J50" i="6"/>
  <c r="K50" i="6"/>
  <c r="L50" i="6"/>
  <c r="M50" i="6"/>
  <c r="N50" i="6"/>
  <c r="O50" i="6"/>
  <c r="P50" i="6"/>
  <c r="F51" i="6"/>
  <c r="G51" i="6"/>
  <c r="H51" i="6"/>
  <c r="I51" i="6"/>
  <c r="J51" i="6"/>
  <c r="K51" i="6"/>
  <c r="L51" i="6"/>
  <c r="M51" i="6"/>
  <c r="N51" i="6"/>
  <c r="O51" i="6"/>
  <c r="P51" i="6"/>
  <c r="F52" i="6"/>
  <c r="G52" i="6"/>
  <c r="H52" i="6"/>
  <c r="I52" i="6"/>
  <c r="J52" i="6"/>
  <c r="K52" i="6"/>
  <c r="L52" i="6"/>
  <c r="M52" i="6"/>
  <c r="N52" i="6"/>
  <c r="O52" i="6"/>
  <c r="P52" i="6"/>
  <c r="F53" i="6"/>
  <c r="G53" i="6"/>
  <c r="H53" i="6"/>
  <c r="I53" i="6"/>
  <c r="J53" i="6"/>
  <c r="K53" i="6"/>
  <c r="L53" i="6"/>
  <c r="M53" i="6"/>
  <c r="N53" i="6"/>
  <c r="O53" i="6"/>
  <c r="P53" i="6"/>
  <c r="F54" i="6"/>
  <c r="G54" i="6"/>
  <c r="H54" i="6"/>
  <c r="I54" i="6"/>
  <c r="J54" i="6"/>
  <c r="K54" i="6"/>
  <c r="L54" i="6"/>
  <c r="M54" i="6"/>
  <c r="N54" i="6"/>
  <c r="O54" i="6"/>
  <c r="P54" i="6"/>
  <c r="F55" i="6"/>
  <c r="G55" i="6"/>
  <c r="H55" i="6"/>
  <c r="I55" i="6"/>
  <c r="J55" i="6"/>
  <c r="K55" i="6"/>
  <c r="L55" i="6"/>
  <c r="M55" i="6"/>
  <c r="N55" i="6"/>
  <c r="O55" i="6"/>
  <c r="P55" i="6"/>
  <c r="F56" i="6"/>
  <c r="G56" i="6"/>
  <c r="H56" i="6"/>
  <c r="I56" i="6"/>
  <c r="J56" i="6"/>
  <c r="K56" i="6"/>
  <c r="L56" i="6"/>
  <c r="M56" i="6"/>
  <c r="N56" i="6"/>
  <c r="O56" i="6"/>
  <c r="P56" i="6"/>
  <c r="F57" i="6"/>
  <c r="G57" i="6"/>
  <c r="H57" i="6"/>
  <c r="I57" i="6"/>
  <c r="J57" i="6"/>
  <c r="K57" i="6"/>
  <c r="L57" i="6"/>
  <c r="M57" i="6"/>
  <c r="N57" i="6"/>
  <c r="O57" i="6"/>
  <c r="P57" i="6"/>
  <c r="F58" i="6"/>
  <c r="G58" i="6"/>
  <c r="H58" i="6"/>
  <c r="I58" i="6"/>
  <c r="J58" i="6"/>
  <c r="K58" i="6"/>
  <c r="L58" i="6"/>
  <c r="M58" i="6"/>
  <c r="N58" i="6"/>
  <c r="O58" i="6"/>
  <c r="P58" i="6"/>
  <c r="F59" i="6"/>
  <c r="G59" i="6"/>
  <c r="H59" i="6"/>
  <c r="I59" i="6"/>
  <c r="J59" i="6"/>
  <c r="K59" i="6"/>
  <c r="L59" i="6"/>
  <c r="M59" i="6"/>
  <c r="N59" i="6"/>
  <c r="O59" i="6"/>
  <c r="P59" i="6"/>
  <c r="F60" i="6"/>
  <c r="G60" i="6"/>
  <c r="H60" i="6"/>
  <c r="I60" i="6"/>
  <c r="J60" i="6"/>
  <c r="K60" i="6"/>
  <c r="L60" i="6"/>
  <c r="M60" i="6"/>
  <c r="N60" i="6"/>
  <c r="O60" i="6"/>
  <c r="P60" i="6"/>
  <c r="F61" i="6"/>
  <c r="G61" i="6"/>
  <c r="H61" i="6"/>
  <c r="I61" i="6"/>
  <c r="J61" i="6"/>
  <c r="K61" i="6"/>
  <c r="L61" i="6"/>
  <c r="M61" i="6"/>
  <c r="N61" i="6"/>
  <c r="O61" i="6"/>
  <c r="P61" i="6"/>
  <c r="F62" i="6"/>
  <c r="G62" i="6"/>
  <c r="H62" i="6"/>
  <c r="I62" i="6"/>
  <c r="J62" i="6"/>
  <c r="K62" i="6"/>
  <c r="L62" i="6"/>
  <c r="M62" i="6"/>
  <c r="N62" i="6"/>
  <c r="O62" i="6"/>
  <c r="P62" i="6"/>
  <c r="F63" i="6"/>
  <c r="G63" i="6"/>
  <c r="H63" i="6"/>
  <c r="I63" i="6"/>
  <c r="J63" i="6"/>
  <c r="K63" i="6"/>
  <c r="L63" i="6"/>
  <c r="M63" i="6"/>
  <c r="N63" i="6"/>
  <c r="O63" i="6"/>
  <c r="P63" i="6"/>
  <c r="F64" i="6"/>
  <c r="G64" i="6"/>
  <c r="H64" i="6"/>
  <c r="I64" i="6"/>
  <c r="J64" i="6"/>
  <c r="K64" i="6"/>
  <c r="L64" i="6"/>
  <c r="M64" i="6"/>
  <c r="N64" i="6"/>
  <c r="O64" i="6"/>
  <c r="P64" i="6"/>
  <c r="F65" i="6"/>
  <c r="G65" i="6"/>
  <c r="H65" i="6"/>
  <c r="I65" i="6"/>
  <c r="J65" i="6"/>
  <c r="K65" i="6"/>
  <c r="L65" i="6"/>
  <c r="M65" i="6"/>
  <c r="N65" i="6"/>
  <c r="O65" i="6"/>
  <c r="P65" i="6"/>
  <c r="F66" i="6"/>
  <c r="G66" i="6"/>
  <c r="H66" i="6"/>
  <c r="I66" i="6"/>
  <c r="J66" i="6"/>
  <c r="K66" i="6"/>
  <c r="L66" i="6"/>
  <c r="M66" i="6"/>
  <c r="N66" i="6"/>
  <c r="O66" i="6"/>
  <c r="P66" i="6"/>
  <c r="F67" i="6"/>
  <c r="G67" i="6"/>
  <c r="H67" i="6"/>
  <c r="I67" i="6"/>
  <c r="J67" i="6"/>
  <c r="K67" i="6"/>
  <c r="L67" i="6"/>
  <c r="M67" i="6"/>
  <c r="N67" i="6"/>
  <c r="O67" i="6"/>
  <c r="P67" i="6"/>
  <c r="F68" i="6"/>
  <c r="G68" i="6"/>
  <c r="H68" i="6"/>
  <c r="I68" i="6"/>
  <c r="J68" i="6"/>
  <c r="K68" i="6"/>
  <c r="L68" i="6"/>
  <c r="M68" i="6"/>
  <c r="N68" i="6"/>
  <c r="O68" i="6"/>
  <c r="P68" i="6"/>
  <c r="F69" i="6"/>
  <c r="G69" i="6"/>
  <c r="H69" i="6"/>
  <c r="I69" i="6"/>
  <c r="J69" i="6"/>
  <c r="K69" i="6"/>
  <c r="L69" i="6"/>
  <c r="M69" i="6"/>
  <c r="N69" i="6"/>
  <c r="O69" i="6"/>
  <c r="P69" i="6"/>
  <c r="F70" i="6"/>
  <c r="G70" i="6"/>
  <c r="H70" i="6"/>
  <c r="I70" i="6"/>
  <c r="J70" i="6"/>
  <c r="K70" i="6"/>
  <c r="L70" i="6"/>
  <c r="M70" i="6"/>
  <c r="N70" i="6"/>
  <c r="O70" i="6"/>
  <c r="P70" i="6"/>
  <c r="F71" i="6"/>
  <c r="G71" i="6"/>
  <c r="H71" i="6"/>
  <c r="I71" i="6"/>
  <c r="J71" i="6"/>
  <c r="K71" i="6"/>
  <c r="L71" i="6"/>
  <c r="M71" i="6"/>
  <c r="N71" i="6"/>
  <c r="O71" i="6"/>
  <c r="P71" i="6"/>
  <c r="F72" i="6"/>
  <c r="G72" i="6"/>
  <c r="H72" i="6"/>
  <c r="I72" i="6"/>
  <c r="J72" i="6"/>
  <c r="K72" i="6"/>
  <c r="L72" i="6"/>
  <c r="M72" i="6"/>
  <c r="N72" i="6"/>
  <c r="O72" i="6"/>
  <c r="P72" i="6"/>
  <c r="F73" i="6"/>
  <c r="G73" i="6"/>
  <c r="H73" i="6"/>
  <c r="I73" i="6"/>
  <c r="J73" i="6"/>
  <c r="K73" i="6"/>
  <c r="L73" i="6"/>
  <c r="M73" i="6"/>
  <c r="N73" i="6"/>
  <c r="O73" i="6"/>
  <c r="P73" i="6"/>
  <c r="F74" i="6"/>
  <c r="G74" i="6"/>
  <c r="H74" i="6"/>
  <c r="I74" i="6"/>
  <c r="J74" i="6"/>
  <c r="K74" i="6"/>
  <c r="L74" i="6"/>
  <c r="M74" i="6"/>
  <c r="N74" i="6"/>
  <c r="O74" i="6"/>
  <c r="P74" i="6"/>
  <c r="F75" i="6"/>
  <c r="G75" i="6"/>
  <c r="H75" i="6"/>
  <c r="I75" i="6"/>
  <c r="J75" i="6"/>
  <c r="K75" i="6"/>
  <c r="L75" i="6"/>
  <c r="M75" i="6"/>
  <c r="N75" i="6"/>
  <c r="O75" i="6"/>
  <c r="P75" i="6"/>
  <c r="F76" i="6"/>
  <c r="G76" i="6"/>
  <c r="H76" i="6"/>
  <c r="I76" i="6"/>
  <c r="J76" i="6"/>
  <c r="K76" i="6"/>
  <c r="L76" i="6"/>
  <c r="M76" i="6"/>
  <c r="N76" i="6"/>
  <c r="O76" i="6"/>
  <c r="P76" i="6"/>
  <c r="F77" i="6"/>
  <c r="G77" i="6"/>
  <c r="H77" i="6"/>
  <c r="I77" i="6"/>
  <c r="J77" i="6"/>
  <c r="K77" i="6"/>
  <c r="L77" i="6"/>
  <c r="M77" i="6"/>
  <c r="N77" i="6"/>
  <c r="O77" i="6"/>
  <c r="P77" i="6"/>
  <c r="F78" i="6"/>
  <c r="G78" i="6"/>
  <c r="H78" i="6"/>
  <c r="I78" i="6"/>
  <c r="J78" i="6"/>
  <c r="K78" i="6"/>
  <c r="L78" i="6"/>
  <c r="M78" i="6"/>
  <c r="N78" i="6"/>
  <c r="O78" i="6"/>
  <c r="P78" i="6"/>
  <c r="F79" i="6"/>
  <c r="G79" i="6"/>
  <c r="H79" i="6"/>
  <c r="I79" i="6"/>
  <c r="J79" i="6"/>
  <c r="K79" i="6"/>
  <c r="L79" i="6"/>
  <c r="M79" i="6"/>
  <c r="N79" i="6"/>
  <c r="O79" i="6"/>
  <c r="P79" i="6"/>
  <c r="F80" i="6"/>
  <c r="G80" i="6"/>
  <c r="H80" i="6"/>
  <c r="I80" i="6"/>
  <c r="J80" i="6"/>
  <c r="K80" i="6"/>
  <c r="L80" i="6"/>
  <c r="M80" i="6"/>
  <c r="N80" i="6"/>
  <c r="O80" i="6"/>
  <c r="P80" i="6"/>
  <c r="F81" i="6"/>
  <c r="G81" i="6"/>
  <c r="H81" i="6"/>
  <c r="I81" i="6"/>
  <c r="J81" i="6"/>
  <c r="K81" i="6"/>
  <c r="L81" i="6"/>
  <c r="M81" i="6"/>
  <c r="N81" i="6"/>
  <c r="O81" i="6"/>
  <c r="P81" i="6"/>
  <c r="F82" i="6"/>
  <c r="G82" i="6"/>
  <c r="H82" i="6"/>
  <c r="I82" i="6"/>
  <c r="J82" i="6"/>
  <c r="K82" i="6"/>
  <c r="L82" i="6"/>
  <c r="M82" i="6"/>
  <c r="N82" i="6"/>
  <c r="O82" i="6"/>
  <c r="P82" i="6"/>
  <c r="F83" i="6"/>
  <c r="G83" i="6"/>
  <c r="H83" i="6"/>
  <c r="I83" i="6"/>
  <c r="J83" i="6"/>
  <c r="K83" i="6"/>
  <c r="L83" i="6"/>
  <c r="M83" i="6"/>
  <c r="N83" i="6"/>
  <c r="O83" i="6"/>
  <c r="P83" i="6"/>
  <c r="F84" i="6"/>
  <c r="G84" i="6"/>
  <c r="H84" i="6"/>
  <c r="I84" i="6"/>
  <c r="J84" i="6"/>
  <c r="K84" i="6"/>
  <c r="L84" i="6"/>
  <c r="M84" i="6"/>
  <c r="N84" i="6"/>
  <c r="O84" i="6"/>
  <c r="P84" i="6"/>
  <c r="F85" i="6"/>
  <c r="G85" i="6"/>
  <c r="H85" i="6"/>
  <c r="I85" i="6"/>
  <c r="J85" i="6"/>
  <c r="K85" i="6"/>
  <c r="L85" i="6"/>
  <c r="M85" i="6"/>
  <c r="N85" i="6"/>
  <c r="O85" i="6"/>
  <c r="P85" i="6"/>
  <c r="F86" i="6"/>
  <c r="G86" i="6"/>
  <c r="H86" i="6"/>
  <c r="I86" i="6"/>
  <c r="J86" i="6"/>
  <c r="K86" i="6"/>
  <c r="L86" i="6"/>
  <c r="M86" i="6"/>
  <c r="N86" i="6"/>
  <c r="O86" i="6"/>
  <c r="P86" i="6"/>
  <c r="F87" i="6"/>
  <c r="G87" i="6"/>
  <c r="H87" i="6"/>
  <c r="I87" i="6"/>
  <c r="J87" i="6"/>
  <c r="K87" i="6"/>
  <c r="L87" i="6"/>
  <c r="M87" i="6"/>
  <c r="N87" i="6"/>
  <c r="O87" i="6"/>
  <c r="P87" i="6"/>
  <c r="F88" i="6"/>
  <c r="G88" i="6"/>
  <c r="H88" i="6"/>
  <c r="I88" i="6"/>
  <c r="J88" i="6"/>
  <c r="K88" i="6"/>
  <c r="L88" i="6"/>
  <c r="M88" i="6"/>
  <c r="N88" i="6"/>
  <c r="O88" i="6"/>
  <c r="P88" i="6"/>
  <c r="F89" i="6"/>
  <c r="G89" i="6"/>
  <c r="H89" i="6"/>
  <c r="I89" i="6"/>
  <c r="J89" i="6"/>
  <c r="K89" i="6"/>
  <c r="L89" i="6"/>
  <c r="M89" i="6"/>
  <c r="N89" i="6"/>
  <c r="O89" i="6"/>
  <c r="P89" i="6"/>
  <c r="F90" i="6"/>
  <c r="G90" i="6"/>
  <c r="H90" i="6"/>
  <c r="I90" i="6"/>
  <c r="J90" i="6"/>
  <c r="K90" i="6"/>
  <c r="L90" i="6"/>
  <c r="M90" i="6"/>
  <c r="N90" i="6"/>
  <c r="O90" i="6"/>
  <c r="P90" i="6"/>
  <c r="F91" i="6"/>
  <c r="G91" i="6"/>
  <c r="H91" i="6"/>
  <c r="I91" i="6"/>
  <c r="J91" i="6"/>
  <c r="K91" i="6"/>
  <c r="L91" i="6"/>
  <c r="M91" i="6"/>
  <c r="N91" i="6"/>
  <c r="O91" i="6"/>
  <c r="P91" i="6"/>
  <c r="F92" i="6"/>
  <c r="G92" i="6"/>
  <c r="H92" i="6"/>
  <c r="I92" i="6"/>
  <c r="J92" i="6"/>
  <c r="K92" i="6"/>
  <c r="L92" i="6"/>
  <c r="M92" i="6"/>
  <c r="N92" i="6"/>
  <c r="O92" i="6"/>
  <c r="P92" i="6"/>
  <c r="F93" i="6"/>
  <c r="G93" i="6"/>
  <c r="H93" i="6"/>
  <c r="I93" i="6"/>
  <c r="J93" i="6"/>
  <c r="K93" i="6"/>
  <c r="L93" i="6"/>
  <c r="M93" i="6"/>
  <c r="N93" i="6"/>
  <c r="O93" i="6"/>
  <c r="P93" i="6"/>
  <c r="F94" i="6"/>
  <c r="G94" i="6"/>
  <c r="H94" i="6"/>
  <c r="I94" i="6"/>
  <c r="J94" i="6"/>
  <c r="K94" i="6"/>
  <c r="L94" i="6"/>
  <c r="M94" i="6"/>
  <c r="N94" i="6"/>
  <c r="O94" i="6"/>
  <c r="P94" i="6"/>
  <c r="F95" i="6"/>
  <c r="G95" i="6"/>
  <c r="H95" i="6"/>
  <c r="I95" i="6"/>
  <c r="J95" i="6"/>
  <c r="K95" i="6"/>
  <c r="L95" i="6"/>
  <c r="M95" i="6"/>
  <c r="N95" i="6"/>
  <c r="O95" i="6"/>
  <c r="P95" i="6"/>
  <c r="F96" i="6"/>
  <c r="G96" i="6"/>
  <c r="H96" i="6"/>
  <c r="I96" i="6"/>
  <c r="J96" i="6"/>
  <c r="K96" i="6"/>
  <c r="L96" i="6"/>
  <c r="M96" i="6"/>
  <c r="N96" i="6"/>
  <c r="O96" i="6"/>
  <c r="P96" i="6"/>
  <c r="F97" i="6"/>
  <c r="G97" i="6"/>
  <c r="H97" i="6"/>
  <c r="I97" i="6"/>
  <c r="J97" i="6"/>
  <c r="K97" i="6"/>
  <c r="L97" i="6"/>
  <c r="M97" i="6"/>
  <c r="N97" i="6"/>
  <c r="O97" i="6"/>
  <c r="P97" i="6"/>
  <c r="F98" i="6"/>
  <c r="G98" i="6"/>
  <c r="H98" i="6"/>
  <c r="I98" i="6"/>
  <c r="J98" i="6"/>
  <c r="K98" i="6"/>
  <c r="L98" i="6"/>
  <c r="M98" i="6"/>
  <c r="N98" i="6"/>
  <c r="O98" i="6"/>
  <c r="P98" i="6"/>
  <c r="F99" i="6"/>
  <c r="G99" i="6"/>
  <c r="H99" i="6"/>
  <c r="I99" i="6"/>
  <c r="J99" i="6"/>
  <c r="K99" i="6"/>
  <c r="L99" i="6"/>
  <c r="M99" i="6"/>
  <c r="N99" i="6"/>
  <c r="O99" i="6"/>
  <c r="P99" i="6"/>
  <c r="F100" i="6"/>
  <c r="G100" i="6"/>
  <c r="H100" i="6"/>
  <c r="I100" i="6"/>
  <c r="J100" i="6"/>
  <c r="K100" i="6"/>
  <c r="L100" i="6"/>
  <c r="M100" i="6"/>
  <c r="N100" i="6"/>
  <c r="O100" i="6"/>
  <c r="P100" i="6"/>
  <c r="F101" i="6"/>
  <c r="G101" i="6"/>
  <c r="H101" i="6"/>
  <c r="I101" i="6"/>
  <c r="J101" i="6"/>
  <c r="K101" i="6"/>
  <c r="L101" i="6"/>
  <c r="M101" i="6"/>
  <c r="N101" i="6"/>
  <c r="O101" i="6"/>
  <c r="P101" i="6"/>
  <c r="F102" i="6"/>
  <c r="G102" i="6"/>
  <c r="H102" i="6"/>
  <c r="I102" i="6"/>
  <c r="J102" i="6"/>
  <c r="K102" i="6"/>
  <c r="L102" i="6"/>
  <c r="M102" i="6"/>
  <c r="N102" i="6"/>
  <c r="O102" i="6"/>
  <c r="P102" i="6"/>
  <c r="F103" i="6"/>
  <c r="G103" i="6"/>
  <c r="H103" i="6"/>
  <c r="I103" i="6"/>
  <c r="J103" i="6"/>
  <c r="K103" i="6"/>
  <c r="L103" i="6"/>
  <c r="M103" i="6"/>
  <c r="N103" i="6"/>
  <c r="O103" i="6"/>
  <c r="P103" i="6"/>
  <c r="F104" i="6"/>
  <c r="G104" i="6"/>
  <c r="H104" i="6"/>
  <c r="I104" i="6"/>
  <c r="J104" i="6"/>
  <c r="K104" i="6"/>
  <c r="L104" i="6"/>
  <c r="M104" i="6"/>
  <c r="N104" i="6"/>
  <c r="O104" i="6"/>
  <c r="P104" i="6"/>
  <c r="F105" i="6"/>
  <c r="G105" i="6"/>
  <c r="H105" i="6"/>
  <c r="I105" i="6"/>
  <c r="J105" i="6"/>
  <c r="K105" i="6"/>
  <c r="L105" i="6"/>
  <c r="M105" i="6"/>
  <c r="N105" i="6"/>
  <c r="O105" i="6"/>
  <c r="P105" i="6"/>
  <c r="F106" i="6"/>
  <c r="G106" i="6"/>
  <c r="H106" i="6"/>
  <c r="I106" i="6"/>
  <c r="J106" i="6"/>
  <c r="K106" i="6"/>
  <c r="L106" i="6"/>
  <c r="M106" i="6"/>
  <c r="N106" i="6"/>
  <c r="O106" i="6"/>
  <c r="P106" i="6"/>
  <c r="F107" i="6"/>
  <c r="G107" i="6"/>
  <c r="H107" i="6"/>
  <c r="I107" i="6"/>
  <c r="J107" i="6"/>
  <c r="K107" i="6"/>
  <c r="L107" i="6"/>
  <c r="M107" i="6"/>
  <c r="N107" i="6"/>
  <c r="O107" i="6"/>
  <c r="P107" i="6"/>
  <c r="F108" i="6"/>
  <c r="G108" i="6"/>
  <c r="H108" i="6"/>
  <c r="I108" i="6"/>
  <c r="J108" i="6"/>
  <c r="K108" i="6"/>
  <c r="L108" i="6"/>
  <c r="M108" i="6"/>
  <c r="N108" i="6"/>
  <c r="O108" i="6"/>
  <c r="P108" i="6"/>
  <c r="F109" i="6"/>
  <c r="G109" i="6"/>
  <c r="H109" i="6"/>
  <c r="I109" i="6"/>
  <c r="J109" i="6"/>
  <c r="K109" i="6"/>
  <c r="L109" i="6"/>
  <c r="M109" i="6"/>
  <c r="N109" i="6"/>
  <c r="O109" i="6"/>
  <c r="P109" i="6"/>
  <c r="F110" i="6"/>
  <c r="G110" i="6"/>
  <c r="H110" i="6"/>
  <c r="I110" i="6"/>
  <c r="J110" i="6"/>
  <c r="K110" i="6"/>
  <c r="L110" i="6"/>
  <c r="M110" i="6"/>
  <c r="N110" i="6"/>
  <c r="O110" i="6"/>
  <c r="P110" i="6"/>
  <c r="F111" i="6"/>
  <c r="G111" i="6"/>
  <c r="H111" i="6"/>
  <c r="I111" i="6"/>
  <c r="J111" i="6"/>
  <c r="K111" i="6"/>
  <c r="L111" i="6"/>
  <c r="M111" i="6"/>
  <c r="N111" i="6"/>
  <c r="O111" i="6"/>
  <c r="P111" i="6"/>
  <c r="F112" i="6"/>
  <c r="G112" i="6"/>
  <c r="H112" i="6"/>
  <c r="I112" i="6"/>
  <c r="J112" i="6"/>
  <c r="K112" i="6"/>
  <c r="L112" i="6"/>
  <c r="M112" i="6"/>
  <c r="N112" i="6"/>
  <c r="O112" i="6"/>
  <c r="P112" i="6"/>
  <c r="F113" i="6"/>
  <c r="G113" i="6"/>
  <c r="H113" i="6"/>
  <c r="I113" i="6"/>
  <c r="J113" i="6"/>
  <c r="K113" i="6"/>
  <c r="L113" i="6"/>
  <c r="M113" i="6"/>
  <c r="N113" i="6"/>
  <c r="O113" i="6"/>
  <c r="P113" i="6"/>
  <c r="F114" i="6"/>
  <c r="G114" i="6"/>
  <c r="H114" i="6"/>
  <c r="I114" i="6"/>
  <c r="J114" i="6"/>
  <c r="K114" i="6"/>
  <c r="L114" i="6"/>
  <c r="M114" i="6"/>
  <c r="N114" i="6"/>
  <c r="O114" i="6"/>
  <c r="P114" i="6"/>
  <c r="F115" i="6"/>
  <c r="G115" i="6"/>
  <c r="H115" i="6"/>
  <c r="I115" i="6"/>
  <c r="J115" i="6"/>
  <c r="K115" i="6"/>
  <c r="L115" i="6"/>
  <c r="M115" i="6"/>
  <c r="N115" i="6"/>
  <c r="O115" i="6"/>
  <c r="P115" i="6"/>
  <c r="F116" i="6"/>
  <c r="G116" i="6"/>
  <c r="H116" i="6"/>
  <c r="I116" i="6"/>
  <c r="J116" i="6"/>
  <c r="K116" i="6"/>
  <c r="L116" i="6"/>
  <c r="M116" i="6"/>
  <c r="N116" i="6"/>
  <c r="O116" i="6"/>
  <c r="P116" i="6"/>
  <c r="F117" i="6"/>
  <c r="G117" i="6"/>
  <c r="H117" i="6"/>
  <c r="I117" i="6"/>
  <c r="J117" i="6"/>
  <c r="K117" i="6"/>
  <c r="L117" i="6"/>
  <c r="M117" i="6"/>
  <c r="N117" i="6"/>
  <c r="O117" i="6"/>
  <c r="P117" i="6"/>
  <c r="F118" i="6"/>
  <c r="G118" i="6"/>
  <c r="H118" i="6"/>
  <c r="I118" i="6"/>
  <c r="J118" i="6"/>
  <c r="K118" i="6"/>
  <c r="L118" i="6"/>
  <c r="M118" i="6"/>
  <c r="N118" i="6"/>
  <c r="O118" i="6"/>
  <c r="P118" i="6"/>
  <c r="F119" i="6"/>
  <c r="G119" i="6"/>
  <c r="H119" i="6"/>
  <c r="I119" i="6"/>
  <c r="J119" i="6"/>
  <c r="K119" i="6"/>
  <c r="L119" i="6"/>
  <c r="M119" i="6"/>
  <c r="N119" i="6"/>
  <c r="O119" i="6"/>
  <c r="P119" i="6"/>
  <c r="F120" i="6"/>
  <c r="G120" i="6"/>
  <c r="H120" i="6"/>
  <c r="I120" i="6"/>
  <c r="J120" i="6"/>
  <c r="K120" i="6"/>
  <c r="L120" i="6"/>
  <c r="M120" i="6"/>
  <c r="N120" i="6"/>
  <c r="O120" i="6"/>
  <c r="P120" i="6"/>
  <c r="F121" i="6"/>
  <c r="G121" i="6"/>
  <c r="H121" i="6"/>
  <c r="I121" i="6"/>
  <c r="J121" i="6"/>
  <c r="K121" i="6"/>
  <c r="L121" i="6"/>
  <c r="M121" i="6"/>
  <c r="N121" i="6"/>
  <c r="O121" i="6"/>
  <c r="P121" i="6"/>
  <c r="F122" i="6"/>
  <c r="G122" i="6"/>
  <c r="H122" i="6"/>
  <c r="I122" i="6"/>
  <c r="J122" i="6"/>
  <c r="K122" i="6"/>
  <c r="L122" i="6"/>
  <c r="M122" i="6"/>
  <c r="N122" i="6"/>
  <c r="O122" i="6"/>
  <c r="P122" i="6"/>
  <c r="F123" i="6"/>
  <c r="G123" i="6"/>
  <c r="H123" i="6"/>
  <c r="I123" i="6"/>
  <c r="J123" i="6"/>
  <c r="K123" i="6"/>
  <c r="L123" i="6"/>
  <c r="M123" i="6"/>
  <c r="N123" i="6"/>
  <c r="O123" i="6"/>
  <c r="P123" i="6"/>
  <c r="F124" i="6"/>
  <c r="G124" i="6"/>
  <c r="H124" i="6"/>
  <c r="I124" i="6"/>
  <c r="J124" i="6"/>
  <c r="K124" i="6"/>
  <c r="L124" i="6"/>
  <c r="M124" i="6"/>
  <c r="N124" i="6"/>
  <c r="O124" i="6"/>
  <c r="P124" i="6"/>
  <c r="F125" i="6"/>
  <c r="G125" i="6"/>
  <c r="H125" i="6"/>
  <c r="I125" i="6"/>
  <c r="J125" i="6"/>
  <c r="K125" i="6"/>
  <c r="L125" i="6"/>
  <c r="M125" i="6"/>
  <c r="N125" i="6"/>
  <c r="O125" i="6"/>
  <c r="P125" i="6"/>
  <c r="F126" i="6"/>
  <c r="G126" i="6"/>
  <c r="H126" i="6"/>
  <c r="I126" i="6"/>
  <c r="J126" i="6"/>
  <c r="K126" i="6"/>
  <c r="L126" i="6"/>
  <c r="M126" i="6"/>
  <c r="N126" i="6"/>
  <c r="O126" i="6"/>
  <c r="P126" i="6"/>
  <c r="F127" i="6"/>
  <c r="G127" i="6"/>
  <c r="H127" i="6"/>
  <c r="I127" i="6"/>
  <c r="J127" i="6"/>
  <c r="K127" i="6"/>
  <c r="L127" i="6"/>
  <c r="M127" i="6"/>
  <c r="N127" i="6"/>
  <c r="O127" i="6"/>
  <c r="P127" i="6"/>
  <c r="F128" i="6"/>
  <c r="G128" i="6"/>
  <c r="H128" i="6"/>
  <c r="I128" i="6"/>
  <c r="J128" i="6"/>
  <c r="K128" i="6"/>
  <c r="L128" i="6"/>
  <c r="M128" i="6"/>
  <c r="N128" i="6"/>
  <c r="O128" i="6"/>
  <c r="P128" i="6"/>
  <c r="F129" i="6"/>
  <c r="G129" i="6"/>
  <c r="H129" i="6"/>
  <c r="I129" i="6"/>
  <c r="J129" i="6"/>
  <c r="K129" i="6"/>
  <c r="L129" i="6"/>
  <c r="M129" i="6"/>
  <c r="N129" i="6"/>
  <c r="O129" i="6"/>
  <c r="P129" i="6"/>
  <c r="F130" i="6"/>
  <c r="G130" i="6"/>
  <c r="H130" i="6"/>
  <c r="I130" i="6"/>
  <c r="J130" i="6"/>
  <c r="K130" i="6"/>
  <c r="L130" i="6"/>
  <c r="M130" i="6"/>
  <c r="N130" i="6"/>
  <c r="O130" i="6"/>
  <c r="P130" i="6"/>
  <c r="F131" i="6"/>
  <c r="G131" i="6"/>
  <c r="H131" i="6"/>
  <c r="I131" i="6"/>
  <c r="J131" i="6"/>
  <c r="K131" i="6"/>
  <c r="L131" i="6"/>
  <c r="M131" i="6"/>
  <c r="N131" i="6"/>
  <c r="O131" i="6"/>
  <c r="P131" i="6"/>
  <c r="F132" i="6"/>
  <c r="G132" i="6"/>
  <c r="H132" i="6"/>
  <c r="I132" i="6"/>
  <c r="J132" i="6"/>
  <c r="K132" i="6"/>
  <c r="L132" i="6"/>
  <c r="M132" i="6"/>
  <c r="N132" i="6"/>
  <c r="O132" i="6"/>
  <c r="P132" i="6"/>
  <c r="F133" i="6"/>
  <c r="G133" i="6"/>
  <c r="H133" i="6"/>
  <c r="I133" i="6"/>
  <c r="J133" i="6"/>
  <c r="K133" i="6"/>
  <c r="L133" i="6"/>
  <c r="M133" i="6"/>
  <c r="N133" i="6"/>
  <c r="O133" i="6"/>
  <c r="P133" i="6"/>
  <c r="F134" i="6"/>
  <c r="G134" i="6"/>
  <c r="H134" i="6"/>
  <c r="I134" i="6"/>
  <c r="J134" i="6"/>
  <c r="K134" i="6"/>
  <c r="L134" i="6"/>
  <c r="M134" i="6"/>
  <c r="N134" i="6"/>
  <c r="O134" i="6"/>
  <c r="P134" i="6"/>
  <c r="F135" i="6"/>
  <c r="G135" i="6"/>
  <c r="H135" i="6"/>
  <c r="I135" i="6"/>
  <c r="J135" i="6"/>
  <c r="K135" i="6"/>
  <c r="L135" i="6"/>
  <c r="M135" i="6"/>
  <c r="N135" i="6"/>
  <c r="O135" i="6"/>
  <c r="P135" i="6"/>
  <c r="F136" i="6"/>
  <c r="G136" i="6"/>
  <c r="H136" i="6"/>
  <c r="I136" i="6"/>
  <c r="J136" i="6"/>
  <c r="K136" i="6"/>
  <c r="L136" i="6"/>
  <c r="M136" i="6"/>
  <c r="N136" i="6"/>
  <c r="O136" i="6"/>
  <c r="P136" i="6"/>
  <c r="F137" i="6"/>
  <c r="G137" i="6"/>
  <c r="H137" i="6"/>
  <c r="I137" i="6"/>
  <c r="J137" i="6"/>
  <c r="K137" i="6"/>
  <c r="L137" i="6"/>
  <c r="M137" i="6"/>
  <c r="N137" i="6"/>
  <c r="O137" i="6"/>
  <c r="P137" i="6"/>
  <c r="F138" i="6"/>
  <c r="G138" i="6"/>
  <c r="H138" i="6"/>
  <c r="I138" i="6"/>
  <c r="J138" i="6"/>
  <c r="K138" i="6"/>
  <c r="L138" i="6"/>
  <c r="M138" i="6"/>
  <c r="N138" i="6"/>
  <c r="O138" i="6"/>
  <c r="P138" i="6"/>
  <c r="F139" i="6"/>
  <c r="G139" i="6"/>
  <c r="H139" i="6"/>
  <c r="I139" i="6"/>
  <c r="J139" i="6"/>
  <c r="K139" i="6"/>
  <c r="L139" i="6"/>
  <c r="M139" i="6"/>
  <c r="N139" i="6"/>
  <c r="O139" i="6"/>
  <c r="P139" i="6"/>
  <c r="F140" i="6"/>
  <c r="G140" i="6"/>
  <c r="H140" i="6"/>
  <c r="I140" i="6"/>
  <c r="J140" i="6"/>
  <c r="K140" i="6"/>
  <c r="L140" i="6"/>
  <c r="M140" i="6"/>
  <c r="N140" i="6"/>
  <c r="O140" i="6"/>
  <c r="P140" i="6"/>
  <c r="F141" i="6"/>
  <c r="G141" i="6"/>
  <c r="H141" i="6"/>
  <c r="I141" i="6"/>
  <c r="J141" i="6"/>
  <c r="K141" i="6"/>
  <c r="L141" i="6"/>
  <c r="M141" i="6"/>
  <c r="N141" i="6"/>
  <c r="O141" i="6"/>
  <c r="P141" i="6"/>
  <c r="F142" i="6"/>
  <c r="G142" i="6"/>
  <c r="H142" i="6"/>
  <c r="I142" i="6"/>
  <c r="J142" i="6"/>
  <c r="K142" i="6"/>
  <c r="L142" i="6"/>
  <c r="M142" i="6"/>
  <c r="N142" i="6"/>
  <c r="O142" i="6"/>
  <c r="P142" i="6"/>
  <c r="F143" i="6"/>
  <c r="G143" i="6"/>
  <c r="H143" i="6"/>
  <c r="I143" i="6"/>
  <c r="J143" i="6"/>
  <c r="K143" i="6"/>
  <c r="L143" i="6"/>
  <c r="M143" i="6"/>
  <c r="N143" i="6"/>
  <c r="O143" i="6"/>
  <c r="P143" i="6"/>
  <c r="F144" i="6"/>
  <c r="G144" i="6"/>
  <c r="H144" i="6"/>
  <c r="I144" i="6"/>
  <c r="J144" i="6"/>
  <c r="K144" i="6"/>
  <c r="L144" i="6"/>
  <c r="M144" i="6"/>
  <c r="N144" i="6"/>
  <c r="O144" i="6"/>
  <c r="P144" i="6"/>
  <c r="F145" i="6"/>
  <c r="G145" i="6"/>
  <c r="H145" i="6"/>
  <c r="I145" i="6"/>
  <c r="J145" i="6"/>
  <c r="K145" i="6"/>
  <c r="L145" i="6"/>
  <c r="M145" i="6"/>
  <c r="N145" i="6"/>
  <c r="O145" i="6"/>
  <c r="P145" i="6"/>
  <c r="F146" i="6"/>
  <c r="G146" i="6"/>
  <c r="H146" i="6"/>
  <c r="I146" i="6"/>
  <c r="J146" i="6"/>
  <c r="K146" i="6"/>
  <c r="L146" i="6"/>
  <c r="M146" i="6"/>
  <c r="N146" i="6"/>
  <c r="O146" i="6"/>
  <c r="P146" i="6"/>
  <c r="F147" i="6"/>
  <c r="G147" i="6"/>
  <c r="H147" i="6"/>
  <c r="I147" i="6"/>
  <c r="J147" i="6"/>
  <c r="K147" i="6"/>
  <c r="L147" i="6"/>
  <c r="M147" i="6"/>
  <c r="N147" i="6"/>
  <c r="O147" i="6"/>
  <c r="P147" i="6"/>
  <c r="F148" i="6"/>
  <c r="G148" i="6"/>
  <c r="H148" i="6"/>
  <c r="I148" i="6"/>
  <c r="J148" i="6"/>
  <c r="K148" i="6"/>
  <c r="L148" i="6"/>
  <c r="M148" i="6"/>
  <c r="N148" i="6"/>
  <c r="O148" i="6"/>
  <c r="P148" i="6"/>
  <c r="F149" i="6"/>
  <c r="G149" i="6"/>
  <c r="H149" i="6"/>
  <c r="I149" i="6"/>
  <c r="J149" i="6"/>
  <c r="K149" i="6"/>
  <c r="L149" i="6"/>
  <c r="M149" i="6"/>
  <c r="N149" i="6"/>
  <c r="O149" i="6"/>
  <c r="P149" i="6"/>
  <c r="F150" i="6"/>
  <c r="G150" i="6"/>
  <c r="H150" i="6"/>
  <c r="I150" i="6"/>
  <c r="J150" i="6"/>
  <c r="K150" i="6"/>
  <c r="L150" i="6"/>
  <c r="M150" i="6"/>
  <c r="N150" i="6"/>
  <c r="O150" i="6"/>
  <c r="P150" i="6"/>
  <c r="F151" i="6"/>
  <c r="G151" i="6"/>
  <c r="H151" i="6"/>
  <c r="I151" i="6"/>
  <c r="J151" i="6"/>
  <c r="K151" i="6"/>
  <c r="L151" i="6"/>
  <c r="M151" i="6"/>
  <c r="N151" i="6"/>
  <c r="O151" i="6"/>
  <c r="P151" i="6"/>
  <c r="F152" i="6"/>
  <c r="G152" i="6"/>
  <c r="H152" i="6"/>
  <c r="I152" i="6"/>
  <c r="J152" i="6"/>
  <c r="K152" i="6"/>
  <c r="L152" i="6"/>
  <c r="M152" i="6"/>
  <c r="N152" i="6"/>
  <c r="O152" i="6"/>
  <c r="P152" i="6"/>
  <c r="F153" i="6"/>
  <c r="G153" i="6"/>
  <c r="H153" i="6"/>
  <c r="I153" i="6"/>
  <c r="J153" i="6"/>
  <c r="K153" i="6"/>
  <c r="L153" i="6"/>
  <c r="M153" i="6"/>
  <c r="N153" i="6"/>
  <c r="O153" i="6"/>
  <c r="P153" i="6"/>
  <c r="F154" i="6"/>
  <c r="G154" i="6"/>
  <c r="H154" i="6"/>
  <c r="I154" i="6"/>
  <c r="J154" i="6"/>
  <c r="K154" i="6"/>
  <c r="L154" i="6"/>
  <c r="M154" i="6"/>
  <c r="N154" i="6"/>
  <c r="O154" i="6"/>
  <c r="P154" i="6"/>
  <c r="F155" i="6"/>
  <c r="G155" i="6"/>
  <c r="H155" i="6"/>
  <c r="I155" i="6"/>
  <c r="J155" i="6"/>
  <c r="K155" i="6"/>
  <c r="L155" i="6"/>
  <c r="M155" i="6"/>
  <c r="N155" i="6"/>
  <c r="O155" i="6"/>
  <c r="P155" i="6"/>
  <c r="F156" i="6"/>
  <c r="G156" i="6"/>
  <c r="H156" i="6"/>
  <c r="I156" i="6"/>
  <c r="J156" i="6"/>
  <c r="K156" i="6"/>
  <c r="L156" i="6"/>
  <c r="M156" i="6"/>
  <c r="N156" i="6"/>
  <c r="O156" i="6"/>
  <c r="P156" i="6"/>
  <c r="F157" i="6"/>
  <c r="G157" i="6"/>
  <c r="H157" i="6"/>
  <c r="I157" i="6"/>
  <c r="J157" i="6"/>
  <c r="K157" i="6"/>
  <c r="L157" i="6"/>
  <c r="M157" i="6"/>
  <c r="N157" i="6"/>
  <c r="O157" i="6"/>
  <c r="P157" i="6"/>
  <c r="F158" i="6"/>
  <c r="G158" i="6"/>
  <c r="H158" i="6"/>
  <c r="I158" i="6"/>
  <c r="J158" i="6"/>
  <c r="K158" i="6"/>
  <c r="L158" i="6"/>
  <c r="M158" i="6"/>
  <c r="N158" i="6"/>
  <c r="O158" i="6"/>
  <c r="P158" i="6"/>
  <c r="F159" i="6"/>
  <c r="G159" i="6"/>
  <c r="H159" i="6"/>
  <c r="I159" i="6"/>
  <c r="J159" i="6"/>
  <c r="K159" i="6"/>
  <c r="L159" i="6"/>
  <c r="M159" i="6"/>
  <c r="N159" i="6"/>
  <c r="O159" i="6"/>
  <c r="P159" i="6"/>
  <c r="F160" i="6"/>
  <c r="G160" i="6"/>
  <c r="H160" i="6"/>
  <c r="I160" i="6"/>
  <c r="J160" i="6"/>
  <c r="K160" i="6"/>
  <c r="L160" i="6"/>
  <c r="M160" i="6"/>
  <c r="N160" i="6"/>
  <c r="O160" i="6"/>
  <c r="P160" i="6"/>
  <c r="F161" i="6"/>
  <c r="G161" i="6"/>
  <c r="H161" i="6"/>
  <c r="I161" i="6"/>
  <c r="J161" i="6"/>
  <c r="K161" i="6"/>
  <c r="L161" i="6"/>
  <c r="M161" i="6"/>
  <c r="N161" i="6"/>
  <c r="O161" i="6"/>
  <c r="P161" i="6"/>
  <c r="F162" i="6"/>
  <c r="G162" i="6"/>
  <c r="H162" i="6"/>
  <c r="I162" i="6"/>
  <c r="J162" i="6"/>
  <c r="K162" i="6"/>
  <c r="L162" i="6"/>
  <c r="M162" i="6"/>
  <c r="N162" i="6"/>
  <c r="O162" i="6"/>
  <c r="P162" i="6"/>
  <c r="F163" i="6"/>
  <c r="G163" i="6"/>
  <c r="H163" i="6"/>
  <c r="I163" i="6"/>
  <c r="J163" i="6"/>
  <c r="K163" i="6"/>
  <c r="L163" i="6"/>
  <c r="M163" i="6"/>
  <c r="N163" i="6"/>
  <c r="O163" i="6"/>
  <c r="P163" i="6"/>
  <c r="F164" i="6"/>
  <c r="G164" i="6"/>
  <c r="H164" i="6"/>
  <c r="I164" i="6"/>
  <c r="J164" i="6"/>
  <c r="K164" i="6"/>
  <c r="L164" i="6"/>
  <c r="M164" i="6"/>
  <c r="N164" i="6"/>
  <c r="O164" i="6"/>
  <c r="P164" i="6"/>
  <c r="F165" i="6"/>
  <c r="G165" i="6"/>
  <c r="H165" i="6"/>
  <c r="I165" i="6"/>
  <c r="J165" i="6"/>
  <c r="K165" i="6"/>
  <c r="L165" i="6"/>
  <c r="M165" i="6"/>
  <c r="N165" i="6"/>
  <c r="O165" i="6"/>
  <c r="P165" i="6"/>
  <c r="F166" i="6"/>
  <c r="G166" i="6"/>
  <c r="H166" i="6"/>
  <c r="I166" i="6"/>
  <c r="J166" i="6"/>
  <c r="K166" i="6"/>
  <c r="L166" i="6"/>
  <c r="M166" i="6"/>
  <c r="N166" i="6"/>
  <c r="O166" i="6"/>
  <c r="P166" i="6"/>
  <c r="F167" i="6"/>
  <c r="G167" i="6"/>
  <c r="H167" i="6"/>
  <c r="I167" i="6"/>
  <c r="J167" i="6"/>
  <c r="K167" i="6"/>
  <c r="L167" i="6"/>
  <c r="M167" i="6"/>
  <c r="N167" i="6"/>
  <c r="O167" i="6"/>
  <c r="P167" i="6"/>
  <c r="F168" i="6"/>
  <c r="G168" i="6"/>
  <c r="H168" i="6"/>
  <c r="I168" i="6"/>
  <c r="J168" i="6"/>
  <c r="K168" i="6"/>
  <c r="L168" i="6"/>
  <c r="M168" i="6"/>
  <c r="N168" i="6"/>
  <c r="O168" i="6"/>
  <c r="P168" i="6"/>
  <c r="F169" i="6"/>
  <c r="G169" i="6"/>
  <c r="H169" i="6"/>
  <c r="I169" i="6"/>
  <c r="J169" i="6"/>
  <c r="K169" i="6"/>
  <c r="L169" i="6"/>
  <c r="M169" i="6"/>
  <c r="N169" i="6"/>
  <c r="O169" i="6"/>
  <c r="P169" i="6"/>
  <c r="F170" i="6"/>
  <c r="G170" i="6"/>
  <c r="H170" i="6"/>
  <c r="I170" i="6"/>
  <c r="J170" i="6"/>
  <c r="K170" i="6"/>
  <c r="L170" i="6"/>
  <c r="M170" i="6"/>
  <c r="N170" i="6"/>
  <c r="O170" i="6"/>
  <c r="P170" i="6"/>
  <c r="F171" i="6"/>
  <c r="G171" i="6"/>
  <c r="H171" i="6"/>
  <c r="I171" i="6"/>
  <c r="J171" i="6"/>
  <c r="K171" i="6"/>
  <c r="L171" i="6"/>
  <c r="M171" i="6"/>
  <c r="N171" i="6"/>
  <c r="O171" i="6"/>
  <c r="P171" i="6"/>
  <c r="F172" i="6"/>
  <c r="G172" i="6"/>
  <c r="H172" i="6"/>
  <c r="I172" i="6"/>
  <c r="J172" i="6"/>
  <c r="K172" i="6"/>
  <c r="L172" i="6"/>
  <c r="M172" i="6"/>
  <c r="N172" i="6"/>
  <c r="O172" i="6"/>
  <c r="P172" i="6"/>
  <c r="F173" i="6"/>
  <c r="G173" i="6"/>
  <c r="H173" i="6"/>
  <c r="I173" i="6"/>
  <c r="J173" i="6"/>
  <c r="K173" i="6"/>
  <c r="L173" i="6"/>
  <c r="M173" i="6"/>
  <c r="N173" i="6"/>
  <c r="O173" i="6"/>
  <c r="P173" i="6"/>
  <c r="F174" i="6"/>
  <c r="G174" i="6"/>
  <c r="H174" i="6"/>
  <c r="I174" i="6"/>
  <c r="J174" i="6"/>
  <c r="K174" i="6"/>
  <c r="L174" i="6"/>
  <c r="M174" i="6"/>
  <c r="N174" i="6"/>
  <c r="O174" i="6"/>
  <c r="P174" i="6"/>
  <c r="F175" i="6"/>
  <c r="G175" i="6"/>
  <c r="H175" i="6"/>
  <c r="I175" i="6"/>
  <c r="J175" i="6"/>
  <c r="K175" i="6"/>
  <c r="L175" i="6"/>
  <c r="M175" i="6"/>
  <c r="N175" i="6"/>
  <c r="O175" i="6"/>
  <c r="P175" i="6"/>
  <c r="F176" i="6"/>
  <c r="G176" i="6"/>
  <c r="H176" i="6"/>
  <c r="I176" i="6"/>
  <c r="J176" i="6"/>
  <c r="K176" i="6"/>
  <c r="L176" i="6"/>
  <c r="M176" i="6"/>
  <c r="N176" i="6"/>
  <c r="O176" i="6"/>
  <c r="P176" i="6"/>
  <c r="F177" i="6"/>
  <c r="G177" i="6"/>
  <c r="H177" i="6"/>
  <c r="I177" i="6"/>
  <c r="J177" i="6"/>
  <c r="K177" i="6"/>
  <c r="L177" i="6"/>
  <c r="M177" i="6"/>
  <c r="N177" i="6"/>
  <c r="O177" i="6"/>
  <c r="P177" i="6"/>
  <c r="F178" i="6"/>
  <c r="G178" i="6"/>
  <c r="H178" i="6"/>
  <c r="I178" i="6"/>
  <c r="J178" i="6"/>
  <c r="K178" i="6"/>
  <c r="L178" i="6"/>
  <c r="M178" i="6"/>
  <c r="N178" i="6"/>
  <c r="O178" i="6"/>
  <c r="P178" i="6"/>
  <c r="F179" i="6"/>
  <c r="G179" i="6"/>
  <c r="H179" i="6"/>
  <c r="I179" i="6"/>
  <c r="J179" i="6"/>
  <c r="K179" i="6"/>
  <c r="L179" i="6"/>
  <c r="M179" i="6"/>
  <c r="N179" i="6"/>
  <c r="O179" i="6"/>
  <c r="P179" i="6"/>
  <c r="F180" i="6"/>
  <c r="G180" i="6"/>
  <c r="H180" i="6"/>
  <c r="I180" i="6"/>
  <c r="J180" i="6"/>
  <c r="K180" i="6"/>
  <c r="L180" i="6"/>
  <c r="M180" i="6"/>
  <c r="N180" i="6"/>
  <c r="O180" i="6"/>
  <c r="P180" i="6"/>
  <c r="F181" i="6"/>
  <c r="G181" i="6"/>
  <c r="H181" i="6"/>
  <c r="I181" i="6"/>
  <c r="J181" i="6"/>
  <c r="K181" i="6"/>
  <c r="L181" i="6"/>
  <c r="M181" i="6"/>
  <c r="N181" i="6"/>
  <c r="O181" i="6"/>
  <c r="P181" i="6"/>
  <c r="F182" i="6"/>
  <c r="G182" i="6"/>
  <c r="H182" i="6"/>
  <c r="I182" i="6"/>
  <c r="J182" i="6"/>
  <c r="K182" i="6"/>
  <c r="L182" i="6"/>
  <c r="M182" i="6"/>
  <c r="N182" i="6"/>
  <c r="O182" i="6"/>
  <c r="P182" i="6"/>
  <c r="F183" i="6"/>
  <c r="G183" i="6"/>
  <c r="H183" i="6"/>
  <c r="I183" i="6"/>
  <c r="J183" i="6"/>
  <c r="K183" i="6"/>
  <c r="L183" i="6"/>
  <c r="M183" i="6"/>
  <c r="N183" i="6"/>
  <c r="O183" i="6"/>
  <c r="P183" i="6"/>
  <c r="F184" i="6"/>
  <c r="G184" i="6"/>
  <c r="H184" i="6"/>
  <c r="I184" i="6"/>
  <c r="J184" i="6"/>
  <c r="K184" i="6"/>
  <c r="L184" i="6"/>
  <c r="M184" i="6"/>
  <c r="N184" i="6"/>
  <c r="O184" i="6"/>
  <c r="P184" i="6"/>
  <c r="F185" i="6"/>
  <c r="G185" i="6"/>
  <c r="H185" i="6"/>
  <c r="I185" i="6"/>
  <c r="J185" i="6"/>
  <c r="K185" i="6"/>
  <c r="L185" i="6"/>
  <c r="M185" i="6"/>
  <c r="N185" i="6"/>
  <c r="O185" i="6"/>
  <c r="P185" i="6"/>
  <c r="F186" i="6"/>
  <c r="G186" i="6"/>
  <c r="H186" i="6"/>
  <c r="I186" i="6"/>
  <c r="J186" i="6"/>
  <c r="K186" i="6"/>
  <c r="L186" i="6"/>
  <c r="M186" i="6"/>
  <c r="N186" i="6"/>
  <c r="O186" i="6"/>
  <c r="P186" i="6"/>
  <c r="F187" i="6"/>
  <c r="G187" i="6"/>
  <c r="H187" i="6"/>
  <c r="I187" i="6"/>
  <c r="J187" i="6"/>
  <c r="K187" i="6"/>
  <c r="L187" i="6"/>
  <c r="M187" i="6"/>
  <c r="N187" i="6"/>
  <c r="O187" i="6"/>
  <c r="P187" i="6"/>
  <c r="F188" i="6"/>
  <c r="G188" i="6"/>
  <c r="H188" i="6"/>
  <c r="I188" i="6"/>
  <c r="J188" i="6"/>
  <c r="K188" i="6"/>
  <c r="L188" i="6"/>
  <c r="M188" i="6"/>
  <c r="N188" i="6"/>
  <c r="O188" i="6"/>
  <c r="P188" i="6"/>
  <c r="F189" i="6"/>
  <c r="G189" i="6"/>
  <c r="H189" i="6"/>
  <c r="I189" i="6"/>
  <c r="J189" i="6"/>
  <c r="K189" i="6"/>
  <c r="L189" i="6"/>
  <c r="M189" i="6"/>
  <c r="N189" i="6"/>
  <c r="O189" i="6"/>
  <c r="P189" i="6"/>
  <c r="F190" i="6"/>
  <c r="G190" i="6"/>
  <c r="H190" i="6"/>
  <c r="I190" i="6"/>
  <c r="J190" i="6"/>
  <c r="K190" i="6"/>
  <c r="L190" i="6"/>
  <c r="M190" i="6"/>
  <c r="N190" i="6"/>
  <c r="O190" i="6"/>
  <c r="P190" i="6"/>
  <c r="F191" i="6"/>
  <c r="G191" i="6"/>
  <c r="H191" i="6"/>
  <c r="I191" i="6"/>
  <c r="J191" i="6"/>
  <c r="K191" i="6"/>
  <c r="L191" i="6"/>
  <c r="M191" i="6"/>
  <c r="N191" i="6"/>
  <c r="O191" i="6"/>
  <c r="P191" i="6"/>
  <c r="F192" i="6"/>
  <c r="G192" i="6"/>
  <c r="H192" i="6"/>
  <c r="I192" i="6"/>
  <c r="J192" i="6"/>
  <c r="K192" i="6"/>
  <c r="L192" i="6"/>
  <c r="M192" i="6"/>
  <c r="N192" i="6"/>
  <c r="O192" i="6"/>
  <c r="P192" i="6"/>
  <c r="F193" i="6"/>
  <c r="G193" i="6"/>
  <c r="H193" i="6"/>
  <c r="I193" i="6"/>
  <c r="J193" i="6"/>
  <c r="K193" i="6"/>
  <c r="L193" i="6"/>
  <c r="M193" i="6"/>
  <c r="N193" i="6"/>
  <c r="O193" i="6"/>
  <c r="P193" i="6"/>
  <c r="F194" i="6"/>
  <c r="G194" i="6"/>
  <c r="H194" i="6"/>
  <c r="I194" i="6"/>
  <c r="J194" i="6"/>
  <c r="K194" i="6"/>
  <c r="L194" i="6"/>
  <c r="M194" i="6"/>
  <c r="N194" i="6"/>
  <c r="O194" i="6"/>
  <c r="P194" i="6"/>
  <c r="F195" i="6"/>
  <c r="G195" i="6"/>
  <c r="H195" i="6"/>
  <c r="I195" i="6"/>
  <c r="J195" i="6"/>
  <c r="K195" i="6"/>
  <c r="L195" i="6"/>
  <c r="M195" i="6"/>
  <c r="N195" i="6"/>
  <c r="O195" i="6"/>
  <c r="P195" i="6"/>
  <c r="F196" i="6"/>
  <c r="G196" i="6"/>
  <c r="H196" i="6"/>
  <c r="I196" i="6"/>
  <c r="J196" i="6"/>
  <c r="K196" i="6"/>
  <c r="L196" i="6"/>
  <c r="M196" i="6"/>
  <c r="N196" i="6"/>
  <c r="O196" i="6"/>
  <c r="P196" i="6"/>
  <c r="F197" i="6"/>
  <c r="G197" i="6"/>
  <c r="H197" i="6"/>
  <c r="I197" i="6"/>
  <c r="J197" i="6"/>
  <c r="K197" i="6"/>
  <c r="L197" i="6"/>
  <c r="M197" i="6"/>
  <c r="N197" i="6"/>
  <c r="O197" i="6"/>
  <c r="P197" i="6"/>
  <c r="F198" i="6"/>
  <c r="G198" i="6"/>
  <c r="H198" i="6"/>
  <c r="I198" i="6"/>
  <c r="J198" i="6"/>
  <c r="K198" i="6"/>
  <c r="L198" i="6"/>
  <c r="M198" i="6"/>
  <c r="N198" i="6"/>
  <c r="O198" i="6"/>
  <c r="P198" i="6"/>
  <c r="F199" i="6"/>
  <c r="G199" i="6"/>
  <c r="H199" i="6"/>
  <c r="I199" i="6"/>
  <c r="J199" i="6"/>
  <c r="K199" i="6"/>
  <c r="L199" i="6"/>
  <c r="M199" i="6"/>
  <c r="N199" i="6"/>
  <c r="O199" i="6"/>
  <c r="P199" i="6"/>
  <c r="F200" i="6"/>
  <c r="G200" i="6"/>
  <c r="H200" i="6"/>
  <c r="I200" i="6"/>
  <c r="J200" i="6"/>
  <c r="K200" i="6"/>
  <c r="L200" i="6"/>
  <c r="M200" i="6"/>
  <c r="N200" i="6"/>
  <c r="O200" i="6"/>
  <c r="P200" i="6"/>
  <c r="F201" i="6"/>
  <c r="G201" i="6"/>
  <c r="H201" i="6"/>
  <c r="I201" i="6"/>
  <c r="J201" i="6"/>
  <c r="K201" i="6"/>
  <c r="L201" i="6"/>
  <c r="M201" i="6"/>
  <c r="N201" i="6"/>
  <c r="O201" i="6"/>
  <c r="P201" i="6"/>
  <c r="P3" i="6"/>
  <c r="O3" i="6"/>
  <c r="N3" i="6"/>
  <c r="M3" i="6"/>
  <c r="L3" i="6"/>
  <c r="K3" i="6"/>
  <c r="J3" i="6"/>
  <c r="I3" i="6"/>
  <c r="H3" i="6"/>
  <c r="G3" i="6"/>
  <c r="A1" i="16" l="1"/>
  <c r="D202" i="15"/>
  <c r="C202" i="15"/>
  <c r="B202" i="15"/>
  <c r="A202" i="15"/>
  <c r="D201" i="15"/>
  <c r="C201" i="15"/>
  <c r="B201" i="15"/>
  <c r="A201" i="15"/>
  <c r="D200" i="15"/>
  <c r="C200" i="15"/>
  <c r="B200" i="15"/>
  <c r="A200" i="15"/>
  <c r="D199" i="15"/>
  <c r="C199" i="15"/>
  <c r="B199" i="15"/>
  <c r="A199" i="15"/>
  <c r="D198" i="15"/>
  <c r="C198" i="15"/>
  <c r="B198" i="15"/>
  <c r="A198" i="15"/>
  <c r="D197" i="15"/>
  <c r="C197" i="15"/>
  <c r="B197" i="15"/>
  <c r="A197" i="15"/>
  <c r="D196" i="15"/>
  <c r="C196" i="15"/>
  <c r="B196" i="15"/>
  <c r="A196" i="15"/>
  <c r="D195" i="15"/>
  <c r="C195" i="15"/>
  <c r="B195" i="15"/>
  <c r="A195" i="15"/>
  <c r="D194" i="15"/>
  <c r="C194" i="15"/>
  <c r="B194" i="15"/>
  <c r="A194" i="15"/>
  <c r="D193" i="15"/>
  <c r="C193" i="15"/>
  <c r="B193" i="15"/>
  <c r="A193" i="15"/>
  <c r="D192" i="15"/>
  <c r="C192" i="15"/>
  <c r="B192" i="15"/>
  <c r="A192" i="15"/>
  <c r="D191" i="15"/>
  <c r="C191" i="15"/>
  <c r="B191" i="15"/>
  <c r="A191" i="15"/>
  <c r="D190" i="15"/>
  <c r="C190" i="15"/>
  <c r="B190" i="15"/>
  <c r="A190" i="15"/>
  <c r="D189" i="15"/>
  <c r="C189" i="15"/>
  <c r="B189" i="15"/>
  <c r="A189" i="15"/>
  <c r="D188" i="15"/>
  <c r="C188" i="15"/>
  <c r="B188" i="15"/>
  <c r="A188" i="15"/>
  <c r="D187" i="15"/>
  <c r="C187" i="15"/>
  <c r="B187" i="15"/>
  <c r="A187" i="15"/>
  <c r="D186" i="15"/>
  <c r="C186" i="15"/>
  <c r="B186" i="15"/>
  <c r="A186" i="15"/>
  <c r="D185" i="15"/>
  <c r="C185" i="15"/>
  <c r="B185" i="15"/>
  <c r="A185" i="15"/>
  <c r="D184" i="15"/>
  <c r="C184" i="15"/>
  <c r="B184" i="15"/>
  <c r="A184" i="15"/>
  <c r="D183" i="15"/>
  <c r="C183" i="15"/>
  <c r="B183" i="15"/>
  <c r="A183" i="15"/>
  <c r="D182" i="15"/>
  <c r="C182" i="15"/>
  <c r="B182" i="15"/>
  <c r="A182" i="15"/>
  <c r="D181" i="15"/>
  <c r="C181" i="15"/>
  <c r="B181" i="15"/>
  <c r="A181" i="15"/>
  <c r="D180" i="15"/>
  <c r="C180" i="15"/>
  <c r="B180" i="15"/>
  <c r="A180" i="15"/>
  <c r="D179" i="15"/>
  <c r="C179" i="15"/>
  <c r="B179" i="15"/>
  <c r="A179" i="15"/>
  <c r="D178" i="15"/>
  <c r="C178" i="15"/>
  <c r="B178" i="15"/>
  <c r="A178" i="15"/>
  <c r="D177" i="15"/>
  <c r="C177" i="15"/>
  <c r="B177" i="15"/>
  <c r="A177" i="15"/>
  <c r="D176" i="15"/>
  <c r="C176" i="15"/>
  <c r="B176" i="15"/>
  <c r="A176" i="15"/>
  <c r="D175" i="15"/>
  <c r="C175" i="15"/>
  <c r="B175" i="15"/>
  <c r="A175" i="15"/>
  <c r="D174" i="15"/>
  <c r="C174" i="15"/>
  <c r="B174" i="15"/>
  <c r="A174" i="15"/>
  <c r="D173" i="15"/>
  <c r="C173" i="15"/>
  <c r="B173" i="15"/>
  <c r="A173" i="15"/>
  <c r="D172" i="15"/>
  <c r="C172" i="15"/>
  <c r="B172" i="15"/>
  <c r="A172" i="15"/>
  <c r="D171" i="15"/>
  <c r="C171" i="15"/>
  <c r="B171" i="15"/>
  <c r="A171" i="15"/>
  <c r="D170" i="15"/>
  <c r="C170" i="15"/>
  <c r="B170" i="15"/>
  <c r="A170" i="15"/>
  <c r="D169" i="15"/>
  <c r="C169" i="15"/>
  <c r="B169" i="15"/>
  <c r="A169" i="15"/>
  <c r="D168" i="15"/>
  <c r="C168" i="15"/>
  <c r="B168" i="15"/>
  <c r="A168" i="15"/>
  <c r="D167" i="15"/>
  <c r="C167" i="15"/>
  <c r="B167" i="15"/>
  <c r="A167" i="15"/>
  <c r="D166" i="15"/>
  <c r="C166" i="15"/>
  <c r="B166" i="15"/>
  <c r="A166" i="15"/>
  <c r="D165" i="15"/>
  <c r="C165" i="15"/>
  <c r="B165" i="15"/>
  <c r="A165" i="15"/>
  <c r="D164" i="15"/>
  <c r="C164" i="15"/>
  <c r="B164" i="15"/>
  <c r="A164" i="15"/>
  <c r="D163" i="15"/>
  <c r="C163" i="15"/>
  <c r="B163" i="15"/>
  <c r="A163" i="15"/>
  <c r="D162" i="15"/>
  <c r="C162" i="15"/>
  <c r="B162" i="15"/>
  <c r="A162" i="15"/>
  <c r="D161" i="15"/>
  <c r="C161" i="15"/>
  <c r="B161" i="15"/>
  <c r="A161" i="15"/>
  <c r="D160" i="15"/>
  <c r="C160" i="15"/>
  <c r="B160" i="15"/>
  <c r="A160" i="15"/>
  <c r="D159" i="15"/>
  <c r="C159" i="15"/>
  <c r="B159" i="15"/>
  <c r="A159" i="15"/>
  <c r="D158" i="15"/>
  <c r="C158" i="15"/>
  <c r="B158" i="15"/>
  <c r="A158" i="15"/>
  <c r="D157" i="15"/>
  <c r="C157" i="15"/>
  <c r="B157" i="15"/>
  <c r="A157" i="15"/>
  <c r="D156" i="15"/>
  <c r="C156" i="15"/>
  <c r="B156" i="15"/>
  <c r="A156" i="15"/>
  <c r="D155" i="15"/>
  <c r="C155" i="15"/>
  <c r="B155" i="15"/>
  <c r="A155" i="15"/>
  <c r="D154" i="15"/>
  <c r="C154" i="15"/>
  <c r="B154" i="15"/>
  <c r="A154" i="15"/>
  <c r="D153" i="15"/>
  <c r="C153" i="15"/>
  <c r="B153" i="15"/>
  <c r="A153" i="15"/>
  <c r="D152" i="15"/>
  <c r="C152" i="15"/>
  <c r="B152" i="15"/>
  <c r="A152" i="15"/>
  <c r="D151" i="15"/>
  <c r="C151" i="15"/>
  <c r="B151" i="15"/>
  <c r="A151" i="15"/>
  <c r="D150" i="15"/>
  <c r="C150" i="15"/>
  <c r="B150" i="15"/>
  <c r="A150" i="15"/>
  <c r="D149" i="15"/>
  <c r="C149" i="15"/>
  <c r="B149" i="15"/>
  <c r="A149" i="15"/>
  <c r="D148" i="15"/>
  <c r="C148" i="15"/>
  <c r="B148" i="15"/>
  <c r="A148" i="15"/>
  <c r="D147" i="15"/>
  <c r="C147" i="15"/>
  <c r="B147" i="15"/>
  <c r="A147" i="15"/>
  <c r="D146" i="15"/>
  <c r="C146" i="15"/>
  <c r="B146" i="15"/>
  <c r="A146" i="15"/>
  <c r="D145" i="15"/>
  <c r="C145" i="15"/>
  <c r="B145" i="15"/>
  <c r="A145" i="15"/>
  <c r="D144" i="15"/>
  <c r="C144" i="15"/>
  <c r="B144" i="15"/>
  <c r="A144" i="15"/>
  <c r="D143" i="15"/>
  <c r="C143" i="15"/>
  <c r="B143" i="15"/>
  <c r="A143" i="15"/>
  <c r="D142" i="15"/>
  <c r="C142" i="15"/>
  <c r="B142" i="15"/>
  <c r="A142" i="15"/>
  <c r="D141" i="15"/>
  <c r="C141" i="15"/>
  <c r="B141" i="15"/>
  <c r="A141" i="15"/>
  <c r="D140" i="15"/>
  <c r="C140" i="15"/>
  <c r="B140" i="15"/>
  <c r="A140" i="15"/>
  <c r="D139" i="15"/>
  <c r="C139" i="15"/>
  <c r="B139" i="15"/>
  <c r="A139" i="15"/>
  <c r="D138" i="15"/>
  <c r="C138" i="15"/>
  <c r="B138" i="15"/>
  <c r="A138" i="15"/>
  <c r="D137" i="15"/>
  <c r="C137" i="15"/>
  <c r="B137" i="15"/>
  <c r="A137" i="15"/>
  <c r="D136" i="15"/>
  <c r="C136" i="15"/>
  <c r="B136" i="15"/>
  <c r="A136" i="15"/>
  <c r="D135" i="15"/>
  <c r="C135" i="15"/>
  <c r="B135" i="15"/>
  <c r="A135" i="15"/>
  <c r="D134" i="15"/>
  <c r="C134" i="15"/>
  <c r="B134" i="15"/>
  <c r="A134" i="15"/>
  <c r="D133" i="15"/>
  <c r="C133" i="15"/>
  <c r="B133" i="15"/>
  <c r="A133" i="15"/>
  <c r="D132" i="15"/>
  <c r="C132" i="15"/>
  <c r="B132" i="15"/>
  <c r="A132" i="15"/>
  <c r="D131" i="15"/>
  <c r="C131" i="15"/>
  <c r="B131" i="15"/>
  <c r="A131" i="15"/>
  <c r="D130" i="15"/>
  <c r="C130" i="15"/>
  <c r="B130" i="15"/>
  <c r="A130" i="15"/>
  <c r="D129" i="15"/>
  <c r="C129" i="15"/>
  <c r="B129" i="15"/>
  <c r="A129" i="15"/>
  <c r="D128" i="15"/>
  <c r="C128" i="15"/>
  <c r="B128" i="15"/>
  <c r="A128" i="15"/>
  <c r="D127" i="15"/>
  <c r="C127" i="15"/>
  <c r="B127" i="15"/>
  <c r="A127" i="15"/>
  <c r="D126" i="15"/>
  <c r="C126" i="15"/>
  <c r="B126" i="15"/>
  <c r="A126" i="15"/>
  <c r="D125" i="15"/>
  <c r="C125" i="15"/>
  <c r="B125" i="15"/>
  <c r="A125" i="15"/>
  <c r="D124" i="15"/>
  <c r="C124" i="15"/>
  <c r="B124" i="15"/>
  <c r="A124" i="15"/>
  <c r="D123" i="15"/>
  <c r="C123" i="15"/>
  <c r="B123" i="15"/>
  <c r="A123" i="15"/>
  <c r="D122" i="15"/>
  <c r="C122" i="15"/>
  <c r="B122" i="15"/>
  <c r="A122" i="15"/>
  <c r="D121" i="15"/>
  <c r="C121" i="15"/>
  <c r="B121" i="15"/>
  <c r="A121" i="15"/>
  <c r="D120" i="15"/>
  <c r="C120" i="15"/>
  <c r="B120" i="15"/>
  <c r="A120" i="15"/>
  <c r="D119" i="15"/>
  <c r="C119" i="15"/>
  <c r="B119" i="15"/>
  <c r="A119" i="15"/>
  <c r="D118" i="15"/>
  <c r="C118" i="15"/>
  <c r="B118" i="15"/>
  <c r="A118" i="15"/>
  <c r="D117" i="15"/>
  <c r="C117" i="15"/>
  <c r="B117" i="15"/>
  <c r="A117" i="15"/>
  <c r="D116" i="15"/>
  <c r="C116" i="15"/>
  <c r="B116" i="15"/>
  <c r="A116" i="15"/>
  <c r="D115" i="15"/>
  <c r="C115" i="15"/>
  <c r="B115" i="15"/>
  <c r="A115" i="15"/>
  <c r="D114" i="15"/>
  <c r="C114" i="15"/>
  <c r="B114" i="15"/>
  <c r="A114" i="15"/>
  <c r="D113" i="15"/>
  <c r="C113" i="15"/>
  <c r="B113" i="15"/>
  <c r="A113" i="15"/>
  <c r="D112" i="15"/>
  <c r="C112" i="15"/>
  <c r="B112" i="15"/>
  <c r="A112" i="15"/>
  <c r="D111" i="15"/>
  <c r="C111" i="15"/>
  <c r="B111" i="15"/>
  <c r="A111" i="15"/>
  <c r="D110" i="15"/>
  <c r="C110" i="15"/>
  <c r="B110" i="15"/>
  <c r="A110" i="15"/>
  <c r="D109" i="15"/>
  <c r="C109" i="15"/>
  <c r="B109" i="15"/>
  <c r="A109" i="15"/>
  <c r="D108" i="15"/>
  <c r="C108" i="15"/>
  <c r="B108" i="15"/>
  <c r="A108" i="15"/>
  <c r="D107" i="15"/>
  <c r="C107" i="15"/>
  <c r="B107" i="15"/>
  <c r="A107" i="15"/>
  <c r="D106" i="15"/>
  <c r="C106" i="15"/>
  <c r="B106" i="15"/>
  <c r="A106" i="15"/>
  <c r="D105" i="15"/>
  <c r="C105" i="15"/>
  <c r="B105" i="15"/>
  <c r="A105" i="15"/>
  <c r="D104" i="15"/>
  <c r="C104" i="15"/>
  <c r="B104" i="15"/>
  <c r="A104" i="15"/>
  <c r="D103" i="15"/>
  <c r="C103" i="15"/>
  <c r="B103" i="15"/>
  <c r="A103" i="15"/>
  <c r="D102" i="15"/>
  <c r="C102" i="15"/>
  <c r="B102" i="15"/>
  <c r="A102" i="15"/>
  <c r="D101" i="15"/>
  <c r="C101" i="15"/>
  <c r="B101" i="15"/>
  <c r="A101" i="15"/>
  <c r="D100" i="15"/>
  <c r="C100" i="15"/>
  <c r="B100" i="15"/>
  <c r="A100" i="15"/>
  <c r="D99" i="15"/>
  <c r="C99" i="15"/>
  <c r="B99" i="15"/>
  <c r="A99" i="15"/>
  <c r="D98" i="15"/>
  <c r="C98" i="15"/>
  <c r="B98" i="15"/>
  <c r="A98" i="15"/>
  <c r="D97" i="15"/>
  <c r="C97" i="15"/>
  <c r="B97" i="15"/>
  <c r="A97" i="15"/>
  <c r="D96" i="15"/>
  <c r="C96" i="15"/>
  <c r="B96" i="15"/>
  <c r="A96" i="15"/>
  <c r="D95" i="15"/>
  <c r="C95" i="15"/>
  <c r="B95" i="15"/>
  <c r="A95" i="15"/>
  <c r="D94" i="15"/>
  <c r="C94" i="15"/>
  <c r="B94" i="15"/>
  <c r="A94" i="15"/>
  <c r="D93" i="15"/>
  <c r="C93" i="15"/>
  <c r="B93" i="15"/>
  <c r="A93" i="15"/>
  <c r="D92" i="15"/>
  <c r="C92" i="15"/>
  <c r="B92" i="15"/>
  <c r="A92" i="15"/>
  <c r="D91" i="15"/>
  <c r="C91" i="15"/>
  <c r="B91" i="15"/>
  <c r="A91" i="15"/>
  <c r="D90" i="15"/>
  <c r="C90" i="15"/>
  <c r="B90" i="15"/>
  <c r="A90" i="15"/>
  <c r="D89" i="15"/>
  <c r="C89" i="15"/>
  <c r="B89" i="15"/>
  <c r="A89" i="15"/>
  <c r="D88" i="15"/>
  <c r="C88" i="15"/>
  <c r="B88" i="15"/>
  <c r="A88" i="15"/>
  <c r="D87" i="15"/>
  <c r="C87" i="15"/>
  <c r="B87" i="15"/>
  <c r="A87" i="15"/>
  <c r="D86" i="15"/>
  <c r="C86" i="15"/>
  <c r="B86" i="15"/>
  <c r="A86" i="15"/>
  <c r="D85" i="15"/>
  <c r="C85" i="15"/>
  <c r="B85" i="15"/>
  <c r="A85" i="15"/>
  <c r="D84" i="15"/>
  <c r="C84" i="15"/>
  <c r="B84" i="15"/>
  <c r="A84" i="15"/>
  <c r="D83" i="15"/>
  <c r="C83" i="15"/>
  <c r="B83" i="15"/>
  <c r="A83" i="15"/>
  <c r="D82" i="15"/>
  <c r="C82" i="15"/>
  <c r="B82" i="15"/>
  <c r="A82" i="15"/>
  <c r="D81" i="15"/>
  <c r="C81" i="15"/>
  <c r="B81" i="15"/>
  <c r="A81" i="15"/>
  <c r="D80" i="15"/>
  <c r="C80" i="15"/>
  <c r="B80" i="15"/>
  <c r="A80" i="15"/>
  <c r="D79" i="15"/>
  <c r="C79" i="15"/>
  <c r="B79" i="15"/>
  <c r="A79" i="15"/>
  <c r="D78" i="15"/>
  <c r="C78" i="15"/>
  <c r="B78" i="15"/>
  <c r="A78" i="15"/>
  <c r="D77" i="15"/>
  <c r="C77" i="15"/>
  <c r="B77" i="15"/>
  <c r="A77" i="15"/>
  <c r="D76" i="15"/>
  <c r="C76" i="15"/>
  <c r="B76" i="15"/>
  <c r="A76" i="15"/>
  <c r="D75" i="15"/>
  <c r="C75" i="15"/>
  <c r="B75" i="15"/>
  <c r="A75" i="15"/>
  <c r="D74" i="15"/>
  <c r="C74" i="15"/>
  <c r="B74" i="15"/>
  <c r="A74" i="15"/>
  <c r="D73" i="15"/>
  <c r="C73" i="15"/>
  <c r="B73" i="15"/>
  <c r="A73" i="15"/>
  <c r="D72" i="15"/>
  <c r="C72" i="15"/>
  <c r="B72" i="15"/>
  <c r="A72" i="15"/>
  <c r="D71" i="15"/>
  <c r="C71" i="15"/>
  <c r="B71" i="15"/>
  <c r="A71" i="15"/>
  <c r="D70" i="15"/>
  <c r="C70" i="15"/>
  <c r="B70" i="15"/>
  <c r="A70" i="15"/>
  <c r="D69" i="15"/>
  <c r="C69" i="15"/>
  <c r="B69" i="15"/>
  <c r="A69" i="15"/>
  <c r="D68" i="15"/>
  <c r="C68" i="15"/>
  <c r="B68" i="15"/>
  <c r="A68" i="15"/>
  <c r="D67" i="15"/>
  <c r="C67" i="15"/>
  <c r="B67" i="15"/>
  <c r="A67" i="15"/>
  <c r="D66" i="15"/>
  <c r="C66" i="15"/>
  <c r="B66" i="15"/>
  <c r="A66" i="15"/>
  <c r="D65" i="15"/>
  <c r="C65" i="15"/>
  <c r="B65" i="15"/>
  <c r="A65" i="15"/>
  <c r="D64" i="15"/>
  <c r="C64" i="15"/>
  <c r="B64" i="15"/>
  <c r="A64" i="15"/>
  <c r="D63" i="15"/>
  <c r="C63" i="15"/>
  <c r="B63" i="15"/>
  <c r="A63" i="15"/>
  <c r="D62" i="15"/>
  <c r="C62" i="15"/>
  <c r="B62" i="15"/>
  <c r="A62" i="15"/>
  <c r="D61" i="15"/>
  <c r="C61" i="15"/>
  <c r="B61" i="15"/>
  <c r="A61" i="15"/>
  <c r="D60" i="15"/>
  <c r="C60" i="15"/>
  <c r="B60" i="15"/>
  <c r="A60" i="15"/>
  <c r="D59" i="15"/>
  <c r="C59" i="15"/>
  <c r="B59" i="15"/>
  <c r="A59" i="15"/>
  <c r="D58" i="15"/>
  <c r="C58" i="15"/>
  <c r="B58" i="15"/>
  <c r="A58" i="15"/>
  <c r="D57" i="15"/>
  <c r="C57" i="15"/>
  <c r="B57" i="15"/>
  <c r="A57" i="15"/>
  <c r="D56" i="15"/>
  <c r="C56" i="15"/>
  <c r="B56" i="15"/>
  <c r="A56" i="15"/>
  <c r="D55" i="15"/>
  <c r="C55" i="15"/>
  <c r="B55" i="15"/>
  <c r="A55" i="15"/>
  <c r="D54" i="15"/>
  <c r="C54" i="15"/>
  <c r="B54" i="15"/>
  <c r="A54" i="15"/>
  <c r="D53" i="15"/>
  <c r="C53" i="15"/>
  <c r="B53" i="15"/>
  <c r="A53" i="15"/>
  <c r="D52" i="15"/>
  <c r="C52" i="15"/>
  <c r="B52" i="15"/>
  <c r="A52" i="15"/>
  <c r="D51" i="15"/>
  <c r="C51" i="15"/>
  <c r="B51" i="15"/>
  <c r="A51" i="15"/>
  <c r="D50" i="15"/>
  <c r="C50" i="15"/>
  <c r="B50" i="15"/>
  <c r="A50" i="15"/>
  <c r="D49" i="15"/>
  <c r="C49" i="15"/>
  <c r="B49" i="15"/>
  <c r="A49" i="15"/>
  <c r="D48" i="15"/>
  <c r="C48" i="15"/>
  <c r="B48" i="15"/>
  <c r="A48" i="15"/>
  <c r="D47" i="15"/>
  <c r="C47" i="15"/>
  <c r="B47" i="15"/>
  <c r="A47" i="15"/>
  <c r="D46" i="15"/>
  <c r="C46" i="15"/>
  <c r="B46" i="15"/>
  <c r="A46" i="15"/>
  <c r="D45" i="15"/>
  <c r="C45" i="15"/>
  <c r="B45" i="15"/>
  <c r="A45" i="15"/>
  <c r="D44" i="15"/>
  <c r="C44" i="15"/>
  <c r="B44" i="15"/>
  <c r="A44" i="15"/>
  <c r="D43" i="15"/>
  <c r="C43" i="15"/>
  <c r="B43" i="15"/>
  <c r="A43" i="15"/>
  <c r="D42" i="15"/>
  <c r="C42" i="15"/>
  <c r="B42" i="15"/>
  <c r="A42" i="15"/>
  <c r="D41" i="15"/>
  <c r="C41" i="15"/>
  <c r="B41" i="15"/>
  <c r="A41" i="15"/>
  <c r="D40" i="15"/>
  <c r="C40" i="15"/>
  <c r="B40" i="15"/>
  <c r="A40" i="15"/>
  <c r="D39" i="15"/>
  <c r="C39" i="15"/>
  <c r="B39" i="15"/>
  <c r="A39" i="15"/>
  <c r="D38" i="15"/>
  <c r="C38" i="15"/>
  <c r="B38" i="15"/>
  <c r="A38" i="15"/>
  <c r="D37" i="15"/>
  <c r="C37" i="15"/>
  <c r="B37" i="15"/>
  <c r="A37" i="15"/>
  <c r="D36" i="15"/>
  <c r="C36" i="15"/>
  <c r="B36" i="15"/>
  <c r="A36" i="15"/>
  <c r="D35" i="15"/>
  <c r="C35" i="15"/>
  <c r="B35" i="15"/>
  <c r="A35" i="15"/>
  <c r="D34" i="15"/>
  <c r="C34" i="15"/>
  <c r="B34" i="15"/>
  <c r="A34" i="15"/>
  <c r="D33" i="15"/>
  <c r="C33" i="15"/>
  <c r="B33" i="15"/>
  <c r="A33" i="15"/>
  <c r="D32" i="15"/>
  <c r="C32" i="15"/>
  <c r="B32" i="15"/>
  <c r="A32" i="15"/>
  <c r="D31" i="15"/>
  <c r="C31" i="15"/>
  <c r="B31" i="15"/>
  <c r="A31" i="15"/>
  <c r="D30" i="15"/>
  <c r="C30" i="15"/>
  <c r="B30" i="15"/>
  <c r="A30" i="15"/>
  <c r="D29" i="15"/>
  <c r="C29" i="15"/>
  <c r="B29" i="15"/>
  <c r="A29" i="15"/>
  <c r="D28" i="15"/>
  <c r="C28" i="15"/>
  <c r="B28" i="15"/>
  <c r="A28" i="15"/>
  <c r="D27" i="15"/>
  <c r="C27" i="15"/>
  <c r="B27" i="15"/>
  <c r="A27" i="15"/>
  <c r="D26" i="15"/>
  <c r="C26" i="15"/>
  <c r="B26" i="15"/>
  <c r="A26" i="15"/>
  <c r="D25" i="15"/>
  <c r="C25" i="15"/>
  <c r="B25" i="15"/>
  <c r="A25" i="15"/>
  <c r="D24" i="15"/>
  <c r="C24" i="15"/>
  <c r="B24" i="15"/>
  <c r="A24" i="15"/>
  <c r="D23" i="15"/>
  <c r="C23" i="15"/>
  <c r="B23" i="15"/>
  <c r="A23" i="15"/>
  <c r="D22" i="15"/>
  <c r="C22" i="15"/>
  <c r="B22" i="15"/>
  <c r="A22" i="15"/>
  <c r="D21" i="15"/>
  <c r="C21" i="15"/>
  <c r="B21" i="15"/>
  <c r="A21" i="15"/>
  <c r="D20" i="15"/>
  <c r="C20" i="15"/>
  <c r="B20" i="15"/>
  <c r="A20" i="15"/>
  <c r="D19" i="15"/>
  <c r="C19" i="15"/>
  <c r="B19" i="15"/>
  <c r="A19" i="15"/>
  <c r="D18" i="15"/>
  <c r="C18" i="15"/>
  <c r="B18" i="15"/>
  <c r="A18" i="15"/>
  <c r="D17" i="15"/>
  <c r="C17" i="15"/>
  <c r="B17" i="15"/>
  <c r="A17" i="15"/>
  <c r="D16" i="15"/>
  <c r="C16" i="15"/>
  <c r="B16" i="15"/>
  <c r="A16" i="15"/>
  <c r="D15" i="15"/>
  <c r="C15" i="15"/>
  <c r="B15" i="15"/>
  <c r="A15" i="15"/>
  <c r="D14" i="15"/>
  <c r="C14" i="15"/>
  <c r="B14" i="15"/>
  <c r="A14" i="15"/>
  <c r="D13" i="15"/>
  <c r="C13" i="15"/>
  <c r="B13" i="15"/>
  <c r="A13" i="15"/>
  <c r="D12" i="15"/>
  <c r="C12" i="15"/>
  <c r="B12" i="15"/>
  <c r="A12" i="15"/>
  <c r="D11" i="15"/>
  <c r="C11" i="15"/>
  <c r="B11" i="15"/>
  <c r="A11" i="15"/>
  <c r="D10" i="15"/>
  <c r="C10" i="15"/>
  <c r="B10" i="15"/>
  <c r="A10" i="15"/>
  <c r="D9" i="15"/>
  <c r="C9" i="15"/>
  <c r="B9" i="15"/>
  <c r="A9" i="15"/>
  <c r="D8" i="15"/>
  <c r="C8" i="15"/>
  <c r="B8" i="15"/>
  <c r="A8" i="15"/>
  <c r="D7" i="15"/>
  <c r="C7" i="15"/>
  <c r="B7" i="15"/>
  <c r="A7" i="15"/>
  <c r="D6" i="15"/>
  <c r="C6" i="15"/>
  <c r="B6" i="15"/>
  <c r="A6" i="15"/>
  <c r="D5" i="15"/>
  <c r="C5" i="15"/>
  <c r="B5" i="15"/>
  <c r="A5" i="15"/>
  <c r="D4" i="15"/>
  <c r="C4" i="15"/>
  <c r="B4" i="15"/>
  <c r="A4" i="15"/>
  <c r="D3" i="15"/>
  <c r="C3" i="15"/>
  <c r="B3" i="15"/>
  <c r="A3" i="15"/>
  <c r="B18" i="12"/>
  <c r="D13" i="10"/>
  <c r="D7" i="6"/>
  <c r="C146" i="2"/>
  <c r="A5" i="2"/>
  <c r="B5" i="2"/>
  <c r="C5" i="2"/>
  <c r="D5" i="2"/>
  <c r="A6" i="2"/>
  <c r="B6" i="2"/>
  <c r="C6" i="2"/>
  <c r="D6" i="2"/>
  <c r="A7" i="2"/>
  <c r="B7" i="2"/>
  <c r="C7" i="2"/>
  <c r="D7" i="2"/>
  <c r="A8" i="2"/>
  <c r="B8" i="2"/>
  <c r="C8" i="2"/>
  <c r="D8" i="2"/>
  <c r="A9" i="2"/>
  <c r="B9" i="2"/>
  <c r="C9" i="2"/>
  <c r="D9" i="2"/>
  <c r="A10" i="2"/>
  <c r="B10" i="2"/>
  <c r="C10" i="2"/>
  <c r="D10" i="2"/>
  <c r="A11" i="2"/>
  <c r="B11" i="2"/>
  <c r="C11" i="2"/>
  <c r="D11" i="2"/>
  <c r="A12" i="2"/>
  <c r="B12" i="2"/>
  <c r="C12" i="2"/>
  <c r="D12" i="2"/>
  <c r="A13" i="2"/>
  <c r="B13" i="2"/>
  <c r="C13" i="2"/>
  <c r="D13" i="2"/>
  <c r="A14" i="2"/>
  <c r="B14" i="2"/>
  <c r="C14" i="2"/>
  <c r="D14" i="2"/>
  <c r="A15" i="2"/>
  <c r="B15" i="2"/>
  <c r="C15" i="2"/>
  <c r="D15" i="2"/>
  <c r="A16" i="2"/>
  <c r="B16" i="2"/>
  <c r="C16" i="2"/>
  <c r="D16" i="2"/>
  <c r="A17" i="2"/>
  <c r="B17" i="2"/>
  <c r="C17" i="2"/>
  <c r="D17" i="2"/>
  <c r="A18" i="2"/>
  <c r="B18" i="2"/>
  <c r="C18" i="2"/>
  <c r="D18" i="2"/>
  <c r="A19" i="2"/>
  <c r="B19" i="2"/>
  <c r="C19" i="2"/>
  <c r="D19" i="2"/>
  <c r="A20" i="2"/>
  <c r="B20" i="2"/>
  <c r="C20" i="2"/>
  <c r="D20" i="2"/>
  <c r="A21" i="2"/>
  <c r="B21" i="2"/>
  <c r="C21" i="2"/>
  <c r="D21" i="2"/>
  <c r="A22" i="2"/>
  <c r="B22" i="2"/>
  <c r="C22" i="2"/>
  <c r="D22" i="2"/>
  <c r="A23" i="2"/>
  <c r="B23" i="2"/>
  <c r="C23" i="2"/>
  <c r="D23" i="2"/>
  <c r="A24" i="2"/>
  <c r="B24" i="2"/>
  <c r="C24" i="2"/>
  <c r="D24" i="2"/>
  <c r="A25" i="2"/>
  <c r="B25" i="2"/>
  <c r="C25" i="2"/>
  <c r="D25" i="2"/>
  <c r="A26" i="2"/>
  <c r="B26" i="2"/>
  <c r="C26" i="2"/>
  <c r="D26" i="2"/>
  <c r="A27" i="2"/>
  <c r="B27" i="2"/>
  <c r="C27" i="2"/>
  <c r="D27" i="2"/>
  <c r="A28" i="2"/>
  <c r="B28" i="2"/>
  <c r="C28" i="2"/>
  <c r="D28" i="2"/>
  <c r="A29" i="2"/>
  <c r="B29" i="2"/>
  <c r="C29" i="2"/>
  <c r="D29" i="2"/>
  <c r="A30" i="2"/>
  <c r="B30" i="2"/>
  <c r="C30" i="2"/>
  <c r="D30" i="2"/>
  <c r="A31" i="2"/>
  <c r="B31" i="2"/>
  <c r="C31" i="2"/>
  <c r="D31" i="2"/>
  <c r="A32" i="2"/>
  <c r="B32" i="2"/>
  <c r="C32" i="2"/>
  <c r="D32" i="2"/>
  <c r="A33" i="2"/>
  <c r="B33" i="2"/>
  <c r="C33" i="2"/>
  <c r="D33" i="2"/>
  <c r="A34" i="2"/>
  <c r="B34" i="2"/>
  <c r="C34" i="2"/>
  <c r="D34" i="2"/>
  <c r="A35" i="2"/>
  <c r="B35" i="2"/>
  <c r="C35" i="2"/>
  <c r="D35" i="2"/>
  <c r="A36" i="2"/>
  <c r="B36" i="2"/>
  <c r="C36" i="2"/>
  <c r="D36" i="2"/>
  <c r="A37" i="2"/>
  <c r="B37" i="2"/>
  <c r="C37" i="2"/>
  <c r="D37" i="2"/>
  <c r="A38" i="2"/>
  <c r="B38" i="2"/>
  <c r="C38" i="2"/>
  <c r="D38" i="2"/>
  <c r="A39" i="2"/>
  <c r="B39" i="2"/>
  <c r="C39" i="2"/>
  <c r="D39" i="2"/>
  <c r="A40" i="2"/>
  <c r="B40" i="2"/>
  <c r="C40" i="2"/>
  <c r="D40" i="2"/>
  <c r="A41" i="2"/>
  <c r="B41" i="2"/>
  <c r="C41" i="2"/>
  <c r="D41" i="2"/>
  <c r="A42" i="2"/>
  <c r="B42" i="2"/>
  <c r="C42" i="2"/>
  <c r="D42" i="2"/>
  <c r="A43" i="2"/>
  <c r="B43" i="2"/>
  <c r="C43" i="2"/>
  <c r="D43" i="2"/>
  <c r="A44" i="2"/>
  <c r="B44" i="2"/>
  <c r="C44" i="2"/>
  <c r="D44" i="2"/>
  <c r="A45" i="2"/>
  <c r="B45" i="2"/>
  <c r="C45" i="2"/>
  <c r="D45" i="2"/>
  <c r="A46" i="2"/>
  <c r="B46" i="2"/>
  <c r="C46" i="2"/>
  <c r="D46" i="2"/>
  <c r="A47" i="2"/>
  <c r="B47" i="2"/>
  <c r="C47" i="2"/>
  <c r="D47" i="2"/>
  <c r="A48" i="2"/>
  <c r="B48" i="2"/>
  <c r="C48" i="2"/>
  <c r="D48" i="2"/>
  <c r="A49" i="2"/>
  <c r="B49" i="2"/>
  <c r="C49" i="2"/>
  <c r="D49" i="2"/>
  <c r="A50" i="2"/>
  <c r="B50" i="2"/>
  <c r="C50" i="2"/>
  <c r="D50" i="2"/>
  <c r="A51" i="2"/>
  <c r="B51" i="2"/>
  <c r="C51" i="2"/>
  <c r="D51" i="2"/>
  <c r="A52" i="2"/>
  <c r="B52" i="2"/>
  <c r="C52" i="2"/>
  <c r="D52" i="2"/>
  <c r="A53" i="2"/>
  <c r="B53" i="2"/>
  <c r="C53" i="2"/>
  <c r="D53" i="2"/>
  <c r="A54" i="2"/>
  <c r="B54" i="2"/>
  <c r="C54" i="2"/>
  <c r="D54" i="2"/>
  <c r="A55" i="2"/>
  <c r="B55" i="2"/>
  <c r="C55" i="2"/>
  <c r="D55" i="2"/>
  <c r="A56" i="2"/>
  <c r="B56" i="2"/>
  <c r="C56" i="2"/>
  <c r="D56" i="2"/>
  <c r="A57" i="2"/>
  <c r="B57" i="2"/>
  <c r="C57" i="2"/>
  <c r="D57" i="2"/>
  <c r="A58" i="2"/>
  <c r="B58" i="2"/>
  <c r="C58" i="2"/>
  <c r="D58" i="2"/>
  <c r="A59" i="2"/>
  <c r="B59" i="2"/>
  <c r="C59" i="2"/>
  <c r="D59" i="2"/>
  <c r="A60" i="2"/>
  <c r="B60" i="2"/>
  <c r="C60" i="2"/>
  <c r="D60" i="2"/>
  <c r="A61" i="2"/>
  <c r="B61" i="2"/>
  <c r="C61" i="2"/>
  <c r="D61" i="2"/>
  <c r="A62" i="2"/>
  <c r="B62" i="2"/>
  <c r="C62" i="2"/>
  <c r="D62" i="2"/>
  <c r="A63" i="2"/>
  <c r="B63" i="2"/>
  <c r="C63" i="2"/>
  <c r="D63" i="2"/>
  <c r="A64" i="2"/>
  <c r="B64" i="2"/>
  <c r="C64" i="2"/>
  <c r="D64" i="2"/>
  <c r="A65" i="2"/>
  <c r="B65" i="2"/>
  <c r="C65" i="2"/>
  <c r="D65" i="2"/>
  <c r="A66" i="2"/>
  <c r="B66" i="2"/>
  <c r="C66" i="2"/>
  <c r="D66" i="2"/>
  <c r="A67" i="2"/>
  <c r="B67" i="2"/>
  <c r="C67" i="2"/>
  <c r="D67" i="2"/>
  <c r="A68" i="2"/>
  <c r="B68" i="2"/>
  <c r="C68" i="2"/>
  <c r="D68" i="2"/>
  <c r="A69" i="2"/>
  <c r="B69" i="2"/>
  <c r="C69" i="2"/>
  <c r="D69" i="2"/>
  <c r="A70" i="2"/>
  <c r="B70" i="2"/>
  <c r="C70" i="2"/>
  <c r="D70" i="2"/>
  <c r="A71" i="2"/>
  <c r="B71" i="2"/>
  <c r="C71" i="2"/>
  <c r="D71" i="2"/>
  <c r="A72" i="2"/>
  <c r="B72" i="2"/>
  <c r="C72" i="2"/>
  <c r="D72" i="2"/>
  <c r="A73" i="2"/>
  <c r="B73" i="2"/>
  <c r="C73" i="2"/>
  <c r="D73" i="2"/>
  <c r="A74" i="2"/>
  <c r="B74" i="2"/>
  <c r="C74" i="2"/>
  <c r="D74" i="2"/>
  <c r="A75" i="2"/>
  <c r="B75" i="2"/>
  <c r="C75" i="2"/>
  <c r="D75" i="2"/>
  <c r="A76" i="2"/>
  <c r="B76" i="2"/>
  <c r="C76" i="2"/>
  <c r="D76" i="2"/>
  <c r="A77" i="2"/>
  <c r="B77" i="2"/>
  <c r="C77" i="2"/>
  <c r="D77" i="2"/>
  <c r="A78" i="2"/>
  <c r="B78" i="2"/>
  <c r="C78" i="2"/>
  <c r="D78" i="2"/>
  <c r="A79" i="2"/>
  <c r="B79" i="2"/>
  <c r="C79" i="2"/>
  <c r="D79" i="2"/>
  <c r="A80" i="2"/>
  <c r="B80" i="2"/>
  <c r="C80" i="2"/>
  <c r="D80" i="2"/>
  <c r="A81" i="2"/>
  <c r="B81" i="2"/>
  <c r="C81" i="2"/>
  <c r="D81" i="2"/>
  <c r="A82" i="2"/>
  <c r="B82" i="2"/>
  <c r="C82" i="2"/>
  <c r="D82" i="2"/>
  <c r="A83" i="2"/>
  <c r="B83" i="2"/>
  <c r="C83" i="2"/>
  <c r="D83" i="2"/>
  <c r="A84" i="2"/>
  <c r="B84" i="2"/>
  <c r="C84" i="2"/>
  <c r="D84" i="2"/>
  <c r="A85" i="2"/>
  <c r="B85" i="2"/>
  <c r="C85" i="2"/>
  <c r="D85" i="2"/>
  <c r="A86" i="2"/>
  <c r="B86" i="2"/>
  <c r="C86" i="2"/>
  <c r="D86" i="2"/>
  <c r="A87" i="2"/>
  <c r="B87" i="2"/>
  <c r="C87" i="2"/>
  <c r="D87" i="2"/>
  <c r="A88" i="2"/>
  <c r="B88" i="2"/>
  <c r="C88" i="2"/>
  <c r="D88" i="2"/>
  <c r="A89" i="2"/>
  <c r="B89" i="2"/>
  <c r="C89" i="2"/>
  <c r="D89" i="2"/>
  <c r="A90" i="2"/>
  <c r="B90" i="2"/>
  <c r="C90" i="2"/>
  <c r="D90" i="2"/>
  <c r="A91" i="2"/>
  <c r="B91" i="2"/>
  <c r="C91" i="2"/>
  <c r="D91" i="2"/>
  <c r="A92" i="2"/>
  <c r="B92" i="2"/>
  <c r="C92" i="2"/>
  <c r="D92" i="2"/>
  <c r="A93" i="2"/>
  <c r="B93" i="2"/>
  <c r="C93" i="2"/>
  <c r="D93" i="2"/>
  <c r="A94" i="2"/>
  <c r="B94" i="2"/>
  <c r="C94" i="2"/>
  <c r="D94" i="2"/>
  <c r="A95" i="2"/>
  <c r="B95" i="2"/>
  <c r="C95" i="2"/>
  <c r="D95" i="2"/>
  <c r="A96" i="2"/>
  <c r="B96" i="2"/>
  <c r="C96" i="2"/>
  <c r="D96" i="2"/>
  <c r="A97" i="2"/>
  <c r="B97" i="2"/>
  <c r="C97" i="2"/>
  <c r="D97" i="2"/>
  <c r="A98" i="2"/>
  <c r="B98" i="2"/>
  <c r="C98" i="2"/>
  <c r="D98" i="2"/>
  <c r="A99" i="2"/>
  <c r="B99" i="2"/>
  <c r="C99" i="2"/>
  <c r="D99" i="2"/>
  <c r="A100" i="2"/>
  <c r="B100" i="2"/>
  <c r="C100" i="2"/>
  <c r="D100" i="2"/>
  <c r="A101" i="2"/>
  <c r="B101" i="2"/>
  <c r="C101" i="2"/>
  <c r="D101" i="2"/>
  <c r="A102" i="2"/>
  <c r="B102" i="2"/>
  <c r="C102" i="2"/>
  <c r="D102" i="2"/>
  <c r="A103" i="2"/>
  <c r="B103" i="2"/>
  <c r="C103" i="2"/>
  <c r="D103" i="2"/>
  <c r="A104" i="2"/>
  <c r="B104" i="2"/>
  <c r="C104" i="2"/>
  <c r="D104" i="2"/>
  <c r="A105" i="2"/>
  <c r="B105" i="2"/>
  <c r="C105" i="2"/>
  <c r="D105" i="2"/>
  <c r="A106" i="2"/>
  <c r="B106" i="2"/>
  <c r="C106" i="2"/>
  <c r="D106" i="2"/>
  <c r="A107" i="2"/>
  <c r="B107" i="2"/>
  <c r="C107" i="2"/>
  <c r="D107" i="2"/>
  <c r="A108" i="2"/>
  <c r="B108" i="2"/>
  <c r="C108" i="2"/>
  <c r="D108" i="2"/>
  <c r="A109" i="2"/>
  <c r="B109" i="2"/>
  <c r="C109" i="2"/>
  <c r="D109" i="2"/>
  <c r="A110" i="2"/>
  <c r="B110" i="2"/>
  <c r="C110" i="2"/>
  <c r="D110" i="2"/>
  <c r="A111" i="2"/>
  <c r="B111" i="2"/>
  <c r="C111" i="2"/>
  <c r="D111" i="2"/>
  <c r="A112" i="2"/>
  <c r="B112" i="2"/>
  <c r="C112" i="2"/>
  <c r="D112" i="2"/>
  <c r="A113" i="2"/>
  <c r="B113" i="2"/>
  <c r="C113" i="2"/>
  <c r="D113" i="2"/>
  <c r="A114" i="2"/>
  <c r="B114" i="2"/>
  <c r="C114" i="2"/>
  <c r="D114" i="2"/>
  <c r="A115" i="2"/>
  <c r="B115" i="2"/>
  <c r="C115" i="2"/>
  <c r="D115" i="2"/>
  <c r="A116" i="2"/>
  <c r="B116" i="2"/>
  <c r="C116" i="2"/>
  <c r="D116" i="2"/>
  <c r="A117" i="2"/>
  <c r="B117" i="2"/>
  <c r="C117" i="2"/>
  <c r="D117" i="2"/>
  <c r="A118" i="2"/>
  <c r="B118" i="2"/>
  <c r="C118" i="2"/>
  <c r="D118" i="2"/>
  <c r="A119" i="2"/>
  <c r="B119" i="2"/>
  <c r="C119" i="2"/>
  <c r="D119" i="2"/>
  <c r="A120" i="2"/>
  <c r="B120" i="2"/>
  <c r="C120" i="2"/>
  <c r="D120" i="2"/>
  <c r="A121" i="2"/>
  <c r="B121" i="2"/>
  <c r="C121" i="2"/>
  <c r="D121" i="2"/>
  <c r="A122" i="2"/>
  <c r="B122" i="2"/>
  <c r="C122" i="2"/>
  <c r="D122" i="2"/>
  <c r="A123" i="2"/>
  <c r="B123" i="2"/>
  <c r="C123" i="2"/>
  <c r="D123" i="2"/>
  <c r="A124" i="2"/>
  <c r="B124" i="2"/>
  <c r="C124" i="2"/>
  <c r="D124" i="2"/>
  <c r="A125" i="2"/>
  <c r="B125" i="2"/>
  <c r="C125" i="2"/>
  <c r="D125" i="2"/>
  <c r="A126" i="2"/>
  <c r="B126" i="2"/>
  <c r="C126" i="2"/>
  <c r="D126" i="2"/>
  <c r="A127" i="2"/>
  <c r="B127" i="2"/>
  <c r="C127" i="2"/>
  <c r="D127" i="2"/>
  <c r="A128" i="2"/>
  <c r="B128" i="2"/>
  <c r="C128" i="2"/>
  <c r="D128" i="2"/>
  <c r="A129" i="2"/>
  <c r="B129" i="2"/>
  <c r="C129" i="2"/>
  <c r="D129" i="2"/>
  <c r="A130" i="2"/>
  <c r="B130" i="2"/>
  <c r="C130" i="2"/>
  <c r="D130" i="2"/>
  <c r="A131" i="2"/>
  <c r="B131" i="2"/>
  <c r="C131" i="2"/>
  <c r="D131" i="2"/>
  <c r="A132" i="2"/>
  <c r="B132" i="2"/>
  <c r="C132" i="2"/>
  <c r="D132" i="2"/>
  <c r="A133" i="2"/>
  <c r="B133" i="2"/>
  <c r="C133" i="2"/>
  <c r="D133" i="2"/>
  <c r="A134" i="2"/>
  <c r="B134" i="2"/>
  <c r="C134" i="2"/>
  <c r="D134" i="2"/>
  <c r="A135" i="2"/>
  <c r="B135" i="2"/>
  <c r="C135" i="2"/>
  <c r="D135" i="2"/>
  <c r="A136" i="2"/>
  <c r="B136" i="2"/>
  <c r="C136" i="2"/>
  <c r="D136" i="2"/>
  <c r="A137" i="2"/>
  <c r="B137" i="2"/>
  <c r="C137" i="2"/>
  <c r="D137" i="2"/>
  <c r="A138" i="2"/>
  <c r="B138" i="2"/>
  <c r="C138" i="2"/>
  <c r="D138" i="2"/>
  <c r="A139" i="2"/>
  <c r="B139" i="2"/>
  <c r="C139" i="2"/>
  <c r="D139" i="2"/>
  <c r="A140" i="2"/>
  <c r="B140" i="2"/>
  <c r="C140" i="2"/>
  <c r="D140" i="2"/>
  <c r="A141" i="2"/>
  <c r="B141" i="2"/>
  <c r="C141" i="2"/>
  <c r="D141" i="2"/>
  <c r="A142" i="2"/>
  <c r="B142" i="2"/>
  <c r="C142" i="2"/>
  <c r="D142" i="2"/>
  <c r="A143" i="2"/>
  <c r="B143" i="2"/>
  <c r="C143" i="2"/>
  <c r="D143" i="2"/>
  <c r="A144" i="2"/>
  <c r="B144" i="2"/>
  <c r="C144" i="2"/>
  <c r="D144" i="2"/>
  <c r="A145" i="2"/>
  <c r="B145" i="2"/>
  <c r="C145" i="2"/>
  <c r="D145" i="2"/>
  <c r="A146" i="2"/>
  <c r="B146" i="2"/>
  <c r="D146" i="2"/>
  <c r="A147" i="2"/>
  <c r="B147" i="2"/>
  <c r="C147" i="2"/>
  <c r="D147" i="2"/>
  <c r="A148" i="2"/>
  <c r="B148" i="2"/>
  <c r="C148" i="2"/>
  <c r="D148" i="2"/>
  <c r="A149" i="2"/>
  <c r="B149" i="2"/>
  <c r="C149" i="2"/>
  <c r="D149" i="2"/>
  <c r="A150" i="2"/>
  <c r="B150" i="2"/>
  <c r="C150" i="2"/>
  <c r="D150" i="2"/>
  <c r="A151" i="2"/>
  <c r="B151" i="2"/>
  <c r="C151" i="2"/>
  <c r="D151" i="2"/>
  <c r="A152" i="2"/>
  <c r="B152" i="2"/>
  <c r="C152" i="2"/>
  <c r="D152" i="2"/>
  <c r="A153" i="2"/>
  <c r="B153" i="2"/>
  <c r="C153" i="2"/>
  <c r="D153" i="2"/>
  <c r="A154" i="2"/>
  <c r="B154" i="2"/>
  <c r="C154" i="2"/>
  <c r="D154" i="2"/>
  <c r="A155" i="2"/>
  <c r="B155" i="2"/>
  <c r="C155" i="2"/>
  <c r="D155" i="2"/>
  <c r="A156" i="2"/>
  <c r="B156" i="2"/>
  <c r="C156" i="2"/>
  <c r="D156" i="2"/>
  <c r="A157" i="2"/>
  <c r="B157" i="2"/>
  <c r="C157" i="2"/>
  <c r="D157" i="2"/>
  <c r="A158" i="2"/>
  <c r="B158" i="2"/>
  <c r="C158" i="2"/>
  <c r="D158" i="2"/>
  <c r="A159" i="2"/>
  <c r="B159" i="2"/>
  <c r="C159" i="2"/>
  <c r="D159" i="2"/>
  <c r="A160" i="2"/>
  <c r="B160" i="2"/>
  <c r="C160" i="2"/>
  <c r="D160" i="2"/>
  <c r="A161" i="2"/>
  <c r="B161" i="2"/>
  <c r="C161" i="2"/>
  <c r="D161" i="2"/>
  <c r="A162" i="2"/>
  <c r="B162" i="2"/>
  <c r="C162" i="2"/>
  <c r="D162" i="2"/>
  <c r="A163" i="2"/>
  <c r="B163" i="2"/>
  <c r="C163" i="2"/>
  <c r="D163" i="2"/>
  <c r="A164" i="2"/>
  <c r="B164" i="2"/>
  <c r="C164" i="2"/>
  <c r="D164" i="2"/>
  <c r="A165" i="2"/>
  <c r="B165" i="2"/>
  <c r="C165" i="2"/>
  <c r="D165" i="2"/>
  <c r="A166" i="2"/>
  <c r="B166" i="2"/>
  <c r="C166" i="2"/>
  <c r="D166" i="2"/>
  <c r="A167" i="2"/>
  <c r="B167" i="2"/>
  <c r="C167" i="2"/>
  <c r="D167" i="2"/>
  <c r="A168" i="2"/>
  <c r="B168" i="2"/>
  <c r="C168" i="2"/>
  <c r="D168" i="2"/>
  <c r="A169" i="2"/>
  <c r="B169" i="2"/>
  <c r="C169" i="2"/>
  <c r="D169" i="2"/>
  <c r="A170" i="2"/>
  <c r="B170" i="2"/>
  <c r="C170" i="2"/>
  <c r="D170" i="2"/>
  <c r="A171" i="2"/>
  <c r="B171" i="2"/>
  <c r="C171" i="2"/>
  <c r="D171" i="2"/>
  <c r="A172" i="2"/>
  <c r="B172" i="2"/>
  <c r="C172" i="2"/>
  <c r="D172" i="2"/>
  <c r="A173" i="2"/>
  <c r="B173" i="2"/>
  <c r="C173" i="2"/>
  <c r="D173" i="2"/>
  <c r="A174" i="2"/>
  <c r="B174" i="2"/>
  <c r="C174" i="2"/>
  <c r="D174" i="2"/>
  <c r="A175" i="2"/>
  <c r="B175" i="2"/>
  <c r="C175" i="2"/>
  <c r="D175" i="2"/>
  <c r="A176" i="2"/>
  <c r="B176" i="2"/>
  <c r="C176" i="2"/>
  <c r="D176" i="2"/>
  <c r="A177" i="2"/>
  <c r="B177" i="2"/>
  <c r="C177" i="2"/>
  <c r="D177" i="2"/>
  <c r="A178" i="2"/>
  <c r="B178" i="2"/>
  <c r="C178" i="2"/>
  <c r="D178" i="2"/>
  <c r="A179" i="2"/>
  <c r="B179" i="2"/>
  <c r="C179" i="2"/>
  <c r="D179" i="2"/>
  <c r="A180" i="2"/>
  <c r="B180" i="2"/>
  <c r="C180" i="2"/>
  <c r="D180" i="2"/>
  <c r="A181" i="2"/>
  <c r="B181" i="2"/>
  <c r="C181" i="2"/>
  <c r="D181" i="2"/>
  <c r="A182" i="2"/>
  <c r="B182" i="2"/>
  <c r="C182" i="2"/>
  <c r="D182" i="2"/>
  <c r="A183" i="2"/>
  <c r="B183" i="2"/>
  <c r="C183" i="2"/>
  <c r="D183" i="2"/>
  <c r="A184" i="2"/>
  <c r="B184" i="2"/>
  <c r="C184" i="2"/>
  <c r="D184" i="2"/>
  <c r="A185" i="2"/>
  <c r="B185" i="2"/>
  <c r="C185" i="2"/>
  <c r="D185" i="2"/>
  <c r="A186" i="2"/>
  <c r="B186" i="2"/>
  <c r="C186" i="2"/>
  <c r="D186" i="2"/>
  <c r="A187" i="2"/>
  <c r="B187" i="2"/>
  <c r="C187" i="2"/>
  <c r="D187" i="2"/>
  <c r="A188" i="2"/>
  <c r="B188" i="2"/>
  <c r="C188" i="2"/>
  <c r="D188" i="2"/>
  <c r="A189" i="2"/>
  <c r="B189" i="2"/>
  <c r="C189" i="2"/>
  <c r="D189" i="2"/>
  <c r="A190" i="2"/>
  <c r="B190" i="2"/>
  <c r="C190" i="2"/>
  <c r="D190" i="2"/>
  <c r="A191" i="2"/>
  <c r="B191" i="2"/>
  <c r="C191" i="2"/>
  <c r="D191" i="2"/>
  <c r="A192" i="2"/>
  <c r="B192" i="2"/>
  <c r="C192" i="2"/>
  <c r="D192" i="2"/>
  <c r="A193" i="2"/>
  <c r="B193" i="2"/>
  <c r="C193" i="2"/>
  <c r="D193" i="2"/>
  <c r="A194" i="2"/>
  <c r="B194" i="2"/>
  <c r="C194" i="2"/>
  <c r="D194" i="2"/>
  <c r="A195" i="2"/>
  <c r="B195" i="2"/>
  <c r="C195" i="2"/>
  <c r="D195" i="2"/>
  <c r="A196" i="2"/>
  <c r="B196" i="2"/>
  <c r="C196" i="2"/>
  <c r="D196" i="2"/>
  <c r="A197" i="2"/>
  <c r="B197" i="2"/>
  <c r="C197" i="2"/>
  <c r="D197" i="2"/>
  <c r="A198" i="2"/>
  <c r="B198" i="2"/>
  <c r="C198" i="2"/>
  <c r="D198" i="2"/>
  <c r="A199" i="2"/>
  <c r="B199" i="2"/>
  <c r="C199" i="2"/>
  <c r="D199" i="2"/>
  <c r="A200" i="2"/>
  <c r="B200" i="2"/>
  <c r="C200" i="2"/>
  <c r="D200" i="2"/>
  <c r="A201" i="2"/>
  <c r="B201" i="2"/>
  <c r="C201" i="2"/>
  <c r="D201" i="2"/>
  <c r="A202" i="2"/>
  <c r="B202" i="2"/>
  <c r="C202" i="2"/>
  <c r="D202" i="2"/>
  <c r="D202" i="3"/>
  <c r="C202" i="3"/>
  <c r="B202" i="3"/>
  <c r="A202" i="3"/>
  <c r="D201" i="3"/>
  <c r="C201" i="3"/>
  <c r="B201" i="3"/>
  <c r="A201" i="3"/>
  <c r="D200" i="3"/>
  <c r="C200" i="3"/>
  <c r="B200" i="3"/>
  <c r="A200" i="3"/>
  <c r="D199" i="3"/>
  <c r="C199" i="3"/>
  <c r="B199" i="3"/>
  <c r="A199" i="3"/>
  <c r="D198" i="3"/>
  <c r="C198" i="3"/>
  <c r="B198" i="3"/>
  <c r="A198" i="3"/>
  <c r="D197" i="3"/>
  <c r="C197" i="3"/>
  <c r="B197" i="3"/>
  <c r="A197" i="3"/>
  <c r="D196" i="3"/>
  <c r="C196" i="3"/>
  <c r="B196" i="3"/>
  <c r="A196" i="3"/>
  <c r="D195" i="3"/>
  <c r="C195" i="3"/>
  <c r="B195" i="3"/>
  <c r="A195" i="3"/>
  <c r="D194" i="3"/>
  <c r="C194" i="3"/>
  <c r="B194" i="3"/>
  <c r="A194" i="3"/>
  <c r="D193" i="3"/>
  <c r="C193" i="3"/>
  <c r="B193" i="3"/>
  <c r="A193" i="3"/>
  <c r="D192" i="3"/>
  <c r="C192" i="3"/>
  <c r="B192" i="3"/>
  <c r="A192" i="3"/>
  <c r="D191" i="3"/>
  <c r="C191" i="3"/>
  <c r="B191" i="3"/>
  <c r="A191" i="3"/>
  <c r="D190" i="3"/>
  <c r="C190" i="3"/>
  <c r="B190" i="3"/>
  <c r="A190" i="3"/>
  <c r="D189" i="3"/>
  <c r="C189" i="3"/>
  <c r="B189" i="3"/>
  <c r="A189" i="3"/>
  <c r="D188" i="3"/>
  <c r="C188" i="3"/>
  <c r="B188" i="3"/>
  <c r="A188" i="3"/>
  <c r="D187" i="3"/>
  <c r="C187" i="3"/>
  <c r="B187" i="3"/>
  <c r="A187" i="3"/>
  <c r="D186" i="3"/>
  <c r="C186" i="3"/>
  <c r="B186" i="3"/>
  <c r="A186" i="3"/>
  <c r="D185" i="3"/>
  <c r="C185" i="3"/>
  <c r="B185" i="3"/>
  <c r="A185" i="3"/>
  <c r="D184" i="3"/>
  <c r="C184" i="3"/>
  <c r="B184" i="3"/>
  <c r="A184" i="3"/>
  <c r="D183" i="3"/>
  <c r="C183" i="3"/>
  <c r="B183" i="3"/>
  <c r="A183" i="3"/>
  <c r="D182" i="3"/>
  <c r="C182" i="3"/>
  <c r="B182" i="3"/>
  <c r="A182" i="3"/>
  <c r="D181" i="3"/>
  <c r="C181" i="3"/>
  <c r="B181" i="3"/>
  <c r="A181" i="3"/>
  <c r="D180" i="3"/>
  <c r="C180" i="3"/>
  <c r="B180" i="3"/>
  <c r="A180" i="3"/>
  <c r="D179" i="3"/>
  <c r="C179" i="3"/>
  <c r="B179" i="3"/>
  <c r="A179" i="3"/>
  <c r="D178" i="3"/>
  <c r="C178" i="3"/>
  <c r="B178" i="3"/>
  <c r="A178" i="3"/>
  <c r="D177" i="3"/>
  <c r="C177" i="3"/>
  <c r="B177" i="3"/>
  <c r="A177" i="3"/>
  <c r="D176" i="3"/>
  <c r="C176" i="3"/>
  <c r="B176" i="3"/>
  <c r="A176" i="3"/>
  <c r="D175" i="3"/>
  <c r="C175" i="3"/>
  <c r="B175" i="3"/>
  <c r="A175" i="3"/>
  <c r="D174" i="3"/>
  <c r="C174" i="3"/>
  <c r="B174" i="3"/>
  <c r="A174" i="3"/>
  <c r="D173" i="3"/>
  <c r="C173" i="3"/>
  <c r="B173" i="3"/>
  <c r="A173" i="3"/>
  <c r="D172" i="3"/>
  <c r="C172" i="3"/>
  <c r="B172" i="3"/>
  <c r="A172" i="3"/>
  <c r="D171" i="3"/>
  <c r="C171" i="3"/>
  <c r="B171" i="3"/>
  <c r="A171" i="3"/>
  <c r="D170" i="3"/>
  <c r="C170" i="3"/>
  <c r="B170" i="3"/>
  <c r="A170" i="3"/>
  <c r="D169" i="3"/>
  <c r="C169" i="3"/>
  <c r="B169" i="3"/>
  <c r="A169" i="3"/>
  <c r="D168" i="3"/>
  <c r="C168" i="3"/>
  <c r="B168" i="3"/>
  <c r="A168" i="3"/>
  <c r="D167" i="3"/>
  <c r="C167" i="3"/>
  <c r="B167" i="3"/>
  <c r="A167" i="3"/>
  <c r="D166" i="3"/>
  <c r="C166" i="3"/>
  <c r="B166" i="3"/>
  <c r="A166" i="3"/>
  <c r="D165" i="3"/>
  <c r="C165" i="3"/>
  <c r="B165" i="3"/>
  <c r="A165" i="3"/>
  <c r="D164" i="3"/>
  <c r="C164" i="3"/>
  <c r="B164" i="3"/>
  <c r="A164" i="3"/>
  <c r="D163" i="3"/>
  <c r="C163" i="3"/>
  <c r="B163" i="3"/>
  <c r="A163" i="3"/>
  <c r="D162" i="3"/>
  <c r="C162" i="3"/>
  <c r="B162" i="3"/>
  <c r="A162" i="3"/>
  <c r="D161" i="3"/>
  <c r="C161" i="3"/>
  <c r="B161" i="3"/>
  <c r="A161" i="3"/>
  <c r="D160" i="3"/>
  <c r="C160" i="3"/>
  <c r="B160" i="3"/>
  <c r="A160" i="3"/>
  <c r="D159" i="3"/>
  <c r="C159" i="3"/>
  <c r="B159" i="3"/>
  <c r="A159" i="3"/>
  <c r="D158" i="3"/>
  <c r="C158" i="3"/>
  <c r="B158" i="3"/>
  <c r="A158" i="3"/>
  <c r="D157" i="3"/>
  <c r="C157" i="3"/>
  <c r="B157" i="3"/>
  <c r="A157" i="3"/>
  <c r="D156" i="3"/>
  <c r="C156" i="3"/>
  <c r="B156" i="3"/>
  <c r="A156" i="3"/>
  <c r="D155" i="3"/>
  <c r="C155" i="3"/>
  <c r="B155" i="3"/>
  <c r="A155" i="3"/>
  <c r="D154" i="3"/>
  <c r="C154" i="3"/>
  <c r="B154" i="3"/>
  <c r="A154" i="3"/>
  <c r="D153" i="3"/>
  <c r="C153" i="3"/>
  <c r="B153" i="3"/>
  <c r="A153" i="3"/>
  <c r="D152" i="3"/>
  <c r="C152" i="3"/>
  <c r="B152" i="3"/>
  <c r="A152" i="3"/>
  <c r="D151" i="3"/>
  <c r="C151" i="3"/>
  <c r="B151" i="3"/>
  <c r="A151" i="3"/>
  <c r="D150" i="3"/>
  <c r="C150" i="3"/>
  <c r="B150" i="3"/>
  <c r="A150" i="3"/>
  <c r="D149" i="3"/>
  <c r="C149" i="3"/>
  <c r="B149" i="3"/>
  <c r="A149" i="3"/>
  <c r="D148" i="3"/>
  <c r="C148" i="3"/>
  <c r="B148" i="3"/>
  <c r="A148" i="3"/>
  <c r="D147" i="3"/>
  <c r="C147" i="3"/>
  <c r="B147" i="3"/>
  <c r="A147" i="3"/>
  <c r="D146" i="3"/>
  <c r="C146" i="3"/>
  <c r="B146" i="3"/>
  <c r="A146" i="3"/>
  <c r="D145" i="3"/>
  <c r="C145" i="3"/>
  <c r="B145" i="3"/>
  <c r="A145" i="3"/>
  <c r="D144" i="3"/>
  <c r="C144" i="3"/>
  <c r="B144" i="3"/>
  <c r="A144" i="3"/>
  <c r="D143" i="3"/>
  <c r="C143" i="3"/>
  <c r="B143" i="3"/>
  <c r="A143" i="3"/>
  <c r="D142" i="3"/>
  <c r="C142" i="3"/>
  <c r="B142" i="3"/>
  <c r="A142" i="3"/>
  <c r="D141" i="3"/>
  <c r="C141" i="3"/>
  <c r="B141" i="3"/>
  <c r="A141" i="3"/>
  <c r="D140" i="3"/>
  <c r="C140" i="3"/>
  <c r="B140" i="3"/>
  <c r="A140" i="3"/>
  <c r="D139" i="3"/>
  <c r="C139" i="3"/>
  <c r="B139" i="3"/>
  <c r="A139" i="3"/>
  <c r="D138" i="3"/>
  <c r="C138" i="3"/>
  <c r="B138" i="3"/>
  <c r="A138" i="3"/>
  <c r="D137" i="3"/>
  <c r="C137" i="3"/>
  <c r="B137" i="3"/>
  <c r="A137" i="3"/>
  <c r="D136" i="3"/>
  <c r="C136" i="3"/>
  <c r="B136" i="3"/>
  <c r="A136" i="3"/>
  <c r="D135" i="3"/>
  <c r="C135" i="3"/>
  <c r="B135" i="3"/>
  <c r="A135" i="3"/>
  <c r="D134" i="3"/>
  <c r="C134" i="3"/>
  <c r="B134" i="3"/>
  <c r="A134" i="3"/>
  <c r="D133" i="3"/>
  <c r="C133" i="3"/>
  <c r="B133" i="3"/>
  <c r="A133" i="3"/>
  <c r="D132" i="3"/>
  <c r="C132" i="3"/>
  <c r="B132" i="3"/>
  <c r="A132" i="3"/>
  <c r="D131" i="3"/>
  <c r="C131" i="3"/>
  <c r="B131" i="3"/>
  <c r="A131" i="3"/>
  <c r="D130" i="3"/>
  <c r="C130" i="3"/>
  <c r="B130" i="3"/>
  <c r="A130" i="3"/>
  <c r="D129" i="3"/>
  <c r="C129" i="3"/>
  <c r="B129" i="3"/>
  <c r="A129" i="3"/>
  <c r="D128" i="3"/>
  <c r="C128" i="3"/>
  <c r="B128" i="3"/>
  <c r="A128" i="3"/>
  <c r="D127" i="3"/>
  <c r="C127" i="3"/>
  <c r="B127" i="3"/>
  <c r="A127" i="3"/>
  <c r="D126" i="3"/>
  <c r="C126" i="3"/>
  <c r="B126" i="3"/>
  <c r="A126" i="3"/>
  <c r="D125" i="3"/>
  <c r="C125" i="3"/>
  <c r="B125" i="3"/>
  <c r="A125" i="3"/>
  <c r="D124" i="3"/>
  <c r="C124" i="3"/>
  <c r="B124" i="3"/>
  <c r="A124" i="3"/>
  <c r="D123" i="3"/>
  <c r="C123" i="3"/>
  <c r="B123" i="3"/>
  <c r="A123" i="3"/>
  <c r="D122" i="3"/>
  <c r="C122" i="3"/>
  <c r="B122" i="3"/>
  <c r="A122" i="3"/>
  <c r="D121" i="3"/>
  <c r="C121" i="3"/>
  <c r="B121" i="3"/>
  <c r="A121" i="3"/>
  <c r="D120" i="3"/>
  <c r="C120" i="3"/>
  <c r="B120" i="3"/>
  <c r="A120" i="3"/>
  <c r="D119" i="3"/>
  <c r="C119" i="3"/>
  <c r="B119" i="3"/>
  <c r="A119" i="3"/>
  <c r="D118" i="3"/>
  <c r="C118" i="3"/>
  <c r="B118" i="3"/>
  <c r="A118" i="3"/>
  <c r="D117" i="3"/>
  <c r="C117" i="3"/>
  <c r="B117" i="3"/>
  <c r="A117" i="3"/>
  <c r="D116" i="3"/>
  <c r="C116" i="3"/>
  <c r="B116" i="3"/>
  <c r="A116" i="3"/>
  <c r="D115" i="3"/>
  <c r="C115" i="3"/>
  <c r="B115" i="3"/>
  <c r="A115" i="3"/>
  <c r="D114" i="3"/>
  <c r="C114" i="3"/>
  <c r="B114" i="3"/>
  <c r="A114" i="3"/>
  <c r="D113" i="3"/>
  <c r="C113" i="3"/>
  <c r="B113" i="3"/>
  <c r="A113" i="3"/>
  <c r="D112" i="3"/>
  <c r="C112" i="3"/>
  <c r="B112" i="3"/>
  <c r="A112" i="3"/>
  <c r="D111" i="3"/>
  <c r="C111" i="3"/>
  <c r="B111" i="3"/>
  <c r="A111" i="3"/>
  <c r="D110" i="3"/>
  <c r="C110" i="3"/>
  <c r="B110" i="3"/>
  <c r="A110" i="3"/>
  <c r="D109" i="3"/>
  <c r="C109" i="3"/>
  <c r="B109" i="3"/>
  <c r="A109" i="3"/>
  <c r="D108" i="3"/>
  <c r="C108" i="3"/>
  <c r="B108" i="3"/>
  <c r="A108" i="3"/>
  <c r="D107" i="3"/>
  <c r="C107" i="3"/>
  <c r="B107" i="3"/>
  <c r="A107" i="3"/>
  <c r="D106" i="3"/>
  <c r="C106" i="3"/>
  <c r="B106" i="3"/>
  <c r="A106" i="3"/>
  <c r="D105" i="3"/>
  <c r="C105" i="3"/>
  <c r="B105" i="3"/>
  <c r="A105" i="3"/>
  <c r="D104" i="3"/>
  <c r="C104" i="3"/>
  <c r="B104" i="3"/>
  <c r="A104" i="3"/>
  <c r="D103" i="3"/>
  <c r="C103" i="3"/>
  <c r="B103" i="3"/>
  <c r="A103" i="3"/>
  <c r="D102" i="3"/>
  <c r="C102" i="3"/>
  <c r="B102" i="3"/>
  <c r="A102" i="3"/>
  <c r="D101" i="3"/>
  <c r="C101" i="3"/>
  <c r="B101" i="3"/>
  <c r="A101" i="3"/>
  <c r="D100" i="3"/>
  <c r="C100" i="3"/>
  <c r="B100" i="3"/>
  <c r="A100" i="3"/>
  <c r="D99" i="3"/>
  <c r="C99" i="3"/>
  <c r="B99" i="3"/>
  <c r="A99" i="3"/>
  <c r="D98" i="3"/>
  <c r="C98" i="3"/>
  <c r="B98" i="3"/>
  <c r="A98" i="3"/>
  <c r="D97" i="3"/>
  <c r="C97" i="3"/>
  <c r="B97" i="3"/>
  <c r="A97" i="3"/>
  <c r="D96" i="3"/>
  <c r="C96" i="3"/>
  <c r="B96" i="3"/>
  <c r="A96" i="3"/>
  <c r="D95" i="3"/>
  <c r="C95" i="3"/>
  <c r="B95" i="3"/>
  <c r="A95" i="3"/>
  <c r="D94" i="3"/>
  <c r="C94" i="3"/>
  <c r="B94" i="3"/>
  <c r="A94" i="3"/>
  <c r="D93" i="3"/>
  <c r="C93" i="3"/>
  <c r="B93" i="3"/>
  <c r="A93" i="3"/>
  <c r="D92" i="3"/>
  <c r="C92" i="3"/>
  <c r="B92" i="3"/>
  <c r="A92" i="3"/>
  <c r="D91" i="3"/>
  <c r="C91" i="3"/>
  <c r="B91" i="3"/>
  <c r="A91" i="3"/>
  <c r="D90" i="3"/>
  <c r="C90" i="3"/>
  <c r="B90" i="3"/>
  <c r="A90" i="3"/>
  <c r="D89" i="3"/>
  <c r="C89" i="3"/>
  <c r="B89" i="3"/>
  <c r="A89" i="3"/>
  <c r="D88" i="3"/>
  <c r="C88" i="3"/>
  <c r="B88" i="3"/>
  <c r="A88" i="3"/>
  <c r="D87" i="3"/>
  <c r="C87" i="3"/>
  <c r="B87" i="3"/>
  <c r="A87" i="3"/>
  <c r="D86" i="3"/>
  <c r="C86" i="3"/>
  <c r="B86" i="3"/>
  <c r="A86" i="3"/>
  <c r="D85" i="3"/>
  <c r="C85" i="3"/>
  <c r="B85" i="3"/>
  <c r="A85" i="3"/>
  <c r="D84" i="3"/>
  <c r="C84" i="3"/>
  <c r="B84" i="3"/>
  <c r="A84" i="3"/>
  <c r="D83" i="3"/>
  <c r="C83" i="3"/>
  <c r="B83" i="3"/>
  <c r="A83" i="3"/>
  <c r="D82" i="3"/>
  <c r="C82" i="3"/>
  <c r="B82" i="3"/>
  <c r="A82" i="3"/>
  <c r="D81" i="3"/>
  <c r="C81" i="3"/>
  <c r="B81" i="3"/>
  <c r="A81" i="3"/>
  <c r="D80" i="3"/>
  <c r="C80" i="3"/>
  <c r="B80" i="3"/>
  <c r="A80" i="3"/>
  <c r="D79" i="3"/>
  <c r="C79" i="3"/>
  <c r="B79" i="3"/>
  <c r="A79" i="3"/>
  <c r="D78" i="3"/>
  <c r="C78" i="3"/>
  <c r="B78" i="3"/>
  <c r="A78" i="3"/>
  <c r="D77" i="3"/>
  <c r="C77" i="3"/>
  <c r="B77" i="3"/>
  <c r="A77" i="3"/>
  <c r="D76" i="3"/>
  <c r="C76" i="3"/>
  <c r="B76" i="3"/>
  <c r="A76" i="3"/>
  <c r="D75" i="3"/>
  <c r="C75" i="3"/>
  <c r="B75" i="3"/>
  <c r="A75" i="3"/>
  <c r="D74" i="3"/>
  <c r="C74" i="3"/>
  <c r="B74" i="3"/>
  <c r="A74" i="3"/>
  <c r="D73" i="3"/>
  <c r="C73" i="3"/>
  <c r="B73" i="3"/>
  <c r="A73" i="3"/>
  <c r="D72" i="3"/>
  <c r="C72" i="3"/>
  <c r="B72" i="3"/>
  <c r="A72" i="3"/>
  <c r="D71" i="3"/>
  <c r="C71" i="3"/>
  <c r="B71" i="3"/>
  <c r="A71" i="3"/>
  <c r="D70" i="3"/>
  <c r="C70" i="3"/>
  <c r="B70" i="3"/>
  <c r="A70" i="3"/>
  <c r="D69" i="3"/>
  <c r="C69" i="3"/>
  <c r="B69" i="3"/>
  <c r="A69" i="3"/>
  <c r="D68" i="3"/>
  <c r="C68" i="3"/>
  <c r="B68" i="3"/>
  <c r="A68" i="3"/>
  <c r="D67" i="3"/>
  <c r="C67" i="3"/>
  <c r="B67" i="3"/>
  <c r="A67" i="3"/>
  <c r="D66" i="3"/>
  <c r="C66" i="3"/>
  <c r="B66" i="3"/>
  <c r="A66" i="3"/>
  <c r="D65" i="3"/>
  <c r="C65" i="3"/>
  <c r="B65" i="3"/>
  <c r="A65" i="3"/>
  <c r="D64" i="3"/>
  <c r="C64" i="3"/>
  <c r="B64" i="3"/>
  <c r="A64" i="3"/>
  <c r="D63" i="3"/>
  <c r="C63" i="3"/>
  <c r="B63" i="3"/>
  <c r="A63" i="3"/>
  <c r="D62" i="3"/>
  <c r="C62" i="3"/>
  <c r="B62" i="3"/>
  <c r="A62" i="3"/>
  <c r="D61" i="3"/>
  <c r="C61" i="3"/>
  <c r="B61" i="3"/>
  <c r="A61" i="3"/>
  <c r="D60" i="3"/>
  <c r="C60" i="3"/>
  <c r="B60" i="3"/>
  <c r="A60" i="3"/>
  <c r="D59" i="3"/>
  <c r="C59" i="3"/>
  <c r="B59" i="3"/>
  <c r="A59" i="3"/>
  <c r="D58" i="3"/>
  <c r="C58" i="3"/>
  <c r="B58" i="3"/>
  <c r="A58" i="3"/>
  <c r="D57" i="3"/>
  <c r="C57" i="3"/>
  <c r="B57" i="3"/>
  <c r="A57" i="3"/>
  <c r="D56" i="3"/>
  <c r="C56" i="3"/>
  <c r="B56" i="3"/>
  <c r="A56" i="3"/>
  <c r="D55" i="3"/>
  <c r="C55" i="3"/>
  <c r="B55" i="3"/>
  <c r="A55" i="3"/>
  <c r="D54" i="3"/>
  <c r="C54" i="3"/>
  <c r="B54" i="3"/>
  <c r="A54" i="3"/>
  <c r="D53" i="3"/>
  <c r="C53" i="3"/>
  <c r="B53" i="3"/>
  <c r="A53" i="3"/>
  <c r="D52" i="3"/>
  <c r="C52" i="3"/>
  <c r="B52" i="3"/>
  <c r="A52" i="3"/>
  <c r="D51" i="3"/>
  <c r="C51" i="3"/>
  <c r="B51" i="3"/>
  <c r="A51" i="3"/>
  <c r="D50" i="3"/>
  <c r="C50" i="3"/>
  <c r="B50" i="3"/>
  <c r="A50" i="3"/>
  <c r="D49" i="3"/>
  <c r="C49" i="3"/>
  <c r="B49" i="3"/>
  <c r="A49" i="3"/>
  <c r="D48" i="3"/>
  <c r="C48" i="3"/>
  <c r="B48" i="3"/>
  <c r="A48" i="3"/>
  <c r="D47" i="3"/>
  <c r="C47" i="3"/>
  <c r="B47" i="3"/>
  <c r="A47" i="3"/>
  <c r="D46" i="3"/>
  <c r="C46" i="3"/>
  <c r="B46" i="3"/>
  <c r="A46" i="3"/>
  <c r="D45" i="3"/>
  <c r="C45" i="3"/>
  <c r="B45" i="3"/>
  <c r="A45" i="3"/>
  <c r="D44" i="3"/>
  <c r="C44" i="3"/>
  <c r="B44" i="3"/>
  <c r="A44" i="3"/>
  <c r="D43" i="3"/>
  <c r="C43" i="3"/>
  <c r="B43" i="3"/>
  <c r="A43" i="3"/>
  <c r="D42" i="3"/>
  <c r="C42" i="3"/>
  <c r="B42" i="3"/>
  <c r="A42" i="3"/>
  <c r="D41" i="3"/>
  <c r="C41" i="3"/>
  <c r="B41" i="3"/>
  <c r="A41" i="3"/>
  <c r="D40" i="3"/>
  <c r="C40" i="3"/>
  <c r="B40" i="3"/>
  <c r="A40" i="3"/>
  <c r="D39" i="3"/>
  <c r="C39" i="3"/>
  <c r="B39" i="3"/>
  <c r="A39" i="3"/>
  <c r="D38" i="3"/>
  <c r="C38" i="3"/>
  <c r="B38" i="3"/>
  <c r="A38" i="3"/>
  <c r="D37" i="3"/>
  <c r="C37" i="3"/>
  <c r="B37" i="3"/>
  <c r="A37" i="3"/>
  <c r="D36" i="3"/>
  <c r="C36" i="3"/>
  <c r="B36" i="3"/>
  <c r="A36" i="3"/>
  <c r="D35" i="3"/>
  <c r="C35" i="3"/>
  <c r="B35" i="3"/>
  <c r="A35" i="3"/>
  <c r="D34" i="3"/>
  <c r="C34" i="3"/>
  <c r="B34" i="3"/>
  <c r="A34" i="3"/>
  <c r="D33" i="3"/>
  <c r="C33" i="3"/>
  <c r="B33" i="3"/>
  <c r="A33" i="3"/>
  <c r="D32" i="3"/>
  <c r="C32" i="3"/>
  <c r="B32" i="3"/>
  <c r="A32" i="3"/>
  <c r="D31" i="3"/>
  <c r="C31" i="3"/>
  <c r="B31" i="3"/>
  <c r="A31" i="3"/>
  <c r="D30" i="3"/>
  <c r="C30" i="3"/>
  <c r="B30" i="3"/>
  <c r="A30" i="3"/>
  <c r="D29" i="3"/>
  <c r="C29" i="3"/>
  <c r="B29" i="3"/>
  <c r="A29" i="3"/>
  <c r="D28" i="3"/>
  <c r="C28" i="3"/>
  <c r="B28" i="3"/>
  <c r="A28" i="3"/>
  <c r="D27" i="3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C17" i="3"/>
  <c r="B17" i="3"/>
  <c r="A17" i="3"/>
  <c r="D16" i="3"/>
  <c r="C16" i="3"/>
  <c r="B16" i="3"/>
  <c r="A16" i="3"/>
  <c r="D15" i="3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C9" i="3"/>
  <c r="B9" i="3"/>
  <c r="A9" i="3"/>
  <c r="D8" i="3"/>
  <c r="C8" i="3"/>
  <c r="B8" i="3"/>
  <c r="A8" i="3"/>
  <c r="D7" i="3"/>
  <c r="C7" i="3"/>
  <c r="B7" i="3"/>
  <c r="A7" i="3"/>
  <c r="D6" i="3"/>
  <c r="C6" i="3"/>
  <c r="B6" i="3"/>
  <c r="A6" i="3"/>
  <c r="D5" i="3"/>
  <c r="C5" i="3"/>
  <c r="B5" i="3"/>
  <c r="A5" i="3"/>
  <c r="D4" i="3"/>
  <c r="C4" i="3"/>
  <c r="B4" i="3"/>
  <c r="A4" i="3"/>
  <c r="D3" i="3"/>
  <c r="C3" i="3"/>
  <c r="B3" i="3"/>
  <c r="A3" i="3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D202" i="13"/>
  <c r="C202" i="13"/>
  <c r="B202" i="13"/>
  <c r="A202" i="13"/>
  <c r="D201" i="13"/>
  <c r="C201" i="13"/>
  <c r="B201" i="13"/>
  <c r="A201" i="13"/>
  <c r="D200" i="13"/>
  <c r="C200" i="13"/>
  <c r="B200" i="13"/>
  <c r="A200" i="13"/>
  <c r="D199" i="13"/>
  <c r="C199" i="13"/>
  <c r="B199" i="13"/>
  <c r="A199" i="13"/>
  <c r="D198" i="13"/>
  <c r="C198" i="13"/>
  <c r="B198" i="13"/>
  <c r="A198" i="13"/>
  <c r="D197" i="13"/>
  <c r="C197" i="13"/>
  <c r="B197" i="13"/>
  <c r="A197" i="13"/>
  <c r="D196" i="13"/>
  <c r="C196" i="13"/>
  <c r="B196" i="13"/>
  <c r="A196" i="13"/>
  <c r="D195" i="13"/>
  <c r="C195" i="13"/>
  <c r="B195" i="13"/>
  <c r="A195" i="13"/>
  <c r="D194" i="13"/>
  <c r="C194" i="13"/>
  <c r="B194" i="13"/>
  <c r="A194" i="13"/>
  <c r="D193" i="13"/>
  <c r="C193" i="13"/>
  <c r="B193" i="13"/>
  <c r="A193" i="13"/>
  <c r="D192" i="13"/>
  <c r="C192" i="13"/>
  <c r="B192" i="13"/>
  <c r="A192" i="13"/>
  <c r="D191" i="13"/>
  <c r="C191" i="13"/>
  <c r="B191" i="13"/>
  <c r="A191" i="13"/>
  <c r="D190" i="13"/>
  <c r="C190" i="13"/>
  <c r="B190" i="13"/>
  <c r="A190" i="13"/>
  <c r="D189" i="13"/>
  <c r="C189" i="13"/>
  <c r="B189" i="13"/>
  <c r="A189" i="13"/>
  <c r="D188" i="13"/>
  <c r="C188" i="13"/>
  <c r="B188" i="13"/>
  <c r="A188" i="13"/>
  <c r="D187" i="13"/>
  <c r="C187" i="13"/>
  <c r="B187" i="13"/>
  <c r="A187" i="13"/>
  <c r="D186" i="13"/>
  <c r="C186" i="13"/>
  <c r="B186" i="13"/>
  <c r="A186" i="13"/>
  <c r="D185" i="13"/>
  <c r="C185" i="13"/>
  <c r="B185" i="13"/>
  <c r="A185" i="13"/>
  <c r="D184" i="13"/>
  <c r="C184" i="13"/>
  <c r="B184" i="13"/>
  <c r="A184" i="13"/>
  <c r="D183" i="13"/>
  <c r="C183" i="13"/>
  <c r="B183" i="13"/>
  <c r="A183" i="13"/>
  <c r="D182" i="13"/>
  <c r="C182" i="13"/>
  <c r="B182" i="13"/>
  <c r="A182" i="13"/>
  <c r="D181" i="13"/>
  <c r="C181" i="13"/>
  <c r="B181" i="13"/>
  <c r="A181" i="13"/>
  <c r="D180" i="13"/>
  <c r="C180" i="13"/>
  <c r="B180" i="13"/>
  <c r="A180" i="13"/>
  <c r="D179" i="13"/>
  <c r="C179" i="13"/>
  <c r="B179" i="13"/>
  <c r="A179" i="13"/>
  <c r="D178" i="13"/>
  <c r="C178" i="13"/>
  <c r="B178" i="13"/>
  <c r="A178" i="13"/>
  <c r="D177" i="13"/>
  <c r="C177" i="13"/>
  <c r="B177" i="13"/>
  <c r="A177" i="13"/>
  <c r="D176" i="13"/>
  <c r="C176" i="13"/>
  <c r="B176" i="13"/>
  <c r="A176" i="13"/>
  <c r="D175" i="13"/>
  <c r="C175" i="13"/>
  <c r="B175" i="13"/>
  <c r="A175" i="13"/>
  <c r="D174" i="13"/>
  <c r="C174" i="13"/>
  <c r="B174" i="13"/>
  <c r="A174" i="13"/>
  <c r="D173" i="13"/>
  <c r="C173" i="13"/>
  <c r="B173" i="13"/>
  <c r="A173" i="13"/>
  <c r="D172" i="13"/>
  <c r="C172" i="13"/>
  <c r="B172" i="13"/>
  <c r="A172" i="13"/>
  <c r="D171" i="13"/>
  <c r="C171" i="13"/>
  <c r="B171" i="13"/>
  <c r="A171" i="13"/>
  <c r="D170" i="13"/>
  <c r="C170" i="13"/>
  <c r="B170" i="13"/>
  <c r="A170" i="13"/>
  <c r="D169" i="13"/>
  <c r="C169" i="13"/>
  <c r="B169" i="13"/>
  <c r="A169" i="13"/>
  <c r="D168" i="13"/>
  <c r="C168" i="13"/>
  <c r="B168" i="13"/>
  <c r="A168" i="13"/>
  <c r="D167" i="13"/>
  <c r="C167" i="13"/>
  <c r="B167" i="13"/>
  <c r="A167" i="13"/>
  <c r="D166" i="13"/>
  <c r="C166" i="13"/>
  <c r="B166" i="13"/>
  <c r="A166" i="13"/>
  <c r="D165" i="13"/>
  <c r="C165" i="13"/>
  <c r="B165" i="13"/>
  <c r="A165" i="13"/>
  <c r="D164" i="13"/>
  <c r="C164" i="13"/>
  <c r="B164" i="13"/>
  <c r="A164" i="13"/>
  <c r="D163" i="13"/>
  <c r="C163" i="13"/>
  <c r="B163" i="13"/>
  <c r="A163" i="13"/>
  <c r="D162" i="13"/>
  <c r="C162" i="13"/>
  <c r="B162" i="13"/>
  <c r="A162" i="13"/>
  <c r="D161" i="13"/>
  <c r="C161" i="13"/>
  <c r="B161" i="13"/>
  <c r="A161" i="13"/>
  <c r="D160" i="13"/>
  <c r="C160" i="13"/>
  <c r="B160" i="13"/>
  <c r="A160" i="13"/>
  <c r="D159" i="13"/>
  <c r="C159" i="13"/>
  <c r="B159" i="13"/>
  <c r="A159" i="13"/>
  <c r="D158" i="13"/>
  <c r="C158" i="13"/>
  <c r="B158" i="13"/>
  <c r="A158" i="13"/>
  <c r="D157" i="13"/>
  <c r="C157" i="13"/>
  <c r="B157" i="13"/>
  <c r="A157" i="13"/>
  <c r="D156" i="13"/>
  <c r="C156" i="13"/>
  <c r="B156" i="13"/>
  <c r="A156" i="13"/>
  <c r="D155" i="13"/>
  <c r="C155" i="13"/>
  <c r="B155" i="13"/>
  <c r="A155" i="13"/>
  <c r="D154" i="13"/>
  <c r="C154" i="13"/>
  <c r="B154" i="13"/>
  <c r="A154" i="13"/>
  <c r="D153" i="13"/>
  <c r="C153" i="13"/>
  <c r="B153" i="13"/>
  <c r="A153" i="13"/>
  <c r="D152" i="13"/>
  <c r="C152" i="13"/>
  <c r="B152" i="13"/>
  <c r="A152" i="13"/>
  <c r="D151" i="13"/>
  <c r="C151" i="13"/>
  <c r="B151" i="13"/>
  <c r="A151" i="13"/>
  <c r="D150" i="13"/>
  <c r="C150" i="13"/>
  <c r="B150" i="13"/>
  <c r="A150" i="13"/>
  <c r="D149" i="13"/>
  <c r="C149" i="13"/>
  <c r="B149" i="13"/>
  <c r="A149" i="13"/>
  <c r="D148" i="13"/>
  <c r="C148" i="13"/>
  <c r="B148" i="13"/>
  <c r="A148" i="13"/>
  <c r="D147" i="13"/>
  <c r="C147" i="13"/>
  <c r="B147" i="13"/>
  <c r="A147" i="13"/>
  <c r="D146" i="13"/>
  <c r="C146" i="13"/>
  <c r="B146" i="13"/>
  <c r="A146" i="13"/>
  <c r="D145" i="13"/>
  <c r="C145" i="13"/>
  <c r="B145" i="13"/>
  <c r="A145" i="13"/>
  <c r="D144" i="13"/>
  <c r="C144" i="13"/>
  <c r="B144" i="13"/>
  <c r="A144" i="13"/>
  <c r="D143" i="13"/>
  <c r="C143" i="13"/>
  <c r="B143" i="13"/>
  <c r="A143" i="13"/>
  <c r="D142" i="13"/>
  <c r="C142" i="13"/>
  <c r="B142" i="13"/>
  <c r="A142" i="13"/>
  <c r="D141" i="13"/>
  <c r="C141" i="13"/>
  <c r="B141" i="13"/>
  <c r="A141" i="13"/>
  <c r="D140" i="13"/>
  <c r="C140" i="13"/>
  <c r="B140" i="13"/>
  <c r="A140" i="13"/>
  <c r="D139" i="13"/>
  <c r="C139" i="13"/>
  <c r="B139" i="13"/>
  <c r="A139" i="13"/>
  <c r="D138" i="13"/>
  <c r="C138" i="13"/>
  <c r="B138" i="13"/>
  <c r="A138" i="13"/>
  <c r="D137" i="13"/>
  <c r="C137" i="13"/>
  <c r="B137" i="13"/>
  <c r="A137" i="13"/>
  <c r="D136" i="13"/>
  <c r="C136" i="13"/>
  <c r="B136" i="13"/>
  <c r="A136" i="13"/>
  <c r="D135" i="13"/>
  <c r="C135" i="13"/>
  <c r="B135" i="13"/>
  <c r="A135" i="13"/>
  <c r="D134" i="13"/>
  <c r="C134" i="13"/>
  <c r="B134" i="13"/>
  <c r="A134" i="13"/>
  <c r="D133" i="13"/>
  <c r="C133" i="13"/>
  <c r="B133" i="13"/>
  <c r="A133" i="13"/>
  <c r="D132" i="13"/>
  <c r="C132" i="13"/>
  <c r="B132" i="13"/>
  <c r="A132" i="13"/>
  <c r="D131" i="13"/>
  <c r="C131" i="13"/>
  <c r="B131" i="13"/>
  <c r="A131" i="13"/>
  <c r="D130" i="13"/>
  <c r="C130" i="13"/>
  <c r="B130" i="13"/>
  <c r="A130" i="13"/>
  <c r="D129" i="13"/>
  <c r="C129" i="13"/>
  <c r="B129" i="13"/>
  <c r="A129" i="13"/>
  <c r="D128" i="13"/>
  <c r="C128" i="13"/>
  <c r="B128" i="13"/>
  <c r="A128" i="13"/>
  <c r="D127" i="13"/>
  <c r="C127" i="13"/>
  <c r="B127" i="13"/>
  <c r="A127" i="13"/>
  <c r="D126" i="13"/>
  <c r="C126" i="13"/>
  <c r="B126" i="13"/>
  <c r="A126" i="13"/>
  <c r="D125" i="13"/>
  <c r="C125" i="13"/>
  <c r="B125" i="13"/>
  <c r="A125" i="13"/>
  <c r="D124" i="13"/>
  <c r="C124" i="13"/>
  <c r="B124" i="13"/>
  <c r="A124" i="13"/>
  <c r="D123" i="13"/>
  <c r="C123" i="13"/>
  <c r="B123" i="13"/>
  <c r="A123" i="13"/>
  <c r="D122" i="13"/>
  <c r="C122" i="13"/>
  <c r="B122" i="13"/>
  <c r="A122" i="13"/>
  <c r="D121" i="13"/>
  <c r="C121" i="13"/>
  <c r="B121" i="13"/>
  <c r="A121" i="13"/>
  <c r="D120" i="13"/>
  <c r="C120" i="13"/>
  <c r="B120" i="13"/>
  <c r="A120" i="13"/>
  <c r="D119" i="13"/>
  <c r="C119" i="13"/>
  <c r="B119" i="13"/>
  <c r="A119" i="13"/>
  <c r="D118" i="13"/>
  <c r="C118" i="13"/>
  <c r="B118" i="13"/>
  <c r="A118" i="13"/>
  <c r="D117" i="13"/>
  <c r="C117" i="13"/>
  <c r="B117" i="13"/>
  <c r="A117" i="13"/>
  <c r="D116" i="13"/>
  <c r="C116" i="13"/>
  <c r="B116" i="13"/>
  <c r="A116" i="13"/>
  <c r="D115" i="13"/>
  <c r="C115" i="13"/>
  <c r="B115" i="13"/>
  <c r="A115" i="13"/>
  <c r="D114" i="13"/>
  <c r="C114" i="13"/>
  <c r="B114" i="13"/>
  <c r="A114" i="13"/>
  <c r="D113" i="13"/>
  <c r="C113" i="13"/>
  <c r="B113" i="13"/>
  <c r="A113" i="13"/>
  <c r="D112" i="13"/>
  <c r="C112" i="13"/>
  <c r="B112" i="13"/>
  <c r="A112" i="13"/>
  <c r="D111" i="13"/>
  <c r="C111" i="13"/>
  <c r="B111" i="13"/>
  <c r="A111" i="13"/>
  <c r="D110" i="13"/>
  <c r="C110" i="13"/>
  <c r="B110" i="13"/>
  <c r="A110" i="13"/>
  <c r="D109" i="13"/>
  <c r="C109" i="13"/>
  <c r="B109" i="13"/>
  <c r="A109" i="13"/>
  <c r="D108" i="13"/>
  <c r="C108" i="13"/>
  <c r="B108" i="13"/>
  <c r="A108" i="13"/>
  <c r="D107" i="13"/>
  <c r="C107" i="13"/>
  <c r="B107" i="13"/>
  <c r="A107" i="13"/>
  <c r="D106" i="13"/>
  <c r="C106" i="13"/>
  <c r="B106" i="13"/>
  <c r="A106" i="13"/>
  <c r="D105" i="13"/>
  <c r="C105" i="13"/>
  <c r="B105" i="13"/>
  <c r="A105" i="13"/>
  <c r="D104" i="13"/>
  <c r="C104" i="13"/>
  <c r="B104" i="13"/>
  <c r="A104" i="13"/>
  <c r="D103" i="13"/>
  <c r="C103" i="13"/>
  <c r="B103" i="13"/>
  <c r="A103" i="13"/>
  <c r="D102" i="13"/>
  <c r="C102" i="13"/>
  <c r="B102" i="13"/>
  <c r="A102" i="13"/>
  <c r="D101" i="13"/>
  <c r="C101" i="13"/>
  <c r="B101" i="13"/>
  <c r="A101" i="13"/>
  <c r="D100" i="13"/>
  <c r="C100" i="13"/>
  <c r="B100" i="13"/>
  <c r="A100" i="13"/>
  <c r="D99" i="13"/>
  <c r="C99" i="13"/>
  <c r="B99" i="13"/>
  <c r="A99" i="13"/>
  <c r="D98" i="13"/>
  <c r="C98" i="13"/>
  <c r="B98" i="13"/>
  <c r="A98" i="13"/>
  <c r="D97" i="13"/>
  <c r="C97" i="13"/>
  <c r="B97" i="13"/>
  <c r="A97" i="13"/>
  <c r="D96" i="13"/>
  <c r="C96" i="13"/>
  <c r="B96" i="13"/>
  <c r="A96" i="13"/>
  <c r="D95" i="13"/>
  <c r="C95" i="13"/>
  <c r="B95" i="13"/>
  <c r="A95" i="13"/>
  <c r="D94" i="13"/>
  <c r="C94" i="13"/>
  <c r="B94" i="13"/>
  <c r="A94" i="13"/>
  <c r="D93" i="13"/>
  <c r="C93" i="13"/>
  <c r="B93" i="13"/>
  <c r="A93" i="13"/>
  <c r="D92" i="13"/>
  <c r="C92" i="13"/>
  <c r="B92" i="13"/>
  <c r="A92" i="13"/>
  <c r="D91" i="13"/>
  <c r="C91" i="13"/>
  <c r="B91" i="13"/>
  <c r="A91" i="13"/>
  <c r="D90" i="13"/>
  <c r="C90" i="13"/>
  <c r="B90" i="13"/>
  <c r="A90" i="13"/>
  <c r="D89" i="13"/>
  <c r="C89" i="13"/>
  <c r="B89" i="13"/>
  <c r="A89" i="13"/>
  <c r="D88" i="13"/>
  <c r="C88" i="13"/>
  <c r="B88" i="13"/>
  <c r="A88" i="13"/>
  <c r="D87" i="13"/>
  <c r="C87" i="13"/>
  <c r="B87" i="13"/>
  <c r="A87" i="13"/>
  <c r="D86" i="13"/>
  <c r="C86" i="13"/>
  <c r="B86" i="13"/>
  <c r="A86" i="13"/>
  <c r="D85" i="13"/>
  <c r="C85" i="13"/>
  <c r="B85" i="13"/>
  <c r="A85" i="13"/>
  <c r="D84" i="13"/>
  <c r="C84" i="13"/>
  <c r="B84" i="13"/>
  <c r="A84" i="13"/>
  <c r="D83" i="13"/>
  <c r="C83" i="13"/>
  <c r="B83" i="13"/>
  <c r="A83" i="13"/>
  <c r="D82" i="13"/>
  <c r="C82" i="13"/>
  <c r="B82" i="13"/>
  <c r="A82" i="13"/>
  <c r="D81" i="13"/>
  <c r="C81" i="13"/>
  <c r="B81" i="13"/>
  <c r="A81" i="13"/>
  <c r="D80" i="13"/>
  <c r="C80" i="13"/>
  <c r="B80" i="13"/>
  <c r="A80" i="13"/>
  <c r="D79" i="13"/>
  <c r="C79" i="13"/>
  <c r="B79" i="13"/>
  <c r="A79" i="13"/>
  <c r="D78" i="13"/>
  <c r="C78" i="13"/>
  <c r="B78" i="13"/>
  <c r="A78" i="13"/>
  <c r="D77" i="13"/>
  <c r="C77" i="13"/>
  <c r="B77" i="13"/>
  <c r="A77" i="13"/>
  <c r="D76" i="13"/>
  <c r="C76" i="13"/>
  <c r="B76" i="13"/>
  <c r="A76" i="13"/>
  <c r="D75" i="13"/>
  <c r="C75" i="13"/>
  <c r="B75" i="13"/>
  <c r="A75" i="13"/>
  <c r="D74" i="13"/>
  <c r="C74" i="13"/>
  <c r="B74" i="13"/>
  <c r="A74" i="13"/>
  <c r="D73" i="13"/>
  <c r="C73" i="13"/>
  <c r="B73" i="13"/>
  <c r="A73" i="13"/>
  <c r="D72" i="13"/>
  <c r="C72" i="13"/>
  <c r="B72" i="13"/>
  <c r="A72" i="13"/>
  <c r="D71" i="13"/>
  <c r="C71" i="13"/>
  <c r="B71" i="13"/>
  <c r="A71" i="13"/>
  <c r="D70" i="13"/>
  <c r="C70" i="13"/>
  <c r="B70" i="13"/>
  <c r="A70" i="13"/>
  <c r="D69" i="13"/>
  <c r="C69" i="13"/>
  <c r="B69" i="13"/>
  <c r="A69" i="13"/>
  <c r="D68" i="13"/>
  <c r="C68" i="13"/>
  <c r="B68" i="13"/>
  <c r="A68" i="13"/>
  <c r="D67" i="13"/>
  <c r="C67" i="13"/>
  <c r="B67" i="13"/>
  <c r="A67" i="13"/>
  <c r="D66" i="13"/>
  <c r="C66" i="13"/>
  <c r="B66" i="13"/>
  <c r="A66" i="13"/>
  <c r="D65" i="13"/>
  <c r="C65" i="13"/>
  <c r="B65" i="13"/>
  <c r="A65" i="13"/>
  <c r="D64" i="13"/>
  <c r="C64" i="13"/>
  <c r="B64" i="13"/>
  <c r="A64" i="13"/>
  <c r="D63" i="13"/>
  <c r="C63" i="13"/>
  <c r="B63" i="13"/>
  <c r="A63" i="13"/>
  <c r="D62" i="13"/>
  <c r="C62" i="13"/>
  <c r="B62" i="13"/>
  <c r="A62" i="13"/>
  <c r="D61" i="13"/>
  <c r="C61" i="13"/>
  <c r="B61" i="13"/>
  <c r="A61" i="13"/>
  <c r="D60" i="13"/>
  <c r="C60" i="13"/>
  <c r="B60" i="13"/>
  <c r="A60" i="13"/>
  <c r="D59" i="13"/>
  <c r="C59" i="13"/>
  <c r="B59" i="13"/>
  <c r="A59" i="13"/>
  <c r="D58" i="13"/>
  <c r="C58" i="13"/>
  <c r="B58" i="13"/>
  <c r="A58" i="13"/>
  <c r="D57" i="13"/>
  <c r="C57" i="13"/>
  <c r="B57" i="13"/>
  <c r="A57" i="13"/>
  <c r="D56" i="13"/>
  <c r="C56" i="13"/>
  <c r="B56" i="13"/>
  <c r="A56" i="13"/>
  <c r="D55" i="13"/>
  <c r="C55" i="13"/>
  <c r="B55" i="13"/>
  <c r="A55" i="13"/>
  <c r="D54" i="13"/>
  <c r="C54" i="13"/>
  <c r="B54" i="13"/>
  <c r="A54" i="13"/>
  <c r="D53" i="13"/>
  <c r="C53" i="13"/>
  <c r="B53" i="13"/>
  <c r="A53" i="13"/>
  <c r="D52" i="13"/>
  <c r="C52" i="13"/>
  <c r="B52" i="13"/>
  <c r="A52" i="13"/>
  <c r="D51" i="13"/>
  <c r="C51" i="13"/>
  <c r="B51" i="13"/>
  <c r="A51" i="13"/>
  <c r="D50" i="13"/>
  <c r="C50" i="13"/>
  <c r="B50" i="13"/>
  <c r="A50" i="13"/>
  <c r="D49" i="13"/>
  <c r="C49" i="13"/>
  <c r="B49" i="13"/>
  <c r="A49" i="13"/>
  <c r="D48" i="13"/>
  <c r="C48" i="13"/>
  <c r="B48" i="13"/>
  <c r="A48" i="13"/>
  <c r="D47" i="13"/>
  <c r="C47" i="13"/>
  <c r="B47" i="13"/>
  <c r="A47" i="13"/>
  <c r="D46" i="13"/>
  <c r="C46" i="13"/>
  <c r="B46" i="13"/>
  <c r="A46" i="13"/>
  <c r="D45" i="13"/>
  <c r="C45" i="13"/>
  <c r="B45" i="13"/>
  <c r="A45" i="13"/>
  <c r="D44" i="13"/>
  <c r="C44" i="13"/>
  <c r="B44" i="13"/>
  <c r="A44" i="13"/>
  <c r="D43" i="13"/>
  <c r="C43" i="13"/>
  <c r="B43" i="13"/>
  <c r="A43" i="13"/>
  <c r="D42" i="13"/>
  <c r="C42" i="13"/>
  <c r="B42" i="13"/>
  <c r="A42" i="13"/>
  <c r="D41" i="13"/>
  <c r="C41" i="13"/>
  <c r="B41" i="13"/>
  <c r="A41" i="13"/>
  <c r="D40" i="13"/>
  <c r="C40" i="13"/>
  <c r="B40" i="13"/>
  <c r="A40" i="13"/>
  <c r="D39" i="13"/>
  <c r="C39" i="13"/>
  <c r="B39" i="13"/>
  <c r="A39" i="13"/>
  <c r="D38" i="13"/>
  <c r="C38" i="13"/>
  <c r="B38" i="13"/>
  <c r="A38" i="13"/>
  <c r="D37" i="13"/>
  <c r="C37" i="13"/>
  <c r="B37" i="13"/>
  <c r="A37" i="13"/>
  <c r="D36" i="13"/>
  <c r="C36" i="13"/>
  <c r="B36" i="13"/>
  <c r="A36" i="13"/>
  <c r="D35" i="13"/>
  <c r="C35" i="13"/>
  <c r="B35" i="13"/>
  <c r="A35" i="13"/>
  <c r="D34" i="13"/>
  <c r="C34" i="13"/>
  <c r="B34" i="13"/>
  <c r="A34" i="13"/>
  <c r="D33" i="13"/>
  <c r="C33" i="13"/>
  <c r="B33" i="13"/>
  <c r="A33" i="13"/>
  <c r="D32" i="13"/>
  <c r="C32" i="13"/>
  <c r="B32" i="13"/>
  <c r="A32" i="13"/>
  <c r="D31" i="13"/>
  <c r="C31" i="13"/>
  <c r="B31" i="13"/>
  <c r="A31" i="13"/>
  <c r="D30" i="13"/>
  <c r="C30" i="13"/>
  <c r="B30" i="13"/>
  <c r="A30" i="13"/>
  <c r="D29" i="13"/>
  <c r="C29" i="13"/>
  <c r="B29" i="13"/>
  <c r="A29" i="13"/>
  <c r="D28" i="13"/>
  <c r="C28" i="13"/>
  <c r="B28" i="13"/>
  <c r="A28" i="13"/>
  <c r="D27" i="13"/>
  <c r="C27" i="13"/>
  <c r="B27" i="13"/>
  <c r="A27" i="13"/>
  <c r="D26" i="13"/>
  <c r="C26" i="13"/>
  <c r="B26" i="13"/>
  <c r="A26" i="13"/>
  <c r="D25" i="13"/>
  <c r="C25" i="13"/>
  <c r="B25" i="13"/>
  <c r="A25" i="13"/>
  <c r="D24" i="13"/>
  <c r="C24" i="13"/>
  <c r="B24" i="13"/>
  <c r="A24" i="13"/>
  <c r="D23" i="13"/>
  <c r="C23" i="13"/>
  <c r="B23" i="13"/>
  <c r="A23" i="13"/>
  <c r="D22" i="13"/>
  <c r="C22" i="13"/>
  <c r="B22" i="13"/>
  <c r="A22" i="13"/>
  <c r="D21" i="13"/>
  <c r="C21" i="13"/>
  <c r="B21" i="13"/>
  <c r="A21" i="13"/>
  <c r="D20" i="13"/>
  <c r="C20" i="13"/>
  <c r="B20" i="13"/>
  <c r="A20" i="13"/>
  <c r="D19" i="13"/>
  <c r="C19" i="13"/>
  <c r="B19" i="13"/>
  <c r="A19" i="13"/>
  <c r="D18" i="13"/>
  <c r="C18" i="13"/>
  <c r="B18" i="13"/>
  <c r="A18" i="13"/>
  <c r="D17" i="13"/>
  <c r="C17" i="13"/>
  <c r="B17" i="13"/>
  <c r="A17" i="13"/>
  <c r="D16" i="13"/>
  <c r="C16" i="13"/>
  <c r="B16" i="13"/>
  <c r="A16" i="13"/>
  <c r="D15" i="13"/>
  <c r="C15" i="13"/>
  <c r="B15" i="13"/>
  <c r="A15" i="13"/>
  <c r="D14" i="13"/>
  <c r="C14" i="13"/>
  <c r="B14" i="13"/>
  <c r="A14" i="13"/>
  <c r="D13" i="13"/>
  <c r="C13" i="13"/>
  <c r="B13" i="13"/>
  <c r="A13" i="13"/>
  <c r="D12" i="13"/>
  <c r="C12" i="13"/>
  <c r="B12" i="13"/>
  <c r="A12" i="13"/>
  <c r="D11" i="13"/>
  <c r="C11" i="13"/>
  <c r="B11" i="13"/>
  <c r="A11" i="13"/>
  <c r="D10" i="13"/>
  <c r="C10" i="13"/>
  <c r="B10" i="13"/>
  <c r="A10" i="13"/>
  <c r="D9" i="13"/>
  <c r="C9" i="13"/>
  <c r="B9" i="13"/>
  <c r="A9" i="13"/>
  <c r="D8" i="13"/>
  <c r="C8" i="13"/>
  <c r="B8" i="13"/>
  <c r="A8" i="13"/>
  <c r="D7" i="13"/>
  <c r="C7" i="13"/>
  <c r="B7" i="13"/>
  <c r="A7" i="13"/>
  <c r="D6" i="13"/>
  <c r="C6" i="13"/>
  <c r="B6" i="13"/>
  <c r="A6" i="13"/>
  <c r="D5" i="13"/>
  <c r="C5" i="13"/>
  <c r="B5" i="13"/>
  <c r="A5" i="13"/>
  <c r="D4" i="13"/>
  <c r="C4" i="13"/>
  <c r="B4" i="13"/>
  <c r="A4" i="13"/>
  <c r="D3" i="13"/>
  <c r="C3" i="13"/>
  <c r="B3" i="13"/>
  <c r="A3" i="13"/>
  <c r="D202" i="11"/>
  <c r="C202" i="11"/>
  <c r="B202" i="11"/>
  <c r="A202" i="11"/>
  <c r="D201" i="11"/>
  <c r="C201" i="11"/>
  <c r="B201" i="11"/>
  <c r="A201" i="11"/>
  <c r="D200" i="11"/>
  <c r="C200" i="11"/>
  <c r="B200" i="11"/>
  <c r="A200" i="11"/>
  <c r="D199" i="11"/>
  <c r="C199" i="11"/>
  <c r="B199" i="11"/>
  <c r="A199" i="11"/>
  <c r="D198" i="11"/>
  <c r="C198" i="11"/>
  <c r="B198" i="11"/>
  <c r="A198" i="11"/>
  <c r="D197" i="11"/>
  <c r="C197" i="11"/>
  <c r="B197" i="11"/>
  <c r="A197" i="11"/>
  <c r="D196" i="11"/>
  <c r="C196" i="11"/>
  <c r="B196" i="11"/>
  <c r="A196" i="11"/>
  <c r="D195" i="11"/>
  <c r="C195" i="11"/>
  <c r="B195" i="11"/>
  <c r="A195" i="11"/>
  <c r="D194" i="11"/>
  <c r="C194" i="11"/>
  <c r="B194" i="11"/>
  <c r="A194" i="11"/>
  <c r="D193" i="11"/>
  <c r="C193" i="11"/>
  <c r="B193" i="11"/>
  <c r="A193" i="11"/>
  <c r="D192" i="11"/>
  <c r="C192" i="11"/>
  <c r="B192" i="11"/>
  <c r="A192" i="11"/>
  <c r="D191" i="11"/>
  <c r="C191" i="11"/>
  <c r="B191" i="11"/>
  <c r="A191" i="11"/>
  <c r="D190" i="11"/>
  <c r="C190" i="11"/>
  <c r="B190" i="11"/>
  <c r="A190" i="11"/>
  <c r="D189" i="11"/>
  <c r="C189" i="11"/>
  <c r="B189" i="11"/>
  <c r="A189" i="11"/>
  <c r="D188" i="11"/>
  <c r="C188" i="11"/>
  <c r="B188" i="11"/>
  <c r="A188" i="11"/>
  <c r="D187" i="11"/>
  <c r="C187" i="11"/>
  <c r="B187" i="11"/>
  <c r="A187" i="11"/>
  <c r="D186" i="11"/>
  <c r="C186" i="11"/>
  <c r="B186" i="11"/>
  <c r="A186" i="11"/>
  <c r="D185" i="11"/>
  <c r="C185" i="11"/>
  <c r="B185" i="11"/>
  <c r="A185" i="11"/>
  <c r="D184" i="11"/>
  <c r="C184" i="11"/>
  <c r="B184" i="11"/>
  <c r="A184" i="11"/>
  <c r="D183" i="11"/>
  <c r="C183" i="11"/>
  <c r="B183" i="11"/>
  <c r="A183" i="11"/>
  <c r="D182" i="11"/>
  <c r="C182" i="11"/>
  <c r="B182" i="11"/>
  <c r="A182" i="11"/>
  <c r="D181" i="11"/>
  <c r="C181" i="11"/>
  <c r="B181" i="11"/>
  <c r="A181" i="11"/>
  <c r="D180" i="11"/>
  <c r="C180" i="11"/>
  <c r="B180" i="11"/>
  <c r="A180" i="11"/>
  <c r="D179" i="11"/>
  <c r="C179" i="11"/>
  <c r="B179" i="11"/>
  <c r="A179" i="11"/>
  <c r="D178" i="11"/>
  <c r="C178" i="11"/>
  <c r="B178" i="11"/>
  <c r="A178" i="11"/>
  <c r="D177" i="11"/>
  <c r="C177" i="11"/>
  <c r="B177" i="11"/>
  <c r="A177" i="11"/>
  <c r="D176" i="11"/>
  <c r="C176" i="11"/>
  <c r="B176" i="11"/>
  <c r="A176" i="11"/>
  <c r="D175" i="11"/>
  <c r="C175" i="11"/>
  <c r="B175" i="11"/>
  <c r="A175" i="11"/>
  <c r="D174" i="11"/>
  <c r="C174" i="11"/>
  <c r="B174" i="11"/>
  <c r="A174" i="11"/>
  <c r="D173" i="11"/>
  <c r="C173" i="11"/>
  <c r="B173" i="11"/>
  <c r="A173" i="11"/>
  <c r="D172" i="11"/>
  <c r="C172" i="11"/>
  <c r="B172" i="11"/>
  <c r="A172" i="11"/>
  <c r="D171" i="11"/>
  <c r="C171" i="11"/>
  <c r="B171" i="11"/>
  <c r="A171" i="11"/>
  <c r="D170" i="11"/>
  <c r="C170" i="11"/>
  <c r="B170" i="11"/>
  <c r="A170" i="11"/>
  <c r="D169" i="11"/>
  <c r="C169" i="11"/>
  <c r="B169" i="11"/>
  <c r="A169" i="11"/>
  <c r="D168" i="11"/>
  <c r="C168" i="11"/>
  <c r="B168" i="11"/>
  <c r="A168" i="11"/>
  <c r="D167" i="11"/>
  <c r="C167" i="11"/>
  <c r="B167" i="11"/>
  <c r="A167" i="11"/>
  <c r="D166" i="11"/>
  <c r="C166" i="11"/>
  <c r="B166" i="11"/>
  <c r="A166" i="11"/>
  <c r="D165" i="11"/>
  <c r="C165" i="11"/>
  <c r="B165" i="11"/>
  <c r="A165" i="11"/>
  <c r="D164" i="11"/>
  <c r="C164" i="11"/>
  <c r="B164" i="11"/>
  <c r="A164" i="11"/>
  <c r="D163" i="11"/>
  <c r="C163" i="11"/>
  <c r="B163" i="11"/>
  <c r="A163" i="11"/>
  <c r="D162" i="11"/>
  <c r="C162" i="11"/>
  <c r="B162" i="11"/>
  <c r="A162" i="11"/>
  <c r="D161" i="11"/>
  <c r="C161" i="11"/>
  <c r="B161" i="11"/>
  <c r="A161" i="11"/>
  <c r="D160" i="11"/>
  <c r="C160" i="11"/>
  <c r="B160" i="11"/>
  <c r="A160" i="11"/>
  <c r="D159" i="11"/>
  <c r="C159" i="11"/>
  <c r="B159" i="11"/>
  <c r="A159" i="11"/>
  <c r="D158" i="11"/>
  <c r="C158" i="11"/>
  <c r="B158" i="11"/>
  <c r="A158" i="11"/>
  <c r="D157" i="11"/>
  <c r="C157" i="11"/>
  <c r="B157" i="11"/>
  <c r="A157" i="11"/>
  <c r="D156" i="11"/>
  <c r="C156" i="11"/>
  <c r="B156" i="11"/>
  <c r="A156" i="11"/>
  <c r="D155" i="11"/>
  <c r="C155" i="11"/>
  <c r="B155" i="11"/>
  <c r="A155" i="11"/>
  <c r="D154" i="11"/>
  <c r="C154" i="11"/>
  <c r="B154" i="11"/>
  <c r="A154" i="11"/>
  <c r="D153" i="11"/>
  <c r="C153" i="11"/>
  <c r="B153" i="11"/>
  <c r="A153" i="11"/>
  <c r="D152" i="11"/>
  <c r="C152" i="11"/>
  <c r="B152" i="11"/>
  <c r="A152" i="11"/>
  <c r="D151" i="11"/>
  <c r="C151" i="11"/>
  <c r="B151" i="11"/>
  <c r="A151" i="11"/>
  <c r="D150" i="11"/>
  <c r="C150" i="11"/>
  <c r="B150" i="11"/>
  <c r="A150" i="11"/>
  <c r="D149" i="11"/>
  <c r="C149" i="11"/>
  <c r="B149" i="11"/>
  <c r="A149" i="11"/>
  <c r="D148" i="11"/>
  <c r="C148" i="11"/>
  <c r="B148" i="11"/>
  <c r="A148" i="11"/>
  <c r="D147" i="11"/>
  <c r="C147" i="11"/>
  <c r="B147" i="11"/>
  <c r="A147" i="11"/>
  <c r="D146" i="11"/>
  <c r="C146" i="11"/>
  <c r="B146" i="11"/>
  <c r="A146" i="11"/>
  <c r="D145" i="11"/>
  <c r="C145" i="11"/>
  <c r="B145" i="11"/>
  <c r="A145" i="11"/>
  <c r="D144" i="11"/>
  <c r="C144" i="11"/>
  <c r="B144" i="11"/>
  <c r="A144" i="11"/>
  <c r="D143" i="11"/>
  <c r="C143" i="11"/>
  <c r="B143" i="11"/>
  <c r="A143" i="11"/>
  <c r="D142" i="11"/>
  <c r="C142" i="11"/>
  <c r="B142" i="11"/>
  <c r="A142" i="11"/>
  <c r="D141" i="11"/>
  <c r="C141" i="11"/>
  <c r="B141" i="11"/>
  <c r="A141" i="11"/>
  <c r="D140" i="11"/>
  <c r="C140" i="11"/>
  <c r="B140" i="11"/>
  <c r="A140" i="11"/>
  <c r="D139" i="11"/>
  <c r="C139" i="11"/>
  <c r="B139" i="11"/>
  <c r="A139" i="11"/>
  <c r="D138" i="11"/>
  <c r="C138" i="11"/>
  <c r="B138" i="11"/>
  <c r="A138" i="11"/>
  <c r="D137" i="11"/>
  <c r="C137" i="11"/>
  <c r="B137" i="11"/>
  <c r="A137" i="11"/>
  <c r="D136" i="11"/>
  <c r="C136" i="11"/>
  <c r="B136" i="11"/>
  <c r="A136" i="11"/>
  <c r="D135" i="11"/>
  <c r="C135" i="11"/>
  <c r="B135" i="11"/>
  <c r="A135" i="11"/>
  <c r="D134" i="11"/>
  <c r="C134" i="11"/>
  <c r="B134" i="11"/>
  <c r="A134" i="11"/>
  <c r="D133" i="11"/>
  <c r="C133" i="11"/>
  <c r="B133" i="11"/>
  <c r="A133" i="11"/>
  <c r="D132" i="11"/>
  <c r="C132" i="11"/>
  <c r="B132" i="11"/>
  <c r="A132" i="11"/>
  <c r="D131" i="11"/>
  <c r="C131" i="11"/>
  <c r="B131" i="11"/>
  <c r="A131" i="11"/>
  <c r="D130" i="11"/>
  <c r="C130" i="11"/>
  <c r="B130" i="11"/>
  <c r="A130" i="11"/>
  <c r="D129" i="11"/>
  <c r="C129" i="11"/>
  <c r="B129" i="11"/>
  <c r="A129" i="11"/>
  <c r="D128" i="11"/>
  <c r="C128" i="11"/>
  <c r="B128" i="11"/>
  <c r="A128" i="11"/>
  <c r="D127" i="11"/>
  <c r="C127" i="11"/>
  <c r="B127" i="11"/>
  <c r="A127" i="11"/>
  <c r="D126" i="11"/>
  <c r="C126" i="11"/>
  <c r="B126" i="11"/>
  <c r="A126" i="11"/>
  <c r="D125" i="11"/>
  <c r="C125" i="11"/>
  <c r="B125" i="11"/>
  <c r="A125" i="11"/>
  <c r="D124" i="11"/>
  <c r="C124" i="11"/>
  <c r="B124" i="11"/>
  <c r="A124" i="11"/>
  <c r="D123" i="11"/>
  <c r="C123" i="11"/>
  <c r="B123" i="11"/>
  <c r="A123" i="11"/>
  <c r="D122" i="11"/>
  <c r="C122" i="11"/>
  <c r="B122" i="11"/>
  <c r="A122" i="11"/>
  <c r="D121" i="11"/>
  <c r="C121" i="11"/>
  <c r="B121" i="11"/>
  <c r="A121" i="11"/>
  <c r="D120" i="11"/>
  <c r="C120" i="11"/>
  <c r="B120" i="11"/>
  <c r="A120" i="11"/>
  <c r="D119" i="11"/>
  <c r="C119" i="11"/>
  <c r="B119" i="11"/>
  <c r="A119" i="11"/>
  <c r="D118" i="11"/>
  <c r="C118" i="11"/>
  <c r="B118" i="11"/>
  <c r="A118" i="11"/>
  <c r="D117" i="11"/>
  <c r="C117" i="11"/>
  <c r="B117" i="11"/>
  <c r="A117" i="11"/>
  <c r="D116" i="11"/>
  <c r="C116" i="11"/>
  <c r="B116" i="11"/>
  <c r="A116" i="11"/>
  <c r="D115" i="11"/>
  <c r="C115" i="11"/>
  <c r="B115" i="11"/>
  <c r="A115" i="11"/>
  <c r="D114" i="11"/>
  <c r="C114" i="11"/>
  <c r="B114" i="11"/>
  <c r="A114" i="11"/>
  <c r="D113" i="11"/>
  <c r="C113" i="11"/>
  <c r="B113" i="11"/>
  <c r="A113" i="11"/>
  <c r="D112" i="11"/>
  <c r="C112" i="11"/>
  <c r="B112" i="11"/>
  <c r="A112" i="11"/>
  <c r="D111" i="11"/>
  <c r="C111" i="11"/>
  <c r="B111" i="11"/>
  <c r="A111" i="11"/>
  <c r="D110" i="11"/>
  <c r="C110" i="11"/>
  <c r="B110" i="11"/>
  <c r="A110" i="11"/>
  <c r="D109" i="11"/>
  <c r="C109" i="11"/>
  <c r="B109" i="11"/>
  <c r="A109" i="11"/>
  <c r="D108" i="11"/>
  <c r="C108" i="11"/>
  <c r="B108" i="11"/>
  <c r="A108" i="11"/>
  <c r="D107" i="11"/>
  <c r="C107" i="11"/>
  <c r="B107" i="11"/>
  <c r="A107" i="11"/>
  <c r="D106" i="11"/>
  <c r="C106" i="11"/>
  <c r="B106" i="11"/>
  <c r="A106" i="11"/>
  <c r="D105" i="11"/>
  <c r="C105" i="11"/>
  <c r="B105" i="11"/>
  <c r="A105" i="11"/>
  <c r="D104" i="11"/>
  <c r="C104" i="11"/>
  <c r="B104" i="11"/>
  <c r="A104" i="11"/>
  <c r="D103" i="11"/>
  <c r="C103" i="11"/>
  <c r="B103" i="11"/>
  <c r="A103" i="11"/>
  <c r="D102" i="11"/>
  <c r="C102" i="11"/>
  <c r="B102" i="11"/>
  <c r="A102" i="11"/>
  <c r="D101" i="11"/>
  <c r="C101" i="11"/>
  <c r="B101" i="11"/>
  <c r="A101" i="11"/>
  <c r="D100" i="11"/>
  <c r="C100" i="11"/>
  <c r="B100" i="11"/>
  <c r="A100" i="11"/>
  <c r="D99" i="11"/>
  <c r="C99" i="11"/>
  <c r="B99" i="11"/>
  <c r="A99" i="11"/>
  <c r="D98" i="11"/>
  <c r="C98" i="11"/>
  <c r="B98" i="11"/>
  <c r="A98" i="11"/>
  <c r="D97" i="11"/>
  <c r="C97" i="11"/>
  <c r="B97" i="11"/>
  <c r="A97" i="11"/>
  <c r="D96" i="11"/>
  <c r="C96" i="11"/>
  <c r="B96" i="11"/>
  <c r="A96" i="11"/>
  <c r="D95" i="11"/>
  <c r="C95" i="11"/>
  <c r="B95" i="11"/>
  <c r="A95" i="11"/>
  <c r="D94" i="11"/>
  <c r="C94" i="11"/>
  <c r="B94" i="11"/>
  <c r="A94" i="11"/>
  <c r="D93" i="11"/>
  <c r="C93" i="11"/>
  <c r="B93" i="11"/>
  <c r="A93" i="11"/>
  <c r="D92" i="11"/>
  <c r="C92" i="11"/>
  <c r="B92" i="11"/>
  <c r="A92" i="11"/>
  <c r="D91" i="11"/>
  <c r="C91" i="11"/>
  <c r="B91" i="11"/>
  <c r="A91" i="11"/>
  <c r="D90" i="11"/>
  <c r="C90" i="11"/>
  <c r="B90" i="11"/>
  <c r="A90" i="11"/>
  <c r="D89" i="11"/>
  <c r="C89" i="11"/>
  <c r="B89" i="11"/>
  <c r="A89" i="11"/>
  <c r="D88" i="11"/>
  <c r="C88" i="11"/>
  <c r="B88" i="11"/>
  <c r="A88" i="11"/>
  <c r="D87" i="11"/>
  <c r="C87" i="11"/>
  <c r="B87" i="11"/>
  <c r="A87" i="11"/>
  <c r="D86" i="11"/>
  <c r="C86" i="11"/>
  <c r="B86" i="11"/>
  <c r="A86" i="11"/>
  <c r="D85" i="11"/>
  <c r="C85" i="11"/>
  <c r="B85" i="11"/>
  <c r="A85" i="11"/>
  <c r="D84" i="11"/>
  <c r="C84" i="11"/>
  <c r="B84" i="11"/>
  <c r="A84" i="11"/>
  <c r="D83" i="11"/>
  <c r="C83" i="11"/>
  <c r="B83" i="11"/>
  <c r="A83" i="11"/>
  <c r="D82" i="11"/>
  <c r="C82" i="11"/>
  <c r="B82" i="11"/>
  <c r="A82" i="11"/>
  <c r="D81" i="11"/>
  <c r="C81" i="11"/>
  <c r="B81" i="11"/>
  <c r="A81" i="11"/>
  <c r="D80" i="11"/>
  <c r="C80" i="11"/>
  <c r="B80" i="11"/>
  <c r="A80" i="11"/>
  <c r="D79" i="11"/>
  <c r="C79" i="11"/>
  <c r="B79" i="11"/>
  <c r="A79" i="11"/>
  <c r="D78" i="11"/>
  <c r="C78" i="11"/>
  <c r="B78" i="11"/>
  <c r="A78" i="11"/>
  <c r="D77" i="11"/>
  <c r="C77" i="11"/>
  <c r="B77" i="11"/>
  <c r="A77" i="11"/>
  <c r="D76" i="11"/>
  <c r="C76" i="11"/>
  <c r="B76" i="11"/>
  <c r="A76" i="11"/>
  <c r="D75" i="11"/>
  <c r="C75" i="11"/>
  <c r="B75" i="11"/>
  <c r="A75" i="11"/>
  <c r="D74" i="11"/>
  <c r="C74" i="11"/>
  <c r="B74" i="11"/>
  <c r="A74" i="11"/>
  <c r="D73" i="11"/>
  <c r="C73" i="11"/>
  <c r="B73" i="11"/>
  <c r="A73" i="11"/>
  <c r="D72" i="11"/>
  <c r="C72" i="11"/>
  <c r="B72" i="11"/>
  <c r="A72" i="11"/>
  <c r="D71" i="11"/>
  <c r="C71" i="11"/>
  <c r="B71" i="11"/>
  <c r="A71" i="11"/>
  <c r="D70" i="11"/>
  <c r="C70" i="11"/>
  <c r="B70" i="11"/>
  <c r="A70" i="11"/>
  <c r="D69" i="11"/>
  <c r="C69" i="11"/>
  <c r="B69" i="11"/>
  <c r="A69" i="11"/>
  <c r="D68" i="11"/>
  <c r="C68" i="11"/>
  <c r="B68" i="11"/>
  <c r="A68" i="11"/>
  <c r="D67" i="11"/>
  <c r="C67" i="11"/>
  <c r="B67" i="11"/>
  <c r="A67" i="11"/>
  <c r="D66" i="11"/>
  <c r="C66" i="11"/>
  <c r="B66" i="11"/>
  <c r="A66" i="11"/>
  <c r="D65" i="11"/>
  <c r="C65" i="11"/>
  <c r="B65" i="11"/>
  <c r="A65" i="11"/>
  <c r="D64" i="11"/>
  <c r="C64" i="11"/>
  <c r="B64" i="11"/>
  <c r="A64" i="11"/>
  <c r="D63" i="11"/>
  <c r="C63" i="11"/>
  <c r="B63" i="11"/>
  <c r="A63" i="11"/>
  <c r="D62" i="11"/>
  <c r="C62" i="11"/>
  <c r="B62" i="11"/>
  <c r="A62" i="11"/>
  <c r="D61" i="11"/>
  <c r="C61" i="11"/>
  <c r="B61" i="11"/>
  <c r="A61" i="11"/>
  <c r="D60" i="11"/>
  <c r="C60" i="11"/>
  <c r="B60" i="11"/>
  <c r="A60" i="11"/>
  <c r="D59" i="11"/>
  <c r="C59" i="11"/>
  <c r="B59" i="11"/>
  <c r="A59" i="11"/>
  <c r="D58" i="11"/>
  <c r="C58" i="11"/>
  <c r="B58" i="11"/>
  <c r="A58" i="11"/>
  <c r="D57" i="11"/>
  <c r="C57" i="11"/>
  <c r="B57" i="11"/>
  <c r="A57" i="11"/>
  <c r="D56" i="11"/>
  <c r="C56" i="11"/>
  <c r="B56" i="11"/>
  <c r="A56" i="11"/>
  <c r="D55" i="11"/>
  <c r="C55" i="11"/>
  <c r="B55" i="11"/>
  <c r="A55" i="11"/>
  <c r="D54" i="11"/>
  <c r="C54" i="11"/>
  <c r="B54" i="11"/>
  <c r="A54" i="11"/>
  <c r="D53" i="11"/>
  <c r="C53" i="11"/>
  <c r="B53" i="11"/>
  <c r="A53" i="11"/>
  <c r="D52" i="11"/>
  <c r="C52" i="11"/>
  <c r="B52" i="11"/>
  <c r="A52" i="11"/>
  <c r="D51" i="11"/>
  <c r="C51" i="11"/>
  <c r="B51" i="11"/>
  <c r="A51" i="11"/>
  <c r="D50" i="11"/>
  <c r="C50" i="11"/>
  <c r="B50" i="11"/>
  <c r="A50" i="11"/>
  <c r="D49" i="11"/>
  <c r="C49" i="11"/>
  <c r="B49" i="11"/>
  <c r="A49" i="11"/>
  <c r="D48" i="11"/>
  <c r="C48" i="11"/>
  <c r="B48" i="11"/>
  <c r="A48" i="11"/>
  <c r="D47" i="11"/>
  <c r="C47" i="11"/>
  <c r="B47" i="11"/>
  <c r="A47" i="11"/>
  <c r="D46" i="11"/>
  <c r="C46" i="11"/>
  <c r="B46" i="11"/>
  <c r="A46" i="11"/>
  <c r="D45" i="11"/>
  <c r="C45" i="11"/>
  <c r="B45" i="11"/>
  <c r="A45" i="11"/>
  <c r="D44" i="11"/>
  <c r="C44" i="11"/>
  <c r="B44" i="11"/>
  <c r="A44" i="11"/>
  <c r="D43" i="11"/>
  <c r="C43" i="11"/>
  <c r="B43" i="11"/>
  <c r="A43" i="11"/>
  <c r="D42" i="11"/>
  <c r="C42" i="11"/>
  <c r="B42" i="11"/>
  <c r="A42" i="11"/>
  <c r="D41" i="11"/>
  <c r="C41" i="11"/>
  <c r="B41" i="11"/>
  <c r="A41" i="11"/>
  <c r="D40" i="11"/>
  <c r="C40" i="11"/>
  <c r="B40" i="11"/>
  <c r="A40" i="11"/>
  <c r="D39" i="11"/>
  <c r="C39" i="11"/>
  <c r="B39" i="11"/>
  <c r="A39" i="11"/>
  <c r="D38" i="11"/>
  <c r="C38" i="11"/>
  <c r="B38" i="11"/>
  <c r="A38" i="11"/>
  <c r="D37" i="11"/>
  <c r="C37" i="11"/>
  <c r="B37" i="11"/>
  <c r="A37" i="11"/>
  <c r="D36" i="11"/>
  <c r="C36" i="11"/>
  <c r="B36" i="11"/>
  <c r="A36" i="11"/>
  <c r="D35" i="11"/>
  <c r="C35" i="11"/>
  <c r="B35" i="11"/>
  <c r="A35" i="11"/>
  <c r="D34" i="11"/>
  <c r="C34" i="11"/>
  <c r="B34" i="11"/>
  <c r="A34" i="11"/>
  <c r="D33" i="11"/>
  <c r="C33" i="11"/>
  <c r="B33" i="11"/>
  <c r="A33" i="11"/>
  <c r="D32" i="11"/>
  <c r="C32" i="11"/>
  <c r="B32" i="11"/>
  <c r="A32" i="11"/>
  <c r="D31" i="11"/>
  <c r="C31" i="11"/>
  <c r="B31" i="11"/>
  <c r="A31" i="11"/>
  <c r="D30" i="11"/>
  <c r="C30" i="11"/>
  <c r="B30" i="11"/>
  <c r="A30" i="11"/>
  <c r="D29" i="11"/>
  <c r="C29" i="11"/>
  <c r="B29" i="11"/>
  <c r="A29" i="11"/>
  <c r="D28" i="11"/>
  <c r="C28" i="11"/>
  <c r="B28" i="11"/>
  <c r="A28" i="11"/>
  <c r="D27" i="11"/>
  <c r="C27" i="11"/>
  <c r="B27" i="11"/>
  <c r="A27" i="11"/>
  <c r="D26" i="11"/>
  <c r="C26" i="11"/>
  <c r="B26" i="11"/>
  <c r="A26" i="11"/>
  <c r="D25" i="11"/>
  <c r="C25" i="11"/>
  <c r="B25" i="11"/>
  <c r="A25" i="11"/>
  <c r="D24" i="11"/>
  <c r="C24" i="11"/>
  <c r="B24" i="11"/>
  <c r="A24" i="11"/>
  <c r="D23" i="11"/>
  <c r="C23" i="11"/>
  <c r="B23" i="11"/>
  <c r="A23" i="11"/>
  <c r="D22" i="11"/>
  <c r="C22" i="11"/>
  <c r="B22" i="11"/>
  <c r="A22" i="11"/>
  <c r="D21" i="11"/>
  <c r="C21" i="11"/>
  <c r="B21" i="11"/>
  <c r="A21" i="11"/>
  <c r="D20" i="11"/>
  <c r="C20" i="11"/>
  <c r="B20" i="11"/>
  <c r="A20" i="11"/>
  <c r="D19" i="11"/>
  <c r="C19" i="11"/>
  <c r="B19" i="11"/>
  <c r="A19" i="11"/>
  <c r="D18" i="11"/>
  <c r="C18" i="11"/>
  <c r="B18" i="11"/>
  <c r="A18" i="11"/>
  <c r="D17" i="11"/>
  <c r="C17" i="11"/>
  <c r="B17" i="11"/>
  <c r="A17" i="11"/>
  <c r="D16" i="11"/>
  <c r="C16" i="11"/>
  <c r="B16" i="11"/>
  <c r="A16" i="11"/>
  <c r="D15" i="11"/>
  <c r="C15" i="11"/>
  <c r="B15" i="11"/>
  <c r="A15" i="11"/>
  <c r="D14" i="11"/>
  <c r="C14" i="11"/>
  <c r="B14" i="11"/>
  <c r="A14" i="11"/>
  <c r="D13" i="11"/>
  <c r="C13" i="11"/>
  <c r="B13" i="11"/>
  <c r="A13" i="11"/>
  <c r="D12" i="11"/>
  <c r="C12" i="11"/>
  <c r="B12" i="11"/>
  <c r="A12" i="11"/>
  <c r="D11" i="11"/>
  <c r="C11" i="11"/>
  <c r="B11" i="11"/>
  <c r="A11" i="11"/>
  <c r="D10" i="11"/>
  <c r="C10" i="11"/>
  <c r="B10" i="11"/>
  <c r="A10" i="11"/>
  <c r="D9" i="11"/>
  <c r="C9" i="11"/>
  <c r="B9" i="11"/>
  <c r="A9" i="11"/>
  <c r="D8" i="11"/>
  <c r="C8" i="11"/>
  <c r="B8" i="11"/>
  <c r="A8" i="11"/>
  <c r="D7" i="11"/>
  <c r="C7" i="11"/>
  <c r="B7" i="11"/>
  <c r="A7" i="11"/>
  <c r="D6" i="11"/>
  <c r="C6" i="11"/>
  <c r="B6" i="11"/>
  <c r="A6" i="11"/>
  <c r="D5" i="11"/>
  <c r="C5" i="11"/>
  <c r="B5" i="11"/>
  <c r="A5" i="11"/>
  <c r="D4" i="11"/>
  <c r="C4" i="11"/>
  <c r="B4" i="11"/>
  <c r="A4" i="11"/>
  <c r="D3" i="11"/>
  <c r="C3" i="11"/>
  <c r="B3" i="11"/>
  <c r="A3" i="11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02" i="9"/>
  <c r="C202" i="9"/>
  <c r="B202" i="9"/>
  <c r="A202" i="9"/>
  <c r="D201" i="9"/>
  <c r="C201" i="9"/>
  <c r="B201" i="9"/>
  <c r="A201" i="9"/>
  <c r="D200" i="9"/>
  <c r="C200" i="9"/>
  <c r="B200" i="9"/>
  <c r="A200" i="9"/>
  <c r="D199" i="9"/>
  <c r="C199" i="9"/>
  <c r="B199" i="9"/>
  <c r="A199" i="9"/>
  <c r="D198" i="9"/>
  <c r="C198" i="9"/>
  <c r="B198" i="9"/>
  <c r="A198" i="9"/>
  <c r="D197" i="9"/>
  <c r="C197" i="9"/>
  <c r="B197" i="9"/>
  <c r="A197" i="9"/>
  <c r="D196" i="9"/>
  <c r="C196" i="9"/>
  <c r="B196" i="9"/>
  <c r="A196" i="9"/>
  <c r="D195" i="9"/>
  <c r="C195" i="9"/>
  <c r="B195" i="9"/>
  <c r="A195" i="9"/>
  <c r="D194" i="9"/>
  <c r="C194" i="9"/>
  <c r="B194" i="9"/>
  <c r="A194" i="9"/>
  <c r="D193" i="9"/>
  <c r="C193" i="9"/>
  <c r="B193" i="9"/>
  <c r="A193" i="9"/>
  <c r="D192" i="9"/>
  <c r="C192" i="9"/>
  <c r="B192" i="9"/>
  <c r="A192" i="9"/>
  <c r="D191" i="9"/>
  <c r="C191" i="9"/>
  <c r="B191" i="9"/>
  <c r="A191" i="9"/>
  <c r="D190" i="9"/>
  <c r="C190" i="9"/>
  <c r="B190" i="9"/>
  <c r="A190" i="9"/>
  <c r="D189" i="9"/>
  <c r="C189" i="9"/>
  <c r="B189" i="9"/>
  <c r="A189" i="9"/>
  <c r="D188" i="9"/>
  <c r="C188" i="9"/>
  <c r="B188" i="9"/>
  <c r="A188" i="9"/>
  <c r="D187" i="9"/>
  <c r="C187" i="9"/>
  <c r="B187" i="9"/>
  <c r="A187" i="9"/>
  <c r="D186" i="9"/>
  <c r="C186" i="9"/>
  <c r="B186" i="9"/>
  <c r="A186" i="9"/>
  <c r="D185" i="9"/>
  <c r="C185" i="9"/>
  <c r="B185" i="9"/>
  <c r="A185" i="9"/>
  <c r="D184" i="9"/>
  <c r="C184" i="9"/>
  <c r="B184" i="9"/>
  <c r="A184" i="9"/>
  <c r="D183" i="9"/>
  <c r="C183" i="9"/>
  <c r="B183" i="9"/>
  <c r="A183" i="9"/>
  <c r="D182" i="9"/>
  <c r="C182" i="9"/>
  <c r="B182" i="9"/>
  <c r="A182" i="9"/>
  <c r="D181" i="9"/>
  <c r="C181" i="9"/>
  <c r="B181" i="9"/>
  <c r="A181" i="9"/>
  <c r="D180" i="9"/>
  <c r="C180" i="9"/>
  <c r="B180" i="9"/>
  <c r="A180" i="9"/>
  <c r="D179" i="9"/>
  <c r="C179" i="9"/>
  <c r="B179" i="9"/>
  <c r="A179" i="9"/>
  <c r="D178" i="9"/>
  <c r="C178" i="9"/>
  <c r="B178" i="9"/>
  <c r="A178" i="9"/>
  <c r="D177" i="9"/>
  <c r="C177" i="9"/>
  <c r="B177" i="9"/>
  <c r="A177" i="9"/>
  <c r="D176" i="9"/>
  <c r="C176" i="9"/>
  <c r="B176" i="9"/>
  <c r="A176" i="9"/>
  <c r="D175" i="9"/>
  <c r="C175" i="9"/>
  <c r="B175" i="9"/>
  <c r="A175" i="9"/>
  <c r="D174" i="9"/>
  <c r="C174" i="9"/>
  <c r="B174" i="9"/>
  <c r="A174" i="9"/>
  <c r="D173" i="9"/>
  <c r="C173" i="9"/>
  <c r="B173" i="9"/>
  <c r="A173" i="9"/>
  <c r="D172" i="9"/>
  <c r="C172" i="9"/>
  <c r="B172" i="9"/>
  <c r="A172" i="9"/>
  <c r="D171" i="9"/>
  <c r="C171" i="9"/>
  <c r="B171" i="9"/>
  <c r="A171" i="9"/>
  <c r="D170" i="9"/>
  <c r="C170" i="9"/>
  <c r="B170" i="9"/>
  <c r="A170" i="9"/>
  <c r="D169" i="9"/>
  <c r="C169" i="9"/>
  <c r="B169" i="9"/>
  <c r="A169" i="9"/>
  <c r="D168" i="9"/>
  <c r="C168" i="9"/>
  <c r="B168" i="9"/>
  <c r="A168" i="9"/>
  <c r="D167" i="9"/>
  <c r="C167" i="9"/>
  <c r="B167" i="9"/>
  <c r="A167" i="9"/>
  <c r="D166" i="9"/>
  <c r="C166" i="9"/>
  <c r="B166" i="9"/>
  <c r="A166" i="9"/>
  <c r="D165" i="9"/>
  <c r="C165" i="9"/>
  <c r="B165" i="9"/>
  <c r="A165" i="9"/>
  <c r="D164" i="9"/>
  <c r="C164" i="9"/>
  <c r="B164" i="9"/>
  <c r="A164" i="9"/>
  <c r="D163" i="9"/>
  <c r="C163" i="9"/>
  <c r="B163" i="9"/>
  <c r="A163" i="9"/>
  <c r="D162" i="9"/>
  <c r="C162" i="9"/>
  <c r="B162" i="9"/>
  <c r="A162" i="9"/>
  <c r="D161" i="9"/>
  <c r="C161" i="9"/>
  <c r="B161" i="9"/>
  <c r="A161" i="9"/>
  <c r="D160" i="9"/>
  <c r="C160" i="9"/>
  <c r="B160" i="9"/>
  <c r="A160" i="9"/>
  <c r="D159" i="9"/>
  <c r="C159" i="9"/>
  <c r="B159" i="9"/>
  <c r="A159" i="9"/>
  <c r="D158" i="9"/>
  <c r="C158" i="9"/>
  <c r="B158" i="9"/>
  <c r="A158" i="9"/>
  <c r="D157" i="9"/>
  <c r="C157" i="9"/>
  <c r="B157" i="9"/>
  <c r="A157" i="9"/>
  <c r="D156" i="9"/>
  <c r="C156" i="9"/>
  <c r="B156" i="9"/>
  <c r="A156" i="9"/>
  <c r="D155" i="9"/>
  <c r="C155" i="9"/>
  <c r="B155" i="9"/>
  <c r="A155" i="9"/>
  <c r="D154" i="9"/>
  <c r="C154" i="9"/>
  <c r="B154" i="9"/>
  <c r="A154" i="9"/>
  <c r="D153" i="9"/>
  <c r="C153" i="9"/>
  <c r="B153" i="9"/>
  <c r="A153" i="9"/>
  <c r="D152" i="9"/>
  <c r="C152" i="9"/>
  <c r="B152" i="9"/>
  <c r="A152" i="9"/>
  <c r="D151" i="9"/>
  <c r="C151" i="9"/>
  <c r="B151" i="9"/>
  <c r="A151" i="9"/>
  <c r="D150" i="9"/>
  <c r="C150" i="9"/>
  <c r="B150" i="9"/>
  <c r="A150" i="9"/>
  <c r="D149" i="9"/>
  <c r="C149" i="9"/>
  <c r="B149" i="9"/>
  <c r="A149" i="9"/>
  <c r="D148" i="9"/>
  <c r="C148" i="9"/>
  <c r="B148" i="9"/>
  <c r="A148" i="9"/>
  <c r="D147" i="9"/>
  <c r="C147" i="9"/>
  <c r="B147" i="9"/>
  <c r="A147" i="9"/>
  <c r="D146" i="9"/>
  <c r="C146" i="9"/>
  <c r="B146" i="9"/>
  <c r="A146" i="9"/>
  <c r="D145" i="9"/>
  <c r="C145" i="9"/>
  <c r="B145" i="9"/>
  <c r="A145" i="9"/>
  <c r="D144" i="9"/>
  <c r="C144" i="9"/>
  <c r="B144" i="9"/>
  <c r="A144" i="9"/>
  <c r="D143" i="9"/>
  <c r="C143" i="9"/>
  <c r="B143" i="9"/>
  <c r="A143" i="9"/>
  <c r="D142" i="9"/>
  <c r="C142" i="9"/>
  <c r="B142" i="9"/>
  <c r="A142" i="9"/>
  <c r="D141" i="9"/>
  <c r="C141" i="9"/>
  <c r="B141" i="9"/>
  <c r="A141" i="9"/>
  <c r="D140" i="9"/>
  <c r="C140" i="9"/>
  <c r="B140" i="9"/>
  <c r="A140" i="9"/>
  <c r="D139" i="9"/>
  <c r="C139" i="9"/>
  <c r="B139" i="9"/>
  <c r="A139" i="9"/>
  <c r="D138" i="9"/>
  <c r="C138" i="9"/>
  <c r="B138" i="9"/>
  <c r="A138" i="9"/>
  <c r="D137" i="9"/>
  <c r="C137" i="9"/>
  <c r="B137" i="9"/>
  <c r="A137" i="9"/>
  <c r="D136" i="9"/>
  <c r="C136" i="9"/>
  <c r="B136" i="9"/>
  <c r="A136" i="9"/>
  <c r="D135" i="9"/>
  <c r="C135" i="9"/>
  <c r="B135" i="9"/>
  <c r="A135" i="9"/>
  <c r="D134" i="9"/>
  <c r="C134" i="9"/>
  <c r="B134" i="9"/>
  <c r="A134" i="9"/>
  <c r="D133" i="9"/>
  <c r="C133" i="9"/>
  <c r="B133" i="9"/>
  <c r="A133" i="9"/>
  <c r="D132" i="9"/>
  <c r="C132" i="9"/>
  <c r="B132" i="9"/>
  <c r="A132" i="9"/>
  <c r="D131" i="9"/>
  <c r="C131" i="9"/>
  <c r="B131" i="9"/>
  <c r="A131" i="9"/>
  <c r="D130" i="9"/>
  <c r="C130" i="9"/>
  <c r="B130" i="9"/>
  <c r="A130" i="9"/>
  <c r="D129" i="9"/>
  <c r="C129" i="9"/>
  <c r="B129" i="9"/>
  <c r="A129" i="9"/>
  <c r="D128" i="9"/>
  <c r="C128" i="9"/>
  <c r="B128" i="9"/>
  <c r="A128" i="9"/>
  <c r="D127" i="9"/>
  <c r="C127" i="9"/>
  <c r="B127" i="9"/>
  <c r="A127" i="9"/>
  <c r="D126" i="9"/>
  <c r="C126" i="9"/>
  <c r="B126" i="9"/>
  <c r="A126" i="9"/>
  <c r="D125" i="9"/>
  <c r="C125" i="9"/>
  <c r="B125" i="9"/>
  <c r="A125" i="9"/>
  <c r="D124" i="9"/>
  <c r="C124" i="9"/>
  <c r="B124" i="9"/>
  <c r="A124" i="9"/>
  <c r="D123" i="9"/>
  <c r="C123" i="9"/>
  <c r="B123" i="9"/>
  <c r="A123" i="9"/>
  <c r="D122" i="9"/>
  <c r="C122" i="9"/>
  <c r="B122" i="9"/>
  <c r="A122" i="9"/>
  <c r="D121" i="9"/>
  <c r="C121" i="9"/>
  <c r="B121" i="9"/>
  <c r="A121" i="9"/>
  <c r="D120" i="9"/>
  <c r="C120" i="9"/>
  <c r="B120" i="9"/>
  <c r="A120" i="9"/>
  <c r="D119" i="9"/>
  <c r="C119" i="9"/>
  <c r="B119" i="9"/>
  <c r="A119" i="9"/>
  <c r="D118" i="9"/>
  <c r="C118" i="9"/>
  <c r="B118" i="9"/>
  <c r="A118" i="9"/>
  <c r="D117" i="9"/>
  <c r="C117" i="9"/>
  <c r="B117" i="9"/>
  <c r="A117" i="9"/>
  <c r="D116" i="9"/>
  <c r="C116" i="9"/>
  <c r="B116" i="9"/>
  <c r="A116" i="9"/>
  <c r="D115" i="9"/>
  <c r="C115" i="9"/>
  <c r="B115" i="9"/>
  <c r="A115" i="9"/>
  <c r="D114" i="9"/>
  <c r="C114" i="9"/>
  <c r="B114" i="9"/>
  <c r="A114" i="9"/>
  <c r="D113" i="9"/>
  <c r="C113" i="9"/>
  <c r="B113" i="9"/>
  <c r="A113" i="9"/>
  <c r="D112" i="9"/>
  <c r="C112" i="9"/>
  <c r="B112" i="9"/>
  <c r="A112" i="9"/>
  <c r="D111" i="9"/>
  <c r="C111" i="9"/>
  <c r="B111" i="9"/>
  <c r="A111" i="9"/>
  <c r="D110" i="9"/>
  <c r="C110" i="9"/>
  <c r="B110" i="9"/>
  <c r="A110" i="9"/>
  <c r="D109" i="9"/>
  <c r="C109" i="9"/>
  <c r="B109" i="9"/>
  <c r="A109" i="9"/>
  <c r="D108" i="9"/>
  <c r="C108" i="9"/>
  <c r="B108" i="9"/>
  <c r="A108" i="9"/>
  <c r="D107" i="9"/>
  <c r="C107" i="9"/>
  <c r="B107" i="9"/>
  <c r="A107" i="9"/>
  <c r="D106" i="9"/>
  <c r="C106" i="9"/>
  <c r="B106" i="9"/>
  <c r="A106" i="9"/>
  <c r="D105" i="9"/>
  <c r="C105" i="9"/>
  <c r="B105" i="9"/>
  <c r="A105" i="9"/>
  <c r="D104" i="9"/>
  <c r="C104" i="9"/>
  <c r="B104" i="9"/>
  <c r="A104" i="9"/>
  <c r="D103" i="9"/>
  <c r="C103" i="9"/>
  <c r="B103" i="9"/>
  <c r="A103" i="9"/>
  <c r="D102" i="9"/>
  <c r="C102" i="9"/>
  <c r="B102" i="9"/>
  <c r="A102" i="9"/>
  <c r="D101" i="9"/>
  <c r="C101" i="9"/>
  <c r="B101" i="9"/>
  <c r="A101" i="9"/>
  <c r="D100" i="9"/>
  <c r="C100" i="9"/>
  <c r="B100" i="9"/>
  <c r="A100" i="9"/>
  <c r="D99" i="9"/>
  <c r="C99" i="9"/>
  <c r="B99" i="9"/>
  <c r="A99" i="9"/>
  <c r="D98" i="9"/>
  <c r="C98" i="9"/>
  <c r="B98" i="9"/>
  <c r="A98" i="9"/>
  <c r="D97" i="9"/>
  <c r="C97" i="9"/>
  <c r="B97" i="9"/>
  <c r="A97" i="9"/>
  <c r="D96" i="9"/>
  <c r="C96" i="9"/>
  <c r="B96" i="9"/>
  <c r="A96" i="9"/>
  <c r="D95" i="9"/>
  <c r="C95" i="9"/>
  <c r="B95" i="9"/>
  <c r="A95" i="9"/>
  <c r="D94" i="9"/>
  <c r="C94" i="9"/>
  <c r="B94" i="9"/>
  <c r="A94" i="9"/>
  <c r="D93" i="9"/>
  <c r="C93" i="9"/>
  <c r="B93" i="9"/>
  <c r="A93" i="9"/>
  <c r="D92" i="9"/>
  <c r="C92" i="9"/>
  <c r="B92" i="9"/>
  <c r="A92" i="9"/>
  <c r="D91" i="9"/>
  <c r="C91" i="9"/>
  <c r="B91" i="9"/>
  <c r="A91" i="9"/>
  <c r="D90" i="9"/>
  <c r="C90" i="9"/>
  <c r="B90" i="9"/>
  <c r="A90" i="9"/>
  <c r="D89" i="9"/>
  <c r="C89" i="9"/>
  <c r="B89" i="9"/>
  <c r="A89" i="9"/>
  <c r="D88" i="9"/>
  <c r="C88" i="9"/>
  <c r="B88" i="9"/>
  <c r="A88" i="9"/>
  <c r="D87" i="9"/>
  <c r="C87" i="9"/>
  <c r="B87" i="9"/>
  <c r="A87" i="9"/>
  <c r="D86" i="9"/>
  <c r="C86" i="9"/>
  <c r="B86" i="9"/>
  <c r="A86" i="9"/>
  <c r="D85" i="9"/>
  <c r="C85" i="9"/>
  <c r="B85" i="9"/>
  <c r="A85" i="9"/>
  <c r="D84" i="9"/>
  <c r="C84" i="9"/>
  <c r="B84" i="9"/>
  <c r="A84" i="9"/>
  <c r="D83" i="9"/>
  <c r="C83" i="9"/>
  <c r="B83" i="9"/>
  <c r="A83" i="9"/>
  <c r="D82" i="9"/>
  <c r="C82" i="9"/>
  <c r="B82" i="9"/>
  <c r="A82" i="9"/>
  <c r="D81" i="9"/>
  <c r="C81" i="9"/>
  <c r="B81" i="9"/>
  <c r="A81" i="9"/>
  <c r="D80" i="9"/>
  <c r="C80" i="9"/>
  <c r="B80" i="9"/>
  <c r="A80" i="9"/>
  <c r="D79" i="9"/>
  <c r="C79" i="9"/>
  <c r="B79" i="9"/>
  <c r="A79" i="9"/>
  <c r="D78" i="9"/>
  <c r="C78" i="9"/>
  <c r="B78" i="9"/>
  <c r="A78" i="9"/>
  <c r="D77" i="9"/>
  <c r="C77" i="9"/>
  <c r="B77" i="9"/>
  <c r="A77" i="9"/>
  <c r="D76" i="9"/>
  <c r="C76" i="9"/>
  <c r="B76" i="9"/>
  <c r="A76" i="9"/>
  <c r="D75" i="9"/>
  <c r="C75" i="9"/>
  <c r="B75" i="9"/>
  <c r="A75" i="9"/>
  <c r="D74" i="9"/>
  <c r="C74" i="9"/>
  <c r="B74" i="9"/>
  <c r="A74" i="9"/>
  <c r="D73" i="9"/>
  <c r="C73" i="9"/>
  <c r="B73" i="9"/>
  <c r="A73" i="9"/>
  <c r="D72" i="9"/>
  <c r="C72" i="9"/>
  <c r="B72" i="9"/>
  <c r="A72" i="9"/>
  <c r="D71" i="9"/>
  <c r="C71" i="9"/>
  <c r="B71" i="9"/>
  <c r="A71" i="9"/>
  <c r="D70" i="9"/>
  <c r="C70" i="9"/>
  <c r="B70" i="9"/>
  <c r="A70" i="9"/>
  <c r="D69" i="9"/>
  <c r="C69" i="9"/>
  <c r="B69" i="9"/>
  <c r="A69" i="9"/>
  <c r="D68" i="9"/>
  <c r="C68" i="9"/>
  <c r="B68" i="9"/>
  <c r="A68" i="9"/>
  <c r="D67" i="9"/>
  <c r="C67" i="9"/>
  <c r="B67" i="9"/>
  <c r="A67" i="9"/>
  <c r="D66" i="9"/>
  <c r="C66" i="9"/>
  <c r="B66" i="9"/>
  <c r="A66" i="9"/>
  <c r="D65" i="9"/>
  <c r="C65" i="9"/>
  <c r="B65" i="9"/>
  <c r="A65" i="9"/>
  <c r="D64" i="9"/>
  <c r="C64" i="9"/>
  <c r="B64" i="9"/>
  <c r="A64" i="9"/>
  <c r="D63" i="9"/>
  <c r="C63" i="9"/>
  <c r="B63" i="9"/>
  <c r="A63" i="9"/>
  <c r="D62" i="9"/>
  <c r="C62" i="9"/>
  <c r="B62" i="9"/>
  <c r="A62" i="9"/>
  <c r="D61" i="9"/>
  <c r="C61" i="9"/>
  <c r="B61" i="9"/>
  <c r="A61" i="9"/>
  <c r="D60" i="9"/>
  <c r="C60" i="9"/>
  <c r="B60" i="9"/>
  <c r="A60" i="9"/>
  <c r="D59" i="9"/>
  <c r="C59" i="9"/>
  <c r="B59" i="9"/>
  <c r="A59" i="9"/>
  <c r="D58" i="9"/>
  <c r="C58" i="9"/>
  <c r="B58" i="9"/>
  <c r="A58" i="9"/>
  <c r="D57" i="9"/>
  <c r="C57" i="9"/>
  <c r="B57" i="9"/>
  <c r="A57" i="9"/>
  <c r="D56" i="9"/>
  <c r="C56" i="9"/>
  <c r="B56" i="9"/>
  <c r="A56" i="9"/>
  <c r="D55" i="9"/>
  <c r="C55" i="9"/>
  <c r="B55" i="9"/>
  <c r="A55" i="9"/>
  <c r="D54" i="9"/>
  <c r="C54" i="9"/>
  <c r="B54" i="9"/>
  <c r="A54" i="9"/>
  <c r="D53" i="9"/>
  <c r="C53" i="9"/>
  <c r="B53" i="9"/>
  <c r="A53" i="9"/>
  <c r="D52" i="9"/>
  <c r="C52" i="9"/>
  <c r="B52" i="9"/>
  <c r="A52" i="9"/>
  <c r="D51" i="9"/>
  <c r="C51" i="9"/>
  <c r="B51" i="9"/>
  <c r="A51" i="9"/>
  <c r="D50" i="9"/>
  <c r="C50" i="9"/>
  <c r="B50" i="9"/>
  <c r="A50" i="9"/>
  <c r="D49" i="9"/>
  <c r="C49" i="9"/>
  <c r="B49" i="9"/>
  <c r="A49" i="9"/>
  <c r="D48" i="9"/>
  <c r="C48" i="9"/>
  <c r="B48" i="9"/>
  <c r="A48" i="9"/>
  <c r="D47" i="9"/>
  <c r="C47" i="9"/>
  <c r="B47" i="9"/>
  <c r="A47" i="9"/>
  <c r="D46" i="9"/>
  <c r="C46" i="9"/>
  <c r="B46" i="9"/>
  <c r="A46" i="9"/>
  <c r="D45" i="9"/>
  <c r="C45" i="9"/>
  <c r="B45" i="9"/>
  <c r="A45" i="9"/>
  <c r="D44" i="9"/>
  <c r="C44" i="9"/>
  <c r="B44" i="9"/>
  <c r="A44" i="9"/>
  <c r="D43" i="9"/>
  <c r="C43" i="9"/>
  <c r="B43" i="9"/>
  <c r="A43" i="9"/>
  <c r="D42" i="9"/>
  <c r="C42" i="9"/>
  <c r="B42" i="9"/>
  <c r="A42" i="9"/>
  <c r="D41" i="9"/>
  <c r="C41" i="9"/>
  <c r="B41" i="9"/>
  <c r="A41" i="9"/>
  <c r="D40" i="9"/>
  <c r="C40" i="9"/>
  <c r="B40" i="9"/>
  <c r="A40" i="9"/>
  <c r="D39" i="9"/>
  <c r="C39" i="9"/>
  <c r="B39" i="9"/>
  <c r="A39" i="9"/>
  <c r="D38" i="9"/>
  <c r="C38" i="9"/>
  <c r="B38" i="9"/>
  <c r="A38" i="9"/>
  <c r="D37" i="9"/>
  <c r="C37" i="9"/>
  <c r="B37" i="9"/>
  <c r="A37" i="9"/>
  <c r="D36" i="9"/>
  <c r="C36" i="9"/>
  <c r="B36" i="9"/>
  <c r="A36" i="9"/>
  <c r="D35" i="9"/>
  <c r="C35" i="9"/>
  <c r="B35" i="9"/>
  <c r="A35" i="9"/>
  <c r="D34" i="9"/>
  <c r="C34" i="9"/>
  <c r="B34" i="9"/>
  <c r="A34" i="9"/>
  <c r="D33" i="9"/>
  <c r="C33" i="9"/>
  <c r="B33" i="9"/>
  <c r="A33" i="9"/>
  <c r="D32" i="9"/>
  <c r="C32" i="9"/>
  <c r="B32" i="9"/>
  <c r="A32" i="9"/>
  <c r="D31" i="9"/>
  <c r="C31" i="9"/>
  <c r="B31" i="9"/>
  <c r="A31" i="9"/>
  <c r="D30" i="9"/>
  <c r="C30" i="9"/>
  <c r="B30" i="9"/>
  <c r="A30" i="9"/>
  <c r="D29" i="9"/>
  <c r="C29" i="9"/>
  <c r="B29" i="9"/>
  <c r="A29" i="9"/>
  <c r="D28" i="9"/>
  <c r="C28" i="9"/>
  <c r="B28" i="9"/>
  <c r="A28" i="9"/>
  <c r="D27" i="9"/>
  <c r="C27" i="9"/>
  <c r="B27" i="9"/>
  <c r="A27" i="9"/>
  <c r="D26" i="9"/>
  <c r="C26" i="9"/>
  <c r="B26" i="9"/>
  <c r="A26" i="9"/>
  <c r="D25" i="9"/>
  <c r="C25" i="9"/>
  <c r="B25" i="9"/>
  <c r="A25" i="9"/>
  <c r="D24" i="9"/>
  <c r="C24" i="9"/>
  <c r="B24" i="9"/>
  <c r="A24" i="9"/>
  <c r="D23" i="9"/>
  <c r="C23" i="9"/>
  <c r="B23" i="9"/>
  <c r="A23" i="9"/>
  <c r="D22" i="9"/>
  <c r="C22" i="9"/>
  <c r="B22" i="9"/>
  <c r="A22" i="9"/>
  <c r="D21" i="9"/>
  <c r="C21" i="9"/>
  <c r="B21" i="9"/>
  <c r="A21" i="9"/>
  <c r="D20" i="9"/>
  <c r="C20" i="9"/>
  <c r="B20" i="9"/>
  <c r="A20" i="9"/>
  <c r="D19" i="9"/>
  <c r="C19" i="9"/>
  <c r="B19" i="9"/>
  <c r="A19" i="9"/>
  <c r="D18" i="9"/>
  <c r="C18" i="9"/>
  <c r="B18" i="9"/>
  <c r="A18" i="9"/>
  <c r="D17" i="9"/>
  <c r="C17" i="9"/>
  <c r="B17" i="9"/>
  <c r="A17" i="9"/>
  <c r="D16" i="9"/>
  <c r="C16" i="9"/>
  <c r="B16" i="9"/>
  <c r="A16" i="9"/>
  <c r="D15" i="9"/>
  <c r="C15" i="9"/>
  <c r="B15" i="9"/>
  <c r="A15" i="9"/>
  <c r="D14" i="9"/>
  <c r="C14" i="9"/>
  <c r="B14" i="9"/>
  <c r="A14" i="9"/>
  <c r="D13" i="9"/>
  <c r="C13" i="9"/>
  <c r="B13" i="9"/>
  <c r="A13" i="9"/>
  <c r="D12" i="9"/>
  <c r="C12" i="9"/>
  <c r="B12" i="9"/>
  <c r="A12" i="9"/>
  <c r="D11" i="9"/>
  <c r="C11" i="9"/>
  <c r="B11" i="9"/>
  <c r="A11" i="9"/>
  <c r="D10" i="9"/>
  <c r="C10" i="9"/>
  <c r="B10" i="9"/>
  <c r="A10" i="9"/>
  <c r="D9" i="9"/>
  <c r="C9" i="9"/>
  <c r="B9" i="9"/>
  <c r="A9" i="9"/>
  <c r="D8" i="9"/>
  <c r="C8" i="9"/>
  <c r="B8" i="9"/>
  <c r="A8" i="9"/>
  <c r="D7" i="9"/>
  <c r="C7" i="9"/>
  <c r="B7" i="9"/>
  <c r="A7" i="9"/>
  <c r="D6" i="9"/>
  <c r="C6" i="9"/>
  <c r="B6" i="9"/>
  <c r="A6" i="9"/>
  <c r="D5" i="9"/>
  <c r="C5" i="9"/>
  <c r="B5" i="9"/>
  <c r="A5" i="9"/>
  <c r="D4" i="9"/>
  <c r="C4" i="9"/>
  <c r="B4" i="9"/>
  <c r="A4" i="9"/>
  <c r="D3" i="9"/>
  <c r="C3" i="9"/>
  <c r="B3" i="9"/>
  <c r="A3" i="9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02" i="10"/>
  <c r="C202" i="10"/>
  <c r="B202" i="10"/>
  <c r="A202" i="10"/>
  <c r="D201" i="10"/>
  <c r="C201" i="10"/>
  <c r="B201" i="10"/>
  <c r="A201" i="10"/>
  <c r="D200" i="10"/>
  <c r="C200" i="10"/>
  <c r="B200" i="10"/>
  <c r="A200" i="10"/>
  <c r="D199" i="10"/>
  <c r="C199" i="10"/>
  <c r="B199" i="10"/>
  <c r="A199" i="10"/>
  <c r="D198" i="10"/>
  <c r="C198" i="10"/>
  <c r="B198" i="10"/>
  <c r="A198" i="10"/>
  <c r="D197" i="10"/>
  <c r="C197" i="10"/>
  <c r="B197" i="10"/>
  <c r="A197" i="10"/>
  <c r="D196" i="10"/>
  <c r="C196" i="10"/>
  <c r="B196" i="10"/>
  <c r="A196" i="10"/>
  <c r="D195" i="10"/>
  <c r="C195" i="10"/>
  <c r="B195" i="10"/>
  <c r="A195" i="10"/>
  <c r="D194" i="10"/>
  <c r="C194" i="10"/>
  <c r="B194" i="10"/>
  <c r="A194" i="10"/>
  <c r="D193" i="10"/>
  <c r="C193" i="10"/>
  <c r="B193" i="10"/>
  <c r="A193" i="10"/>
  <c r="D192" i="10"/>
  <c r="C192" i="10"/>
  <c r="B192" i="10"/>
  <c r="A192" i="10"/>
  <c r="D191" i="10"/>
  <c r="C191" i="10"/>
  <c r="B191" i="10"/>
  <c r="A191" i="10"/>
  <c r="D190" i="10"/>
  <c r="C190" i="10"/>
  <c r="B190" i="10"/>
  <c r="A190" i="10"/>
  <c r="D189" i="10"/>
  <c r="C189" i="10"/>
  <c r="B189" i="10"/>
  <c r="A189" i="10"/>
  <c r="D188" i="10"/>
  <c r="C188" i="10"/>
  <c r="B188" i="10"/>
  <c r="A188" i="10"/>
  <c r="D187" i="10"/>
  <c r="C187" i="10"/>
  <c r="B187" i="10"/>
  <c r="A187" i="10"/>
  <c r="D186" i="10"/>
  <c r="C186" i="10"/>
  <c r="B186" i="10"/>
  <c r="A186" i="10"/>
  <c r="D185" i="10"/>
  <c r="C185" i="10"/>
  <c r="B185" i="10"/>
  <c r="A185" i="10"/>
  <c r="D184" i="10"/>
  <c r="C184" i="10"/>
  <c r="B184" i="10"/>
  <c r="A184" i="10"/>
  <c r="D183" i="10"/>
  <c r="C183" i="10"/>
  <c r="B183" i="10"/>
  <c r="A183" i="10"/>
  <c r="D182" i="10"/>
  <c r="C182" i="10"/>
  <c r="B182" i="10"/>
  <c r="A182" i="10"/>
  <c r="D181" i="10"/>
  <c r="C181" i="10"/>
  <c r="B181" i="10"/>
  <c r="A181" i="10"/>
  <c r="D180" i="10"/>
  <c r="C180" i="10"/>
  <c r="B180" i="10"/>
  <c r="A180" i="10"/>
  <c r="D179" i="10"/>
  <c r="C179" i="10"/>
  <c r="B179" i="10"/>
  <c r="A179" i="10"/>
  <c r="D178" i="10"/>
  <c r="C178" i="10"/>
  <c r="B178" i="10"/>
  <c r="A178" i="10"/>
  <c r="D177" i="10"/>
  <c r="C177" i="10"/>
  <c r="B177" i="10"/>
  <c r="A177" i="10"/>
  <c r="D176" i="10"/>
  <c r="C176" i="10"/>
  <c r="B176" i="10"/>
  <c r="A176" i="10"/>
  <c r="D175" i="10"/>
  <c r="C175" i="10"/>
  <c r="B175" i="10"/>
  <c r="A175" i="10"/>
  <c r="D174" i="10"/>
  <c r="C174" i="10"/>
  <c r="B174" i="10"/>
  <c r="A174" i="10"/>
  <c r="D173" i="10"/>
  <c r="C173" i="10"/>
  <c r="B173" i="10"/>
  <c r="A173" i="10"/>
  <c r="D172" i="10"/>
  <c r="C172" i="10"/>
  <c r="B172" i="10"/>
  <c r="A172" i="10"/>
  <c r="D171" i="10"/>
  <c r="C171" i="10"/>
  <c r="B171" i="10"/>
  <c r="A171" i="10"/>
  <c r="D170" i="10"/>
  <c r="C170" i="10"/>
  <c r="B170" i="10"/>
  <c r="A170" i="10"/>
  <c r="D169" i="10"/>
  <c r="C169" i="10"/>
  <c r="B169" i="10"/>
  <c r="A169" i="10"/>
  <c r="D168" i="10"/>
  <c r="C168" i="10"/>
  <c r="B168" i="10"/>
  <c r="A168" i="10"/>
  <c r="D167" i="10"/>
  <c r="C167" i="10"/>
  <c r="B167" i="10"/>
  <c r="A167" i="10"/>
  <c r="D166" i="10"/>
  <c r="C166" i="10"/>
  <c r="B166" i="10"/>
  <c r="A166" i="10"/>
  <c r="D165" i="10"/>
  <c r="C165" i="10"/>
  <c r="B165" i="10"/>
  <c r="A165" i="10"/>
  <c r="D164" i="10"/>
  <c r="C164" i="10"/>
  <c r="B164" i="10"/>
  <c r="A164" i="10"/>
  <c r="D163" i="10"/>
  <c r="C163" i="10"/>
  <c r="B163" i="10"/>
  <c r="A163" i="10"/>
  <c r="D162" i="10"/>
  <c r="C162" i="10"/>
  <c r="B162" i="10"/>
  <c r="A162" i="10"/>
  <c r="D161" i="10"/>
  <c r="C161" i="10"/>
  <c r="B161" i="10"/>
  <c r="A161" i="10"/>
  <c r="D160" i="10"/>
  <c r="C160" i="10"/>
  <c r="B160" i="10"/>
  <c r="A160" i="10"/>
  <c r="D159" i="10"/>
  <c r="C159" i="10"/>
  <c r="B159" i="10"/>
  <c r="A159" i="10"/>
  <c r="D158" i="10"/>
  <c r="C158" i="10"/>
  <c r="B158" i="10"/>
  <c r="A158" i="10"/>
  <c r="D157" i="10"/>
  <c r="C157" i="10"/>
  <c r="B157" i="10"/>
  <c r="A157" i="10"/>
  <c r="D156" i="10"/>
  <c r="C156" i="10"/>
  <c r="B156" i="10"/>
  <c r="A156" i="10"/>
  <c r="D155" i="10"/>
  <c r="C155" i="10"/>
  <c r="B155" i="10"/>
  <c r="A155" i="10"/>
  <c r="D154" i="10"/>
  <c r="C154" i="10"/>
  <c r="B154" i="10"/>
  <c r="A154" i="10"/>
  <c r="D153" i="10"/>
  <c r="C153" i="10"/>
  <c r="B153" i="10"/>
  <c r="A153" i="10"/>
  <c r="D152" i="10"/>
  <c r="C152" i="10"/>
  <c r="B152" i="10"/>
  <c r="A152" i="10"/>
  <c r="D151" i="10"/>
  <c r="C151" i="10"/>
  <c r="B151" i="10"/>
  <c r="A151" i="10"/>
  <c r="D150" i="10"/>
  <c r="C150" i="10"/>
  <c r="B150" i="10"/>
  <c r="A150" i="10"/>
  <c r="D149" i="10"/>
  <c r="C149" i="10"/>
  <c r="B149" i="10"/>
  <c r="A149" i="10"/>
  <c r="D148" i="10"/>
  <c r="C148" i="10"/>
  <c r="B148" i="10"/>
  <c r="A148" i="10"/>
  <c r="D147" i="10"/>
  <c r="C147" i="10"/>
  <c r="B147" i="10"/>
  <c r="A147" i="10"/>
  <c r="D146" i="10"/>
  <c r="C146" i="10"/>
  <c r="B146" i="10"/>
  <c r="A146" i="10"/>
  <c r="D145" i="10"/>
  <c r="C145" i="10"/>
  <c r="B145" i="10"/>
  <c r="A145" i="10"/>
  <c r="D144" i="10"/>
  <c r="C144" i="10"/>
  <c r="B144" i="10"/>
  <c r="A144" i="10"/>
  <c r="D143" i="10"/>
  <c r="C143" i="10"/>
  <c r="B143" i="10"/>
  <c r="A143" i="10"/>
  <c r="D142" i="10"/>
  <c r="C142" i="10"/>
  <c r="B142" i="10"/>
  <c r="A142" i="10"/>
  <c r="D141" i="10"/>
  <c r="C141" i="10"/>
  <c r="B141" i="10"/>
  <c r="A141" i="10"/>
  <c r="D140" i="10"/>
  <c r="C140" i="10"/>
  <c r="B140" i="10"/>
  <c r="A140" i="10"/>
  <c r="D139" i="10"/>
  <c r="C139" i="10"/>
  <c r="B139" i="10"/>
  <c r="A139" i="10"/>
  <c r="D138" i="10"/>
  <c r="C138" i="10"/>
  <c r="B138" i="10"/>
  <c r="A138" i="10"/>
  <c r="D137" i="10"/>
  <c r="C137" i="10"/>
  <c r="B137" i="10"/>
  <c r="A137" i="10"/>
  <c r="D136" i="10"/>
  <c r="C136" i="10"/>
  <c r="B136" i="10"/>
  <c r="A136" i="10"/>
  <c r="D135" i="10"/>
  <c r="C135" i="10"/>
  <c r="B135" i="10"/>
  <c r="A135" i="10"/>
  <c r="D134" i="10"/>
  <c r="C134" i="10"/>
  <c r="B134" i="10"/>
  <c r="A134" i="10"/>
  <c r="D133" i="10"/>
  <c r="C133" i="10"/>
  <c r="B133" i="10"/>
  <c r="A133" i="10"/>
  <c r="D132" i="10"/>
  <c r="C132" i="10"/>
  <c r="B132" i="10"/>
  <c r="A132" i="10"/>
  <c r="D131" i="10"/>
  <c r="C131" i="10"/>
  <c r="B131" i="10"/>
  <c r="A131" i="10"/>
  <c r="D130" i="10"/>
  <c r="C130" i="10"/>
  <c r="B130" i="10"/>
  <c r="A130" i="10"/>
  <c r="D129" i="10"/>
  <c r="C129" i="10"/>
  <c r="B129" i="10"/>
  <c r="A129" i="10"/>
  <c r="D128" i="10"/>
  <c r="C128" i="10"/>
  <c r="B128" i="10"/>
  <c r="A128" i="10"/>
  <c r="D127" i="10"/>
  <c r="C127" i="10"/>
  <c r="B127" i="10"/>
  <c r="A127" i="10"/>
  <c r="D126" i="10"/>
  <c r="C126" i="10"/>
  <c r="B126" i="10"/>
  <c r="A126" i="10"/>
  <c r="D125" i="10"/>
  <c r="C125" i="10"/>
  <c r="B125" i="10"/>
  <c r="A125" i="10"/>
  <c r="D124" i="10"/>
  <c r="C124" i="10"/>
  <c r="B124" i="10"/>
  <c r="A124" i="10"/>
  <c r="D123" i="10"/>
  <c r="C123" i="10"/>
  <c r="B123" i="10"/>
  <c r="A123" i="10"/>
  <c r="D122" i="10"/>
  <c r="C122" i="10"/>
  <c r="B122" i="10"/>
  <c r="A122" i="10"/>
  <c r="D121" i="10"/>
  <c r="C121" i="10"/>
  <c r="B121" i="10"/>
  <c r="A121" i="10"/>
  <c r="D120" i="10"/>
  <c r="C120" i="10"/>
  <c r="B120" i="10"/>
  <c r="A120" i="10"/>
  <c r="D119" i="10"/>
  <c r="C119" i="10"/>
  <c r="B119" i="10"/>
  <c r="A119" i="10"/>
  <c r="D118" i="10"/>
  <c r="C118" i="10"/>
  <c r="B118" i="10"/>
  <c r="A118" i="10"/>
  <c r="D117" i="10"/>
  <c r="C117" i="10"/>
  <c r="B117" i="10"/>
  <c r="A117" i="10"/>
  <c r="D116" i="10"/>
  <c r="C116" i="10"/>
  <c r="B116" i="10"/>
  <c r="A116" i="10"/>
  <c r="D115" i="10"/>
  <c r="C115" i="10"/>
  <c r="B115" i="10"/>
  <c r="A115" i="10"/>
  <c r="D114" i="10"/>
  <c r="C114" i="10"/>
  <c r="B114" i="10"/>
  <c r="A114" i="10"/>
  <c r="D113" i="10"/>
  <c r="C113" i="10"/>
  <c r="B113" i="10"/>
  <c r="A113" i="10"/>
  <c r="D112" i="10"/>
  <c r="C112" i="10"/>
  <c r="B112" i="10"/>
  <c r="A112" i="10"/>
  <c r="D111" i="10"/>
  <c r="C111" i="10"/>
  <c r="B111" i="10"/>
  <c r="A111" i="10"/>
  <c r="D110" i="10"/>
  <c r="C110" i="10"/>
  <c r="B110" i="10"/>
  <c r="A110" i="10"/>
  <c r="D109" i="10"/>
  <c r="C109" i="10"/>
  <c r="B109" i="10"/>
  <c r="A109" i="10"/>
  <c r="D108" i="10"/>
  <c r="C108" i="10"/>
  <c r="B108" i="10"/>
  <c r="A108" i="10"/>
  <c r="D107" i="10"/>
  <c r="C107" i="10"/>
  <c r="B107" i="10"/>
  <c r="A107" i="10"/>
  <c r="D106" i="10"/>
  <c r="C106" i="10"/>
  <c r="B106" i="10"/>
  <c r="A106" i="10"/>
  <c r="D105" i="10"/>
  <c r="C105" i="10"/>
  <c r="B105" i="10"/>
  <c r="A105" i="10"/>
  <c r="D104" i="10"/>
  <c r="C104" i="10"/>
  <c r="B104" i="10"/>
  <c r="A104" i="10"/>
  <c r="D103" i="10"/>
  <c r="C103" i="10"/>
  <c r="B103" i="10"/>
  <c r="A103" i="10"/>
  <c r="D102" i="10"/>
  <c r="C102" i="10"/>
  <c r="B102" i="10"/>
  <c r="A102" i="10"/>
  <c r="D101" i="10"/>
  <c r="C101" i="10"/>
  <c r="B101" i="10"/>
  <c r="A101" i="10"/>
  <c r="D100" i="10"/>
  <c r="C100" i="10"/>
  <c r="B100" i="10"/>
  <c r="A100" i="10"/>
  <c r="D99" i="10"/>
  <c r="C99" i="10"/>
  <c r="B99" i="10"/>
  <c r="A99" i="10"/>
  <c r="D98" i="10"/>
  <c r="C98" i="10"/>
  <c r="B98" i="10"/>
  <c r="A98" i="10"/>
  <c r="D97" i="10"/>
  <c r="C97" i="10"/>
  <c r="B97" i="10"/>
  <c r="A97" i="10"/>
  <c r="D96" i="10"/>
  <c r="C96" i="10"/>
  <c r="B96" i="10"/>
  <c r="A96" i="10"/>
  <c r="D95" i="10"/>
  <c r="C95" i="10"/>
  <c r="B95" i="10"/>
  <c r="A95" i="10"/>
  <c r="D94" i="10"/>
  <c r="C94" i="10"/>
  <c r="B94" i="10"/>
  <c r="A94" i="10"/>
  <c r="D93" i="10"/>
  <c r="C93" i="10"/>
  <c r="B93" i="10"/>
  <c r="A93" i="10"/>
  <c r="D92" i="10"/>
  <c r="C92" i="10"/>
  <c r="B92" i="10"/>
  <c r="A92" i="10"/>
  <c r="D91" i="10"/>
  <c r="C91" i="10"/>
  <c r="B91" i="10"/>
  <c r="A91" i="10"/>
  <c r="D90" i="10"/>
  <c r="C90" i="10"/>
  <c r="B90" i="10"/>
  <c r="A90" i="10"/>
  <c r="D89" i="10"/>
  <c r="C89" i="10"/>
  <c r="B89" i="10"/>
  <c r="A89" i="10"/>
  <c r="D88" i="10"/>
  <c r="C88" i="10"/>
  <c r="B88" i="10"/>
  <c r="A88" i="10"/>
  <c r="D87" i="10"/>
  <c r="C87" i="10"/>
  <c r="B87" i="10"/>
  <c r="A87" i="10"/>
  <c r="D86" i="10"/>
  <c r="C86" i="10"/>
  <c r="B86" i="10"/>
  <c r="A86" i="10"/>
  <c r="D85" i="10"/>
  <c r="C85" i="10"/>
  <c r="B85" i="10"/>
  <c r="A85" i="10"/>
  <c r="D84" i="10"/>
  <c r="C84" i="10"/>
  <c r="B84" i="10"/>
  <c r="A84" i="10"/>
  <c r="D83" i="10"/>
  <c r="C83" i="10"/>
  <c r="B83" i="10"/>
  <c r="A83" i="10"/>
  <c r="D82" i="10"/>
  <c r="C82" i="10"/>
  <c r="B82" i="10"/>
  <c r="A82" i="10"/>
  <c r="D81" i="10"/>
  <c r="C81" i="10"/>
  <c r="B81" i="10"/>
  <c r="A81" i="10"/>
  <c r="D80" i="10"/>
  <c r="C80" i="10"/>
  <c r="B80" i="10"/>
  <c r="A80" i="10"/>
  <c r="D79" i="10"/>
  <c r="C79" i="10"/>
  <c r="B79" i="10"/>
  <c r="A79" i="10"/>
  <c r="D78" i="10"/>
  <c r="C78" i="10"/>
  <c r="B78" i="10"/>
  <c r="A78" i="10"/>
  <c r="D77" i="10"/>
  <c r="C77" i="10"/>
  <c r="B77" i="10"/>
  <c r="A77" i="10"/>
  <c r="D76" i="10"/>
  <c r="C76" i="10"/>
  <c r="B76" i="10"/>
  <c r="A76" i="10"/>
  <c r="D75" i="10"/>
  <c r="C75" i="10"/>
  <c r="B75" i="10"/>
  <c r="A75" i="10"/>
  <c r="D74" i="10"/>
  <c r="C74" i="10"/>
  <c r="B74" i="10"/>
  <c r="A74" i="10"/>
  <c r="D73" i="10"/>
  <c r="C73" i="10"/>
  <c r="B73" i="10"/>
  <c r="A73" i="10"/>
  <c r="D72" i="10"/>
  <c r="C72" i="10"/>
  <c r="B72" i="10"/>
  <c r="A72" i="10"/>
  <c r="D71" i="10"/>
  <c r="C71" i="10"/>
  <c r="B71" i="10"/>
  <c r="A71" i="10"/>
  <c r="D70" i="10"/>
  <c r="C70" i="10"/>
  <c r="B70" i="10"/>
  <c r="A70" i="10"/>
  <c r="D69" i="10"/>
  <c r="C69" i="10"/>
  <c r="B69" i="10"/>
  <c r="A69" i="10"/>
  <c r="D68" i="10"/>
  <c r="C68" i="10"/>
  <c r="B68" i="10"/>
  <c r="A68" i="10"/>
  <c r="D67" i="10"/>
  <c r="C67" i="10"/>
  <c r="B67" i="10"/>
  <c r="A67" i="10"/>
  <c r="D66" i="10"/>
  <c r="C66" i="10"/>
  <c r="B66" i="10"/>
  <c r="A66" i="10"/>
  <c r="D65" i="10"/>
  <c r="C65" i="10"/>
  <c r="B65" i="10"/>
  <c r="A65" i="10"/>
  <c r="D64" i="10"/>
  <c r="C64" i="10"/>
  <c r="B64" i="10"/>
  <c r="A64" i="10"/>
  <c r="D63" i="10"/>
  <c r="C63" i="10"/>
  <c r="B63" i="10"/>
  <c r="A63" i="10"/>
  <c r="D62" i="10"/>
  <c r="C62" i="10"/>
  <c r="B62" i="10"/>
  <c r="A62" i="10"/>
  <c r="D61" i="10"/>
  <c r="C61" i="10"/>
  <c r="B61" i="10"/>
  <c r="A61" i="10"/>
  <c r="D60" i="10"/>
  <c r="C60" i="10"/>
  <c r="B60" i="10"/>
  <c r="A60" i="10"/>
  <c r="D59" i="10"/>
  <c r="C59" i="10"/>
  <c r="B59" i="10"/>
  <c r="A59" i="10"/>
  <c r="D58" i="10"/>
  <c r="C58" i="10"/>
  <c r="B58" i="10"/>
  <c r="A58" i="10"/>
  <c r="D57" i="10"/>
  <c r="C57" i="10"/>
  <c r="B57" i="10"/>
  <c r="A57" i="10"/>
  <c r="D56" i="10"/>
  <c r="C56" i="10"/>
  <c r="B56" i="10"/>
  <c r="A56" i="10"/>
  <c r="D55" i="10"/>
  <c r="C55" i="10"/>
  <c r="B55" i="10"/>
  <c r="A55" i="10"/>
  <c r="D54" i="10"/>
  <c r="C54" i="10"/>
  <c r="B54" i="10"/>
  <c r="A54" i="10"/>
  <c r="D53" i="10"/>
  <c r="C53" i="10"/>
  <c r="B53" i="10"/>
  <c r="A53" i="10"/>
  <c r="D52" i="10"/>
  <c r="C52" i="10"/>
  <c r="B52" i="10"/>
  <c r="A52" i="10"/>
  <c r="D51" i="10"/>
  <c r="C51" i="10"/>
  <c r="B51" i="10"/>
  <c r="A51" i="10"/>
  <c r="D50" i="10"/>
  <c r="C50" i="10"/>
  <c r="B50" i="10"/>
  <c r="A50" i="10"/>
  <c r="D49" i="10"/>
  <c r="C49" i="10"/>
  <c r="B49" i="10"/>
  <c r="A49" i="10"/>
  <c r="D48" i="10"/>
  <c r="C48" i="10"/>
  <c r="B48" i="10"/>
  <c r="A48" i="10"/>
  <c r="D47" i="10"/>
  <c r="C47" i="10"/>
  <c r="B47" i="10"/>
  <c r="A47" i="10"/>
  <c r="D46" i="10"/>
  <c r="C46" i="10"/>
  <c r="B46" i="10"/>
  <c r="A46" i="10"/>
  <c r="D45" i="10"/>
  <c r="C45" i="10"/>
  <c r="B45" i="10"/>
  <c r="A45" i="10"/>
  <c r="D44" i="10"/>
  <c r="C44" i="10"/>
  <c r="B44" i="10"/>
  <c r="A44" i="10"/>
  <c r="D43" i="10"/>
  <c r="C43" i="10"/>
  <c r="B43" i="10"/>
  <c r="A43" i="10"/>
  <c r="D42" i="10"/>
  <c r="C42" i="10"/>
  <c r="B42" i="10"/>
  <c r="A42" i="10"/>
  <c r="D41" i="10"/>
  <c r="C41" i="10"/>
  <c r="B41" i="10"/>
  <c r="A41" i="10"/>
  <c r="D40" i="10"/>
  <c r="C40" i="10"/>
  <c r="B40" i="10"/>
  <c r="A40" i="10"/>
  <c r="D39" i="10"/>
  <c r="C39" i="10"/>
  <c r="B39" i="10"/>
  <c r="A39" i="10"/>
  <c r="D38" i="10"/>
  <c r="C38" i="10"/>
  <c r="B38" i="10"/>
  <c r="A38" i="10"/>
  <c r="D37" i="10"/>
  <c r="C37" i="10"/>
  <c r="B37" i="10"/>
  <c r="A37" i="10"/>
  <c r="D36" i="10"/>
  <c r="C36" i="10"/>
  <c r="B36" i="10"/>
  <c r="A36" i="10"/>
  <c r="D35" i="10"/>
  <c r="C35" i="10"/>
  <c r="B35" i="10"/>
  <c r="A35" i="10"/>
  <c r="D34" i="10"/>
  <c r="C34" i="10"/>
  <c r="B34" i="10"/>
  <c r="A34" i="10"/>
  <c r="D33" i="10"/>
  <c r="C33" i="10"/>
  <c r="B33" i="10"/>
  <c r="A33" i="10"/>
  <c r="D32" i="10"/>
  <c r="C32" i="10"/>
  <c r="B32" i="10"/>
  <c r="A32" i="10"/>
  <c r="D31" i="10"/>
  <c r="C31" i="10"/>
  <c r="B31" i="10"/>
  <c r="A31" i="10"/>
  <c r="D30" i="10"/>
  <c r="C30" i="10"/>
  <c r="B30" i="10"/>
  <c r="A30" i="10"/>
  <c r="D29" i="10"/>
  <c r="C29" i="10"/>
  <c r="B29" i="10"/>
  <c r="A29" i="10"/>
  <c r="D28" i="10"/>
  <c r="C28" i="10"/>
  <c r="B28" i="10"/>
  <c r="A28" i="10"/>
  <c r="D27" i="10"/>
  <c r="C27" i="10"/>
  <c r="B27" i="10"/>
  <c r="A27" i="10"/>
  <c r="D26" i="10"/>
  <c r="C26" i="10"/>
  <c r="B26" i="10"/>
  <c r="A26" i="10"/>
  <c r="D25" i="10"/>
  <c r="C25" i="10"/>
  <c r="B25" i="10"/>
  <c r="A25" i="10"/>
  <c r="D24" i="10"/>
  <c r="C24" i="10"/>
  <c r="B24" i="10"/>
  <c r="A24" i="10"/>
  <c r="D23" i="10"/>
  <c r="C23" i="10"/>
  <c r="B23" i="10"/>
  <c r="A23" i="10"/>
  <c r="D22" i="10"/>
  <c r="C22" i="10"/>
  <c r="B22" i="10"/>
  <c r="A22" i="10"/>
  <c r="D21" i="10"/>
  <c r="C21" i="10"/>
  <c r="B21" i="10"/>
  <c r="A21" i="10"/>
  <c r="D20" i="10"/>
  <c r="C20" i="10"/>
  <c r="B20" i="10"/>
  <c r="A20" i="10"/>
  <c r="D19" i="10"/>
  <c r="C19" i="10"/>
  <c r="B19" i="10"/>
  <c r="A19" i="10"/>
  <c r="D18" i="10"/>
  <c r="C18" i="10"/>
  <c r="B18" i="10"/>
  <c r="A18" i="10"/>
  <c r="D17" i="10"/>
  <c r="C17" i="10"/>
  <c r="B17" i="10"/>
  <c r="A17" i="10"/>
  <c r="D16" i="10"/>
  <c r="C16" i="10"/>
  <c r="B16" i="10"/>
  <c r="A16" i="10"/>
  <c r="D15" i="10"/>
  <c r="C15" i="10"/>
  <c r="B15" i="10"/>
  <c r="A15" i="10"/>
  <c r="D14" i="10"/>
  <c r="C14" i="10"/>
  <c r="B14" i="10"/>
  <c r="A14" i="10"/>
  <c r="C13" i="10"/>
  <c r="B13" i="10"/>
  <c r="A13" i="10"/>
  <c r="D12" i="10"/>
  <c r="C12" i="10"/>
  <c r="B12" i="10"/>
  <c r="A12" i="10"/>
  <c r="D11" i="10"/>
  <c r="C11" i="10"/>
  <c r="B11" i="10"/>
  <c r="A11" i="10"/>
  <c r="D10" i="10"/>
  <c r="C10" i="10"/>
  <c r="B10" i="10"/>
  <c r="A10" i="10"/>
  <c r="D9" i="10"/>
  <c r="C9" i="10"/>
  <c r="B9" i="10"/>
  <c r="A9" i="10"/>
  <c r="D8" i="10"/>
  <c r="C8" i="10"/>
  <c r="B8" i="10"/>
  <c r="A8" i="10"/>
  <c r="D7" i="10"/>
  <c r="C7" i="10"/>
  <c r="B7" i="10"/>
  <c r="A7" i="10"/>
  <c r="D6" i="10"/>
  <c r="C6" i="10"/>
  <c r="B6" i="10"/>
  <c r="A6" i="10"/>
  <c r="D5" i="10"/>
  <c r="C5" i="10"/>
  <c r="B5" i="10"/>
  <c r="A5" i="10"/>
  <c r="D4" i="10"/>
  <c r="C4" i="10"/>
  <c r="B4" i="10"/>
  <c r="A4" i="10"/>
  <c r="D3" i="10"/>
  <c r="C3" i="10"/>
  <c r="B3" i="10"/>
  <c r="A3" i="10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3" i="6"/>
  <c r="D202" i="4"/>
  <c r="C202" i="4"/>
  <c r="B202" i="4"/>
  <c r="A202" i="4"/>
  <c r="D201" i="4"/>
  <c r="C201" i="4"/>
  <c r="B201" i="4"/>
  <c r="A201" i="4"/>
  <c r="D200" i="4"/>
  <c r="C200" i="4"/>
  <c r="B200" i="4"/>
  <c r="A200" i="4"/>
  <c r="D199" i="4"/>
  <c r="C199" i="4"/>
  <c r="B199" i="4"/>
  <c r="A199" i="4"/>
  <c r="D198" i="4"/>
  <c r="C198" i="4"/>
  <c r="B198" i="4"/>
  <c r="A198" i="4"/>
  <c r="D197" i="4"/>
  <c r="C197" i="4"/>
  <c r="B197" i="4"/>
  <c r="A197" i="4"/>
  <c r="D196" i="4"/>
  <c r="C196" i="4"/>
  <c r="B196" i="4"/>
  <c r="A196" i="4"/>
  <c r="D195" i="4"/>
  <c r="C195" i="4"/>
  <c r="B195" i="4"/>
  <c r="A195" i="4"/>
  <c r="D194" i="4"/>
  <c r="C194" i="4"/>
  <c r="B194" i="4"/>
  <c r="A194" i="4"/>
  <c r="D193" i="4"/>
  <c r="C193" i="4"/>
  <c r="B193" i="4"/>
  <c r="A193" i="4"/>
  <c r="D192" i="4"/>
  <c r="C192" i="4"/>
  <c r="B192" i="4"/>
  <c r="A192" i="4"/>
  <c r="D191" i="4"/>
  <c r="C191" i="4"/>
  <c r="B191" i="4"/>
  <c r="A191" i="4"/>
  <c r="D190" i="4"/>
  <c r="C190" i="4"/>
  <c r="B190" i="4"/>
  <c r="A190" i="4"/>
  <c r="D189" i="4"/>
  <c r="C189" i="4"/>
  <c r="B189" i="4"/>
  <c r="A189" i="4"/>
  <c r="D188" i="4"/>
  <c r="C188" i="4"/>
  <c r="B188" i="4"/>
  <c r="A188" i="4"/>
  <c r="D187" i="4"/>
  <c r="C187" i="4"/>
  <c r="B187" i="4"/>
  <c r="A187" i="4"/>
  <c r="D186" i="4"/>
  <c r="C186" i="4"/>
  <c r="B186" i="4"/>
  <c r="A186" i="4"/>
  <c r="D185" i="4"/>
  <c r="C185" i="4"/>
  <c r="B185" i="4"/>
  <c r="A185" i="4"/>
  <c r="D184" i="4"/>
  <c r="C184" i="4"/>
  <c r="B184" i="4"/>
  <c r="A184" i="4"/>
  <c r="D183" i="4"/>
  <c r="C183" i="4"/>
  <c r="B183" i="4"/>
  <c r="A183" i="4"/>
  <c r="D182" i="4"/>
  <c r="C182" i="4"/>
  <c r="B182" i="4"/>
  <c r="A182" i="4"/>
  <c r="D181" i="4"/>
  <c r="C181" i="4"/>
  <c r="B181" i="4"/>
  <c r="A181" i="4"/>
  <c r="D180" i="4"/>
  <c r="C180" i="4"/>
  <c r="B180" i="4"/>
  <c r="A180" i="4"/>
  <c r="D179" i="4"/>
  <c r="C179" i="4"/>
  <c r="B179" i="4"/>
  <c r="A179" i="4"/>
  <c r="D178" i="4"/>
  <c r="C178" i="4"/>
  <c r="B178" i="4"/>
  <c r="A178" i="4"/>
  <c r="D177" i="4"/>
  <c r="C177" i="4"/>
  <c r="B177" i="4"/>
  <c r="A177" i="4"/>
  <c r="D176" i="4"/>
  <c r="C176" i="4"/>
  <c r="B176" i="4"/>
  <c r="A176" i="4"/>
  <c r="D175" i="4"/>
  <c r="C175" i="4"/>
  <c r="B175" i="4"/>
  <c r="A175" i="4"/>
  <c r="D174" i="4"/>
  <c r="C174" i="4"/>
  <c r="B174" i="4"/>
  <c r="A174" i="4"/>
  <c r="D173" i="4"/>
  <c r="C173" i="4"/>
  <c r="B173" i="4"/>
  <c r="A173" i="4"/>
  <c r="D172" i="4"/>
  <c r="C172" i="4"/>
  <c r="B172" i="4"/>
  <c r="A172" i="4"/>
  <c r="D171" i="4"/>
  <c r="C171" i="4"/>
  <c r="B171" i="4"/>
  <c r="A171" i="4"/>
  <c r="D170" i="4"/>
  <c r="C170" i="4"/>
  <c r="B170" i="4"/>
  <c r="A170" i="4"/>
  <c r="D169" i="4"/>
  <c r="C169" i="4"/>
  <c r="B169" i="4"/>
  <c r="A169" i="4"/>
  <c r="D168" i="4"/>
  <c r="C168" i="4"/>
  <c r="B168" i="4"/>
  <c r="A168" i="4"/>
  <c r="D167" i="4"/>
  <c r="C167" i="4"/>
  <c r="B167" i="4"/>
  <c r="A167" i="4"/>
  <c r="D166" i="4"/>
  <c r="C166" i="4"/>
  <c r="B166" i="4"/>
  <c r="A166" i="4"/>
  <c r="D165" i="4"/>
  <c r="C165" i="4"/>
  <c r="B165" i="4"/>
  <c r="A165" i="4"/>
  <c r="D164" i="4"/>
  <c r="C164" i="4"/>
  <c r="B164" i="4"/>
  <c r="A164" i="4"/>
  <c r="D163" i="4"/>
  <c r="C163" i="4"/>
  <c r="B163" i="4"/>
  <c r="A163" i="4"/>
  <c r="D162" i="4"/>
  <c r="C162" i="4"/>
  <c r="B162" i="4"/>
  <c r="A162" i="4"/>
  <c r="D161" i="4"/>
  <c r="C161" i="4"/>
  <c r="B161" i="4"/>
  <c r="A161" i="4"/>
  <c r="D160" i="4"/>
  <c r="C160" i="4"/>
  <c r="B160" i="4"/>
  <c r="A160" i="4"/>
  <c r="D159" i="4"/>
  <c r="C159" i="4"/>
  <c r="B159" i="4"/>
  <c r="A159" i="4"/>
  <c r="D158" i="4"/>
  <c r="C158" i="4"/>
  <c r="B158" i="4"/>
  <c r="A158" i="4"/>
  <c r="D157" i="4"/>
  <c r="C157" i="4"/>
  <c r="B157" i="4"/>
  <c r="A157" i="4"/>
  <c r="D156" i="4"/>
  <c r="C156" i="4"/>
  <c r="B156" i="4"/>
  <c r="A156" i="4"/>
  <c r="D155" i="4"/>
  <c r="C155" i="4"/>
  <c r="B155" i="4"/>
  <c r="A155" i="4"/>
  <c r="D154" i="4"/>
  <c r="C154" i="4"/>
  <c r="B154" i="4"/>
  <c r="A154" i="4"/>
  <c r="D153" i="4"/>
  <c r="C153" i="4"/>
  <c r="B153" i="4"/>
  <c r="A153" i="4"/>
  <c r="D152" i="4"/>
  <c r="C152" i="4"/>
  <c r="B152" i="4"/>
  <c r="A152" i="4"/>
  <c r="D151" i="4"/>
  <c r="C151" i="4"/>
  <c r="B151" i="4"/>
  <c r="A151" i="4"/>
  <c r="D150" i="4"/>
  <c r="C150" i="4"/>
  <c r="B150" i="4"/>
  <c r="A150" i="4"/>
  <c r="D149" i="4"/>
  <c r="C149" i="4"/>
  <c r="B149" i="4"/>
  <c r="A149" i="4"/>
  <c r="D148" i="4"/>
  <c r="C148" i="4"/>
  <c r="B148" i="4"/>
  <c r="A148" i="4"/>
  <c r="D147" i="4"/>
  <c r="C147" i="4"/>
  <c r="B147" i="4"/>
  <c r="A147" i="4"/>
  <c r="D146" i="4"/>
  <c r="C146" i="4"/>
  <c r="B146" i="4"/>
  <c r="A146" i="4"/>
  <c r="D145" i="4"/>
  <c r="C145" i="4"/>
  <c r="B145" i="4"/>
  <c r="A145" i="4"/>
  <c r="D144" i="4"/>
  <c r="C144" i="4"/>
  <c r="B144" i="4"/>
  <c r="A144" i="4"/>
  <c r="D143" i="4"/>
  <c r="C143" i="4"/>
  <c r="B143" i="4"/>
  <c r="A143" i="4"/>
  <c r="D142" i="4"/>
  <c r="C142" i="4"/>
  <c r="B142" i="4"/>
  <c r="A142" i="4"/>
  <c r="D141" i="4"/>
  <c r="C141" i="4"/>
  <c r="B141" i="4"/>
  <c r="A141" i="4"/>
  <c r="D140" i="4"/>
  <c r="C140" i="4"/>
  <c r="B140" i="4"/>
  <c r="A140" i="4"/>
  <c r="D139" i="4"/>
  <c r="C139" i="4"/>
  <c r="B139" i="4"/>
  <c r="A139" i="4"/>
  <c r="D138" i="4"/>
  <c r="C138" i="4"/>
  <c r="B138" i="4"/>
  <c r="A138" i="4"/>
  <c r="D137" i="4"/>
  <c r="C137" i="4"/>
  <c r="B137" i="4"/>
  <c r="A137" i="4"/>
  <c r="D136" i="4"/>
  <c r="C136" i="4"/>
  <c r="B136" i="4"/>
  <c r="A136" i="4"/>
  <c r="D135" i="4"/>
  <c r="C135" i="4"/>
  <c r="B135" i="4"/>
  <c r="A135" i="4"/>
  <c r="D134" i="4"/>
  <c r="C134" i="4"/>
  <c r="B134" i="4"/>
  <c r="A134" i="4"/>
  <c r="D133" i="4"/>
  <c r="C133" i="4"/>
  <c r="B133" i="4"/>
  <c r="A133" i="4"/>
  <c r="D132" i="4"/>
  <c r="C132" i="4"/>
  <c r="B132" i="4"/>
  <c r="A132" i="4"/>
  <c r="D131" i="4"/>
  <c r="C131" i="4"/>
  <c r="B131" i="4"/>
  <c r="A131" i="4"/>
  <c r="D130" i="4"/>
  <c r="C130" i="4"/>
  <c r="B130" i="4"/>
  <c r="A130" i="4"/>
  <c r="D129" i="4"/>
  <c r="C129" i="4"/>
  <c r="B129" i="4"/>
  <c r="A129" i="4"/>
  <c r="D128" i="4"/>
  <c r="C128" i="4"/>
  <c r="B128" i="4"/>
  <c r="A128" i="4"/>
  <c r="D127" i="4"/>
  <c r="C127" i="4"/>
  <c r="B127" i="4"/>
  <c r="A127" i="4"/>
  <c r="D126" i="4"/>
  <c r="C126" i="4"/>
  <c r="B126" i="4"/>
  <c r="A126" i="4"/>
  <c r="D125" i="4"/>
  <c r="C125" i="4"/>
  <c r="B125" i="4"/>
  <c r="A125" i="4"/>
  <c r="D124" i="4"/>
  <c r="C124" i="4"/>
  <c r="B124" i="4"/>
  <c r="A124" i="4"/>
  <c r="D123" i="4"/>
  <c r="C123" i="4"/>
  <c r="B123" i="4"/>
  <c r="A123" i="4"/>
  <c r="D122" i="4"/>
  <c r="C122" i="4"/>
  <c r="B122" i="4"/>
  <c r="A122" i="4"/>
  <c r="D121" i="4"/>
  <c r="C121" i="4"/>
  <c r="B121" i="4"/>
  <c r="A121" i="4"/>
  <c r="D120" i="4"/>
  <c r="C120" i="4"/>
  <c r="B120" i="4"/>
  <c r="A120" i="4"/>
  <c r="D119" i="4"/>
  <c r="C119" i="4"/>
  <c r="B119" i="4"/>
  <c r="A119" i="4"/>
  <c r="D118" i="4"/>
  <c r="C118" i="4"/>
  <c r="B118" i="4"/>
  <c r="A118" i="4"/>
  <c r="D117" i="4"/>
  <c r="C117" i="4"/>
  <c r="B117" i="4"/>
  <c r="A117" i="4"/>
  <c r="D116" i="4"/>
  <c r="C116" i="4"/>
  <c r="B116" i="4"/>
  <c r="A116" i="4"/>
  <c r="D115" i="4"/>
  <c r="C115" i="4"/>
  <c r="B115" i="4"/>
  <c r="A115" i="4"/>
  <c r="D114" i="4"/>
  <c r="C114" i="4"/>
  <c r="B114" i="4"/>
  <c r="A114" i="4"/>
  <c r="D113" i="4"/>
  <c r="C113" i="4"/>
  <c r="B113" i="4"/>
  <c r="A113" i="4"/>
  <c r="D112" i="4"/>
  <c r="C112" i="4"/>
  <c r="B112" i="4"/>
  <c r="A112" i="4"/>
  <c r="D111" i="4"/>
  <c r="C111" i="4"/>
  <c r="B111" i="4"/>
  <c r="A111" i="4"/>
  <c r="D110" i="4"/>
  <c r="C110" i="4"/>
  <c r="B110" i="4"/>
  <c r="A110" i="4"/>
  <c r="D109" i="4"/>
  <c r="C109" i="4"/>
  <c r="B109" i="4"/>
  <c r="A109" i="4"/>
  <c r="D108" i="4"/>
  <c r="C108" i="4"/>
  <c r="B108" i="4"/>
  <c r="A108" i="4"/>
  <c r="D107" i="4"/>
  <c r="C107" i="4"/>
  <c r="B107" i="4"/>
  <c r="A107" i="4"/>
  <c r="D106" i="4"/>
  <c r="C106" i="4"/>
  <c r="B106" i="4"/>
  <c r="A106" i="4"/>
  <c r="D105" i="4"/>
  <c r="C105" i="4"/>
  <c r="B105" i="4"/>
  <c r="A105" i="4"/>
  <c r="D104" i="4"/>
  <c r="C104" i="4"/>
  <c r="B104" i="4"/>
  <c r="A104" i="4"/>
  <c r="D103" i="4"/>
  <c r="C103" i="4"/>
  <c r="B103" i="4"/>
  <c r="A103" i="4"/>
  <c r="D102" i="4"/>
  <c r="C102" i="4"/>
  <c r="B102" i="4"/>
  <c r="A102" i="4"/>
  <c r="D101" i="4"/>
  <c r="C101" i="4"/>
  <c r="B101" i="4"/>
  <c r="A101" i="4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D9" i="4"/>
  <c r="C9" i="4"/>
  <c r="B9" i="4"/>
  <c r="A9" i="4"/>
  <c r="D8" i="4"/>
  <c r="C8" i="4"/>
  <c r="B8" i="4"/>
  <c r="A8" i="4"/>
  <c r="D7" i="4"/>
  <c r="C7" i="4"/>
  <c r="B7" i="4"/>
  <c r="A7" i="4"/>
  <c r="D6" i="4"/>
  <c r="C6" i="4"/>
  <c r="B6" i="4"/>
  <c r="A6" i="4"/>
  <c r="D5" i="4"/>
  <c r="C5" i="4"/>
  <c r="B5" i="4"/>
  <c r="A5" i="4"/>
  <c r="D4" i="4"/>
  <c r="C4" i="4"/>
  <c r="B4" i="4"/>
  <c r="A4" i="4"/>
  <c r="D3" i="4"/>
  <c r="C3" i="4"/>
  <c r="B3" i="4"/>
  <c r="A3" i="4"/>
  <c r="A4" i="2"/>
  <c r="B4" i="2"/>
  <c r="C4" i="2"/>
  <c r="D4" i="2"/>
  <c r="B3" i="2"/>
  <c r="C3" i="2"/>
  <c r="D3" i="2"/>
  <c r="A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F2" authorId="0" shapeId="0" xr:uid="{7E3189C6-E7C1-4EE5-B86F-33EB757318A3}">
      <text>
        <r>
          <rPr>
            <b/>
            <sz val="9"/>
            <color indexed="81"/>
            <rFont val="돋움"/>
            <family val="3"/>
            <charset val="129"/>
          </rPr>
          <t>교과이수내용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수준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F2" authorId="0" shapeId="0" xr:uid="{FD3F03E8-16FA-4E67-9C7C-EF07A4F51FF0}">
      <text>
        <r>
          <rPr>
            <b/>
            <sz val="9"/>
            <color indexed="81"/>
            <rFont val="돋움"/>
            <family val="3"/>
            <charset val="129"/>
          </rPr>
          <t>지적성장</t>
        </r>
        <r>
          <rPr>
            <b/>
            <sz val="9"/>
            <color indexed="81"/>
            <rFont val="Tahoma"/>
            <family val="2"/>
          </rPr>
          <t xml:space="preserve"> + </t>
        </r>
        <r>
          <rPr>
            <b/>
            <sz val="9"/>
            <color indexed="81"/>
            <rFont val="돋움"/>
            <family val="3"/>
            <charset val="129"/>
          </rPr>
          <t>과정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F2" authorId="0" shapeId="0" xr:uid="{5F0AEFED-80CF-4F98-AB3C-6992AF44EDEC}">
      <text>
        <r>
          <rPr>
            <b/>
            <sz val="9"/>
            <color indexed="81"/>
            <rFont val="돋움"/>
            <family val="3"/>
            <charset val="129"/>
          </rPr>
          <t>수업을넘어선탐구활동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D1" authorId="0" shapeId="0" xr:uid="{C2995946-1D46-4FBE-9747-1274331A27FE}">
      <text>
        <r>
          <rPr>
            <b/>
            <sz val="9"/>
            <color indexed="81"/>
            <rFont val="돋움"/>
            <family val="3"/>
            <charset val="129"/>
          </rPr>
          <t xml:space="preserve">구분자 " "
</t>
        </r>
      </text>
    </comment>
  </commentList>
</comments>
</file>

<file path=xl/sharedStrings.xml><?xml version="1.0" encoding="utf-8"?>
<sst xmlns="http://schemas.openxmlformats.org/spreadsheetml/2006/main" count="282" uniqueCount="186">
  <si>
    <t>○ 해당 과목에서 학생이 배운 내용</t>
  </si>
  <si>
    <t xml:space="preserve"> - 학습 내용을 그저 나열하게 되면 마치 교과 수업에 대한 소개글처럼 무미건조한 특기사항이 될 수 있다.</t>
  </si>
  <si>
    <r>
      <t xml:space="preserve"> - 학생이 </t>
    </r>
    <r>
      <rPr>
        <b/>
        <sz val="11"/>
        <color rgb="FF00B0F0"/>
        <rFont val="Malgun Gothic"/>
        <family val="3"/>
        <charset val="129"/>
      </rPr>
      <t>특별히 관심</t>
    </r>
    <r>
      <rPr>
        <sz val="11"/>
        <color theme="1"/>
        <rFont val="Malgun Gothic"/>
        <family val="3"/>
        <charset val="129"/>
      </rPr>
      <t xml:space="preserve">을 가졌거나 </t>
    </r>
    <r>
      <rPr>
        <b/>
        <sz val="11"/>
        <color rgb="FF00B0F0"/>
        <rFont val="Malgun Gothic"/>
        <family val="3"/>
        <charset val="129"/>
      </rPr>
      <t>탁월한 능력</t>
    </r>
    <r>
      <rPr>
        <sz val="11"/>
        <color theme="1"/>
        <rFont val="Malgun Gothic"/>
        <family val="3"/>
        <charset val="129"/>
      </rPr>
      <t xml:space="preserve">을 보여준 학습내용의 일부분을 그 </t>
    </r>
    <r>
      <rPr>
        <b/>
        <sz val="11"/>
        <color rgb="FF00B0F0"/>
        <rFont val="Malgun Gothic"/>
        <family val="3"/>
        <charset val="129"/>
      </rPr>
      <t>판단 증거와 함께 제시</t>
    </r>
    <r>
      <rPr>
        <sz val="11"/>
        <color theme="1"/>
        <rFont val="Malgun Gothic"/>
        <family val="3"/>
        <charset val="129"/>
      </rPr>
      <t>하는 것이 좋다.</t>
    </r>
  </si>
  <si>
    <r>
      <t xml:space="preserve"> - </t>
    </r>
    <r>
      <rPr>
        <sz val="11"/>
        <color theme="1"/>
        <rFont val="Malgun Gothic"/>
        <family val="3"/>
        <charset val="129"/>
      </rPr>
      <t>만약 진로와 관련된 사항이 있다면, 해당 내용을 학생의 관심사로 언급해 주는 것도 좋다.</t>
    </r>
  </si>
  <si>
    <t>○ 지적으로 성장한 내용</t>
  </si>
  <si>
    <t xml:space="preserve"> - 성정의 결과에만 치중하지 않도록 주의한다.</t>
  </si>
  <si>
    <r>
      <t xml:space="preserve"> - '학생이 수업 전에는 어떠했는데, 어떤 식으로 수업에 참가한 결과 이런 식으로 성장했다'는 식으로 </t>
    </r>
    <r>
      <rPr>
        <b/>
        <sz val="11"/>
        <color rgb="FF00B0F0"/>
        <rFont val="Malgun Gothic"/>
        <family val="3"/>
        <charset val="129"/>
      </rPr>
      <t>성장과정</t>
    </r>
    <r>
      <rPr>
        <sz val="11"/>
        <color theme="1"/>
        <rFont val="Malgun Gothic"/>
        <family val="3"/>
        <charset val="129"/>
      </rPr>
      <t>을 나타내야 한다. =&gt; 이렇게 해야 신뢰가 생김</t>
    </r>
  </si>
  <si>
    <t>○ 그 외의 경우</t>
  </si>
  <si>
    <r>
      <t xml:space="preserve"> - 교과목과 관련된 독서 경험을 '수업을 넘어선 탐구활동'으로 </t>
    </r>
    <r>
      <rPr>
        <b/>
        <sz val="11"/>
        <color rgb="FF00B0F0"/>
        <rFont val="Malgun Gothic"/>
        <family val="3"/>
        <charset val="129"/>
      </rPr>
      <t>학생의 적극성과 지적소기심</t>
    </r>
    <r>
      <rPr>
        <sz val="11"/>
        <color theme="1"/>
        <rFont val="Malgun Gothic"/>
        <family val="3"/>
        <charset val="129"/>
      </rPr>
      <t>을 부각시킬 수 있다.</t>
    </r>
  </si>
  <si>
    <t xml:space="preserve"> - 다른 영역의 과목 사이를 넘나드는 탐구를 통해 학생의 지적 호기심, 적극성, 자기주도성 등을 보여줄 수 있다.(수행평가를 통해 생긴 호기심이 독서 혹은 수상경력으로 이어지거나, 교과 심화 활동을 동아리 활동으로 하는 등)</t>
  </si>
  <si>
    <r>
      <t xml:space="preserve">  - </t>
    </r>
    <r>
      <rPr>
        <sz val="11"/>
        <color theme="1"/>
        <rFont val="Malgun Gothic"/>
        <family val="3"/>
        <charset val="129"/>
      </rPr>
      <t>학생의 어떤 점을 부각시키고 싶으냐에 따라 다양한 접근 방법이 있다.</t>
    </r>
    <phoneticPr fontId="1" type="noConversion"/>
  </si>
  <si>
    <t>→ 위와 같은 내용이 구체적으로 서술되어야 한다. 구체적인 내용 서술 없이는 설득력이 떨어지고 진정성이 보이지 않는 생기부가 된다.
→ 생기부의 각 항목이 서로를 뒷받침하는 증거로 작용하면 강력한 시너지 효과를 낼 수 있다.</t>
    <phoneticPr fontId="1" type="noConversion"/>
  </si>
  <si>
    <t>학년</t>
    <phoneticPr fontId="1" type="noConversion"/>
  </si>
  <si>
    <t>반</t>
    <phoneticPr fontId="1" type="noConversion"/>
  </si>
  <si>
    <t>번호</t>
    <phoneticPr fontId="1" type="noConversion"/>
  </si>
  <si>
    <t>이름</t>
    <phoneticPr fontId="1" type="noConversion"/>
  </si>
  <si>
    <t>양, 질, 서로 다르게(내용, 표현)</t>
    <phoneticPr fontId="1" type="noConversion"/>
  </si>
  <si>
    <t>종합</t>
    <phoneticPr fontId="1" type="noConversion"/>
  </si>
  <si>
    <t>학업성취도</t>
  </si>
  <si>
    <t>태도</t>
  </si>
  <si>
    <t>적극성</t>
  </si>
  <si>
    <t>지적호기심</t>
  </si>
  <si>
    <t>탐구활동</t>
  </si>
  <si>
    <t>진로관련사항</t>
  </si>
  <si>
    <t>구분</t>
    <phoneticPr fontId="1" type="noConversion"/>
  </si>
  <si>
    <t>예시문</t>
    <phoneticPr fontId="1" type="noConversion"/>
  </si>
  <si>
    <t>CODE</t>
    <phoneticPr fontId="1" type="noConversion"/>
  </si>
  <si>
    <t>CODE</t>
    <phoneticPr fontId="1" type="noConversion"/>
  </si>
  <si>
    <t>교과이수내용</t>
  </si>
  <si>
    <t>교과이수내용</t>
    <phoneticPr fontId="1" type="noConversion"/>
  </si>
  <si>
    <t>지적성장과정</t>
  </si>
  <si>
    <t>지적성장과정</t>
    <phoneticPr fontId="1" type="noConversion"/>
  </si>
  <si>
    <t>학업성취도</t>
    <phoneticPr fontId="1" type="noConversion"/>
  </si>
  <si>
    <t>태도</t>
    <phoneticPr fontId="1" type="noConversion"/>
  </si>
  <si>
    <t>적극성</t>
    <phoneticPr fontId="1" type="noConversion"/>
  </si>
  <si>
    <t>지적호기심</t>
    <phoneticPr fontId="1" type="noConversion"/>
  </si>
  <si>
    <t>특별한관심</t>
  </si>
  <si>
    <t>특별한관심</t>
    <phoneticPr fontId="1" type="noConversion"/>
  </si>
  <si>
    <t>탐구활동</t>
    <phoneticPr fontId="1" type="noConversion"/>
  </si>
  <si>
    <t>진로관련사항</t>
    <phoneticPr fontId="1" type="noConversion"/>
  </si>
  <si>
    <t>프로젝트활동</t>
  </si>
  <si>
    <t>프로젝트활동</t>
    <phoneticPr fontId="1" type="noConversion"/>
  </si>
  <si>
    <t>학업성취도1</t>
  </si>
  <si>
    <t>태도1</t>
  </si>
  <si>
    <t>적극성1</t>
  </si>
  <si>
    <t>지적호기심1</t>
  </si>
  <si>
    <t>특별한관심1</t>
  </si>
  <si>
    <t>탐구활동1</t>
  </si>
  <si>
    <t>진로관련사항1</t>
  </si>
  <si>
    <t>프로젝트활동1</t>
  </si>
  <si>
    <t>탁월한능력</t>
  </si>
  <si>
    <t>마지막행</t>
    <phoneticPr fontId="1" type="noConversion"/>
  </si>
  <si>
    <t>강예혁</t>
  </si>
  <si>
    <t>강은찬</t>
  </si>
  <si>
    <t>고성윤</t>
  </si>
  <si>
    <t>김건</t>
  </si>
  <si>
    <t>김동건</t>
  </si>
  <si>
    <t>김주완</t>
  </si>
  <si>
    <t>김태우</t>
  </si>
  <si>
    <t>노현서</t>
  </si>
  <si>
    <t>신유찬</t>
  </si>
  <si>
    <t>심윤섭</t>
  </si>
  <si>
    <t>윤가온</t>
  </si>
  <si>
    <t>윤지환</t>
  </si>
  <si>
    <t>이다연</t>
  </si>
  <si>
    <t>전승원</t>
  </si>
  <si>
    <t>정상호</t>
  </si>
  <si>
    <t>진태인</t>
  </si>
  <si>
    <t>한민솔</t>
  </si>
  <si>
    <t>김기홍</t>
  </si>
  <si>
    <t>김동우</t>
  </si>
  <si>
    <t>김승윤</t>
  </si>
  <si>
    <t>김현수</t>
  </si>
  <si>
    <t>박재원</t>
  </si>
  <si>
    <t>박주형</t>
  </si>
  <si>
    <t>박진우</t>
  </si>
  <si>
    <t>신동민</t>
  </si>
  <si>
    <t>염예찬</t>
  </si>
  <si>
    <t>이유겸</t>
  </si>
  <si>
    <t>이재윤</t>
  </si>
  <si>
    <t>이정무</t>
  </si>
  <si>
    <t>이정민</t>
  </si>
  <si>
    <t>임경훈</t>
  </si>
  <si>
    <t>장혜원</t>
  </si>
  <si>
    <t>최정연</t>
  </si>
  <si>
    <t>곽나영</t>
  </si>
  <si>
    <t>권도휘</t>
  </si>
  <si>
    <t>김규민</t>
  </si>
  <si>
    <t>김상원</t>
  </si>
  <si>
    <t>김지섭</t>
  </si>
  <si>
    <t>박지용</t>
  </si>
  <si>
    <t>백인성</t>
  </si>
  <si>
    <t>송준영</t>
  </si>
  <si>
    <t>양해승</t>
  </si>
  <si>
    <t>유하민</t>
  </si>
  <si>
    <t>이승헌</t>
  </si>
  <si>
    <t>이채원</t>
  </si>
  <si>
    <t>이호형</t>
  </si>
  <si>
    <t>지승현</t>
  </si>
  <si>
    <t>추수혁</t>
  </si>
  <si>
    <t>태종혁</t>
  </si>
  <si>
    <t>한준</t>
  </si>
  <si>
    <t>김도준</t>
  </si>
  <si>
    <t>김도형</t>
  </si>
  <si>
    <t>김범석</t>
  </si>
  <si>
    <t>김성준</t>
  </si>
  <si>
    <t>민재경</t>
  </si>
  <si>
    <t>방준하</t>
  </si>
  <si>
    <t>배준성</t>
  </si>
  <si>
    <t>봉준상</t>
  </si>
  <si>
    <t>성하늘</t>
  </si>
  <si>
    <t>유재성</t>
  </si>
  <si>
    <t>이현진</t>
  </si>
  <si>
    <t>임정훈</t>
  </si>
  <si>
    <t>전수정</t>
  </si>
  <si>
    <t>정지윤</t>
  </si>
  <si>
    <t>최희웅</t>
  </si>
  <si>
    <t>편성주</t>
  </si>
  <si>
    <t>김민재</t>
  </si>
  <si>
    <t>김보란</t>
  </si>
  <si>
    <t>김희주</t>
  </si>
  <si>
    <t>박찬혁</t>
  </si>
  <si>
    <t>배열희</t>
  </si>
  <si>
    <t>서지운</t>
  </si>
  <si>
    <t>원승빈</t>
  </si>
  <si>
    <t>이현승</t>
  </si>
  <si>
    <t>임승민</t>
  </si>
  <si>
    <t>장현준</t>
  </si>
  <si>
    <t>정광원</t>
  </si>
  <si>
    <t>정재원</t>
  </si>
  <si>
    <t>최원우</t>
  </si>
  <si>
    <t>최현민</t>
  </si>
  <si>
    <t>황규현</t>
  </si>
  <si>
    <t>황보승욱</t>
  </si>
  <si>
    <t>고명준</t>
  </si>
  <si>
    <t>김규헌</t>
  </si>
  <si>
    <t>김동빈</t>
  </si>
  <si>
    <t>김성우</t>
  </si>
  <si>
    <t>김시우</t>
  </si>
  <si>
    <t>김영우</t>
  </si>
  <si>
    <t>김은우</t>
  </si>
  <si>
    <t>김정우</t>
  </si>
  <si>
    <t>김현우</t>
  </si>
  <si>
    <t>송명헌</t>
  </si>
  <si>
    <t>임원상</t>
  </si>
  <si>
    <t>전종훈</t>
  </si>
  <si>
    <t>조수민</t>
  </si>
  <si>
    <t>조하진</t>
  </si>
  <si>
    <t>하정윤</t>
  </si>
  <si>
    <t>한지민</t>
  </si>
  <si>
    <t>적극성1</t>
    <phoneticPr fontId="1" type="noConversion"/>
  </si>
  <si>
    <t>지적호기심1</t>
    <phoneticPr fontId="1" type="noConversion"/>
  </si>
  <si>
    <t>특별한관심1</t>
    <phoneticPr fontId="1" type="noConversion"/>
  </si>
  <si>
    <t>탁월한능력</t>
    <phoneticPr fontId="1" type="noConversion"/>
  </si>
  <si>
    <t>탐구활동1</t>
    <phoneticPr fontId="1" type="noConversion"/>
  </si>
  <si>
    <t>진로관련사항1</t>
    <phoneticPr fontId="1" type="noConversion"/>
  </si>
  <si>
    <t>프로젝트활동1</t>
    <phoneticPr fontId="1" type="noConversion"/>
  </si>
  <si>
    <t>탁월한능력2</t>
    <phoneticPr fontId="1" type="noConversion"/>
  </si>
  <si>
    <t>탁월한능력1</t>
    <phoneticPr fontId="1" type="noConversion"/>
  </si>
  <si>
    <t>수준</t>
    <phoneticPr fontId="1" type="noConversion"/>
  </si>
  <si>
    <t>최상</t>
    <phoneticPr fontId="1" type="noConversion"/>
  </si>
  <si>
    <t>상</t>
    <phoneticPr fontId="1" type="noConversion"/>
  </si>
  <si>
    <t>중</t>
    <phoneticPr fontId="1" type="noConversion"/>
  </si>
  <si>
    <t>하</t>
    <phoneticPr fontId="1" type="noConversion"/>
  </si>
  <si>
    <t>최하</t>
    <phoneticPr fontId="1" type="noConversion"/>
  </si>
  <si>
    <t>항목별 코드입력 여부 확인표</t>
  </si>
  <si>
    <t>교과이수내용</t>
    <phoneticPr fontId="1" type="noConversion"/>
  </si>
  <si>
    <t xml:space="preserve"> </t>
    <phoneticPr fontId="1" type="noConversion"/>
  </si>
  <si>
    <t>시트 목록</t>
    <phoneticPr fontId="1" type="noConversion"/>
  </si>
  <si>
    <r>
      <t>1</t>
    </r>
    <r>
      <rPr>
        <sz val="10"/>
        <color rgb="FF000000"/>
        <rFont val="함초롬바탕"/>
        <family val="1"/>
        <charset val="129"/>
      </rPr>
      <t>학기에 학습한 기본 알고리즘과 제어문을 바탕으로 배수 출력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최대최소값 구하기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파일과 구조체를 이용한 성적처리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석차구하기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재귀함수를 이용한 누적합과 팩토리얼 계산 등의 프로그램을 작성함</t>
    </r>
    <r>
      <rPr>
        <sz val="10"/>
        <color rgb="FF000000"/>
        <rFont val="나눔고딕"/>
        <family val="3"/>
        <charset val="129"/>
      </rPr>
      <t>. </t>
    </r>
    <r>
      <rPr>
        <sz val="10"/>
        <color rgb="FF000000"/>
        <rFont val="함초롬바탕"/>
        <family val="1"/>
        <charset val="129"/>
      </rPr>
      <t>실생활에서 이용되고 있는 프로그램의 알고리즘을 이해하고 응용할 수 있도록 자리 배치 프로그램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스톱워치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덧셈 트레이너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친구 이름 찾기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연평균 강우량 계산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카이사르 암호문 만들기 및 해독하기 등을 프로그래밍 함</t>
    </r>
    <r>
      <rPr>
        <sz val="10"/>
        <color rgb="FF000000"/>
        <rFont val="나눔고딕"/>
        <family val="3"/>
        <charset val="129"/>
      </rPr>
      <t>. </t>
    </r>
    <r>
      <rPr>
        <sz val="10"/>
        <color rgb="FF000000"/>
        <rFont val="함초롬바탕"/>
        <family val="1"/>
        <charset val="129"/>
      </rPr>
      <t>또한 아두이노와 센서 보드를 이용하여 나만의 </t>
    </r>
    <r>
      <rPr>
        <sz val="10"/>
        <color rgb="FF000000"/>
        <rFont val="나눔고딕"/>
        <family val="3"/>
        <charset val="129"/>
      </rPr>
      <t>LED </t>
    </r>
    <r>
      <rPr>
        <sz val="10"/>
        <color rgb="FF000000"/>
        <rFont val="함초롬바탕"/>
        <family val="1"/>
        <charset val="129"/>
      </rPr>
      <t>트리 장식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어두워지면 켜지는 센서등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전등 스위치 등을 구현하였음</t>
    </r>
    <r>
      <rPr>
        <sz val="10"/>
        <color rgb="FF000000"/>
        <rFont val="나눔고딕"/>
        <family val="3"/>
        <charset val="129"/>
      </rPr>
      <t>. </t>
    </r>
    <r>
      <rPr>
        <sz val="10"/>
        <color rgb="FF000000"/>
        <rFont val="함초롬바탕"/>
        <family val="1"/>
        <charset val="129"/>
      </rPr>
      <t>프로그램을 통해 일상생활이 편리해 질 수 있다는 것에 공감하고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프로그램의 중요성을 인식할 수 있게 됨</t>
    </r>
    <r>
      <rPr>
        <sz val="10"/>
        <color rgb="FF000000"/>
        <rFont val="나눔고딕"/>
        <family val="3"/>
        <charset val="129"/>
      </rPr>
      <t>.</t>
    </r>
  </si>
  <si>
    <r>
      <t>C </t>
    </r>
    <r>
      <rPr>
        <sz val="10"/>
        <color rgb="FF000000"/>
        <rFont val="함초롬바탕"/>
        <family val="1"/>
        <charset val="129"/>
      </rPr>
      <t>언어 프로그래밍의 함수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재귀 호출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구조체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파일 입출력 등에 대한 이해가 뛰어나며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수업 중 제시된 </t>
    </r>
    <r>
      <rPr>
        <sz val="10"/>
        <color rgb="FF000000"/>
        <rFont val="나눔고딕"/>
        <family val="3"/>
        <charset val="129"/>
      </rPr>
      <t>'</t>
    </r>
    <r>
      <rPr>
        <sz val="10"/>
        <color rgb="FF000000"/>
        <rFont val="함초롬바탕"/>
        <family val="1"/>
        <charset val="129"/>
      </rPr>
      <t>소수의 합 계산</t>
    </r>
    <r>
      <rPr>
        <sz val="10"/>
        <color rgb="FF000000"/>
        <rFont val="나눔고딕"/>
        <family val="3"/>
        <charset val="129"/>
      </rPr>
      <t>', '</t>
    </r>
    <r>
      <rPr>
        <sz val="10"/>
        <color rgb="FF000000"/>
        <rFont val="함초롬바탕"/>
        <family val="1"/>
        <charset val="129"/>
      </rPr>
      <t>팩토리얼 계산</t>
    </r>
    <r>
      <rPr>
        <sz val="10"/>
        <color rgb="FF000000"/>
        <rFont val="나눔고딕"/>
        <family val="3"/>
        <charset val="129"/>
      </rPr>
      <t>', '</t>
    </r>
    <r>
      <rPr>
        <sz val="10"/>
        <color rgb="FF000000"/>
        <rFont val="함초롬바탕"/>
        <family val="1"/>
        <charset val="129"/>
      </rPr>
      <t>팰딘드롤 수 찾기</t>
    </r>
    <r>
      <rPr>
        <sz val="10"/>
        <color rgb="FF000000"/>
        <rFont val="나눔고딕"/>
        <family val="3"/>
        <charset val="129"/>
      </rPr>
      <t>' </t>
    </r>
    <r>
      <rPr>
        <sz val="10"/>
        <color rgb="FF000000"/>
        <rFont val="함초롬바탕"/>
        <family val="1"/>
        <charset val="129"/>
      </rPr>
      <t>등 온라인 저지의 다양한 분야 문제를 추상화</t>
    </r>
    <r>
      <rPr>
        <sz val="10"/>
        <color rgb="FF000000"/>
        <rFont val="나눔고딕"/>
        <family val="3"/>
        <charset val="129"/>
      </rPr>
      <t>, </t>
    </r>
    <r>
      <rPr>
        <sz val="10"/>
        <color rgb="FF000000"/>
        <rFont val="함초롬바탕"/>
        <family val="1"/>
        <charset val="129"/>
      </rPr>
      <t>자동화 능력을 바탕으로 해결함</t>
    </r>
    <r>
      <rPr>
        <sz val="10"/>
        <color rgb="FF000000"/>
        <rFont val="나눔고딕"/>
        <family val="3"/>
        <charset val="129"/>
      </rPr>
      <t>. </t>
    </r>
    <r>
      <rPr>
        <sz val="10"/>
        <color rgb="FF000000"/>
        <rFont val="함초롬바탕"/>
        <family val="1"/>
        <charset val="129"/>
      </rPr>
      <t>아두이노와 센서보드 제어 프로그래밍을 통해 피지컬 컴퓨팅에 대한 기초적인 능력을 갖춤</t>
    </r>
    <r>
      <rPr>
        <sz val="10"/>
        <color rgb="FF000000"/>
        <rFont val="나눔고딕"/>
        <family val="3"/>
        <charset val="129"/>
      </rPr>
      <t>. </t>
    </r>
    <r>
      <rPr>
        <sz val="10"/>
        <color rgb="FF000000"/>
        <rFont val="함초롬바탕"/>
        <family val="1"/>
        <charset val="129"/>
      </rPr>
      <t>수업시간 중 문제 해결에 어려움을 겪는 친구들에게 해결 방법을 제시하고 친절하게 설명해 주는 모습을 자주 볼 수 있음</t>
    </r>
    <r>
      <rPr>
        <sz val="10"/>
        <color rgb="FF000000"/>
        <rFont val="나눔고딕"/>
        <family val="3"/>
        <charset val="129"/>
      </rPr>
      <t>. </t>
    </r>
    <r>
      <rPr>
        <sz val="10"/>
        <color rgb="FF000000"/>
        <rFont val="함초롬바탕"/>
        <family val="1"/>
        <charset val="129"/>
      </rPr>
      <t>평소 프로그래밍 문제 해결에 관심이 많아 온라인 저저의 많은 문제를 스스로 해결하는 적극적인 태도를 가짐</t>
    </r>
    <r>
      <rPr>
        <sz val="10"/>
        <color rgb="FF000000"/>
        <rFont val="나눔고딕"/>
        <family val="3"/>
        <charset val="129"/>
      </rPr>
      <t>. C </t>
    </r>
    <r>
      <rPr>
        <sz val="10"/>
        <color rgb="FF000000"/>
        <rFont val="함초롬바탕"/>
        <family val="1"/>
        <charset val="129"/>
      </rPr>
      <t>언어에 대한 이해를 바탕으로 </t>
    </r>
    <r>
      <rPr>
        <sz val="10"/>
        <color rgb="FF000000"/>
        <rFont val="나눔고딕"/>
        <family val="3"/>
        <charset val="129"/>
      </rPr>
      <t>JAVA, Unreal Engine </t>
    </r>
    <r>
      <rPr>
        <sz val="10"/>
        <color rgb="FF000000"/>
        <rFont val="함초롬바탕"/>
        <family val="1"/>
        <charset val="129"/>
      </rPr>
      <t>등에도 관심을 가지고 프로그래밍함</t>
    </r>
    <r>
      <rPr>
        <sz val="10"/>
        <color rgb="FF000000"/>
        <rFont val="나눔고딕"/>
        <family val="3"/>
        <charset val="129"/>
      </rPr>
      <t>. </t>
    </r>
    <r>
      <rPr>
        <sz val="10"/>
        <color rgb="FF000000"/>
        <rFont val="함초롬바탕"/>
        <family val="1"/>
        <charset val="129"/>
      </rPr>
      <t>정보과학 분야에 대한 관심과 관련 개념들에 대한 이해력이 우수하여 발전 가능성이 매우 기대되는 학생임</t>
    </r>
    <r>
      <rPr>
        <sz val="10"/>
        <color rgb="FF000000"/>
        <rFont val="나눔고딕"/>
        <family val="3"/>
        <charset val="129"/>
      </rPr>
      <t>.</t>
    </r>
  </si>
  <si>
    <t>탁월한능력1</t>
  </si>
  <si>
    <t>교과이수내용 예시문2</t>
  </si>
  <si>
    <t>교과이수내용 예시문2</t>
    <phoneticPr fontId="1" type="noConversion"/>
  </si>
  <si>
    <t>지적성장과정 예시문1</t>
    <phoneticPr fontId="1" type="noConversion"/>
  </si>
  <si>
    <t>교과이수내용 예시문3</t>
  </si>
  <si>
    <t>교과이수내용 예시문3</t>
    <phoneticPr fontId="1" type="noConversion"/>
  </si>
  <si>
    <t>교과이수내용 예시문4</t>
    <phoneticPr fontId="1" type="noConversion"/>
  </si>
  <si>
    <t>교과이수내용 예시문5</t>
    <phoneticPr fontId="1" type="noConversion"/>
  </si>
  <si>
    <t>지적성장과정 예시문2</t>
    <phoneticPr fontId="1" type="noConversion"/>
  </si>
  <si>
    <t>지적성장과정 예시문1</t>
    <phoneticPr fontId="1" type="noConversion"/>
  </si>
  <si>
    <t>학업성취도1</t>
    <phoneticPr fontId="1" type="noConversion"/>
  </si>
  <si>
    <t>프로젝트활동1</t>
    <phoneticPr fontId="1" type="noConversion"/>
  </si>
  <si>
    <t>hhhhhhhhhhhhhhh</t>
    <phoneticPr fontId="1" type="noConversion"/>
  </si>
  <si>
    <t>hello world</t>
    <phoneticPr fontId="1" type="noConversion"/>
  </si>
  <si>
    <t>hello world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</si>
</sst>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b/>
      <sz val="11"/>
      <color rgb="FF00B0F0"/>
      <name val="Malgun Gothic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sz val="10"/>
      <color rgb="FF000000"/>
      <name val="함초롬바탕"/>
      <family val="1"/>
      <charset val="129"/>
    </font>
    <font>
      <sz val="9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4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2" fillId="0" borderId="2" xfId="0" applyFont="1" applyBorder="1">
      <alignment vertical="center"/>
    </xf>
    <xf numFmtId="0" fontId="4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 wrapText="1"/>
      <protection locked="0"/>
    </xf>
    <xf numFmtId="0" fontId="0" fillId="2" borderId="4" xfId="0" applyFill="1" applyBorder="1" applyAlignment="1" applyProtection="1">
      <alignment horizontal="center" vertical="center" wrapText="1"/>
    </xf>
    <xf numFmtId="0" fontId="0" fillId="0" borderId="4" xfId="0" applyBorder="1" applyAlignment="1">
      <alignment horizontal="left" vertical="center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4" xfId="0" applyBorder="1" applyProtection="1">
      <alignment vertical="center"/>
      <protection locked="0"/>
    </xf>
    <xf numFmtId="0" fontId="10" fillId="0" borderId="4" xfId="0" applyFont="1" applyBorder="1" applyAlignment="1" applyProtection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9" fillId="5" borderId="4" xfId="0" applyFont="1" applyFill="1" applyBorder="1" applyAlignment="1" applyProtection="1">
      <alignment horizontal="center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8" fillId="2" borderId="4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0" borderId="0" xfId="0" applyFont="1" applyAlignment="1">
      <alignment horizontal="justify" vertical="center"/>
    </xf>
    <xf numFmtId="0" fontId="0" fillId="0" borderId="0" xfId="0" applyAlignment="1">
      <alignment vertical="center"/>
    </xf>
    <xf numFmtId="0" fontId="14" fillId="3" borderId="4" xfId="0" applyFont="1" applyFill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/>
    </xf>
    <xf numFmtId="0" fontId="14" fillId="5" borderId="4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14" fillId="4" borderId="4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left" vertical="center"/>
    </xf>
    <xf numFmtId="0" fontId="9" fillId="0" borderId="7" xfId="0" applyFont="1" applyBorder="1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4" borderId="4" xfId="0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D5960-8A2E-45B1-9D31-899B3F0D5DE6}">
  <sheetPr codeName="Sheet1">
    <tabColor theme="9" tint="0.79998168889431442"/>
  </sheetPr>
  <dimension ref="A1:D202"/>
  <sheetViews>
    <sheetView workbookViewId="0">
      <selection activeCell="J27" sqref="J27"/>
    </sheetView>
  </sheetViews>
  <sheetFormatPr defaultRowHeight="16.5"/>
  <cols>
    <col min="1" max="1" width="5.25" style="10" bestFit="1" customWidth="1"/>
    <col min="2" max="2" width="3.375" style="10" bestFit="1" customWidth="1"/>
    <col min="3" max="3" width="5.25" style="10" bestFit="1" customWidth="1"/>
    <col min="4" max="4" width="11.25" style="10" customWidth="1"/>
    <col min="5" max="16384" width="9" style="7"/>
  </cols>
  <sheetData>
    <row r="1" spans="1:4">
      <c r="A1" s="27" t="s">
        <v>12</v>
      </c>
      <c r="B1" s="27" t="s">
        <v>13</v>
      </c>
      <c r="C1" s="27" t="s">
        <v>14</v>
      </c>
      <c r="D1" s="27" t="s">
        <v>15</v>
      </c>
    </row>
    <row r="2" spans="1:4">
      <c r="A2" s="28">
        <v>1</v>
      </c>
      <c r="B2" s="28">
        <v>1</v>
      </c>
      <c r="C2" s="28">
        <v>1</v>
      </c>
      <c r="D2" s="28" t="s">
        <v>52</v>
      </c>
    </row>
    <row r="3" spans="1:4">
      <c r="A3" s="28">
        <v>1</v>
      </c>
      <c r="B3" s="28">
        <v>1</v>
      </c>
      <c r="C3" s="28">
        <v>2</v>
      </c>
      <c r="D3" s="28" t="s">
        <v>53</v>
      </c>
    </row>
    <row r="4" spans="1:4">
      <c r="A4" s="28">
        <v>1</v>
      </c>
      <c r="B4" s="28">
        <v>1</v>
      </c>
      <c r="C4" s="28">
        <v>3</v>
      </c>
      <c r="D4" s="28" t="s">
        <v>54</v>
      </c>
    </row>
    <row r="5" spans="1:4">
      <c r="A5" s="28">
        <v>1</v>
      </c>
      <c r="B5" s="28">
        <v>1</v>
      </c>
      <c r="C5" s="28">
        <v>4</v>
      </c>
      <c r="D5" s="28" t="s">
        <v>55</v>
      </c>
    </row>
    <row r="6" spans="1:4">
      <c r="A6" s="28">
        <v>1</v>
      </c>
      <c r="B6" s="28">
        <v>1</v>
      </c>
      <c r="C6" s="28">
        <v>5</v>
      </c>
      <c r="D6" s="28" t="s">
        <v>56</v>
      </c>
    </row>
    <row r="7" spans="1:4">
      <c r="A7" s="28">
        <v>1</v>
      </c>
      <c r="B7" s="28">
        <v>1</v>
      </c>
      <c r="C7" s="28">
        <v>6</v>
      </c>
      <c r="D7" s="28" t="s">
        <v>57</v>
      </c>
    </row>
    <row r="8" spans="1:4">
      <c r="A8" s="28">
        <v>1</v>
      </c>
      <c r="B8" s="28">
        <v>1</v>
      </c>
      <c r="C8" s="28">
        <v>7</v>
      </c>
      <c r="D8" s="28" t="s">
        <v>58</v>
      </c>
    </row>
    <row r="9" spans="1:4">
      <c r="A9" s="28">
        <v>1</v>
      </c>
      <c r="B9" s="28">
        <v>1</v>
      </c>
      <c r="C9" s="28">
        <v>8</v>
      </c>
      <c r="D9" s="28" t="s">
        <v>59</v>
      </c>
    </row>
    <row r="10" spans="1:4">
      <c r="A10" s="28">
        <v>1</v>
      </c>
      <c r="B10" s="28">
        <v>1</v>
      </c>
      <c r="C10" s="28">
        <v>9</v>
      </c>
      <c r="D10" s="28" t="s">
        <v>60</v>
      </c>
    </row>
    <row r="11" spans="1:4">
      <c r="A11" s="28">
        <v>1</v>
      </c>
      <c r="B11" s="28">
        <v>1</v>
      </c>
      <c r="C11" s="28">
        <v>10</v>
      </c>
      <c r="D11" s="28" t="s">
        <v>61</v>
      </c>
    </row>
    <row r="12" spans="1:4">
      <c r="A12" s="28">
        <v>1</v>
      </c>
      <c r="B12" s="28">
        <v>1</v>
      </c>
      <c r="C12" s="28">
        <v>11</v>
      </c>
      <c r="D12" s="28" t="s">
        <v>62</v>
      </c>
    </row>
    <row r="13" spans="1:4">
      <c r="A13" s="28">
        <v>1</v>
      </c>
      <c r="B13" s="28">
        <v>1</v>
      </c>
      <c r="C13" s="28">
        <v>12</v>
      </c>
      <c r="D13" s="28" t="s">
        <v>63</v>
      </c>
    </row>
    <row r="14" spans="1:4">
      <c r="A14" s="28">
        <v>1</v>
      </c>
      <c r="B14" s="28">
        <v>1</v>
      </c>
      <c r="C14" s="28">
        <v>13</v>
      </c>
      <c r="D14" s="28" t="s">
        <v>64</v>
      </c>
    </row>
    <row r="15" spans="1:4">
      <c r="A15" s="28">
        <v>1</v>
      </c>
      <c r="B15" s="28">
        <v>1</v>
      </c>
      <c r="C15" s="28">
        <v>14</v>
      </c>
      <c r="D15" s="28" t="s">
        <v>65</v>
      </c>
    </row>
    <row r="16" spans="1:4">
      <c r="A16" s="28">
        <v>1</v>
      </c>
      <c r="B16" s="28">
        <v>1</v>
      </c>
      <c r="C16" s="28">
        <v>15</v>
      </c>
      <c r="D16" s="28" t="s">
        <v>66</v>
      </c>
    </row>
    <row r="17" spans="1:4">
      <c r="A17" s="28">
        <v>1</v>
      </c>
      <c r="B17" s="28">
        <v>1</v>
      </c>
      <c r="C17" s="28">
        <v>16</v>
      </c>
      <c r="D17" s="28" t="s">
        <v>67</v>
      </c>
    </row>
    <row r="18" spans="1:4">
      <c r="A18" s="28">
        <v>1</v>
      </c>
      <c r="B18" s="28">
        <v>1</v>
      </c>
      <c r="C18" s="28">
        <v>17</v>
      </c>
      <c r="D18" s="28" t="s">
        <v>68</v>
      </c>
    </row>
    <row r="19" spans="1:4">
      <c r="A19" s="28">
        <v>1</v>
      </c>
      <c r="B19" s="28">
        <v>2</v>
      </c>
      <c r="C19" s="28">
        <v>1</v>
      </c>
      <c r="D19" s="28" t="s">
        <v>69</v>
      </c>
    </row>
    <row r="20" spans="1:4">
      <c r="A20" s="28">
        <v>1</v>
      </c>
      <c r="B20" s="28">
        <v>2</v>
      </c>
      <c r="C20" s="28">
        <v>2</v>
      </c>
      <c r="D20" s="28" t="s">
        <v>70</v>
      </c>
    </row>
    <row r="21" spans="1:4">
      <c r="A21" s="28">
        <v>1</v>
      </c>
      <c r="B21" s="28">
        <v>2</v>
      </c>
      <c r="C21" s="28">
        <v>3</v>
      </c>
      <c r="D21" s="28" t="s">
        <v>71</v>
      </c>
    </row>
    <row r="22" spans="1:4">
      <c r="A22" s="28">
        <v>1</v>
      </c>
      <c r="B22" s="28">
        <v>2</v>
      </c>
      <c r="C22" s="28">
        <v>4</v>
      </c>
      <c r="D22" s="28" t="s">
        <v>72</v>
      </c>
    </row>
    <row r="23" spans="1:4">
      <c r="A23" s="28">
        <v>1</v>
      </c>
      <c r="B23" s="28">
        <v>2</v>
      </c>
      <c r="C23" s="28">
        <v>5</v>
      </c>
      <c r="D23" s="28" t="s">
        <v>73</v>
      </c>
    </row>
    <row r="24" spans="1:4">
      <c r="A24" s="28">
        <v>1</v>
      </c>
      <c r="B24" s="28">
        <v>2</v>
      </c>
      <c r="C24" s="28">
        <v>6</v>
      </c>
      <c r="D24" s="28" t="s">
        <v>74</v>
      </c>
    </row>
    <row r="25" spans="1:4">
      <c r="A25" s="28">
        <v>1</v>
      </c>
      <c r="B25" s="28">
        <v>2</v>
      </c>
      <c r="C25" s="28">
        <v>7</v>
      </c>
      <c r="D25" s="28" t="s">
        <v>75</v>
      </c>
    </row>
    <row r="26" spans="1:4">
      <c r="A26" s="28">
        <v>1</v>
      </c>
      <c r="B26" s="28">
        <v>2</v>
      </c>
      <c r="C26" s="28">
        <v>8</v>
      </c>
      <c r="D26" s="28" t="s">
        <v>76</v>
      </c>
    </row>
    <row r="27" spans="1:4">
      <c r="A27" s="28">
        <v>1</v>
      </c>
      <c r="B27" s="28">
        <v>2</v>
      </c>
      <c r="C27" s="28">
        <v>9</v>
      </c>
      <c r="D27" s="28" t="s">
        <v>77</v>
      </c>
    </row>
    <row r="28" spans="1:4">
      <c r="A28" s="28">
        <v>1</v>
      </c>
      <c r="B28" s="28">
        <v>2</v>
      </c>
      <c r="C28" s="28">
        <v>10</v>
      </c>
      <c r="D28" s="28" t="s">
        <v>78</v>
      </c>
    </row>
    <row r="29" spans="1:4">
      <c r="A29" s="28">
        <v>1</v>
      </c>
      <c r="B29" s="28">
        <v>2</v>
      </c>
      <c r="C29" s="28">
        <v>11</v>
      </c>
      <c r="D29" s="28" t="s">
        <v>79</v>
      </c>
    </row>
    <row r="30" spans="1:4">
      <c r="A30" s="28">
        <v>1</v>
      </c>
      <c r="B30" s="28">
        <v>2</v>
      </c>
      <c r="C30" s="28">
        <v>12</v>
      </c>
      <c r="D30" s="28" t="s">
        <v>80</v>
      </c>
    </row>
    <row r="31" spans="1:4">
      <c r="A31" s="28">
        <v>1</v>
      </c>
      <c r="B31" s="28">
        <v>2</v>
      </c>
      <c r="C31" s="28">
        <v>13</v>
      </c>
      <c r="D31" s="28" t="s">
        <v>81</v>
      </c>
    </row>
    <row r="32" spans="1:4">
      <c r="A32" s="28">
        <v>1</v>
      </c>
      <c r="B32" s="28">
        <v>2</v>
      </c>
      <c r="C32" s="28">
        <v>14</v>
      </c>
      <c r="D32" s="28" t="s">
        <v>82</v>
      </c>
    </row>
    <row r="33" spans="1:4">
      <c r="A33" s="28">
        <v>1</v>
      </c>
      <c r="B33" s="28">
        <v>2</v>
      </c>
      <c r="C33" s="28">
        <v>15</v>
      </c>
      <c r="D33" s="28" t="s">
        <v>83</v>
      </c>
    </row>
    <row r="34" spans="1:4">
      <c r="A34" s="28">
        <v>1</v>
      </c>
      <c r="B34" s="28">
        <v>2</v>
      </c>
      <c r="C34" s="28">
        <v>16</v>
      </c>
      <c r="D34" s="28" t="s">
        <v>84</v>
      </c>
    </row>
    <row r="35" spans="1:4">
      <c r="A35" s="28">
        <v>1</v>
      </c>
      <c r="B35" s="28">
        <v>3</v>
      </c>
      <c r="C35" s="28">
        <v>1</v>
      </c>
      <c r="D35" s="28" t="s">
        <v>85</v>
      </c>
    </row>
    <row r="36" spans="1:4">
      <c r="A36" s="28">
        <v>1</v>
      </c>
      <c r="B36" s="28">
        <v>3</v>
      </c>
      <c r="C36" s="28">
        <v>2</v>
      </c>
      <c r="D36" s="28" t="s">
        <v>86</v>
      </c>
    </row>
    <row r="37" spans="1:4">
      <c r="A37" s="28">
        <v>1</v>
      </c>
      <c r="B37" s="28">
        <v>3</v>
      </c>
      <c r="C37" s="28">
        <v>3</v>
      </c>
      <c r="D37" s="28" t="s">
        <v>87</v>
      </c>
    </row>
    <row r="38" spans="1:4">
      <c r="A38" s="28">
        <v>1</v>
      </c>
      <c r="B38" s="28">
        <v>3</v>
      </c>
      <c r="C38" s="28">
        <v>4</v>
      </c>
      <c r="D38" s="28" t="s">
        <v>88</v>
      </c>
    </row>
    <row r="39" spans="1:4">
      <c r="A39" s="28">
        <v>1</v>
      </c>
      <c r="B39" s="28">
        <v>3</v>
      </c>
      <c r="C39" s="28">
        <v>5</v>
      </c>
      <c r="D39" s="28" t="s">
        <v>89</v>
      </c>
    </row>
    <row r="40" spans="1:4">
      <c r="A40" s="28">
        <v>1</v>
      </c>
      <c r="B40" s="28">
        <v>3</v>
      </c>
      <c r="C40" s="28">
        <v>6</v>
      </c>
      <c r="D40" s="28" t="s">
        <v>90</v>
      </c>
    </row>
    <row r="41" spans="1:4">
      <c r="A41" s="28">
        <v>1</v>
      </c>
      <c r="B41" s="28">
        <v>3</v>
      </c>
      <c r="C41" s="28">
        <v>7</v>
      </c>
      <c r="D41" s="28" t="s">
        <v>91</v>
      </c>
    </row>
    <row r="42" spans="1:4">
      <c r="A42" s="28">
        <v>1</v>
      </c>
      <c r="B42" s="28">
        <v>3</v>
      </c>
      <c r="C42" s="28">
        <v>8</v>
      </c>
      <c r="D42" s="28" t="s">
        <v>92</v>
      </c>
    </row>
    <row r="43" spans="1:4">
      <c r="A43" s="28">
        <v>1</v>
      </c>
      <c r="B43" s="28">
        <v>3</v>
      </c>
      <c r="C43" s="28">
        <v>9</v>
      </c>
      <c r="D43" s="28" t="s">
        <v>93</v>
      </c>
    </row>
    <row r="44" spans="1:4">
      <c r="A44" s="28">
        <v>1</v>
      </c>
      <c r="B44" s="28">
        <v>3</v>
      </c>
      <c r="C44" s="28">
        <v>10</v>
      </c>
      <c r="D44" s="28" t="s">
        <v>94</v>
      </c>
    </row>
    <row r="45" spans="1:4">
      <c r="A45" s="28">
        <v>1</v>
      </c>
      <c r="B45" s="28">
        <v>3</v>
      </c>
      <c r="C45" s="28">
        <v>11</v>
      </c>
      <c r="D45" s="28" t="s">
        <v>95</v>
      </c>
    </row>
    <row r="46" spans="1:4">
      <c r="A46" s="28">
        <v>1</v>
      </c>
      <c r="B46" s="28">
        <v>3</v>
      </c>
      <c r="C46" s="28">
        <v>12</v>
      </c>
      <c r="D46" s="28" t="s">
        <v>96</v>
      </c>
    </row>
    <row r="47" spans="1:4">
      <c r="A47" s="28">
        <v>1</v>
      </c>
      <c r="B47" s="28">
        <v>3</v>
      </c>
      <c r="C47" s="28">
        <v>13</v>
      </c>
      <c r="D47" s="28" t="s">
        <v>97</v>
      </c>
    </row>
    <row r="48" spans="1:4">
      <c r="A48" s="28">
        <v>1</v>
      </c>
      <c r="B48" s="28">
        <v>3</v>
      </c>
      <c r="C48" s="28">
        <v>14</v>
      </c>
      <c r="D48" s="28" t="s">
        <v>98</v>
      </c>
    </row>
    <row r="49" spans="1:4">
      <c r="A49" s="28">
        <v>1</v>
      </c>
      <c r="B49" s="28">
        <v>3</v>
      </c>
      <c r="C49" s="28">
        <v>15</v>
      </c>
      <c r="D49" s="28" t="s">
        <v>99</v>
      </c>
    </row>
    <row r="50" spans="1:4">
      <c r="A50" s="28">
        <v>1</v>
      </c>
      <c r="B50" s="28">
        <v>3</v>
      </c>
      <c r="C50" s="28">
        <v>16</v>
      </c>
      <c r="D50" s="28" t="s">
        <v>100</v>
      </c>
    </row>
    <row r="51" spans="1:4">
      <c r="A51" s="28">
        <v>1</v>
      </c>
      <c r="B51" s="28">
        <v>3</v>
      </c>
      <c r="C51" s="28">
        <v>17</v>
      </c>
      <c r="D51" s="28" t="s">
        <v>101</v>
      </c>
    </row>
    <row r="52" spans="1:4">
      <c r="A52" s="28">
        <v>1</v>
      </c>
      <c r="B52" s="28">
        <v>4</v>
      </c>
      <c r="C52" s="28">
        <v>1</v>
      </c>
      <c r="D52" s="28" t="s">
        <v>102</v>
      </c>
    </row>
    <row r="53" spans="1:4">
      <c r="A53" s="28">
        <v>1</v>
      </c>
      <c r="B53" s="28">
        <v>4</v>
      </c>
      <c r="C53" s="28">
        <v>2</v>
      </c>
      <c r="D53" s="28" t="s">
        <v>103</v>
      </c>
    </row>
    <row r="54" spans="1:4">
      <c r="A54" s="28">
        <v>1</v>
      </c>
      <c r="B54" s="28">
        <v>4</v>
      </c>
      <c r="C54" s="28">
        <v>3</v>
      </c>
      <c r="D54" s="28" t="s">
        <v>104</v>
      </c>
    </row>
    <row r="55" spans="1:4">
      <c r="A55" s="28">
        <v>1</v>
      </c>
      <c r="B55" s="28">
        <v>4</v>
      </c>
      <c r="C55" s="28">
        <v>4</v>
      </c>
      <c r="D55" s="28" t="s">
        <v>105</v>
      </c>
    </row>
    <row r="56" spans="1:4">
      <c r="A56" s="28">
        <v>1</v>
      </c>
      <c r="B56" s="28">
        <v>4</v>
      </c>
      <c r="C56" s="28">
        <v>5</v>
      </c>
      <c r="D56" s="28" t="s">
        <v>106</v>
      </c>
    </row>
    <row r="57" spans="1:4">
      <c r="A57" s="28">
        <v>1</v>
      </c>
      <c r="B57" s="28">
        <v>4</v>
      </c>
      <c r="C57" s="28">
        <v>6</v>
      </c>
      <c r="D57" s="28" t="s">
        <v>107</v>
      </c>
    </row>
    <row r="58" spans="1:4">
      <c r="A58" s="28">
        <v>1</v>
      </c>
      <c r="B58" s="28">
        <v>4</v>
      </c>
      <c r="C58" s="28">
        <v>7</v>
      </c>
      <c r="D58" s="28" t="s">
        <v>108</v>
      </c>
    </row>
    <row r="59" spans="1:4">
      <c r="A59" s="28">
        <v>1</v>
      </c>
      <c r="B59" s="28">
        <v>4</v>
      </c>
      <c r="C59" s="28">
        <v>8</v>
      </c>
      <c r="D59" s="28" t="s">
        <v>109</v>
      </c>
    </row>
    <row r="60" spans="1:4">
      <c r="A60" s="28">
        <v>1</v>
      </c>
      <c r="B60" s="28">
        <v>4</v>
      </c>
      <c r="C60" s="28">
        <v>9</v>
      </c>
      <c r="D60" s="28" t="s">
        <v>110</v>
      </c>
    </row>
    <row r="61" spans="1:4">
      <c r="A61" s="28">
        <v>1</v>
      </c>
      <c r="B61" s="28">
        <v>4</v>
      </c>
      <c r="C61" s="28">
        <v>10</v>
      </c>
      <c r="D61" s="28" t="s">
        <v>111</v>
      </c>
    </row>
    <row r="62" spans="1:4">
      <c r="A62" s="28">
        <v>1</v>
      </c>
      <c r="B62" s="28">
        <v>4</v>
      </c>
      <c r="C62" s="28">
        <v>11</v>
      </c>
      <c r="D62" s="28" t="s">
        <v>112</v>
      </c>
    </row>
    <row r="63" spans="1:4">
      <c r="A63" s="28">
        <v>1</v>
      </c>
      <c r="B63" s="28">
        <v>4</v>
      </c>
      <c r="C63" s="28">
        <v>12</v>
      </c>
      <c r="D63" s="28" t="s">
        <v>113</v>
      </c>
    </row>
    <row r="64" spans="1:4">
      <c r="A64" s="28">
        <v>1</v>
      </c>
      <c r="B64" s="28">
        <v>4</v>
      </c>
      <c r="C64" s="28">
        <v>13</v>
      </c>
      <c r="D64" s="28" t="s">
        <v>114</v>
      </c>
    </row>
    <row r="65" spans="1:4">
      <c r="A65" s="28">
        <v>1</v>
      </c>
      <c r="B65" s="28">
        <v>4</v>
      </c>
      <c r="C65" s="28">
        <v>14</v>
      </c>
      <c r="D65" s="28" t="s">
        <v>115</v>
      </c>
    </row>
    <row r="66" spans="1:4">
      <c r="A66" s="28">
        <v>1</v>
      </c>
      <c r="B66" s="28">
        <v>4</v>
      </c>
      <c r="C66" s="28">
        <v>15</v>
      </c>
      <c r="D66" s="28" t="s">
        <v>116</v>
      </c>
    </row>
    <row r="67" spans="1:4">
      <c r="A67" s="28">
        <v>1</v>
      </c>
      <c r="B67" s="28">
        <v>4</v>
      </c>
      <c r="C67" s="28">
        <v>16</v>
      </c>
      <c r="D67" s="28" t="s">
        <v>117</v>
      </c>
    </row>
    <row r="68" spans="1:4">
      <c r="A68" s="28">
        <v>1</v>
      </c>
      <c r="B68" s="28">
        <v>5</v>
      </c>
      <c r="C68" s="28">
        <v>1</v>
      </c>
      <c r="D68" s="28" t="s">
        <v>118</v>
      </c>
    </row>
    <row r="69" spans="1:4">
      <c r="A69" s="28">
        <v>1</v>
      </c>
      <c r="B69" s="28">
        <v>5</v>
      </c>
      <c r="C69" s="28">
        <v>2</v>
      </c>
      <c r="D69" s="28" t="s">
        <v>119</v>
      </c>
    </row>
    <row r="70" spans="1:4">
      <c r="A70" s="28">
        <v>1</v>
      </c>
      <c r="B70" s="28">
        <v>5</v>
      </c>
      <c r="C70" s="28">
        <v>3</v>
      </c>
      <c r="D70" s="28" t="s">
        <v>120</v>
      </c>
    </row>
    <row r="71" spans="1:4">
      <c r="A71" s="28">
        <v>1</v>
      </c>
      <c r="B71" s="28">
        <v>5</v>
      </c>
      <c r="C71" s="28">
        <v>4</v>
      </c>
      <c r="D71" s="28" t="s">
        <v>121</v>
      </c>
    </row>
    <row r="72" spans="1:4">
      <c r="A72" s="28">
        <v>1</v>
      </c>
      <c r="B72" s="28">
        <v>5</v>
      </c>
      <c r="C72" s="28">
        <v>5</v>
      </c>
      <c r="D72" s="28" t="s">
        <v>122</v>
      </c>
    </row>
    <row r="73" spans="1:4">
      <c r="A73" s="28">
        <v>1</v>
      </c>
      <c r="B73" s="28">
        <v>5</v>
      </c>
      <c r="C73" s="28">
        <v>6</v>
      </c>
      <c r="D73" s="28" t="s">
        <v>123</v>
      </c>
    </row>
    <row r="74" spans="1:4">
      <c r="A74" s="28">
        <v>1</v>
      </c>
      <c r="B74" s="28">
        <v>5</v>
      </c>
      <c r="C74" s="28">
        <v>7</v>
      </c>
      <c r="D74" s="28" t="s">
        <v>124</v>
      </c>
    </row>
    <row r="75" spans="1:4">
      <c r="A75" s="28">
        <v>1</v>
      </c>
      <c r="B75" s="28">
        <v>5</v>
      </c>
      <c r="C75" s="28">
        <v>8</v>
      </c>
      <c r="D75" s="28" t="s">
        <v>125</v>
      </c>
    </row>
    <row r="76" spans="1:4">
      <c r="A76" s="28">
        <v>1</v>
      </c>
      <c r="B76" s="28">
        <v>5</v>
      </c>
      <c r="C76" s="28">
        <v>9</v>
      </c>
      <c r="D76" s="28" t="s">
        <v>126</v>
      </c>
    </row>
    <row r="77" spans="1:4">
      <c r="A77" s="28">
        <v>1</v>
      </c>
      <c r="B77" s="28">
        <v>5</v>
      </c>
      <c r="C77" s="28">
        <v>10</v>
      </c>
      <c r="D77" s="28" t="s">
        <v>127</v>
      </c>
    </row>
    <row r="78" spans="1:4">
      <c r="A78" s="28">
        <v>1</v>
      </c>
      <c r="B78" s="28">
        <v>5</v>
      </c>
      <c r="C78" s="28">
        <v>11</v>
      </c>
      <c r="D78" s="28" t="s">
        <v>128</v>
      </c>
    </row>
    <row r="79" spans="1:4">
      <c r="A79" s="28">
        <v>1</v>
      </c>
      <c r="B79" s="28">
        <v>5</v>
      </c>
      <c r="C79" s="28">
        <v>12</v>
      </c>
      <c r="D79" s="28" t="s">
        <v>129</v>
      </c>
    </row>
    <row r="80" spans="1:4">
      <c r="A80" s="28">
        <v>1</v>
      </c>
      <c r="B80" s="28">
        <v>5</v>
      </c>
      <c r="C80" s="28">
        <v>13</v>
      </c>
      <c r="D80" s="28" t="s">
        <v>130</v>
      </c>
    </row>
    <row r="81" spans="1:4">
      <c r="A81" s="28">
        <v>1</v>
      </c>
      <c r="B81" s="28">
        <v>5</v>
      </c>
      <c r="C81" s="28">
        <v>14</v>
      </c>
      <c r="D81" s="28" t="s">
        <v>131</v>
      </c>
    </row>
    <row r="82" spans="1:4">
      <c r="A82" s="28">
        <v>1</v>
      </c>
      <c r="B82" s="28">
        <v>5</v>
      </c>
      <c r="C82" s="28">
        <v>15</v>
      </c>
      <c r="D82" s="28" t="s">
        <v>132</v>
      </c>
    </row>
    <row r="83" spans="1:4">
      <c r="A83" s="28">
        <v>1</v>
      </c>
      <c r="B83" s="28">
        <v>5</v>
      </c>
      <c r="C83" s="28">
        <v>16</v>
      </c>
      <c r="D83" s="28" t="s">
        <v>133</v>
      </c>
    </row>
    <row r="84" spans="1:4">
      <c r="A84" s="28">
        <v>1</v>
      </c>
      <c r="B84" s="28">
        <v>6</v>
      </c>
      <c r="C84" s="28">
        <v>1</v>
      </c>
      <c r="D84" s="28" t="s">
        <v>134</v>
      </c>
    </row>
    <row r="85" spans="1:4">
      <c r="A85" s="28">
        <v>1</v>
      </c>
      <c r="B85" s="28">
        <v>6</v>
      </c>
      <c r="C85" s="28">
        <v>2</v>
      </c>
      <c r="D85" s="28" t="s">
        <v>135</v>
      </c>
    </row>
    <row r="86" spans="1:4">
      <c r="A86" s="28">
        <v>1</v>
      </c>
      <c r="B86" s="28">
        <v>6</v>
      </c>
      <c r="C86" s="28">
        <v>3</v>
      </c>
      <c r="D86" s="28" t="s">
        <v>136</v>
      </c>
    </row>
    <row r="87" spans="1:4">
      <c r="A87" s="28">
        <v>1</v>
      </c>
      <c r="B87" s="28">
        <v>6</v>
      </c>
      <c r="C87" s="28">
        <v>4</v>
      </c>
      <c r="D87" s="28" t="s">
        <v>137</v>
      </c>
    </row>
    <row r="88" spans="1:4">
      <c r="A88" s="28">
        <v>1</v>
      </c>
      <c r="B88" s="28">
        <v>6</v>
      </c>
      <c r="C88" s="28">
        <v>5</v>
      </c>
      <c r="D88" s="28" t="s">
        <v>138</v>
      </c>
    </row>
    <row r="89" spans="1:4">
      <c r="A89" s="28">
        <v>1</v>
      </c>
      <c r="B89" s="28">
        <v>6</v>
      </c>
      <c r="C89" s="28">
        <v>6</v>
      </c>
      <c r="D89" s="28" t="s">
        <v>139</v>
      </c>
    </row>
    <row r="90" spans="1:4">
      <c r="A90" s="28">
        <v>1</v>
      </c>
      <c r="B90" s="28">
        <v>6</v>
      </c>
      <c r="C90" s="28">
        <v>7</v>
      </c>
      <c r="D90" s="28" t="s">
        <v>140</v>
      </c>
    </row>
    <row r="91" spans="1:4">
      <c r="A91" s="28">
        <v>1</v>
      </c>
      <c r="B91" s="28">
        <v>6</v>
      </c>
      <c r="C91" s="28">
        <v>8</v>
      </c>
      <c r="D91" s="28" t="s">
        <v>141</v>
      </c>
    </row>
    <row r="92" spans="1:4">
      <c r="A92" s="28">
        <v>1</v>
      </c>
      <c r="B92" s="28">
        <v>6</v>
      </c>
      <c r="C92" s="28">
        <v>9</v>
      </c>
      <c r="D92" s="28" t="s">
        <v>142</v>
      </c>
    </row>
    <row r="93" spans="1:4">
      <c r="A93" s="28">
        <v>1</v>
      </c>
      <c r="B93" s="28">
        <v>6</v>
      </c>
      <c r="C93" s="28">
        <v>10</v>
      </c>
      <c r="D93" s="28" t="s">
        <v>143</v>
      </c>
    </row>
    <row r="94" spans="1:4">
      <c r="A94" s="28">
        <v>1</v>
      </c>
      <c r="B94" s="28">
        <v>6</v>
      </c>
      <c r="C94" s="28">
        <v>11</v>
      </c>
      <c r="D94" s="28" t="s">
        <v>81</v>
      </c>
    </row>
    <row r="95" spans="1:4">
      <c r="A95" s="28">
        <v>1</v>
      </c>
      <c r="B95" s="28">
        <v>6</v>
      </c>
      <c r="C95" s="28">
        <v>12</v>
      </c>
      <c r="D95" s="28" t="s">
        <v>144</v>
      </c>
    </row>
    <row r="96" spans="1:4">
      <c r="A96" s="28">
        <v>1</v>
      </c>
      <c r="B96" s="28">
        <v>6</v>
      </c>
      <c r="C96" s="28">
        <v>13</v>
      </c>
      <c r="D96" s="28" t="s">
        <v>145</v>
      </c>
    </row>
    <row r="97" spans="1:4">
      <c r="A97" s="28">
        <v>1</v>
      </c>
      <c r="B97" s="28">
        <v>6</v>
      </c>
      <c r="C97" s="28">
        <v>14</v>
      </c>
      <c r="D97" s="28" t="s">
        <v>146</v>
      </c>
    </row>
    <row r="98" spans="1:4">
      <c r="A98" s="28">
        <v>1</v>
      </c>
      <c r="B98" s="28">
        <v>6</v>
      </c>
      <c r="C98" s="28">
        <v>15</v>
      </c>
      <c r="D98" s="28" t="s">
        <v>147</v>
      </c>
    </row>
    <row r="99" spans="1:4">
      <c r="A99" s="28">
        <v>1</v>
      </c>
      <c r="B99" s="28">
        <v>6</v>
      </c>
      <c r="C99" s="28">
        <v>16</v>
      </c>
      <c r="D99" s="28" t="s">
        <v>148</v>
      </c>
    </row>
    <row r="100" spans="1:4">
      <c r="A100" s="28">
        <v>1</v>
      </c>
      <c r="B100" s="28">
        <v>6</v>
      </c>
      <c r="C100" s="28">
        <v>17</v>
      </c>
      <c r="D100" s="28" t="s">
        <v>149</v>
      </c>
    </row>
    <row r="101" spans="1:4">
      <c r="A101" s="28"/>
      <c r="B101" s="28"/>
      <c r="C101" s="28"/>
      <c r="D101" s="28"/>
    </row>
    <row r="102" spans="1:4">
      <c r="A102" s="28"/>
      <c r="B102" s="28"/>
      <c r="C102" s="28"/>
      <c r="D102" s="28"/>
    </row>
    <row r="103" spans="1:4">
      <c r="A103" s="28"/>
      <c r="B103" s="28"/>
      <c r="C103" s="28"/>
      <c r="D103" s="28"/>
    </row>
    <row r="104" spans="1:4">
      <c r="A104" s="28"/>
      <c r="B104" s="28"/>
      <c r="C104" s="28"/>
      <c r="D104" s="28"/>
    </row>
    <row r="105" spans="1:4">
      <c r="A105" s="28"/>
      <c r="B105" s="28"/>
      <c r="C105" s="28"/>
      <c r="D105" s="28"/>
    </row>
    <row r="106" spans="1:4">
      <c r="A106" s="28"/>
      <c r="B106" s="28"/>
      <c r="C106" s="28"/>
      <c r="D106" s="28"/>
    </row>
    <row r="107" spans="1:4">
      <c r="A107" s="28"/>
      <c r="B107" s="28"/>
      <c r="C107" s="28"/>
      <c r="D107" s="28"/>
    </row>
    <row r="108" spans="1:4">
      <c r="A108" s="28"/>
      <c r="B108" s="28"/>
      <c r="C108" s="28"/>
      <c r="D108" s="28"/>
    </row>
    <row r="109" spans="1:4">
      <c r="A109" s="28"/>
      <c r="B109" s="28"/>
      <c r="C109" s="28"/>
      <c r="D109" s="28"/>
    </row>
    <row r="110" spans="1:4">
      <c r="A110" s="28"/>
      <c r="B110" s="28"/>
      <c r="C110" s="28"/>
      <c r="D110" s="28"/>
    </row>
    <row r="111" spans="1:4">
      <c r="A111" s="28"/>
      <c r="B111" s="28"/>
      <c r="C111" s="28"/>
      <c r="D111" s="28"/>
    </row>
    <row r="112" spans="1:4">
      <c r="A112" s="28"/>
      <c r="B112" s="28"/>
      <c r="C112" s="28"/>
      <c r="D112" s="28"/>
    </row>
    <row r="113" spans="1:4">
      <c r="A113" s="28"/>
      <c r="B113" s="28"/>
      <c r="C113" s="28"/>
      <c r="D113" s="28"/>
    </row>
    <row r="114" spans="1:4">
      <c r="A114" s="28"/>
      <c r="B114" s="28"/>
      <c r="C114" s="28"/>
      <c r="D114" s="28"/>
    </row>
    <row r="115" spans="1:4">
      <c r="A115" s="28"/>
      <c r="B115" s="28"/>
      <c r="C115" s="28"/>
      <c r="D115" s="28"/>
    </row>
    <row r="116" spans="1:4">
      <c r="A116" s="28"/>
      <c r="B116" s="28"/>
      <c r="C116" s="28"/>
      <c r="D116" s="28"/>
    </row>
    <row r="117" spans="1:4">
      <c r="A117" s="28"/>
      <c r="B117" s="28"/>
      <c r="C117" s="28"/>
      <c r="D117" s="28"/>
    </row>
    <row r="118" spans="1:4">
      <c r="A118" s="28"/>
      <c r="B118" s="28"/>
      <c r="C118" s="28"/>
      <c r="D118" s="28"/>
    </row>
    <row r="119" spans="1:4">
      <c r="A119" s="28"/>
      <c r="B119" s="28"/>
      <c r="C119" s="28"/>
      <c r="D119" s="28"/>
    </row>
    <row r="120" spans="1:4">
      <c r="A120" s="28"/>
      <c r="B120" s="28"/>
      <c r="C120" s="28"/>
      <c r="D120" s="28"/>
    </row>
    <row r="121" spans="1:4">
      <c r="A121" s="28"/>
      <c r="B121" s="28"/>
      <c r="C121" s="28"/>
      <c r="D121" s="28"/>
    </row>
    <row r="122" spans="1:4">
      <c r="A122" s="28"/>
      <c r="B122" s="28"/>
      <c r="C122" s="28"/>
      <c r="D122" s="28"/>
    </row>
    <row r="123" spans="1:4">
      <c r="A123" s="28"/>
      <c r="B123" s="28"/>
      <c r="C123" s="28"/>
      <c r="D123" s="28"/>
    </row>
    <row r="124" spans="1:4">
      <c r="A124" s="28"/>
      <c r="B124" s="28"/>
      <c r="C124" s="28"/>
      <c r="D124" s="28"/>
    </row>
    <row r="125" spans="1:4">
      <c r="A125" s="28"/>
      <c r="B125" s="28"/>
      <c r="C125" s="28"/>
      <c r="D125" s="28"/>
    </row>
    <row r="126" spans="1:4">
      <c r="A126" s="28"/>
      <c r="B126" s="28"/>
      <c r="C126" s="28"/>
      <c r="D126" s="28"/>
    </row>
    <row r="127" spans="1:4">
      <c r="A127" s="28"/>
      <c r="B127" s="28"/>
      <c r="C127" s="28"/>
      <c r="D127" s="28"/>
    </row>
    <row r="128" spans="1:4">
      <c r="A128" s="28"/>
      <c r="B128" s="28"/>
      <c r="C128" s="28"/>
      <c r="D128" s="28"/>
    </row>
    <row r="129" spans="1:4">
      <c r="A129" s="28"/>
      <c r="B129" s="28"/>
      <c r="C129" s="28"/>
      <c r="D129" s="28"/>
    </row>
    <row r="130" spans="1:4">
      <c r="A130" s="28"/>
      <c r="B130" s="28"/>
      <c r="C130" s="28"/>
      <c r="D130" s="28"/>
    </row>
    <row r="131" spans="1:4">
      <c r="A131" s="28"/>
      <c r="B131" s="28"/>
      <c r="C131" s="28"/>
      <c r="D131" s="28"/>
    </row>
    <row r="132" spans="1:4">
      <c r="A132" s="28"/>
      <c r="B132" s="28"/>
      <c r="C132" s="28"/>
      <c r="D132" s="28"/>
    </row>
    <row r="133" spans="1:4">
      <c r="A133" s="28"/>
      <c r="B133" s="28"/>
      <c r="C133" s="28"/>
      <c r="D133" s="28"/>
    </row>
    <row r="134" spans="1:4">
      <c r="A134" s="28"/>
      <c r="B134" s="28"/>
      <c r="C134" s="28"/>
      <c r="D134" s="28"/>
    </row>
    <row r="135" spans="1:4">
      <c r="A135" s="28"/>
      <c r="B135" s="28"/>
      <c r="C135" s="28"/>
      <c r="D135" s="28"/>
    </row>
    <row r="136" spans="1:4">
      <c r="A136" s="28"/>
      <c r="B136" s="28"/>
      <c r="C136" s="28"/>
      <c r="D136" s="28"/>
    </row>
    <row r="137" spans="1:4">
      <c r="A137" s="28"/>
      <c r="B137" s="28"/>
      <c r="C137" s="28"/>
      <c r="D137" s="28"/>
    </row>
    <row r="138" spans="1:4">
      <c r="A138" s="28"/>
      <c r="B138" s="28"/>
      <c r="C138" s="28"/>
      <c r="D138" s="28"/>
    </row>
    <row r="139" spans="1:4">
      <c r="A139" s="28"/>
      <c r="B139" s="28"/>
      <c r="C139" s="28"/>
      <c r="D139" s="28"/>
    </row>
    <row r="140" spans="1:4">
      <c r="A140" s="28"/>
      <c r="B140" s="28"/>
      <c r="C140" s="28"/>
      <c r="D140" s="28"/>
    </row>
    <row r="141" spans="1:4">
      <c r="A141" s="28"/>
      <c r="B141" s="28"/>
      <c r="C141" s="28"/>
      <c r="D141" s="28"/>
    </row>
    <row r="142" spans="1:4">
      <c r="A142" s="28"/>
      <c r="B142" s="28"/>
      <c r="C142" s="28"/>
      <c r="D142" s="28"/>
    </row>
    <row r="143" spans="1:4">
      <c r="A143" s="28"/>
      <c r="B143" s="28"/>
      <c r="C143" s="28"/>
      <c r="D143" s="28"/>
    </row>
    <row r="144" spans="1:4">
      <c r="A144" s="28"/>
      <c r="B144" s="28"/>
      <c r="C144" s="28"/>
      <c r="D144" s="28"/>
    </row>
    <row r="145" spans="1:4">
      <c r="A145" s="28"/>
      <c r="B145" s="28"/>
      <c r="C145" s="28"/>
      <c r="D145" s="28"/>
    </row>
    <row r="146" spans="1:4">
      <c r="A146" s="28"/>
      <c r="B146" s="28"/>
      <c r="C146" s="28"/>
      <c r="D146" s="28"/>
    </row>
    <row r="147" spans="1:4">
      <c r="A147" s="28"/>
      <c r="B147" s="28"/>
      <c r="C147" s="28"/>
      <c r="D147" s="28"/>
    </row>
    <row r="148" spans="1:4">
      <c r="A148" s="28"/>
      <c r="B148" s="28"/>
      <c r="C148" s="28"/>
      <c r="D148" s="28"/>
    </row>
    <row r="149" spans="1:4">
      <c r="A149" s="28"/>
      <c r="B149" s="28"/>
      <c r="C149" s="28"/>
      <c r="D149" s="28"/>
    </row>
    <row r="150" spans="1:4">
      <c r="A150" s="28"/>
      <c r="B150" s="28"/>
      <c r="C150" s="28"/>
      <c r="D150" s="28"/>
    </row>
    <row r="151" spans="1:4">
      <c r="A151" s="28"/>
      <c r="B151" s="28"/>
      <c r="C151" s="28"/>
      <c r="D151" s="28"/>
    </row>
    <row r="152" spans="1:4">
      <c r="A152" s="28"/>
      <c r="B152" s="28"/>
      <c r="C152" s="28"/>
      <c r="D152" s="28"/>
    </row>
    <row r="153" spans="1:4">
      <c r="A153" s="28"/>
      <c r="B153" s="28"/>
      <c r="C153" s="28"/>
      <c r="D153" s="28"/>
    </row>
    <row r="154" spans="1:4">
      <c r="A154" s="28"/>
      <c r="B154" s="28"/>
      <c r="C154" s="28"/>
      <c r="D154" s="28"/>
    </row>
    <row r="155" spans="1:4">
      <c r="A155" s="28"/>
      <c r="B155" s="28"/>
      <c r="C155" s="28"/>
      <c r="D155" s="28"/>
    </row>
    <row r="156" spans="1:4">
      <c r="A156" s="28"/>
      <c r="B156" s="28"/>
      <c r="C156" s="28"/>
      <c r="D156" s="28"/>
    </row>
    <row r="157" spans="1:4">
      <c r="A157" s="28"/>
      <c r="B157" s="28"/>
      <c r="C157" s="28"/>
      <c r="D157" s="28"/>
    </row>
    <row r="158" spans="1:4">
      <c r="A158" s="28"/>
      <c r="B158" s="28"/>
      <c r="C158" s="28"/>
      <c r="D158" s="28"/>
    </row>
    <row r="159" spans="1:4">
      <c r="A159" s="28"/>
      <c r="B159" s="28"/>
      <c r="C159" s="28"/>
      <c r="D159" s="28"/>
    </row>
    <row r="160" spans="1:4">
      <c r="A160" s="28"/>
      <c r="B160" s="28"/>
      <c r="C160" s="28"/>
      <c r="D160" s="28"/>
    </row>
    <row r="161" spans="1:4">
      <c r="A161" s="28"/>
      <c r="B161" s="28"/>
      <c r="C161" s="28"/>
      <c r="D161" s="28"/>
    </row>
    <row r="162" spans="1:4">
      <c r="A162" s="28"/>
      <c r="B162" s="28"/>
      <c r="C162" s="28"/>
      <c r="D162" s="28"/>
    </row>
    <row r="163" spans="1:4">
      <c r="A163" s="28"/>
      <c r="B163" s="28"/>
      <c r="C163" s="28"/>
      <c r="D163" s="28"/>
    </row>
    <row r="164" spans="1:4">
      <c r="A164" s="28"/>
      <c r="B164" s="28"/>
      <c r="C164" s="28"/>
      <c r="D164" s="28"/>
    </row>
    <row r="165" spans="1:4">
      <c r="A165" s="28"/>
      <c r="B165" s="28"/>
      <c r="C165" s="28"/>
      <c r="D165" s="28"/>
    </row>
    <row r="166" spans="1:4">
      <c r="A166" s="28"/>
      <c r="B166" s="28"/>
      <c r="C166" s="28"/>
      <c r="D166" s="28"/>
    </row>
    <row r="167" spans="1:4">
      <c r="A167" s="28"/>
      <c r="B167" s="28"/>
      <c r="C167" s="28"/>
      <c r="D167" s="28"/>
    </row>
    <row r="168" spans="1:4">
      <c r="A168" s="28"/>
      <c r="B168" s="28"/>
      <c r="C168" s="28"/>
      <c r="D168" s="28"/>
    </row>
    <row r="169" spans="1:4">
      <c r="A169" s="28"/>
      <c r="B169" s="28"/>
      <c r="C169" s="28"/>
      <c r="D169" s="28"/>
    </row>
    <row r="170" spans="1:4">
      <c r="A170" s="28"/>
      <c r="B170" s="28"/>
      <c r="C170" s="28"/>
      <c r="D170" s="28"/>
    </row>
    <row r="171" spans="1:4">
      <c r="A171" s="28"/>
      <c r="B171" s="28"/>
      <c r="C171" s="28"/>
      <c r="D171" s="28"/>
    </row>
    <row r="172" spans="1:4">
      <c r="A172" s="28"/>
      <c r="B172" s="28"/>
      <c r="C172" s="28"/>
      <c r="D172" s="28"/>
    </row>
    <row r="173" spans="1:4">
      <c r="A173" s="28"/>
      <c r="B173" s="28"/>
      <c r="C173" s="28"/>
      <c r="D173" s="28"/>
    </row>
    <row r="174" spans="1:4">
      <c r="A174" s="28"/>
      <c r="B174" s="28"/>
      <c r="C174" s="28"/>
      <c r="D174" s="28"/>
    </row>
    <row r="175" spans="1:4">
      <c r="A175" s="28"/>
      <c r="B175" s="28"/>
      <c r="C175" s="28"/>
      <c r="D175" s="28"/>
    </row>
    <row r="176" spans="1:4">
      <c r="A176" s="28"/>
      <c r="B176" s="28"/>
      <c r="C176" s="28"/>
      <c r="D176" s="28"/>
    </row>
    <row r="177" spans="1:4">
      <c r="A177" s="28"/>
      <c r="B177" s="28"/>
      <c r="C177" s="28"/>
      <c r="D177" s="28"/>
    </row>
    <row r="178" spans="1:4">
      <c r="A178" s="28"/>
      <c r="B178" s="28"/>
      <c r="C178" s="28"/>
      <c r="D178" s="28"/>
    </row>
    <row r="179" spans="1:4">
      <c r="A179" s="28"/>
      <c r="B179" s="28"/>
      <c r="C179" s="28"/>
      <c r="D179" s="28"/>
    </row>
    <row r="180" spans="1:4">
      <c r="A180" s="28"/>
      <c r="B180" s="28"/>
      <c r="C180" s="28"/>
      <c r="D180" s="28"/>
    </row>
    <row r="181" spans="1:4">
      <c r="A181" s="28"/>
      <c r="B181" s="28"/>
      <c r="C181" s="28"/>
      <c r="D181" s="28"/>
    </row>
    <row r="182" spans="1:4">
      <c r="A182" s="28"/>
      <c r="B182" s="28"/>
      <c r="C182" s="28"/>
      <c r="D182" s="28"/>
    </row>
    <row r="183" spans="1:4">
      <c r="A183" s="28"/>
      <c r="B183" s="28"/>
      <c r="C183" s="28"/>
      <c r="D183" s="28"/>
    </row>
    <row r="184" spans="1:4">
      <c r="A184" s="28"/>
      <c r="B184" s="28"/>
      <c r="C184" s="28"/>
      <c r="D184" s="28"/>
    </row>
    <row r="185" spans="1:4">
      <c r="A185" s="28"/>
      <c r="B185" s="28"/>
      <c r="C185" s="28"/>
      <c r="D185" s="28"/>
    </row>
    <row r="186" spans="1:4">
      <c r="A186" s="28"/>
      <c r="B186" s="28"/>
      <c r="C186" s="28"/>
      <c r="D186" s="28"/>
    </row>
    <row r="187" spans="1:4">
      <c r="A187" s="28"/>
      <c r="B187" s="28"/>
      <c r="C187" s="28"/>
      <c r="D187" s="28"/>
    </row>
    <row r="188" spans="1:4">
      <c r="A188" s="28"/>
      <c r="B188" s="28"/>
      <c r="C188" s="28"/>
      <c r="D188" s="28"/>
    </row>
    <row r="189" spans="1:4">
      <c r="A189" s="28"/>
      <c r="B189" s="28"/>
      <c r="C189" s="28"/>
      <c r="D189" s="28"/>
    </row>
    <row r="190" spans="1:4">
      <c r="A190" s="28"/>
      <c r="B190" s="28"/>
      <c r="C190" s="28"/>
      <c r="D190" s="28"/>
    </row>
    <row r="191" spans="1:4">
      <c r="A191" s="28"/>
      <c r="B191" s="28"/>
      <c r="C191" s="28"/>
      <c r="D191" s="28"/>
    </row>
    <row r="192" spans="1:4">
      <c r="A192" s="28"/>
      <c r="B192" s="28"/>
      <c r="C192" s="28"/>
      <c r="D192" s="28"/>
    </row>
    <row r="193" spans="1:4">
      <c r="A193" s="28"/>
      <c r="B193" s="28"/>
      <c r="C193" s="28"/>
      <c r="D193" s="28"/>
    </row>
    <row r="194" spans="1:4">
      <c r="A194" s="28"/>
      <c r="B194" s="28"/>
      <c r="C194" s="28"/>
      <c r="D194" s="28"/>
    </row>
    <row r="195" spans="1:4">
      <c r="A195" s="28"/>
      <c r="B195" s="28"/>
      <c r="C195" s="28"/>
      <c r="D195" s="28"/>
    </row>
    <row r="196" spans="1:4">
      <c r="A196" s="28"/>
      <c r="B196" s="28"/>
      <c r="C196" s="28"/>
      <c r="D196" s="28"/>
    </row>
    <row r="197" spans="1:4">
      <c r="A197" s="28"/>
      <c r="B197" s="28"/>
      <c r="C197" s="28"/>
      <c r="D197" s="28"/>
    </row>
    <row r="198" spans="1:4">
      <c r="A198" s="28"/>
      <c r="B198" s="28"/>
      <c r="C198" s="28"/>
      <c r="D198" s="28"/>
    </row>
    <row r="199" spans="1:4">
      <c r="A199" s="28"/>
      <c r="B199" s="28"/>
      <c r="C199" s="28"/>
      <c r="D199" s="28"/>
    </row>
    <row r="200" spans="1:4">
      <c r="A200" s="28"/>
      <c r="B200" s="28"/>
      <c r="C200" s="28"/>
      <c r="D200" s="28"/>
    </row>
    <row r="201" spans="1:4">
      <c r="A201" s="28"/>
      <c r="B201" s="28"/>
      <c r="C201" s="28"/>
      <c r="D201" s="28"/>
    </row>
    <row r="202" spans="1:4">
      <c r="A202" s="28"/>
      <c r="B202" s="28"/>
      <c r="C202" s="28"/>
      <c r="D202" s="28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01F0-2BD6-49CD-88A5-02D76B53EE07}">
  <sheetPr codeName="Sheet2">
    <tabColor theme="7" tint="0.79998168889431442"/>
  </sheetPr>
  <dimension ref="A2:F202"/>
  <sheetViews>
    <sheetView workbookViewId="0">
      <pane ySplit="2" topLeftCell="A3" activePane="bottomLeft" state="frozen"/>
      <selection activeCell="F11" sqref="F11"/>
      <selection pane="bottomLeft" activeCell="F24" sqref="F24"/>
    </sheetView>
  </sheetViews>
  <sheetFormatPr defaultRowHeight="16.5"/>
  <cols>
    <col min="1" max="1" width="5.25" style="12" hidden="1" customWidth="1"/>
    <col min="2" max="2" width="4.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28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185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>
        <v>2</v>
      </c>
      <c r="F4" s="24" t="s">
        <v>172</v>
      </c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>
        <v>3</v>
      </c>
      <c r="F5" s="24" t="s">
        <v>175</v>
      </c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1A5AC-5B9E-4191-B10C-03BDD6B8B97D}">
  <sheetPr codeName="Sheet3">
    <tabColor theme="7" tint="0.79998168889431442"/>
  </sheetPr>
  <dimension ref="A2:F202"/>
  <sheetViews>
    <sheetView workbookViewId="0">
      <pane ySplit="2" topLeftCell="A3" activePane="bottomLeft" state="frozen"/>
      <selection activeCell="F11" sqref="F11"/>
      <selection pane="bottomLeft" activeCell="F16" sqref="F16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30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180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/>
      <c r="F4" s="24"/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2038F-0D49-4918-88ED-9A93536DB27D}">
  <sheetPr codeName="Sheet4">
    <tabColor theme="7" tint="0.79998168889431442"/>
  </sheetPr>
  <dimension ref="A2:F202"/>
  <sheetViews>
    <sheetView workbookViewId="0">
      <pane ySplit="2" topLeftCell="A3" activePane="bottomLeft" state="frozen"/>
      <selection activeCell="F11" sqref="F11"/>
      <selection pane="bottomLeft" activeCell="E4" sqref="E4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18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181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/>
      <c r="F4" s="24"/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18AB-EA48-48B3-8EF1-CD05E6F20ED1}">
  <sheetPr codeName="Sheet5">
    <tabColor theme="7" tint="0.79998168889431442"/>
  </sheetPr>
  <dimension ref="A2:F202"/>
  <sheetViews>
    <sheetView workbookViewId="0">
      <pane ySplit="2" topLeftCell="A3" activePane="bottomLeft" state="frozen"/>
      <selection activeCell="F11" sqref="F11"/>
      <selection pane="bottomLeft" activeCell="F15" sqref="F15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19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43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/>
      <c r="F4" s="24"/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 t="s">
        <v>183</v>
      </c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EE829-0FB6-4771-9906-331C474DAA08}">
  <sheetPr codeName="Sheet6">
    <tabColor theme="7" tint="0.79998168889431442"/>
  </sheetPr>
  <dimension ref="A2:F202"/>
  <sheetViews>
    <sheetView workbookViewId="0">
      <pane ySplit="2" topLeftCell="A3" activePane="bottomLeft" state="frozen"/>
      <selection activeCell="F11" sqref="F11"/>
      <selection pane="bottomLeft" activeCell="E4" sqref="E4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20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150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/>
      <c r="F4" s="24"/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43E1F-CA22-45CA-BD55-FE40299A9CE4}">
  <sheetPr codeName="Sheet7">
    <tabColor theme="7" tint="0.79998168889431442"/>
  </sheetPr>
  <dimension ref="A2:F202"/>
  <sheetViews>
    <sheetView workbookViewId="0">
      <pane ySplit="2" topLeftCell="A3" activePane="bottomLeft" state="frozen"/>
      <selection activeCell="F11" sqref="F11"/>
      <selection pane="bottomLeft" activeCell="E5" sqref="E5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21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151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>
        <v>1</v>
      </c>
      <c r="F4" s="24" t="s">
        <v>45</v>
      </c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6F93E-CD04-461B-AAAD-29013FC58E68}">
  <sheetPr codeName="Sheet8">
    <tabColor theme="7" tint="0.79998168889431442"/>
  </sheetPr>
  <dimension ref="A2:F202"/>
  <sheetViews>
    <sheetView workbookViewId="0">
      <pane ySplit="2" topLeftCell="A3" activePane="bottomLeft" state="frozen"/>
      <selection activeCell="F11" sqref="F11"/>
      <selection pane="bottomLeft" activeCell="E4" sqref="E4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36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152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/>
      <c r="F4" s="24"/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E2AA2-2818-48EF-B964-468ECA62D3F7}">
  <sheetPr codeName="Sheet9">
    <tabColor theme="7" tint="0.79998168889431442"/>
  </sheetPr>
  <dimension ref="A2:J202"/>
  <sheetViews>
    <sheetView workbookViewId="0">
      <pane ySplit="2" topLeftCell="A3" activePane="bottomLeft" state="frozen"/>
      <selection activeCell="F11" sqref="F11"/>
      <selection pane="bottomLeft" activeCell="E5" sqref="E5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10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50</v>
      </c>
    </row>
    <row r="3" spans="1:10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158</v>
      </c>
    </row>
    <row r="4" spans="1:10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>
        <v>1</v>
      </c>
      <c r="F4" s="24" t="s">
        <v>171</v>
      </c>
    </row>
    <row r="5" spans="1:10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10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  <c r="J6" s="8">
        <v>2</v>
      </c>
    </row>
    <row r="7" spans="1:10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  <c r="J7" s="8">
        <v>1</v>
      </c>
    </row>
    <row r="8" spans="1:10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10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10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10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10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10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10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10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10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autoFilter ref="A2:F101" xr:uid="{CADB9313-578F-4EF7-BD3D-7B589CDB4E8D}">
    <sortState ref="A3:F101">
      <sortCondition ref="A3:A101"/>
      <sortCondition ref="B3:B101"/>
      <sortCondition ref="C3:C101"/>
    </sortState>
  </autoFilter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D7E22-297A-4E7C-A508-F5A04EEF56D5}">
  <sheetPr codeName="Sheet10">
    <tabColor theme="7" tint="0.79998168889431442"/>
  </sheetPr>
  <dimension ref="A2:F202"/>
  <sheetViews>
    <sheetView workbookViewId="0">
      <pane ySplit="2" topLeftCell="A3" activePane="bottomLeft" state="frozen"/>
      <selection activeCell="F11" sqref="F11"/>
      <selection pane="bottomLeft" activeCell="E4" sqref="E4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22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154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/>
      <c r="F4" s="24"/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41B44-E54D-415E-BE34-6C1247E377EA}">
  <sheetPr codeName="Sheet11">
    <tabColor theme="7" tint="0.79998168889431442"/>
  </sheetPr>
  <dimension ref="A2:F202"/>
  <sheetViews>
    <sheetView workbookViewId="0">
      <pane ySplit="2" topLeftCell="A3" activePane="bottomLeft" state="frozen"/>
      <selection activeCell="F11" sqref="F11"/>
      <selection pane="bottomLeft" activeCell="E4" sqref="E4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23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155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/>
      <c r="F4" s="24"/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87D65-45B9-4C19-8A89-90545A330A3D}">
  <sheetPr codeName="Sheet15">
    <tabColor theme="7" tint="0.79998168889431442"/>
  </sheetPr>
  <dimension ref="A2:F202"/>
  <sheetViews>
    <sheetView topLeftCell="B1" workbookViewId="0">
      <selection activeCell="E5" sqref="E5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5" width="9.875" style="12" customWidth="1"/>
    <col min="6" max="6" width="150.625" style="12" customWidth="1"/>
    <col min="7" max="16384" width="9" style="8"/>
  </cols>
  <sheetData>
    <row r="2" spans="1:6">
      <c r="A2" s="11" t="s">
        <v>12</v>
      </c>
      <c r="B2" s="11" t="s">
        <v>13</v>
      </c>
      <c r="C2" s="11" t="s">
        <v>14</v>
      </c>
      <c r="D2" s="11" t="s">
        <v>15</v>
      </c>
      <c r="E2" s="11" t="s">
        <v>26</v>
      </c>
      <c r="F2" s="13" t="s">
        <v>40</v>
      </c>
    </row>
    <row r="3" spans="1:6">
      <c r="A3" s="9">
        <f>IF(학생명렬표!A2="","",학생명렬표!A2)</f>
        <v>1</v>
      </c>
      <c r="B3" s="22">
        <f>IF(학생명렬표!B2="","",학생명렬표!B2)</f>
        <v>1</v>
      </c>
      <c r="C3" s="22">
        <f>IF(학생명렬표!C2="","",학생명렬표!C2)</f>
        <v>1</v>
      </c>
      <c r="D3" s="22" t="str">
        <f>IF(학생명렬표!D2="","",학생명렬표!D2)</f>
        <v>강예혁</v>
      </c>
      <c r="E3" s="22">
        <v>1</v>
      </c>
      <c r="F3" s="24" t="s">
        <v>156</v>
      </c>
    </row>
    <row r="4" spans="1:6">
      <c r="A4" s="9">
        <f>IF(학생명렬표!A3="","",학생명렬표!A3)</f>
        <v>1</v>
      </c>
      <c r="B4" s="22">
        <f>IF(학생명렬표!B3="","",학생명렬표!B3)</f>
        <v>1</v>
      </c>
      <c r="C4" s="22">
        <f>IF(학생명렬표!C3="","",학생명렬표!C3)</f>
        <v>2</v>
      </c>
      <c r="D4" s="22" t="str">
        <f>IF(학생명렬표!D3="","",학생명렬표!D3)</f>
        <v>강은찬</v>
      </c>
      <c r="E4" s="22">
        <v>1</v>
      </c>
      <c r="F4" s="24" t="s">
        <v>182</v>
      </c>
    </row>
    <row r="5" spans="1:6">
      <c r="A5" s="9">
        <f>IF(학생명렬표!A4="","",학생명렬표!A4)</f>
        <v>1</v>
      </c>
      <c r="B5" s="22">
        <f>IF(학생명렬표!B4="","",학생명렬표!B4)</f>
        <v>1</v>
      </c>
      <c r="C5" s="22">
        <f>IF(학생명렬표!C4="","",학생명렬표!C4)</f>
        <v>3</v>
      </c>
      <c r="D5" s="22" t="str">
        <f>IF(학생명렬표!D4="","",학생명렬표!D4)</f>
        <v>고성윤</v>
      </c>
      <c r="E5" s="22"/>
      <c r="F5" s="24"/>
    </row>
    <row r="6" spans="1:6">
      <c r="A6" s="9">
        <f>IF(학생명렬표!A5="","",학생명렬표!A5)</f>
        <v>1</v>
      </c>
      <c r="B6" s="22">
        <f>IF(학생명렬표!B5="","",학생명렬표!B5)</f>
        <v>1</v>
      </c>
      <c r="C6" s="22">
        <f>IF(학생명렬표!C5="","",학생명렬표!C5)</f>
        <v>4</v>
      </c>
      <c r="D6" s="22" t="str">
        <f>IF(학생명렬표!D5="","",학생명렬표!D5)</f>
        <v>김건</v>
      </c>
      <c r="E6" s="22"/>
      <c r="F6" s="24"/>
    </row>
    <row r="7" spans="1:6">
      <c r="A7" s="9">
        <f>IF(학생명렬표!A6="","",학생명렬표!A6)</f>
        <v>1</v>
      </c>
      <c r="B7" s="22">
        <f>IF(학생명렬표!B6="","",학생명렬표!B6)</f>
        <v>1</v>
      </c>
      <c r="C7" s="22">
        <f>IF(학생명렬표!C6="","",학생명렬표!C6)</f>
        <v>5</v>
      </c>
      <c r="D7" s="22" t="str">
        <f>IF(학생명렬표!D6="","",학생명렬표!D6)</f>
        <v>김동건</v>
      </c>
      <c r="E7" s="22"/>
      <c r="F7" s="24"/>
    </row>
    <row r="8" spans="1:6">
      <c r="A8" s="9">
        <f>IF(학생명렬표!A7="","",학생명렬표!A7)</f>
        <v>1</v>
      </c>
      <c r="B8" s="22">
        <f>IF(학생명렬표!B7="","",학생명렬표!B7)</f>
        <v>1</v>
      </c>
      <c r="C8" s="22">
        <f>IF(학생명렬표!C7="","",학생명렬표!C7)</f>
        <v>6</v>
      </c>
      <c r="D8" s="22" t="str">
        <f>IF(학생명렬표!D7="","",학생명렬표!D7)</f>
        <v>김주완</v>
      </c>
      <c r="E8" s="22"/>
      <c r="F8" s="24"/>
    </row>
    <row r="9" spans="1:6">
      <c r="A9" s="9">
        <f>IF(학생명렬표!A8="","",학생명렬표!A8)</f>
        <v>1</v>
      </c>
      <c r="B9" s="22">
        <f>IF(학생명렬표!B8="","",학생명렬표!B8)</f>
        <v>1</v>
      </c>
      <c r="C9" s="22">
        <f>IF(학생명렬표!C8="","",학생명렬표!C8)</f>
        <v>7</v>
      </c>
      <c r="D9" s="22" t="str">
        <f>IF(학생명렬표!D8="","",학생명렬표!D8)</f>
        <v>김태우</v>
      </c>
      <c r="E9" s="22"/>
      <c r="F9" s="24"/>
    </row>
    <row r="10" spans="1:6">
      <c r="A10" s="9">
        <f>IF(학생명렬표!A9="","",학생명렬표!A9)</f>
        <v>1</v>
      </c>
      <c r="B10" s="22">
        <f>IF(학생명렬표!B9="","",학생명렬표!B9)</f>
        <v>1</v>
      </c>
      <c r="C10" s="22">
        <f>IF(학생명렬표!C9="","",학생명렬표!C9)</f>
        <v>8</v>
      </c>
      <c r="D10" s="22" t="str">
        <f>IF(학생명렬표!D9="","",학생명렬표!D9)</f>
        <v>노현서</v>
      </c>
      <c r="E10" s="22"/>
      <c r="F10" s="24"/>
    </row>
    <row r="11" spans="1:6">
      <c r="A11" s="9">
        <f>IF(학생명렬표!A10="","",학생명렬표!A10)</f>
        <v>1</v>
      </c>
      <c r="B11" s="22">
        <f>IF(학생명렬표!B10="","",학생명렬표!B10)</f>
        <v>1</v>
      </c>
      <c r="C11" s="22">
        <f>IF(학생명렬표!C10="","",학생명렬표!C10)</f>
        <v>9</v>
      </c>
      <c r="D11" s="22" t="str">
        <f>IF(학생명렬표!D10="","",학생명렬표!D10)</f>
        <v>신유찬</v>
      </c>
      <c r="E11" s="22"/>
      <c r="F11" s="24"/>
    </row>
    <row r="12" spans="1:6">
      <c r="A12" s="9">
        <f>IF(학생명렬표!A11="","",학생명렬표!A11)</f>
        <v>1</v>
      </c>
      <c r="B12" s="22">
        <f>IF(학생명렬표!B11="","",학생명렬표!B11)</f>
        <v>1</v>
      </c>
      <c r="C12" s="22">
        <f>IF(학생명렬표!C11="","",학생명렬표!C11)</f>
        <v>10</v>
      </c>
      <c r="D12" s="22" t="str">
        <f>IF(학생명렬표!D11="","",학생명렬표!D11)</f>
        <v>심윤섭</v>
      </c>
      <c r="E12" s="22"/>
      <c r="F12" s="24"/>
    </row>
    <row r="13" spans="1:6">
      <c r="A13" s="9">
        <f>IF(학생명렬표!A12="","",학생명렬표!A12)</f>
        <v>1</v>
      </c>
      <c r="B13" s="22">
        <f>IF(학생명렬표!B12="","",학생명렬표!B12)</f>
        <v>1</v>
      </c>
      <c r="C13" s="22">
        <f>IF(학생명렬표!C12="","",학생명렬표!C12)</f>
        <v>11</v>
      </c>
      <c r="D13" s="22" t="str">
        <f>IF(학생명렬표!D12="","",학생명렬표!D12)</f>
        <v>윤가온</v>
      </c>
      <c r="E13" s="22"/>
      <c r="F13" s="24"/>
    </row>
    <row r="14" spans="1:6">
      <c r="A14" s="9">
        <f>IF(학생명렬표!A13="","",학생명렬표!A13)</f>
        <v>1</v>
      </c>
      <c r="B14" s="22">
        <f>IF(학생명렬표!B13="","",학생명렬표!B13)</f>
        <v>1</v>
      </c>
      <c r="C14" s="22">
        <f>IF(학생명렬표!C13="","",학생명렬표!C13)</f>
        <v>12</v>
      </c>
      <c r="D14" s="22" t="str">
        <f>IF(학생명렬표!D13="","",학생명렬표!D13)</f>
        <v>윤지환</v>
      </c>
      <c r="E14" s="22"/>
      <c r="F14" s="24"/>
    </row>
    <row r="15" spans="1:6">
      <c r="A15" s="9">
        <f>IF(학생명렬표!A14="","",학생명렬표!A14)</f>
        <v>1</v>
      </c>
      <c r="B15" s="22">
        <f>IF(학생명렬표!B14="","",학생명렬표!B14)</f>
        <v>1</v>
      </c>
      <c r="C15" s="22">
        <f>IF(학생명렬표!C14="","",학생명렬표!C14)</f>
        <v>13</v>
      </c>
      <c r="D15" s="22" t="str">
        <f>IF(학생명렬표!D14="","",학생명렬표!D14)</f>
        <v>이다연</v>
      </c>
      <c r="E15" s="22"/>
      <c r="F15" s="24"/>
    </row>
    <row r="16" spans="1:6">
      <c r="A16" s="9">
        <f>IF(학생명렬표!A15="","",학생명렬표!A15)</f>
        <v>1</v>
      </c>
      <c r="B16" s="22">
        <f>IF(학생명렬표!B15="","",학생명렬표!B15)</f>
        <v>1</v>
      </c>
      <c r="C16" s="22">
        <f>IF(학생명렬표!C15="","",학생명렬표!C15)</f>
        <v>14</v>
      </c>
      <c r="D16" s="22" t="str">
        <f>IF(학생명렬표!D15="","",학생명렬표!D15)</f>
        <v>전승원</v>
      </c>
      <c r="E16" s="22"/>
      <c r="F16" s="24"/>
    </row>
    <row r="17" spans="1:6">
      <c r="A17" s="9">
        <f>IF(학생명렬표!A16="","",학생명렬표!A16)</f>
        <v>1</v>
      </c>
      <c r="B17" s="22">
        <f>IF(학생명렬표!B16="","",학생명렬표!B16)</f>
        <v>1</v>
      </c>
      <c r="C17" s="22">
        <f>IF(학생명렬표!C16="","",학생명렬표!C16)</f>
        <v>15</v>
      </c>
      <c r="D17" s="22" t="str">
        <f>IF(학생명렬표!D16="","",학생명렬표!D16)</f>
        <v>정상호</v>
      </c>
      <c r="E17" s="22"/>
      <c r="F17" s="24"/>
    </row>
    <row r="18" spans="1:6">
      <c r="A18" s="9">
        <f>IF(학생명렬표!A17="","",학생명렬표!A17)</f>
        <v>1</v>
      </c>
      <c r="B18" s="22">
        <f>IF(학생명렬표!B17="","",학생명렬표!B17)</f>
        <v>1</v>
      </c>
      <c r="C18" s="22">
        <f>IF(학생명렬표!C17="","",학생명렬표!C17)</f>
        <v>16</v>
      </c>
      <c r="D18" s="22" t="str">
        <f>IF(학생명렬표!D17="","",학생명렬표!D17)</f>
        <v>진태인</v>
      </c>
      <c r="E18" s="22"/>
      <c r="F18" s="24"/>
    </row>
    <row r="19" spans="1:6">
      <c r="A19" s="9">
        <f>IF(학생명렬표!A18="","",학생명렬표!A18)</f>
        <v>1</v>
      </c>
      <c r="B19" s="22">
        <f>IF(학생명렬표!B18="","",학생명렬표!B18)</f>
        <v>1</v>
      </c>
      <c r="C19" s="22">
        <f>IF(학생명렬표!C18="","",학생명렬표!C18)</f>
        <v>17</v>
      </c>
      <c r="D19" s="22" t="str">
        <f>IF(학생명렬표!D18="","",학생명렬표!D18)</f>
        <v>한민솔</v>
      </c>
      <c r="E19" s="22"/>
      <c r="F19" s="24"/>
    </row>
    <row r="20" spans="1:6">
      <c r="A20" s="9">
        <f>IF(학생명렬표!A19="","",학생명렬표!A19)</f>
        <v>1</v>
      </c>
      <c r="B20" s="22">
        <f>IF(학생명렬표!B19="","",학생명렬표!B19)</f>
        <v>2</v>
      </c>
      <c r="C20" s="22">
        <f>IF(학생명렬표!C19="","",학생명렬표!C19)</f>
        <v>1</v>
      </c>
      <c r="D20" s="22" t="str">
        <f>IF(학생명렬표!D19="","",학생명렬표!D19)</f>
        <v>김기홍</v>
      </c>
      <c r="E20" s="22"/>
      <c r="F20" s="24"/>
    </row>
    <row r="21" spans="1:6">
      <c r="A21" s="9">
        <f>IF(학생명렬표!A20="","",학생명렬표!A20)</f>
        <v>1</v>
      </c>
      <c r="B21" s="22">
        <f>IF(학생명렬표!B20="","",학생명렬표!B20)</f>
        <v>2</v>
      </c>
      <c r="C21" s="22">
        <f>IF(학생명렬표!C20="","",학생명렬표!C20)</f>
        <v>2</v>
      </c>
      <c r="D21" s="22" t="str">
        <f>IF(학생명렬표!D20="","",학생명렬표!D20)</f>
        <v>김동우</v>
      </c>
      <c r="E21" s="22"/>
      <c r="F21" s="24"/>
    </row>
    <row r="22" spans="1:6">
      <c r="A22" s="9">
        <f>IF(학생명렬표!A21="","",학생명렬표!A21)</f>
        <v>1</v>
      </c>
      <c r="B22" s="22">
        <f>IF(학생명렬표!B21="","",학생명렬표!B21)</f>
        <v>2</v>
      </c>
      <c r="C22" s="22">
        <f>IF(학생명렬표!C21="","",학생명렬표!C21)</f>
        <v>3</v>
      </c>
      <c r="D22" s="22" t="str">
        <f>IF(학생명렬표!D21="","",학생명렬표!D21)</f>
        <v>김승윤</v>
      </c>
      <c r="E22" s="22"/>
      <c r="F22" s="24"/>
    </row>
    <row r="23" spans="1:6">
      <c r="A23" s="9">
        <f>IF(학생명렬표!A22="","",학생명렬표!A22)</f>
        <v>1</v>
      </c>
      <c r="B23" s="22">
        <f>IF(학생명렬표!B22="","",학생명렬표!B22)</f>
        <v>2</v>
      </c>
      <c r="C23" s="22">
        <f>IF(학생명렬표!C22="","",학생명렬표!C22)</f>
        <v>4</v>
      </c>
      <c r="D23" s="22" t="str">
        <f>IF(학생명렬표!D22="","",학생명렬표!D22)</f>
        <v>김현수</v>
      </c>
      <c r="E23" s="22"/>
      <c r="F23" s="24"/>
    </row>
    <row r="24" spans="1:6">
      <c r="A24" s="9">
        <f>IF(학생명렬표!A23="","",학생명렬표!A23)</f>
        <v>1</v>
      </c>
      <c r="B24" s="22">
        <f>IF(학생명렬표!B23="","",학생명렬표!B23)</f>
        <v>2</v>
      </c>
      <c r="C24" s="22">
        <f>IF(학생명렬표!C23="","",학생명렬표!C23)</f>
        <v>5</v>
      </c>
      <c r="D24" s="22" t="str">
        <f>IF(학생명렬표!D23="","",학생명렬표!D23)</f>
        <v>박재원</v>
      </c>
      <c r="E24" s="22"/>
      <c r="F24" s="24"/>
    </row>
    <row r="25" spans="1:6">
      <c r="A25" s="9">
        <f>IF(학생명렬표!A24="","",학생명렬표!A24)</f>
        <v>1</v>
      </c>
      <c r="B25" s="22">
        <f>IF(학생명렬표!B24="","",학생명렬표!B24)</f>
        <v>2</v>
      </c>
      <c r="C25" s="22">
        <f>IF(학생명렬표!C24="","",학생명렬표!C24)</f>
        <v>6</v>
      </c>
      <c r="D25" s="22" t="str">
        <f>IF(학생명렬표!D24="","",학생명렬표!D24)</f>
        <v>박주형</v>
      </c>
      <c r="E25" s="22"/>
      <c r="F25" s="24"/>
    </row>
    <row r="26" spans="1:6">
      <c r="A26" s="9">
        <f>IF(학생명렬표!A25="","",학생명렬표!A25)</f>
        <v>1</v>
      </c>
      <c r="B26" s="22">
        <f>IF(학생명렬표!B25="","",학생명렬표!B25)</f>
        <v>2</v>
      </c>
      <c r="C26" s="22">
        <f>IF(학생명렬표!C25="","",학생명렬표!C25)</f>
        <v>7</v>
      </c>
      <c r="D26" s="22" t="str">
        <f>IF(학생명렬표!D25="","",학생명렬표!D25)</f>
        <v>박진우</v>
      </c>
      <c r="E26" s="22"/>
      <c r="F26" s="24"/>
    </row>
    <row r="27" spans="1:6">
      <c r="A27" s="9">
        <f>IF(학생명렬표!A26="","",학생명렬표!A26)</f>
        <v>1</v>
      </c>
      <c r="B27" s="22">
        <f>IF(학생명렬표!B26="","",학생명렬표!B26)</f>
        <v>2</v>
      </c>
      <c r="C27" s="22">
        <f>IF(학생명렬표!C26="","",학생명렬표!C26)</f>
        <v>8</v>
      </c>
      <c r="D27" s="22" t="str">
        <f>IF(학생명렬표!D26="","",학생명렬표!D26)</f>
        <v>신동민</v>
      </c>
      <c r="E27" s="22"/>
      <c r="F27" s="24"/>
    </row>
    <row r="28" spans="1:6">
      <c r="A28" s="9">
        <f>IF(학생명렬표!A27="","",학생명렬표!A27)</f>
        <v>1</v>
      </c>
      <c r="B28" s="22">
        <f>IF(학생명렬표!B27="","",학생명렬표!B27)</f>
        <v>2</v>
      </c>
      <c r="C28" s="22">
        <f>IF(학생명렬표!C27="","",학생명렬표!C27)</f>
        <v>9</v>
      </c>
      <c r="D28" s="22" t="str">
        <f>IF(학생명렬표!D27="","",학생명렬표!D27)</f>
        <v>염예찬</v>
      </c>
      <c r="E28" s="22"/>
      <c r="F28" s="24"/>
    </row>
    <row r="29" spans="1:6">
      <c r="A29" s="9">
        <f>IF(학생명렬표!A28="","",학생명렬표!A28)</f>
        <v>1</v>
      </c>
      <c r="B29" s="22">
        <f>IF(학생명렬표!B28="","",학생명렬표!B28)</f>
        <v>2</v>
      </c>
      <c r="C29" s="22">
        <f>IF(학생명렬표!C28="","",학생명렬표!C28)</f>
        <v>10</v>
      </c>
      <c r="D29" s="22" t="str">
        <f>IF(학생명렬표!D28="","",학생명렬표!D28)</f>
        <v>이유겸</v>
      </c>
      <c r="E29" s="22"/>
      <c r="F29" s="24"/>
    </row>
    <row r="30" spans="1:6">
      <c r="A30" s="9">
        <f>IF(학생명렬표!A29="","",학생명렬표!A29)</f>
        <v>1</v>
      </c>
      <c r="B30" s="22">
        <f>IF(학생명렬표!B29="","",학생명렬표!B29)</f>
        <v>2</v>
      </c>
      <c r="C30" s="22">
        <f>IF(학생명렬표!C29="","",학생명렬표!C29)</f>
        <v>11</v>
      </c>
      <c r="D30" s="22" t="str">
        <f>IF(학생명렬표!D29="","",학생명렬표!D29)</f>
        <v>이재윤</v>
      </c>
      <c r="E30" s="22"/>
      <c r="F30" s="24"/>
    </row>
    <row r="31" spans="1:6">
      <c r="A31" s="9">
        <f>IF(학생명렬표!A30="","",학생명렬표!A30)</f>
        <v>1</v>
      </c>
      <c r="B31" s="22">
        <f>IF(학생명렬표!B30="","",학생명렬표!B30)</f>
        <v>2</v>
      </c>
      <c r="C31" s="22">
        <f>IF(학생명렬표!C30="","",학생명렬표!C30)</f>
        <v>12</v>
      </c>
      <c r="D31" s="22" t="str">
        <f>IF(학생명렬표!D30="","",학생명렬표!D30)</f>
        <v>이정무</v>
      </c>
      <c r="E31" s="22"/>
      <c r="F31" s="24"/>
    </row>
    <row r="32" spans="1:6">
      <c r="A32" s="9">
        <f>IF(학생명렬표!A31="","",학생명렬표!A31)</f>
        <v>1</v>
      </c>
      <c r="B32" s="22">
        <f>IF(학생명렬표!B31="","",학생명렬표!B31)</f>
        <v>2</v>
      </c>
      <c r="C32" s="22">
        <f>IF(학생명렬표!C31="","",학생명렬표!C31)</f>
        <v>13</v>
      </c>
      <c r="D32" s="22" t="str">
        <f>IF(학생명렬표!D31="","",학생명렬표!D31)</f>
        <v>이정민</v>
      </c>
      <c r="E32" s="22"/>
      <c r="F32" s="24"/>
    </row>
    <row r="33" spans="1:6">
      <c r="A33" s="9">
        <f>IF(학생명렬표!A32="","",학생명렬표!A32)</f>
        <v>1</v>
      </c>
      <c r="B33" s="22">
        <f>IF(학생명렬표!B32="","",학생명렬표!B32)</f>
        <v>2</v>
      </c>
      <c r="C33" s="22">
        <f>IF(학생명렬표!C32="","",학생명렬표!C32)</f>
        <v>14</v>
      </c>
      <c r="D33" s="22" t="str">
        <f>IF(학생명렬표!D32="","",학생명렬표!D32)</f>
        <v>임경훈</v>
      </c>
      <c r="E33" s="22"/>
      <c r="F33" s="24"/>
    </row>
    <row r="34" spans="1:6">
      <c r="A34" s="9">
        <f>IF(학생명렬표!A33="","",학생명렬표!A33)</f>
        <v>1</v>
      </c>
      <c r="B34" s="22">
        <f>IF(학생명렬표!B33="","",학생명렬표!B33)</f>
        <v>2</v>
      </c>
      <c r="C34" s="22">
        <f>IF(학생명렬표!C33="","",학생명렬표!C33)</f>
        <v>15</v>
      </c>
      <c r="D34" s="22" t="str">
        <f>IF(학생명렬표!D33="","",학생명렬표!D33)</f>
        <v>장혜원</v>
      </c>
      <c r="E34" s="22"/>
      <c r="F34" s="24"/>
    </row>
    <row r="35" spans="1:6">
      <c r="A35" s="9">
        <f>IF(학생명렬표!A34="","",학생명렬표!A34)</f>
        <v>1</v>
      </c>
      <c r="B35" s="22">
        <f>IF(학생명렬표!B34="","",학생명렬표!B34)</f>
        <v>2</v>
      </c>
      <c r="C35" s="22">
        <f>IF(학생명렬표!C34="","",학생명렬표!C34)</f>
        <v>16</v>
      </c>
      <c r="D35" s="22" t="str">
        <f>IF(학생명렬표!D34="","",학생명렬표!D34)</f>
        <v>최정연</v>
      </c>
      <c r="E35" s="22"/>
      <c r="F35" s="24"/>
    </row>
    <row r="36" spans="1:6">
      <c r="A36" s="9">
        <f>IF(학생명렬표!A35="","",학생명렬표!A35)</f>
        <v>1</v>
      </c>
      <c r="B36" s="22">
        <f>IF(학생명렬표!B35="","",학생명렬표!B35)</f>
        <v>3</v>
      </c>
      <c r="C36" s="22">
        <f>IF(학생명렬표!C35="","",학생명렬표!C35)</f>
        <v>1</v>
      </c>
      <c r="D36" s="22" t="str">
        <f>IF(학생명렬표!D35="","",학생명렬표!D35)</f>
        <v>곽나영</v>
      </c>
      <c r="E36" s="22"/>
      <c r="F36" s="24"/>
    </row>
    <row r="37" spans="1:6">
      <c r="A37" s="9">
        <f>IF(학생명렬표!A36="","",학생명렬표!A36)</f>
        <v>1</v>
      </c>
      <c r="B37" s="22">
        <f>IF(학생명렬표!B36="","",학생명렬표!B36)</f>
        <v>3</v>
      </c>
      <c r="C37" s="22">
        <f>IF(학생명렬표!C36="","",학생명렬표!C36)</f>
        <v>2</v>
      </c>
      <c r="D37" s="22" t="str">
        <f>IF(학생명렬표!D36="","",학생명렬표!D36)</f>
        <v>권도휘</v>
      </c>
      <c r="E37" s="22"/>
      <c r="F37" s="24"/>
    </row>
    <row r="38" spans="1:6">
      <c r="A38" s="9">
        <f>IF(학생명렬표!A37="","",학생명렬표!A37)</f>
        <v>1</v>
      </c>
      <c r="B38" s="22">
        <f>IF(학생명렬표!B37="","",학생명렬표!B37)</f>
        <v>3</v>
      </c>
      <c r="C38" s="22">
        <f>IF(학생명렬표!C37="","",학생명렬표!C37)</f>
        <v>3</v>
      </c>
      <c r="D38" s="22" t="str">
        <f>IF(학생명렬표!D37="","",학생명렬표!D37)</f>
        <v>김규민</v>
      </c>
      <c r="E38" s="22"/>
      <c r="F38" s="24"/>
    </row>
    <row r="39" spans="1:6">
      <c r="A39" s="9">
        <f>IF(학생명렬표!A38="","",학생명렬표!A38)</f>
        <v>1</v>
      </c>
      <c r="B39" s="22">
        <f>IF(학생명렬표!B38="","",학생명렬표!B38)</f>
        <v>3</v>
      </c>
      <c r="C39" s="22">
        <f>IF(학생명렬표!C38="","",학생명렬표!C38)</f>
        <v>4</v>
      </c>
      <c r="D39" s="22" t="str">
        <f>IF(학생명렬표!D38="","",학생명렬표!D38)</f>
        <v>김상원</v>
      </c>
      <c r="E39" s="22"/>
      <c r="F39" s="24"/>
    </row>
    <row r="40" spans="1:6">
      <c r="A40" s="9">
        <f>IF(학생명렬표!A39="","",학생명렬표!A39)</f>
        <v>1</v>
      </c>
      <c r="B40" s="22">
        <f>IF(학생명렬표!B39="","",학생명렬표!B39)</f>
        <v>3</v>
      </c>
      <c r="C40" s="22">
        <f>IF(학생명렬표!C39="","",학생명렬표!C39)</f>
        <v>5</v>
      </c>
      <c r="D40" s="22" t="str">
        <f>IF(학생명렬표!D39="","",학생명렬표!D39)</f>
        <v>김지섭</v>
      </c>
      <c r="E40" s="22"/>
      <c r="F40" s="24"/>
    </row>
    <row r="41" spans="1:6">
      <c r="A41" s="9">
        <f>IF(학생명렬표!A40="","",학생명렬표!A40)</f>
        <v>1</v>
      </c>
      <c r="B41" s="22">
        <f>IF(학생명렬표!B40="","",학생명렬표!B40)</f>
        <v>3</v>
      </c>
      <c r="C41" s="22">
        <f>IF(학생명렬표!C40="","",학생명렬표!C40)</f>
        <v>6</v>
      </c>
      <c r="D41" s="22" t="str">
        <f>IF(학생명렬표!D40="","",학생명렬표!D40)</f>
        <v>박지용</v>
      </c>
      <c r="E41" s="22"/>
      <c r="F41" s="24"/>
    </row>
    <row r="42" spans="1:6">
      <c r="A42" s="9">
        <f>IF(학생명렬표!A41="","",학생명렬표!A41)</f>
        <v>1</v>
      </c>
      <c r="B42" s="22">
        <f>IF(학생명렬표!B41="","",학생명렬표!B41)</f>
        <v>3</v>
      </c>
      <c r="C42" s="22">
        <f>IF(학생명렬표!C41="","",학생명렬표!C41)</f>
        <v>7</v>
      </c>
      <c r="D42" s="22" t="str">
        <f>IF(학생명렬표!D41="","",학생명렬표!D41)</f>
        <v>백인성</v>
      </c>
      <c r="E42" s="22"/>
      <c r="F42" s="24"/>
    </row>
    <row r="43" spans="1:6">
      <c r="A43" s="9">
        <f>IF(학생명렬표!A42="","",학생명렬표!A42)</f>
        <v>1</v>
      </c>
      <c r="B43" s="22">
        <f>IF(학생명렬표!B42="","",학생명렬표!B42)</f>
        <v>3</v>
      </c>
      <c r="C43" s="22">
        <f>IF(학생명렬표!C42="","",학생명렬표!C42)</f>
        <v>8</v>
      </c>
      <c r="D43" s="22" t="str">
        <f>IF(학생명렬표!D42="","",학생명렬표!D42)</f>
        <v>송준영</v>
      </c>
      <c r="E43" s="22"/>
      <c r="F43" s="24"/>
    </row>
    <row r="44" spans="1:6">
      <c r="A44" s="9">
        <f>IF(학생명렬표!A43="","",학생명렬표!A43)</f>
        <v>1</v>
      </c>
      <c r="B44" s="22">
        <f>IF(학생명렬표!B43="","",학생명렬표!B43)</f>
        <v>3</v>
      </c>
      <c r="C44" s="22">
        <f>IF(학생명렬표!C43="","",학생명렬표!C43)</f>
        <v>9</v>
      </c>
      <c r="D44" s="22" t="str">
        <f>IF(학생명렬표!D43="","",학생명렬표!D43)</f>
        <v>양해승</v>
      </c>
      <c r="E44" s="22"/>
      <c r="F44" s="24"/>
    </row>
    <row r="45" spans="1:6">
      <c r="A45" s="9">
        <f>IF(학생명렬표!A44="","",학생명렬표!A44)</f>
        <v>1</v>
      </c>
      <c r="B45" s="22">
        <f>IF(학생명렬표!B44="","",학생명렬표!B44)</f>
        <v>3</v>
      </c>
      <c r="C45" s="22">
        <f>IF(학생명렬표!C44="","",학생명렬표!C44)</f>
        <v>10</v>
      </c>
      <c r="D45" s="22" t="str">
        <f>IF(학생명렬표!D44="","",학생명렬표!D44)</f>
        <v>유하민</v>
      </c>
      <c r="E45" s="22"/>
      <c r="F45" s="24"/>
    </row>
    <row r="46" spans="1:6">
      <c r="A46" s="9">
        <f>IF(학생명렬표!A45="","",학생명렬표!A45)</f>
        <v>1</v>
      </c>
      <c r="B46" s="22">
        <f>IF(학생명렬표!B45="","",학생명렬표!B45)</f>
        <v>3</v>
      </c>
      <c r="C46" s="22">
        <f>IF(학생명렬표!C45="","",학생명렬표!C45)</f>
        <v>11</v>
      </c>
      <c r="D46" s="22" t="str">
        <f>IF(학생명렬표!D45="","",학생명렬표!D45)</f>
        <v>이승헌</v>
      </c>
      <c r="E46" s="22"/>
      <c r="F46" s="24"/>
    </row>
    <row r="47" spans="1:6">
      <c r="A47" s="9">
        <f>IF(학생명렬표!A46="","",학생명렬표!A46)</f>
        <v>1</v>
      </c>
      <c r="B47" s="22">
        <f>IF(학생명렬표!B46="","",학생명렬표!B46)</f>
        <v>3</v>
      </c>
      <c r="C47" s="22">
        <f>IF(학생명렬표!C46="","",학생명렬표!C46)</f>
        <v>12</v>
      </c>
      <c r="D47" s="22" t="str">
        <f>IF(학생명렬표!D46="","",학생명렬표!D46)</f>
        <v>이채원</v>
      </c>
      <c r="E47" s="22"/>
      <c r="F47" s="24"/>
    </row>
    <row r="48" spans="1:6">
      <c r="A48" s="9">
        <f>IF(학생명렬표!A47="","",학생명렬표!A47)</f>
        <v>1</v>
      </c>
      <c r="B48" s="22">
        <f>IF(학생명렬표!B47="","",학생명렬표!B47)</f>
        <v>3</v>
      </c>
      <c r="C48" s="22">
        <f>IF(학생명렬표!C47="","",학생명렬표!C47)</f>
        <v>13</v>
      </c>
      <c r="D48" s="22" t="str">
        <f>IF(학생명렬표!D47="","",학생명렬표!D47)</f>
        <v>이호형</v>
      </c>
      <c r="E48" s="22"/>
      <c r="F48" s="24"/>
    </row>
    <row r="49" spans="1:6">
      <c r="A49" s="9">
        <f>IF(학생명렬표!A48="","",학생명렬표!A48)</f>
        <v>1</v>
      </c>
      <c r="B49" s="22">
        <f>IF(학생명렬표!B48="","",학생명렬표!B48)</f>
        <v>3</v>
      </c>
      <c r="C49" s="22">
        <f>IF(학생명렬표!C48="","",학생명렬표!C48)</f>
        <v>14</v>
      </c>
      <c r="D49" s="22" t="str">
        <f>IF(학생명렬표!D48="","",학생명렬표!D48)</f>
        <v>지승현</v>
      </c>
      <c r="E49" s="22"/>
      <c r="F49" s="24"/>
    </row>
    <row r="50" spans="1:6">
      <c r="A50" s="9">
        <f>IF(학생명렬표!A49="","",학생명렬표!A49)</f>
        <v>1</v>
      </c>
      <c r="B50" s="22">
        <f>IF(학생명렬표!B49="","",학생명렬표!B49)</f>
        <v>3</v>
      </c>
      <c r="C50" s="22">
        <f>IF(학생명렬표!C49="","",학생명렬표!C49)</f>
        <v>15</v>
      </c>
      <c r="D50" s="22" t="str">
        <f>IF(학생명렬표!D49="","",학생명렬표!D49)</f>
        <v>추수혁</v>
      </c>
      <c r="E50" s="22"/>
      <c r="F50" s="24"/>
    </row>
    <row r="51" spans="1:6">
      <c r="A51" s="9">
        <f>IF(학생명렬표!A50="","",학생명렬표!A50)</f>
        <v>1</v>
      </c>
      <c r="B51" s="22">
        <f>IF(학생명렬표!B50="","",학생명렬표!B50)</f>
        <v>3</v>
      </c>
      <c r="C51" s="22">
        <f>IF(학생명렬표!C50="","",학생명렬표!C50)</f>
        <v>16</v>
      </c>
      <c r="D51" s="22" t="str">
        <f>IF(학생명렬표!D50="","",학생명렬표!D50)</f>
        <v>태종혁</v>
      </c>
      <c r="E51" s="22"/>
      <c r="F51" s="24"/>
    </row>
    <row r="52" spans="1:6">
      <c r="A52" s="9">
        <f>IF(학생명렬표!A51="","",학생명렬표!A51)</f>
        <v>1</v>
      </c>
      <c r="B52" s="22">
        <f>IF(학생명렬표!B51="","",학생명렬표!B51)</f>
        <v>3</v>
      </c>
      <c r="C52" s="22">
        <f>IF(학생명렬표!C51="","",학생명렬표!C51)</f>
        <v>17</v>
      </c>
      <c r="D52" s="22" t="str">
        <f>IF(학생명렬표!D51="","",학생명렬표!D51)</f>
        <v>한준</v>
      </c>
      <c r="E52" s="22"/>
      <c r="F52" s="24"/>
    </row>
    <row r="53" spans="1:6">
      <c r="A53" s="9">
        <f>IF(학생명렬표!A52="","",학생명렬표!A52)</f>
        <v>1</v>
      </c>
      <c r="B53" s="22">
        <f>IF(학생명렬표!B52="","",학생명렬표!B52)</f>
        <v>4</v>
      </c>
      <c r="C53" s="22">
        <f>IF(학생명렬표!C52="","",학생명렬표!C52)</f>
        <v>1</v>
      </c>
      <c r="D53" s="22" t="str">
        <f>IF(학생명렬표!D52="","",학생명렬표!D52)</f>
        <v>김도준</v>
      </c>
      <c r="E53" s="22"/>
      <c r="F53" s="24"/>
    </row>
    <row r="54" spans="1:6">
      <c r="A54" s="9">
        <f>IF(학생명렬표!A53="","",학생명렬표!A53)</f>
        <v>1</v>
      </c>
      <c r="B54" s="22">
        <f>IF(학생명렬표!B53="","",학생명렬표!B53)</f>
        <v>4</v>
      </c>
      <c r="C54" s="22">
        <f>IF(학생명렬표!C53="","",학생명렬표!C53)</f>
        <v>2</v>
      </c>
      <c r="D54" s="22" t="str">
        <f>IF(학생명렬표!D53="","",학생명렬표!D53)</f>
        <v>김도형</v>
      </c>
      <c r="E54" s="22"/>
      <c r="F54" s="24"/>
    </row>
    <row r="55" spans="1:6">
      <c r="A55" s="9">
        <f>IF(학생명렬표!A54="","",학생명렬표!A54)</f>
        <v>1</v>
      </c>
      <c r="B55" s="22">
        <f>IF(학생명렬표!B54="","",학생명렬표!B54)</f>
        <v>4</v>
      </c>
      <c r="C55" s="22">
        <f>IF(학생명렬표!C54="","",학생명렬표!C54)</f>
        <v>3</v>
      </c>
      <c r="D55" s="22" t="str">
        <f>IF(학생명렬표!D54="","",학생명렬표!D54)</f>
        <v>김범석</v>
      </c>
      <c r="E55" s="22"/>
      <c r="F55" s="24"/>
    </row>
    <row r="56" spans="1:6">
      <c r="A56" s="9">
        <f>IF(학생명렬표!A55="","",학생명렬표!A55)</f>
        <v>1</v>
      </c>
      <c r="B56" s="22">
        <f>IF(학생명렬표!B55="","",학생명렬표!B55)</f>
        <v>4</v>
      </c>
      <c r="C56" s="22">
        <f>IF(학생명렬표!C55="","",학생명렬표!C55)</f>
        <v>4</v>
      </c>
      <c r="D56" s="22" t="str">
        <f>IF(학생명렬표!D55="","",학생명렬표!D55)</f>
        <v>김성준</v>
      </c>
      <c r="E56" s="22"/>
      <c r="F56" s="24"/>
    </row>
    <row r="57" spans="1:6">
      <c r="A57" s="9">
        <f>IF(학생명렬표!A56="","",학생명렬표!A56)</f>
        <v>1</v>
      </c>
      <c r="B57" s="22">
        <f>IF(학생명렬표!B56="","",학생명렬표!B56)</f>
        <v>4</v>
      </c>
      <c r="C57" s="22">
        <f>IF(학생명렬표!C56="","",학생명렬표!C56)</f>
        <v>5</v>
      </c>
      <c r="D57" s="22" t="str">
        <f>IF(학생명렬표!D56="","",학생명렬표!D56)</f>
        <v>민재경</v>
      </c>
      <c r="E57" s="22"/>
      <c r="F57" s="24"/>
    </row>
    <row r="58" spans="1:6">
      <c r="A58" s="9">
        <f>IF(학생명렬표!A57="","",학생명렬표!A57)</f>
        <v>1</v>
      </c>
      <c r="B58" s="22">
        <f>IF(학생명렬표!B57="","",학생명렬표!B57)</f>
        <v>4</v>
      </c>
      <c r="C58" s="22">
        <f>IF(학생명렬표!C57="","",학생명렬표!C57)</f>
        <v>6</v>
      </c>
      <c r="D58" s="22" t="str">
        <f>IF(학생명렬표!D57="","",학생명렬표!D57)</f>
        <v>방준하</v>
      </c>
      <c r="E58" s="22"/>
      <c r="F58" s="24"/>
    </row>
    <row r="59" spans="1:6">
      <c r="A59" s="9">
        <f>IF(학생명렬표!A58="","",학생명렬표!A58)</f>
        <v>1</v>
      </c>
      <c r="B59" s="22">
        <f>IF(학생명렬표!B58="","",학생명렬표!B58)</f>
        <v>4</v>
      </c>
      <c r="C59" s="22">
        <f>IF(학생명렬표!C58="","",학생명렬표!C58)</f>
        <v>7</v>
      </c>
      <c r="D59" s="22" t="str">
        <f>IF(학생명렬표!D58="","",학생명렬표!D58)</f>
        <v>배준성</v>
      </c>
      <c r="E59" s="22"/>
      <c r="F59" s="24"/>
    </row>
    <row r="60" spans="1:6">
      <c r="A60" s="9">
        <f>IF(학생명렬표!A59="","",학생명렬표!A59)</f>
        <v>1</v>
      </c>
      <c r="B60" s="22">
        <f>IF(학생명렬표!B59="","",학생명렬표!B59)</f>
        <v>4</v>
      </c>
      <c r="C60" s="22">
        <f>IF(학생명렬표!C59="","",학생명렬표!C59)</f>
        <v>8</v>
      </c>
      <c r="D60" s="22" t="str">
        <f>IF(학생명렬표!D59="","",학생명렬표!D59)</f>
        <v>봉준상</v>
      </c>
      <c r="E60" s="22"/>
      <c r="F60" s="24"/>
    </row>
    <row r="61" spans="1:6">
      <c r="A61" s="9">
        <f>IF(학생명렬표!A60="","",학생명렬표!A60)</f>
        <v>1</v>
      </c>
      <c r="B61" s="22">
        <f>IF(학생명렬표!B60="","",학생명렬표!B60)</f>
        <v>4</v>
      </c>
      <c r="C61" s="22">
        <f>IF(학생명렬표!C60="","",학생명렬표!C60)</f>
        <v>9</v>
      </c>
      <c r="D61" s="22" t="str">
        <f>IF(학생명렬표!D60="","",학생명렬표!D60)</f>
        <v>성하늘</v>
      </c>
      <c r="E61" s="22"/>
      <c r="F61" s="24"/>
    </row>
    <row r="62" spans="1:6">
      <c r="A62" s="9">
        <f>IF(학생명렬표!A61="","",학생명렬표!A61)</f>
        <v>1</v>
      </c>
      <c r="B62" s="22">
        <f>IF(학생명렬표!B61="","",학생명렬표!B61)</f>
        <v>4</v>
      </c>
      <c r="C62" s="22">
        <f>IF(학생명렬표!C61="","",학생명렬표!C61)</f>
        <v>10</v>
      </c>
      <c r="D62" s="22" t="str">
        <f>IF(학생명렬표!D61="","",학생명렬표!D61)</f>
        <v>유재성</v>
      </c>
      <c r="E62" s="22"/>
      <c r="F62" s="24"/>
    </row>
    <row r="63" spans="1:6">
      <c r="A63" s="9">
        <f>IF(학생명렬표!A62="","",학생명렬표!A62)</f>
        <v>1</v>
      </c>
      <c r="B63" s="22">
        <f>IF(학생명렬표!B62="","",학생명렬표!B62)</f>
        <v>4</v>
      </c>
      <c r="C63" s="22">
        <f>IF(학생명렬표!C62="","",학생명렬표!C62)</f>
        <v>11</v>
      </c>
      <c r="D63" s="22" t="str">
        <f>IF(학생명렬표!D62="","",학생명렬표!D62)</f>
        <v>이현진</v>
      </c>
      <c r="E63" s="22"/>
      <c r="F63" s="24"/>
    </row>
    <row r="64" spans="1:6">
      <c r="A64" s="9">
        <f>IF(학생명렬표!A63="","",학생명렬표!A63)</f>
        <v>1</v>
      </c>
      <c r="B64" s="22">
        <f>IF(학생명렬표!B63="","",학생명렬표!B63)</f>
        <v>4</v>
      </c>
      <c r="C64" s="22">
        <f>IF(학생명렬표!C63="","",학생명렬표!C63)</f>
        <v>12</v>
      </c>
      <c r="D64" s="22" t="str">
        <f>IF(학생명렬표!D63="","",학생명렬표!D63)</f>
        <v>임정훈</v>
      </c>
      <c r="E64" s="22"/>
      <c r="F64" s="24"/>
    </row>
    <row r="65" spans="1:6">
      <c r="A65" s="9">
        <f>IF(학생명렬표!A64="","",학생명렬표!A64)</f>
        <v>1</v>
      </c>
      <c r="B65" s="22">
        <f>IF(학생명렬표!B64="","",학생명렬표!B64)</f>
        <v>4</v>
      </c>
      <c r="C65" s="22">
        <f>IF(학생명렬표!C64="","",학생명렬표!C64)</f>
        <v>13</v>
      </c>
      <c r="D65" s="22" t="str">
        <f>IF(학생명렬표!D64="","",학생명렬표!D64)</f>
        <v>전수정</v>
      </c>
      <c r="E65" s="22"/>
      <c r="F65" s="24"/>
    </row>
    <row r="66" spans="1:6">
      <c r="A66" s="9">
        <f>IF(학생명렬표!A65="","",학생명렬표!A65)</f>
        <v>1</v>
      </c>
      <c r="B66" s="22">
        <f>IF(학생명렬표!B65="","",학생명렬표!B65)</f>
        <v>4</v>
      </c>
      <c r="C66" s="22">
        <f>IF(학생명렬표!C65="","",학생명렬표!C65)</f>
        <v>14</v>
      </c>
      <c r="D66" s="22" t="str">
        <f>IF(학생명렬표!D65="","",학생명렬표!D65)</f>
        <v>정지윤</v>
      </c>
      <c r="E66" s="22"/>
      <c r="F66" s="24"/>
    </row>
    <row r="67" spans="1:6">
      <c r="A67" s="9">
        <f>IF(학생명렬표!A66="","",학생명렬표!A66)</f>
        <v>1</v>
      </c>
      <c r="B67" s="22">
        <f>IF(학생명렬표!B66="","",학생명렬표!B66)</f>
        <v>4</v>
      </c>
      <c r="C67" s="22">
        <f>IF(학생명렬표!C66="","",학생명렬표!C66)</f>
        <v>15</v>
      </c>
      <c r="D67" s="22" t="str">
        <f>IF(학생명렬표!D66="","",학생명렬표!D66)</f>
        <v>최희웅</v>
      </c>
      <c r="E67" s="22"/>
      <c r="F67" s="24"/>
    </row>
    <row r="68" spans="1:6">
      <c r="A68" s="9">
        <f>IF(학생명렬표!A67="","",학생명렬표!A67)</f>
        <v>1</v>
      </c>
      <c r="B68" s="22">
        <f>IF(학생명렬표!B67="","",학생명렬표!B67)</f>
        <v>4</v>
      </c>
      <c r="C68" s="22">
        <f>IF(학생명렬표!C67="","",학생명렬표!C67)</f>
        <v>16</v>
      </c>
      <c r="D68" s="22" t="str">
        <f>IF(학생명렬표!D67="","",학생명렬표!D67)</f>
        <v>편성주</v>
      </c>
      <c r="E68" s="22"/>
      <c r="F68" s="24"/>
    </row>
    <row r="69" spans="1:6">
      <c r="A69" s="9">
        <f>IF(학생명렬표!A68="","",학생명렬표!A68)</f>
        <v>1</v>
      </c>
      <c r="B69" s="22">
        <f>IF(학생명렬표!B68="","",학생명렬표!B68)</f>
        <v>5</v>
      </c>
      <c r="C69" s="22">
        <f>IF(학생명렬표!C68="","",학생명렬표!C68)</f>
        <v>1</v>
      </c>
      <c r="D69" s="22" t="str">
        <f>IF(학생명렬표!D68="","",학생명렬표!D68)</f>
        <v>김민재</v>
      </c>
      <c r="E69" s="22"/>
      <c r="F69" s="24"/>
    </row>
    <row r="70" spans="1:6">
      <c r="A70" s="9">
        <f>IF(학생명렬표!A69="","",학생명렬표!A69)</f>
        <v>1</v>
      </c>
      <c r="B70" s="22">
        <f>IF(학생명렬표!B69="","",학생명렬표!B69)</f>
        <v>5</v>
      </c>
      <c r="C70" s="22">
        <f>IF(학생명렬표!C69="","",학생명렬표!C69)</f>
        <v>2</v>
      </c>
      <c r="D70" s="22" t="str">
        <f>IF(학생명렬표!D69="","",학생명렬표!D69)</f>
        <v>김보란</v>
      </c>
      <c r="E70" s="22"/>
      <c r="F70" s="24"/>
    </row>
    <row r="71" spans="1:6">
      <c r="A71" s="9">
        <f>IF(학생명렬표!A70="","",학생명렬표!A70)</f>
        <v>1</v>
      </c>
      <c r="B71" s="22">
        <f>IF(학생명렬표!B70="","",학생명렬표!B70)</f>
        <v>5</v>
      </c>
      <c r="C71" s="22">
        <f>IF(학생명렬표!C70="","",학생명렬표!C70)</f>
        <v>3</v>
      </c>
      <c r="D71" s="22" t="str">
        <f>IF(학생명렬표!D70="","",학생명렬표!D70)</f>
        <v>김희주</v>
      </c>
      <c r="E71" s="22"/>
      <c r="F71" s="24"/>
    </row>
    <row r="72" spans="1:6">
      <c r="A72" s="9">
        <f>IF(학생명렬표!A71="","",학생명렬표!A71)</f>
        <v>1</v>
      </c>
      <c r="B72" s="22">
        <f>IF(학생명렬표!B71="","",학생명렬표!B71)</f>
        <v>5</v>
      </c>
      <c r="C72" s="22">
        <f>IF(학생명렬표!C71="","",학생명렬표!C71)</f>
        <v>4</v>
      </c>
      <c r="D72" s="22" t="str">
        <f>IF(학생명렬표!D71="","",학생명렬표!D71)</f>
        <v>박찬혁</v>
      </c>
      <c r="E72" s="22"/>
      <c r="F72" s="24"/>
    </row>
    <row r="73" spans="1:6">
      <c r="A73" s="9">
        <f>IF(학생명렬표!A72="","",학생명렬표!A72)</f>
        <v>1</v>
      </c>
      <c r="B73" s="22">
        <f>IF(학생명렬표!B72="","",학생명렬표!B72)</f>
        <v>5</v>
      </c>
      <c r="C73" s="22">
        <f>IF(학생명렬표!C72="","",학생명렬표!C72)</f>
        <v>5</v>
      </c>
      <c r="D73" s="22" t="str">
        <f>IF(학생명렬표!D72="","",학생명렬표!D72)</f>
        <v>배열희</v>
      </c>
      <c r="E73" s="22"/>
      <c r="F73" s="24"/>
    </row>
    <row r="74" spans="1:6">
      <c r="A74" s="9">
        <f>IF(학생명렬표!A73="","",학생명렬표!A73)</f>
        <v>1</v>
      </c>
      <c r="B74" s="22">
        <f>IF(학생명렬표!B73="","",학생명렬표!B73)</f>
        <v>5</v>
      </c>
      <c r="C74" s="22">
        <f>IF(학생명렬표!C73="","",학생명렬표!C73)</f>
        <v>6</v>
      </c>
      <c r="D74" s="22" t="str">
        <f>IF(학생명렬표!D73="","",학생명렬표!D73)</f>
        <v>서지운</v>
      </c>
      <c r="E74" s="22"/>
      <c r="F74" s="24"/>
    </row>
    <row r="75" spans="1:6">
      <c r="A75" s="9">
        <f>IF(학생명렬표!A74="","",학생명렬표!A74)</f>
        <v>1</v>
      </c>
      <c r="B75" s="22">
        <f>IF(학생명렬표!B74="","",학생명렬표!B74)</f>
        <v>5</v>
      </c>
      <c r="C75" s="22">
        <f>IF(학생명렬표!C74="","",학생명렬표!C74)</f>
        <v>7</v>
      </c>
      <c r="D75" s="22" t="str">
        <f>IF(학생명렬표!D74="","",학생명렬표!D74)</f>
        <v>원승빈</v>
      </c>
      <c r="E75" s="22"/>
      <c r="F75" s="24"/>
    </row>
    <row r="76" spans="1:6">
      <c r="A76" s="9">
        <f>IF(학생명렬표!A75="","",학생명렬표!A75)</f>
        <v>1</v>
      </c>
      <c r="B76" s="22">
        <f>IF(학생명렬표!B75="","",학생명렬표!B75)</f>
        <v>5</v>
      </c>
      <c r="C76" s="22">
        <f>IF(학생명렬표!C75="","",학생명렬표!C75)</f>
        <v>8</v>
      </c>
      <c r="D76" s="22" t="str">
        <f>IF(학생명렬표!D75="","",학생명렬표!D75)</f>
        <v>이현승</v>
      </c>
      <c r="E76" s="22"/>
      <c r="F76" s="24"/>
    </row>
    <row r="77" spans="1:6">
      <c r="A77" s="9">
        <f>IF(학생명렬표!A76="","",학생명렬표!A76)</f>
        <v>1</v>
      </c>
      <c r="B77" s="22">
        <f>IF(학생명렬표!B76="","",학생명렬표!B76)</f>
        <v>5</v>
      </c>
      <c r="C77" s="22">
        <f>IF(학생명렬표!C76="","",학생명렬표!C76)</f>
        <v>9</v>
      </c>
      <c r="D77" s="22" t="str">
        <f>IF(학생명렬표!D76="","",학생명렬표!D76)</f>
        <v>임승민</v>
      </c>
      <c r="E77" s="22"/>
      <c r="F77" s="24"/>
    </row>
    <row r="78" spans="1:6">
      <c r="A78" s="9">
        <f>IF(학생명렬표!A77="","",학생명렬표!A77)</f>
        <v>1</v>
      </c>
      <c r="B78" s="22">
        <f>IF(학생명렬표!B77="","",학생명렬표!B77)</f>
        <v>5</v>
      </c>
      <c r="C78" s="22">
        <f>IF(학생명렬표!C77="","",학생명렬표!C77)</f>
        <v>10</v>
      </c>
      <c r="D78" s="22" t="str">
        <f>IF(학생명렬표!D77="","",학생명렬표!D77)</f>
        <v>장현준</v>
      </c>
      <c r="E78" s="22"/>
      <c r="F78" s="24"/>
    </row>
    <row r="79" spans="1:6">
      <c r="A79" s="9">
        <f>IF(학생명렬표!A78="","",학생명렬표!A78)</f>
        <v>1</v>
      </c>
      <c r="B79" s="22">
        <f>IF(학생명렬표!B78="","",학생명렬표!B78)</f>
        <v>5</v>
      </c>
      <c r="C79" s="22">
        <f>IF(학생명렬표!C78="","",학생명렬표!C78)</f>
        <v>11</v>
      </c>
      <c r="D79" s="22" t="str">
        <f>IF(학생명렬표!D78="","",학생명렬표!D78)</f>
        <v>정광원</v>
      </c>
      <c r="E79" s="22"/>
      <c r="F79" s="24"/>
    </row>
    <row r="80" spans="1:6">
      <c r="A80" s="9">
        <f>IF(학생명렬표!A79="","",학생명렬표!A79)</f>
        <v>1</v>
      </c>
      <c r="B80" s="22">
        <f>IF(학생명렬표!B79="","",학생명렬표!B79)</f>
        <v>5</v>
      </c>
      <c r="C80" s="22">
        <f>IF(학생명렬표!C79="","",학생명렬표!C79)</f>
        <v>12</v>
      </c>
      <c r="D80" s="22" t="str">
        <f>IF(학생명렬표!D79="","",학생명렬표!D79)</f>
        <v>정재원</v>
      </c>
      <c r="E80" s="22"/>
      <c r="F80" s="24"/>
    </row>
    <row r="81" spans="1:6">
      <c r="A81" s="9">
        <f>IF(학생명렬표!A80="","",학생명렬표!A80)</f>
        <v>1</v>
      </c>
      <c r="B81" s="22">
        <f>IF(학생명렬표!B80="","",학생명렬표!B80)</f>
        <v>5</v>
      </c>
      <c r="C81" s="22">
        <f>IF(학생명렬표!C80="","",학생명렬표!C80)</f>
        <v>13</v>
      </c>
      <c r="D81" s="22" t="str">
        <f>IF(학생명렬표!D80="","",학생명렬표!D80)</f>
        <v>최원우</v>
      </c>
      <c r="E81" s="22"/>
      <c r="F81" s="24"/>
    </row>
    <row r="82" spans="1:6">
      <c r="A82" s="9">
        <f>IF(학생명렬표!A81="","",학생명렬표!A81)</f>
        <v>1</v>
      </c>
      <c r="B82" s="22">
        <f>IF(학생명렬표!B81="","",학생명렬표!B81)</f>
        <v>5</v>
      </c>
      <c r="C82" s="22">
        <f>IF(학생명렬표!C81="","",학생명렬표!C81)</f>
        <v>14</v>
      </c>
      <c r="D82" s="22" t="str">
        <f>IF(학생명렬표!D81="","",학생명렬표!D81)</f>
        <v>최현민</v>
      </c>
      <c r="E82" s="22"/>
      <c r="F82" s="24"/>
    </row>
    <row r="83" spans="1:6">
      <c r="A83" s="9">
        <f>IF(학생명렬표!A82="","",학생명렬표!A82)</f>
        <v>1</v>
      </c>
      <c r="B83" s="22">
        <f>IF(학생명렬표!B82="","",학생명렬표!B82)</f>
        <v>5</v>
      </c>
      <c r="C83" s="22">
        <f>IF(학생명렬표!C82="","",학생명렬표!C82)</f>
        <v>15</v>
      </c>
      <c r="D83" s="22" t="str">
        <f>IF(학생명렬표!D82="","",학생명렬표!D82)</f>
        <v>황규현</v>
      </c>
      <c r="E83" s="22"/>
      <c r="F83" s="24"/>
    </row>
    <row r="84" spans="1:6">
      <c r="A84" s="9">
        <f>IF(학생명렬표!A83="","",학생명렬표!A83)</f>
        <v>1</v>
      </c>
      <c r="B84" s="22">
        <f>IF(학생명렬표!B83="","",학생명렬표!B83)</f>
        <v>5</v>
      </c>
      <c r="C84" s="22">
        <f>IF(학생명렬표!C83="","",학생명렬표!C83)</f>
        <v>16</v>
      </c>
      <c r="D84" s="22" t="str">
        <f>IF(학생명렬표!D83="","",학생명렬표!D83)</f>
        <v>황보승욱</v>
      </c>
      <c r="E84" s="22"/>
      <c r="F84" s="24"/>
    </row>
    <row r="85" spans="1:6">
      <c r="A85" s="9">
        <f>IF(학생명렬표!A84="","",학생명렬표!A84)</f>
        <v>1</v>
      </c>
      <c r="B85" s="22">
        <f>IF(학생명렬표!B84="","",학생명렬표!B84)</f>
        <v>6</v>
      </c>
      <c r="C85" s="22">
        <f>IF(학생명렬표!C84="","",학생명렬표!C84)</f>
        <v>1</v>
      </c>
      <c r="D85" s="22" t="str">
        <f>IF(학생명렬표!D84="","",학생명렬표!D84)</f>
        <v>고명준</v>
      </c>
      <c r="E85" s="22"/>
      <c r="F85" s="24"/>
    </row>
    <row r="86" spans="1:6">
      <c r="A86" s="9">
        <f>IF(학생명렬표!A85="","",학생명렬표!A85)</f>
        <v>1</v>
      </c>
      <c r="B86" s="22">
        <f>IF(학생명렬표!B85="","",학생명렬표!B85)</f>
        <v>6</v>
      </c>
      <c r="C86" s="22">
        <f>IF(학생명렬표!C85="","",학생명렬표!C85)</f>
        <v>2</v>
      </c>
      <c r="D86" s="22" t="str">
        <f>IF(학생명렬표!D85="","",학생명렬표!D85)</f>
        <v>김규헌</v>
      </c>
      <c r="E86" s="22"/>
      <c r="F86" s="24"/>
    </row>
    <row r="87" spans="1:6">
      <c r="A87" s="9">
        <f>IF(학생명렬표!A86="","",학생명렬표!A86)</f>
        <v>1</v>
      </c>
      <c r="B87" s="22">
        <f>IF(학생명렬표!B86="","",학생명렬표!B86)</f>
        <v>6</v>
      </c>
      <c r="C87" s="22">
        <f>IF(학생명렬표!C86="","",학생명렬표!C86)</f>
        <v>3</v>
      </c>
      <c r="D87" s="22" t="str">
        <f>IF(학생명렬표!D86="","",학생명렬표!D86)</f>
        <v>김동빈</v>
      </c>
      <c r="E87" s="22"/>
      <c r="F87" s="24"/>
    </row>
    <row r="88" spans="1:6">
      <c r="A88" s="9">
        <f>IF(학생명렬표!A87="","",학생명렬표!A87)</f>
        <v>1</v>
      </c>
      <c r="B88" s="22">
        <f>IF(학생명렬표!B87="","",학생명렬표!B87)</f>
        <v>6</v>
      </c>
      <c r="C88" s="22">
        <f>IF(학생명렬표!C87="","",학생명렬표!C87)</f>
        <v>4</v>
      </c>
      <c r="D88" s="22" t="str">
        <f>IF(학생명렬표!D87="","",학생명렬표!D87)</f>
        <v>김성우</v>
      </c>
      <c r="E88" s="22"/>
      <c r="F88" s="24"/>
    </row>
    <row r="89" spans="1:6">
      <c r="A89" s="9">
        <f>IF(학생명렬표!A88="","",학생명렬표!A88)</f>
        <v>1</v>
      </c>
      <c r="B89" s="22">
        <f>IF(학생명렬표!B88="","",학생명렬표!B88)</f>
        <v>6</v>
      </c>
      <c r="C89" s="22">
        <f>IF(학생명렬표!C88="","",학생명렬표!C88)</f>
        <v>5</v>
      </c>
      <c r="D89" s="22" t="str">
        <f>IF(학생명렬표!D88="","",학생명렬표!D88)</f>
        <v>김시우</v>
      </c>
      <c r="E89" s="22"/>
      <c r="F89" s="24"/>
    </row>
    <row r="90" spans="1:6">
      <c r="A90" s="9">
        <f>IF(학생명렬표!A89="","",학생명렬표!A89)</f>
        <v>1</v>
      </c>
      <c r="B90" s="22">
        <f>IF(학생명렬표!B89="","",학생명렬표!B89)</f>
        <v>6</v>
      </c>
      <c r="C90" s="22">
        <f>IF(학생명렬표!C89="","",학생명렬표!C89)</f>
        <v>6</v>
      </c>
      <c r="D90" s="22" t="str">
        <f>IF(학생명렬표!D89="","",학생명렬표!D89)</f>
        <v>김영우</v>
      </c>
      <c r="E90" s="22"/>
      <c r="F90" s="24"/>
    </row>
    <row r="91" spans="1:6">
      <c r="A91" s="9">
        <f>IF(학생명렬표!A90="","",학생명렬표!A90)</f>
        <v>1</v>
      </c>
      <c r="B91" s="22">
        <f>IF(학생명렬표!B90="","",학생명렬표!B90)</f>
        <v>6</v>
      </c>
      <c r="C91" s="22">
        <f>IF(학생명렬표!C90="","",학생명렬표!C90)</f>
        <v>7</v>
      </c>
      <c r="D91" s="22" t="str">
        <f>IF(학생명렬표!D90="","",학생명렬표!D90)</f>
        <v>김은우</v>
      </c>
      <c r="E91" s="22"/>
      <c r="F91" s="24"/>
    </row>
    <row r="92" spans="1:6">
      <c r="A92" s="9">
        <f>IF(학생명렬표!A91="","",학생명렬표!A91)</f>
        <v>1</v>
      </c>
      <c r="B92" s="22">
        <f>IF(학생명렬표!B91="","",학생명렬표!B91)</f>
        <v>6</v>
      </c>
      <c r="C92" s="22">
        <f>IF(학생명렬표!C91="","",학생명렬표!C91)</f>
        <v>8</v>
      </c>
      <c r="D92" s="22" t="str">
        <f>IF(학생명렬표!D91="","",학생명렬표!D91)</f>
        <v>김정우</v>
      </c>
      <c r="E92" s="22"/>
      <c r="F92" s="24"/>
    </row>
    <row r="93" spans="1:6">
      <c r="A93" s="9">
        <f>IF(학생명렬표!A92="","",학생명렬표!A92)</f>
        <v>1</v>
      </c>
      <c r="B93" s="22">
        <f>IF(학생명렬표!B92="","",학생명렬표!B92)</f>
        <v>6</v>
      </c>
      <c r="C93" s="22">
        <f>IF(학생명렬표!C92="","",학생명렬표!C92)</f>
        <v>9</v>
      </c>
      <c r="D93" s="22" t="str">
        <f>IF(학생명렬표!D92="","",학생명렬표!D92)</f>
        <v>김현우</v>
      </c>
      <c r="E93" s="22"/>
      <c r="F93" s="24"/>
    </row>
    <row r="94" spans="1:6">
      <c r="A94" s="9">
        <f>IF(학생명렬표!A93="","",학생명렬표!A93)</f>
        <v>1</v>
      </c>
      <c r="B94" s="22">
        <f>IF(학생명렬표!B93="","",학생명렬표!B93)</f>
        <v>6</v>
      </c>
      <c r="C94" s="22">
        <f>IF(학생명렬표!C93="","",학생명렬표!C93)</f>
        <v>10</v>
      </c>
      <c r="D94" s="22" t="str">
        <f>IF(학생명렬표!D93="","",학생명렬표!D93)</f>
        <v>송명헌</v>
      </c>
      <c r="E94" s="22"/>
      <c r="F94" s="24"/>
    </row>
    <row r="95" spans="1:6">
      <c r="A95" s="9">
        <f>IF(학생명렬표!A94="","",학생명렬표!A94)</f>
        <v>1</v>
      </c>
      <c r="B95" s="22">
        <f>IF(학생명렬표!B94="","",학생명렬표!B94)</f>
        <v>6</v>
      </c>
      <c r="C95" s="22">
        <f>IF(학생명렬표!C94="","",학생명렬표!C94)</f>
        <v>11</v>
      </c>
      <c r="D95" s="22" t="str">
        <f>IF(학생명렬표!D94="","",학생명렬표!D94)</f>
        <v>이정민</v>
      </c>
      <c r="E95" s="22"/>
      <c r="F95" s="24"/>
    </row>
    <row r="96" spans="1:6">
      <c r="A96" s="9">
        <f>IF(학생명렬표!A95="","",학생명렬표!A95)</f>
        <v>1</v>
      </c>
      <c r="B96" s="22">
        <f>IF(학생명렬표!B95="","",학생명렬표!B95)</f>
        <v>6</v>
      </c>
      <c r="C96" s="22">
        <f>IF(학생명렬표!C95="","",학생명렬표!C95)</f>
        <v>12</v>
      </c>
      <c r="D96" s="22" t="str">
        <f>IF(학생명렬표!D95="","",학생명렬표!D95)</f>
        <v>임원상</v>
      </c>
      <c r="E96" s="22"/>
      <c r="F96" s="24"/>
    </row>
    <row r="97" spans="1:6">
      <c r="A97" s="9">
        <f>IF(학생명렬표!A96="","",학생명렬표!A96)</f>
        <v>1</v>
      </c>
      <c r="B97" s="22">
        <f>IF(학생명렬표!B96="","",학생명렬표!B96)</f>
        <v>6</v>
      </c>
      <c r="C97" s="22">
        <f>IF(학생명렬표!C96="","",학생명렬표!C96)</f>
        <v>13</v>
      </c>
      <c r="D97" s="22" t="str">
        <f>IF(학생명렬표!D96="","",학생명렬표!D96)</f>
        <v>전종훈</v>
      </c>
      <c r="E97" s="22"/>
      <c r="F97" s="24"/>
    </row>
    <row r="98" spans="1:6">
      <c r="A98" s="9">
        <f>IF(학생명렬표!A97="","",학생명렬표!A97)</f>
        <v>1</v>
      </c>
      <c r="B98" s="22">
        <f>IF(학생명렬표!B97="","",학생명렬표!B97)</f>
        <v>6</v>
      </c>
      <c r="C98" s="22">
        <f>IF(학생명렬표!C97="","",학생명렬표!C97)</f>
        <v>14</v>
      </c>
      <c r="D98" s="22" t="str">
        <f>IF(학생명렬표!D97="","",학생명렬표!D97)</f>
        <v>조수민</v>
      </c>
      <c r="E98" s="22"/>
      <c r="F98" s="24"/>
    </row>
    <row r="99" spans="1:6">
      <c r="A99" s="9">
        <f>IF(학생명렬표!A98="","",학생명렬표!A98)</f>
        <v>1</v>
      </c>
      <c r="B99" s="22">
        <f>IF(학생명렬표!B98="","",학생명렬표!B98)</f>
        <v>6</v>
      </c>
      <c r="C99" s="22">
        <f>IF(학생명렬표!C98="","",학생명렬표!C98)</f>
        <v>15</v>
      </c>
      <c r="D99" s="22" t="str">
        <f>IF(학생명렬표!D98="","",학생명렬표!D98)</f>
        <v>조하진</v>
      </c>
      <c r="E99" s="22"/>
      <c r="F99" s="24"/>
    </row>
    <row r="100" spans="1:6">
      <c r="A100" s="9">
        <f>IF(학생명렬표!A99="","",학생명렬표!A99)</f>
        <v>1</v>
      </c>
      <c r="B100" s="22">
        <f>IF(학생명렬표!B99="","",학생명렬표!B99)</f>
        <v>6</v>
      </c>
      <c r="C100" s="22">
        <f>IF(학생명렬표!C99="","",학생명렬표!C99)</f>
        <v>16</v>
      </c>
      <c r="D100" s="22" t="str">
        <f>IF(학생명렬표!D99="","",학생명렬표!D99)</f>
        <v>하정윤</v>
      </c>
      <c r="E100" s="22"/>
      <c r="F100" s="24"/>
    </row>
    <row r="101" spans="1:6">
      <c r="A101" s="9">
        <f>IF(학생명렬표!A100="","",학생명렬표!A100)</f>
        <v>1</v>
      </c>
      <c r="B101" s="22">
        <f>IF(학생명렬표!B100="","",학생명렬표!B100)</f>
        <v>6</v>
      </c>
      <c r="C101" s="22">
        <f>IF(학생명렬표!C100="","",학생명렬표!C100)</f>
        <v>17</v>
      </c>
      <c r="D101" s="22" t="str">
        <f>IF(학생명렬표!D100="","",학생명렬표!D100)</f>
        <v>한지민</v>
      </c>
      <c r="E101" s="22"/>
      <c r="F101" s="24"/>
    </row>
    <row r="102" spans="1:6">
      <c r="A102" s="9" t="str">
        <f>IF(학생명렬표!A101="","",학생명렬표!A101)</f>
        <v/>
      </c>
      <c r="B102" s="22" t="str">
        <f>IF(학생명렬표!B101="","",학생명렬표!B101)</f>
        <v/>
      </c>
      <c r="C102" s="22" t="str">
        <f>IF(학생명렬표!C101="","",학생명렬표!C101)</f>
        <v/>
      </c>
      <c r="D102" s="22" t="str">
        <f>IF(학생명렬표!D101="","",학생명렬표!D101)</f>
        <v/>
      </c>
      <c r="E102" s="22"/>
      <c r="F102" s="24"/>
    </row>
    <row r="103" spans="1:6">
      <c r="A103" s="9" t="str">
        <f>IF(학생명렬표!A102="","",학생명렬표!A102)</f>
        <v/>
      </c>
      <c r="B103" s="22" t="str">
        <f>IF(학생명렬표!B102="","",학생명렬표!B102)</f>
        <v/>
      </c>
      <c r="C103" s="22" t="str">
        <f>IF(학생명렬표!C102="","",학생명렬표!C102)</f>
        <v/>
      </c>
      <c r="D103" s="22" t="str">
        <f>IF(학생명렬표!D102="","",학생명렬표!D102)</f>
        <v/>
      </c>
      <c r="E103" s="22"/>
      <c r="F103" s="24"/>
    </row>
    <row r="104" spans="1:6">
      <c r="A104" s="9" t="str">
        <f>IF(학생명렬표!A103="","",학생명렬표!A103)</f>
        <v/>
      </c>
      <c r="B104" s="22" t="str">
        <f>IF(학생명렬표!B103="","",학생명렬표!B103)</f>
        <v/>
      </c>
      <c r="C104" s="22" t="str">
        <f>IF(학생명렬표!C103="","",학생명렬표!C103)</f>
        <v/>
      </c>
      <c r="D104" s="22" t="str">
        <f>IF(학생명렬표!D103="","",학생명렬표!D103)</f>
        <v/>
      </c>
      <c r="E104" s="22"/>
      <c r="F104" s="24"/>
    </row>
    <row r="105" spans="1:6">
      <c r="A105" s="9" t="str">
        <f>IF(학생명렬표!A104="","",학생명렬표!A104)</f>
        <v/>
      </c>
      <c r="B105" s="22" t="str">
        <f>IF(학생명렬표!B104="","",학생명렬표!B104)</f>
        <v/>
      </c>
      <c r="C105" s="22" t="str">
        <f>IF(학생명렬표!C104="","",학생명렬표!C104)</f>
        <v/>
      </c>
      <c r="D105" s="22" t="str">
        <f>IF(학생명렬표!D104="","",학생명렬표!D104)</f>
        <v/>
      </c>
      <c r="E105" s="22"/>
      <c r="F105" s="24"/>
    </row>
    <row r="106" spans="1:6">
      <c r="A106" s="9" t="str">
        <f>IF(학생명렬표!A105="","",학생명렬표!A105)</f>
        <v/>
      </c>
      <c r="B106" s="22" t="str">
        <f>IF(학생명렬표!B105="","",학생명렬표!B105)</f>
        <v/>
      </c>
      <c r="C106" s="22" t="str">
        <f>IF(학생명렬표!C105="","",학생명렬표!C105)</f>
        <v/>
      </c>
      <c r="D106" s="22" t="str">
        <f>IF(학생명렬표!D105="","",학생명렬표!D105)</f>
        <v/>
      </c>
      <c r="E106" s="22"/>
      <c r="F106" s="24"/>
    </row>
    <row r="107" spans="1:6">
      <c r="A107" s="9" t="str">
        <f>IF(학생명렬표!A106="","",학생명렬표!A106)</f>
        <v/>
      </c>
      <c r="B107" s="22" t="str">
        <f>IF(학생명렬표!B106="","",학생명렬표!B106)</f>
        <v/>
      </c>
      <c r="C107" s="22" t="str">
        <f>IF(학생명렬표!C106="","",학생명렬표!C106)</f>
        <v/>
      </c>
      <c r="D107" s="22" t="str">
        <f>IF(학생명렬표!D106="","",학생명렬표!D106)</f>
        <v/>
      </c>
      <c r="E107" s="22"/>
      <c r="F107" s="24"/>
    </row>
    <row r="108" spans="1:6">
      <c r="A108" s="9" t="str">
        <f>IF(학생명렬표!A107="","",학생명렬표!A107)</f>
        <v/>
      </c>
      <c r="B108" s="22" t="str">
        <f>IF(학생명렬표!B107="","",학생명렬표!B107)</f>
        <v/>
      </c>
      <c r="C108" s="22" t="str">
        <f>IF(학생명렬표!C107="","",학생명렬표!C107)</f>
        <v/>
      </c>
      <c r="D108" s="22" t="str">
        <f>IF(학생명렬표!D107="","",학생명렬표!D107)</f>
        <v/>
      </c>
      <c r="E108" s="22"/>
      <c r="F108" s="24"/>
    </row>
    <row r="109" spans="1:6">
      <c r="A109" s="9" t="str">
        <f>IF(학생명렬표!A108="","",학생명렬표!A108)</f>
        <v/>
      </c>
      <c r="B109" s="22" t="str">
        <f>IF(학생명렬표!B108="","",학생명렬표!B108)</f>
        <v/>
      </c>
      <c r="C109" s="22" t="str">
        <f>IF(학생명렬표!C108="","",학생명렬표!C108)</f>
        <v/>
      </c>
      <c r="D109" s="22" t="str">
        <f>IF(학생명렬표!D108="","",학생명렬표!D108)</f>
        <v/>
      </c>
      <c r="E109" s="22"/>
      <c r="F109" s="24"/>
    </row>
    <row r="110" spans="1:6">
      <c r="A110" s="9" t="str">
        <f>IF(학생명렬표!A109="","",학생명렬표!A109)</f>
        <v/>
      </c>
      <c r="B110" s="22" t="str">
        <f>IF(학생명렬표!B109="","",학생명렬표!B109)</f>
        <v/>
      </c>
      <c r="C110" s="22" t="str">
        <f>IF(학생명렬표!C109="","",학생명렬표!C109)</f>
        <v/>
      </c>
      <c r="D110" s="22" t="str">
        <f>IF(학생명렬표!D109="","",학생명렬표!D109)</f>
        <v/>
      </c>
      <c r="E110" s="22"/>
      <c r="F110" s="24"/>
    </row>
    <row r="111" spans="1:6">
      <c r="A111" s="9" t="str">
        <f>IF(학생명렬표!A110="","",학생명렬표!A110)</f>
        <v/>
      </c>
      <c r="B111" s="22" t="str">
        <f>IF(학생명렬표!B110="","",학생명렬표!B110)</f>
        <v/>
      </c>
      <c r="C111" s="22" t="str">
        <f>IF(학생명렬표!C110="","",학생명렬표!C110)</f>
        <v/>
      </c>
      <c r="D111" s="22" t="str">
        <f>IF(학생명렬표!D110="","",학생명렬표!D110)</f>
        <v/>
      </c>
      <c r="E111" s="22"/>
      <c r="F111" s="24"/>
    </row>
    <row r="112" spans="1:6">
      <c r="A112" s="9" t="str">
        <f>IF(학생명렬표!A111="","",학생명렬표!A111)</f>
        <v/>
      </c>
      <c r="B112" s="22" t="str">
        <f>IF(학생명렬표!B111="","",학생명렬표!B111)</f>
        <v/>
      </c>
      <c r="C112" s="22" t="str">
        <f>IF(학생명렬표!C111="","",학생명렬표!C111)</f>
        <v/>
      </c>
      <c r="D112" s="22" t="str">
        <f>IF(학생명렬표!D111="","",학생명렬표!D111)</f>
        <v/>
      </c>
      <c r="E112" s="22"/>
      <c r="F112" s="24"/>
    </row>
    <row r="113" spans="1:6">
      <c r="A113" s="9" t="str">
        <f>IF(학생명렬표!A112="","",학생명렬표!A112)</f>
        <v/>
      </c>
      <c r="B113" s="22" t="str">
        <f>IF(학생명렬표!B112="","",학생명렬표!B112)</f>
        <v/>
      </c>
      <c r="C113" s="22" t="str">
        <f>IF(학생명렬표!C112="","",학생명렬표!C112)</f>
        <v/>
      </c>
      <c r="D113" s="22" t="str">
        <f>IF(학생명렬표!D112="","",학생명렬표!D112)</f>
        <v/>
      </c>
      <c r="E113" s="22"/>
      <c r="F113" s="24"/>
    </row>
    <row r="114" spans="1:6">
      <c r="A114" s="9" t="str">
        <f>IF(학생명렬표!A113="","",학생명렬표!A113)</f>
        <v/>
      </c>
      <c r="B114" s="22" t="str">
        <f>IF(학생명렬표!B113="","",학생명렬표!B113)</f>
        <v/>
      </c>
      <c r="C114" s="22" t="str">
        <f>IF(학생명렬표!C113="","",학생명렬표!C113)</f>
        <v/>
      </c>
      <c r="D114" s="22" t="str">
        <f>IF(학생명렬표!D113="","",학생명렬표!D113)</f>
        <v/>
      </c>
      <c r="E114" s="22"/>
      <c r="F114" s="24"/>
    </row>
    <row r="115" spans="1:6">
      <c r="A115" s="9" t="str">
        <f>IF(학생명렬표!A114="","",학생명렬표!A114)</f>
        <v/>
      </c>
      <c r="B115" s="22" t="str">
        <f>IF(학생명렬표!B114="","",학생명렬표!B114)</f>
        <v/>
      </c>
      <c r="C115" s="22" t="str">
        <f>IF(학생명렬표!C114="","",학생명렬표!C114)</f>
        <v/>
      </c>
      <c r="D115" s="22" t="str">
        <f>IF(학생명렬표!D114="","",학생명렬표!D114)</f>
        <v/>
      </c>
      <c r="E115" s="22"/>
      <c r="F115" s="24"/>
    </row>
    <row r="116" spans="1:6">
      <c r="A116" s="9" t="str">
        <f>IF(학생명렬표!A115="","",학생명렬표!A115)</f>
        <v/>
      </c>
      <c r="B116" s="22" t="str">
        <f>IF(학생명렬표!B115="","",학생명렬표!B115)</f>
        <v/>
      </c>
      <c r="C116" s="22" t="str">
        <f>IF(학생명렬표!C115="","",학생명렬표!C115)</f>
        <v/>
      </c>
      <c r="D116" s="22" t="str">
        <f>IF(학생명렬표!D115="","",학생명렬표!D115)</f>
        <v/>
      </c>
      <c r="E116" s="22"/>
      <c r="F116" s="24"/>
    </row>
    <row r="117" spans="1:6">
      <c r="A117" s="9" t="str">
        <f>IF(학생명렬표!A116="","",학생명렬표!A116)</f>
        <v/>
      </c>
      <c r="B117" s="22" t="str">
        <f>IF(학생명렬표!B116="","",학생명렬표!B116)</f>
        <v/>
      </c>
      <c r="C117" s="22" t="str">
        <f>IF(학생명렬표!C116="","",학생명렬표!C116)</f>
        <v/>
      </c>
      <c r="D117" s="22" t="str">
        <f>IF(학생명렬표!D116="","",학생명렬표!D116)</f>
        <v/>
      </c>
      <c r="E117" s="22"/>
      <c r="F117" s="24"/>
    </row>
    <row r="118" spans="1:6">
      <c r="A118" s="9" t="str">
        <f>IF(학생명렬표!A117="","",학생명렬표!A117)</f>
        <v/>
      </c>
      <c r="B118" s="22" t="str">
        <f>IF(학생명렬표!B117="","",학생명렬표!B117)</f>
        <v/>
      </c>
      <c r="C118" s="22" t="str">
        <f>IF(학생명렬표!C117="","",학생명렬표!C117)</f>
        <v/>
      </c>
      <c r="D118" s="22" t="str">
        <f>IF(학생명렬표!D117="","",학생명렬표!D117)</f>
        <v/>
      </c>
      <c r="E118" s="22"/>
      <c r="F118" s="24"/>
    </row>
    <row r="119" spans="1:6">
      <c r="A119" s="9" t="str">
        <f>IF(학생명렬표!A118="","",학생명렬표!A118)</f>
        <v/>
      </c>
      <c r="B119" s="22" t="str">
        <f>IF(학생명렬표!B118="","",학생명렬표!B118)</f>
        <v/>
      </c>
      <c r="C119" s="22" t="str">
        <f>IF(학생명렬표!C118="","",학생명렬표!C118)</f>
        <v/>
      </c>
      <c r="D119" s="22" t="str">
        <f>IF(학생명렬표!D118="","",학생명렬표!D118)</f>
        <v/>
      </c>
      <c r="E119" s="22"/>
      <c r="F119" s="24"/>
    </row>
    <row r="120" spans="1:6">
      <c r="A120" s="9" t="str">
        <f>IF(학생명렬표!A119="","",학생명렬표!A119)</f>
        <v/>
      </c>
      <c r="B120" s="22" t="str">
        <f>IF(학생명렬표!B119="","",학생명렬표!B119)</f>
        <v/>
      </c>
      <c r="C120" s="22" t="str">
        <f>IF(학생명렬표!C119="","",학생명렬표!C119)</f>
        <v/>
      </c>
      <c r="D120" s="22" t="str">
        <f>IF(학생명렬표!D119="","",학생명렬표!D119)</f>
        <v/>
      </c>
      <c r="E120" s="22"/>
      <c r="F120" s="24"/>
    </row>
    <row r="121" spans="1:6">
      <c r="A121" s="9" t="str">
        <f>IF(학생명렬표!A120="","",학생명렬표!A120)</f>
        <v/>
      </c>
      <c r="B121" s="22" t="str">
        <f>IF(학생명렬표!B120="","",학생명렬표!B120)</f>
        <v/>
      </c>
      <c r="C121" s="22" t="str">
        <f>IF(학생명렬표!C120="","",학생명렬표!C120)</f>
        <v/>
      </c>
      <c r="D121" s="22" t="str">
        <f>IF(학생명렬표!D120="","",학생명렬표!D120)</f>
        <v/>
      </c>
      <c r="E121" s="22"/>
      <c r="F121" s="24"/>
    </row>
    <row r="122" spans="1:6">
      <c r="A122" s="9" t="str">
        <f>IF(학생명렬표!A121="","",학생명렬표!A121)</f>
        <v/>
      </c>
      <c r="B122" s="22" t="str">
        <f>IF(학생명렬표!B121="","",학생명렬표!B121)</f>
        <v/>
      </c>
      <c r="C122" s="22" t="str">
        <f>IF(학생명렬표!C121="","",학생명렬표!C121)</f>
        <v/>
      </c>
      <c r="D122" s="22" t="str">
        <f>IF(학생명렬표!D121="","",학생명렬표!D121)</f>
        <v/>
      </c>
      <c r="E122" s="22"/>
      <c r="F122" s="24"/>
    </row>
    <row r="123" spans="1:6">
      <c r="A123" s="9" t="str">
        <f>IF(학생명렬표!A122="","",학생명렬표!A122)</f>
        <v/>
      </c>
      <c r="B123" s="22" t="str">
        <f>IF(학생명렬표!B122="","",학생명렬표!B122)</f>
        <v/>
      </c>
      <c r="C123" s="22" t="str">
        <f>IF(학생명렬표!C122="","",학생명렬표!C122)</f>
        <v/>
      </c>
      <c r="D123" s="22" t="str">
        <f>IF(학생명렬표!D122="","",학생명렬표!D122)</f>
        <v/>
      </c>
      <c r="E123" s="22"/>
      <c r="F123" s="24"/>
    </row>
    <row r="124" spans="1:6">
      <c r="A124" s="9" t="str">
        <f>IF(학생명렬표!A123="","",학생명렬표!A123)</f>
        <v/>
      </c>
      <c r="B124" s="22" t="str">
        <f>IF(학생명렬표!B123="","",학생명렬표!B123)</f>
        <v/>
      </c>
      <c r="C124" s="22" t="str">
        <f>IF(학생명렬표!C123="","",학생명렬표!C123)</f>
        <v/>
      </c>
      <c r="D124" s="22" t="str">
        <f>IF(학생명렬표!D123="","",학생명렬표!D123)</f>
        <v/>
      </c>
      <c r="E124" s="22"/>
      <c r="F124" s="24"/>
    </row>
    <row r="125" spans="1:6">
      <c r="A125" s="9" t="str">
        <f>IF(학생명렬표!A124="","",학생명렬표!A124)</f>
        <v/>
      </c>
      <c r="B125" s="22" t="str">
        <f>IF(학생명렬표!B124="","",학생명렬표!B124)</f>
        <v/>
      </c>
      <c r="C125" s="22" t="str">
        <f>IF(학생명렬표!C124="","",학생명렬표!C124)</f>
        <v/>
      </c>
      <c r="D125" s="22" t="str">
        <f>IF(학생명렬표!D124="","",학생명렬표!D124)</f>
        <v/>
      </c>
      <c r="E125" s="22"/>
      <c r="F125" s="24"/>
    </row>
    <row r="126" spans="1:6">
      <c r="A126" s="9" t="str">
        <f>IF(학생명렬표!A125="","",학생명렬표!A125)</f>
        <v/>
      </c>
      <c r="B126" s="22" t="str">
        <f>IF(학생명렬표!B125="","",학생명렬표!B125)</f>
        <v/>
      </c>
      <c r="C126" s="22" t="str">
        <f>IF(학생명렬표!C125="","",학생명렬표!C125)</f>
        <v/>
      </c>
      <c r="D126" s="22" t="str">
        <f>IF(학생명렬표!D125="","",학생명렬표!D125)</f>
        <v/>
      </c>
      <c r="E126" s="22"/>
      <c r="F126" s="24"/>
    </row>
    <row r="127" spans="1:6">
      <c r="A127" s="9" t="str">
        <f>IF(학생명렬표!A126="","",학생명렬표!A126)</f>
        <v/>
      </c>
      <c r="B127" s="22" t="str">
        <f>IF(학생명렬표!B126="","",학생명렬표!B126)</f>
        <v/>
      </c>
      <c r="C127" s="22" t="str">
        <f>IF(학생명렬표!C126="","",학생명렬표!C126)</f>
        <v/>
      </c>
      <c r="D127" s="22" t="str">
        <f>IF(학생명렬표!D126="","",학생명렬표!D126)</f>
        <v/>
      </c>
      <c r="E127" s="22"/>
      <c r="F127" s="24"/>
    </row>
    <row r="128" spans="1:6">
      <c r="A128" s="9" t="str">
        <f>IF(학생명렬표!A127="","",학생명렬표!A127)</f>
        <v/>
      </c>
      <c r="B128" s="22" t="str">
        <f>IF(학생명렬표!B127="","",학생명렬표!B127)</f>
        <v/>
      </c>
      <c r="C128" s="22" t="str">
        <f>IF(학생명렬표!C127="","",학생명렬표!C127)</f>
        <v/>
      </c>
      <c r="D128" s="22" t="str">
        <f>IF(학생명렬표!D127="","",학생명렬표!D127)</f>
        <v/>
      </c>
      <c r="E128" s="22"/>
      <c r="F128" s="24"/>
    </row>
    <row r="129" spans="1:6">
      <c r="A129" s="9" t="str">
        <f>IF(학생명렬표!A128="","",학생명렬표!A128)</f>
        <v/>
      </c>
      <c r="B129" s="22" t="str">
        <f>IF(학생명렬표!B128="","",학생명렬표!B128)</f>
        <v/>
      </c>
      <c r="C129" s="22" t="str">
        <f>IF(학생명렬표!C128="","",학생명렬표!C128)</f>
        <v/>
      </c>
      <c r="D129" s="22" t="str">
        <f>IF(학생명렬표!D128="","",학생명렬표!D128)</f>
        <v/>
      </c>
      <c r="E129" s="22"/>
      <c r="F129" s="24"/>
    </row>
    <row r="130" spans="1:6">
      <c r="A130" s="9" t="str">
        <f>IF(학생명렬표!A129="","",학생명렬표!A129)</f>
        <v/>
      </c>
      <c r="B130" s="22" t="str">
        <f>IF(학생명렬표!B129="","",학생명렬표!B129)</f>
        <v/>
      </c>
      <c r="C130" s="22" t="str">
        <f>IF(학생명렬표!C129="","",학생명렬표!C129)</f>
        <v/>
      </c>
      <c r="D130" s="22" t="str">
        <f>IF(학생명렬표!D129="","",학생명렬표!D129)</f>
        <v/>
      </c>
      <c r="E130" s="22"/>
      <c r="F130" s="24"/>
    </row>
    <row r="131" spans="1:6">
      <c r="A131" s="9" t="str">
        <f>IF(학생명렬표!A130="","",학생명렬표!A130)</f>
        <v/>
      </c>
      <c r="B131" s="22" t="str">
        <f>IF(학생명렬표!B130="","",학생명렬표!B130)</f>
        <v/>
      </c>
      <c r="C131" s="22" t="str">
        <f>IF(학생명렬표!C130="","",학생명렬표!C130)</f>
        <v/>
      </c>
      <c r="D131" s="22" t="str">
        <f>IF(학생명렬표!D130="","",학생명렬표!D130)</f>
        <v/>
      </c>
      <c r="E131" s="22"/>
      <c r="F131" s="24"/>
    </row>
    <row r="132" spans="1:6">
      <c r="A132" s="9" t="str">
        <f>IF(학생명렬표!A131="","",학생명렬표!A131)</f>
        <v/>
      </c>
      <c r="B132" s="22" t="str">
        <f>IF(학생명렬표!B131="","",학생명렬표!B131)</f>
        <v/>
      </c>
      <c r="C132" s="22" t="str">
        <f>IF(학생명렬표!C131="","",학생명렬표!C131)</f>
        <v/>
      </c>
      <c r="D132" s="22" t="str">
        <f>IF(학생명렬표!D131="","",학생명렬표!D131)</f>
        <v/>
      </c>
      <c r="E132" s="22"/>
      <c r="F132" s="24"/>
    </row>
    <row r="133" spans="1:6">
      <c r="A133" s="9" t="str">
        <f>IF(학생명렬표!A132="","",학생명렬표!A132)</f>
        <v/>
      </c>
      <c r="B133" s="22" t="str">
        <f>IF(학생명렬표!B132="","",학생명렬표!B132)</f>
        <v/>
      </c>
      <c r="C133" s="22" t="str">
        <f>IF(학생명렬표!C132="","",학생명렬표!C132)</f>
        <v/>
      </c>
      <c r="D133" s="22" t="str">
        <f>IF(학생명렬표!D132="","",학생명렬표!D132)</f>
        <v/>
      </c>
      <c r="E133" s="22"/>
      <c r="F133" s="24"/>
    </row>
    <row r="134" spans="1:6">
      <c r="A134" s="9" t="str">
        <f>IF(학생명렬표!A133="","",학생명렬표!A133)</f>
        <v/>
      </c>
      <c r="B134" s="22" t="str">
        <f>IF(학생명렬표!B133="","",학생명렬표!B133)</f>
        <v/>
      </c>
      <c r="C134" s="22" t="str">
        <f>IF(학생명렬표!C133="","",학생명렬표!C133)</f>
        <v/>
      </c>
      <c r="D134" s="22" t="str">
        <f>IF(학생명렬표!D133="","",학생명렬표!D133)</f>
        <v/>
      </c>
      <c r="E134" s="22"/>
      <c r="F134" s="24"/>
    </row>
    <row r="135" spans="1:6">
      <c r="A135" s="9" t="str">
        <f>IF(학생명렬표!A134="","",학생명렬표!A134)</f>
        <v/>
      </c>
      <c r="B135" s="22" t="str">
        <f>IF(학생명렬표!B134="","",학생명렬표!B134)</f>
        <v/>
      </c>
      <c r="C135" s="22" t="str">
        <f>IF(학생명렬표!C134="","",학생명렬표!C134)</f>
        <v/>
      </c>
      <c r="D135" s="22" t="str">
        <f>IF(학생명렬표!D134="","",학생명렬표!D134)</f>
        <v/>
      </c>
      <c r="E135" s="22"/>
      <c r="F135" s="24"/>
    </row>
    <row r="136" spans="1:6">
      <c r="A136" s="9" t="str">
        <f>IF(학생명렬표!A135="","",학생명렬표!A135)</f>
        <v/>
      </c>
      <c r="B136" s="22" t="str">
        <f>IF(학생명렬표!B135="","",학생명렬표!B135)</f>
        <v/>
      </c>
      <c r="C136" s="22" t="str">
        <f>IF(학생명렬표!C135="","",학생명렬표!C135)</f>
        <v/>
      </c>
      <c r="D136" s="22" t="str">
        <f>IF(학생명렬표!D135="","",학생명렬표!D135)</f>
        <v/>
      </c>
      <c r="E136" s="22"/>
      <c r="F136" s="24"/>
    </row>
    <row r="137" spans="1:6">
      <c r="A137" s="9" t="str">
        <f>IF(학생명렬표!A136="","",학생명렬표!A136)</f>
        <v/>
      </c>
      <c r="B137" s="22" t="str">
        <f>IF(학생명렬표!B136="","",학생명렬표!B136)</f>
        <v/>
      </c>
      <c r="C137" s="22" t="str">
        <f>IF(학생명렬표!C136="","",학생명렬표!C136)</f>
        <v/>
      </c>
      <c r="D137" s="22" t="str">
        <f>IF(학생명렬표!D136="","",학생명렬표!D136)</f>
        <v/>
      </c>
      <c r="E137" s="22"/>
      <c r="F137" s="24"/>
    </row>
    <row r="138" spans="1:6">
      <c r="A138" s="9" t="str">
        <f>IF(학생명렬표!A137="","",학생명렬표!A137)</f>
        <v/>
      </c>
      <c r="B138" s="22" t="str">
        <f>IF(학생명렬표!B137="","",학생명렬표!B137)</f>
        <v/>
      </c>
      <c r="C138" s="22" t="str">
        <f>IF(학생명렬표!C137="","",학생명렬표!C137)</f>
        <v/>
      </c>
      <c r="D138" s="22" t="str">
        <f>IF(학생명렬표!D137="","",학생명렬표!D137)</f>
        <v/>
      </c>
      <c r="E138" s="22"/>
      <c r="F138" s="24"/>
    </row>
    <row r="139" spans="1:6">
      <c r="A139" s="9" t="str">
        <f>IF(학생명렬표!A138="","",학생명렬표!A138)</f>
        <v/>
      </c>
      <c r="B139" s="22" t="str">
        <f>IF(학생명렬표!B138="","",학생명렬표!B138)</f>
        <v/>
      </c>
      <c r="C139" s="22" t="str">
        <f>IF(학생명렬표!C138="","",학생명렬표!C138)</f>
        <v/>
      </c>
      <c r="D139" s="22" t="str">
        <f>IF(학생명렬표!D138="","",학생명렬표!D138)</f>
        <v/>
      </c>
      <c r="E139" s="22"/>
      <c r="F139" s="24"/>
    </row>
    <row r="140" spans="1:6">
      <c r="A140" s="9" t="str">
        <f>IF(학생명렬표!A139="","",학생명렬표!A139)</f>
        <v/>
      </c>
      <c r="B140" s="22" t="str">
        <f>IF(학생명렬표!B139="","",학생명렬표!B139)</f>
        <v/>
      </c>
      <c r="C140" s="22" t="str">
        <f>IF(학생명렬표!C139="","",학생명렬표!C139)</f>
        <v/>
      </c>
      <c r="D140" s="22" t="str">
        <f>IF(학생명렬표!D139="","",학생명렬표!D139)</f>
        <v/>
      </c>
      <c r="E140" s="22"/>
      <c r="F140" s="24"/>
    </row>
    <row r="141" spans="1:6">
      <c r="A141" s="9" t="str">
        <f>IF(학생명렬표!A140="","",학생명렬표!A140)</f>
        <v/>
      </c>
      <c r="B141" s="22" t="str">
        <f>IF(학생명렬표!B140="","",학생명렬표!B140)</f>
        <v/>
      </c>
      <c r="C141" s="22" t="str">
        <f>IF(학생명렬표!C140="","",학생명렬표!C140)</f>
        <v/>
      </c>
      <c r="D141" s="22" t="str">
        <f>IF(학생명렬표!D140="","",학생명렬표!D140)</f>
        <v/>
      </c>
      <c r="E141" s="22"/>
      <c r="F141" s="24"/>
    </row>
    <row r="142" spans="1:6">
      <c r="A142" s="9" t="str">
        <f>IF(학생명렬표!A141="","",학생명렬표!A141)</f>
        <v/>
      </c>
      <c r="B142" s="22" t="str">
        <f>IF(학생명렬표!B141="","",학생명렬표!B141)</f>
        <v/>
      </c>
      <c r="C142" s="22" t="str">
        <f>IF(학생명렬표!C141="","",학생명렬표!C141)</f>
        <v/>
      </c>
      <c r="D142" s="22" t="str">
        <f>IF(학생명렬표!D141="","",학생명렬표!D141)</f>
        <v/>
      </c>
      <c r="E142" s="22"/>
      <c r="F142" s="24"/>
    </row>
    <row r="143" spans="1:6">
      <c r="A143" s="9" t="str">
        <f>IF(학생명렬표!A142="","",학생명렬표!A142)</f>
        <v/>
      </c>
      <c r="B143" s="22" t="str">
        <f>IF(학생명렬표!B142="","",학생명렬표!B142)</f>
        <v/>
      </c>
      <c r="C143" s="22" t="str">
        <f>IF(학생명렬표!C142="","",학생명렬표!C142)</f>
        <v/>
      </c>
      <c r="D143" s="22" t="str">
        <f>IF(학생명렬표!D142="","",학생명렬표!D142)</f>
        <v/>
      </c>
      <c r="E143" s="22"/>
      <c r="F143" s="24"/>
    </row>
    <row r="144" spans="1:6">
      <c r="A144" s="9" t="str">
        <f>IF(학생명렬표!A143="","",학생명렬표!A143)</f>
        <v/>
      </c>
      <c r="B144" s="22" t="str">
        <f>IF(학생명렬표!B143="","",학생명렬표!B143)</f>
        <v/>
      </c>
      <c r="C144" s="22" t="str">
        <f>IF(학생명렬표!C143="","",학생명렬표!C143)</f>
        <v/>
      </c>
      <c r="D144" s="22" t="str">
        <f>IF(학생명렬표!D143="","",학생명렬표!D143)</f>
        <v/>
      </c>
      <c r="E144" s="22"/>
      <c r="F144" s="24"/>
    </row>
    <row r="145" spans="1:6">
      <c r="A145" s="9" t="str">
        <f>IF(학생명렬표!A144="","",학생명렬표!A144)</f>
        <v/>
      </c>
      <c r="B145" s="22" t="str">
        <f>IF(학생명렬표!B144="","",학생명렬표!B144)</f>
        <v/>
      </c>
      <c r="C145" s="22" t="str">
        <f>IF(학생명렬표!C144="","",학생명렬표!C144)</f>
        <v/>
      </c>
      <c r="D145" s="22" t="str">
        <f>IF(학생명렬표!D144="","",학생명렬표!D144)</f>
        <v/>
      </c>
      <c r="E145" s="22"/>
      <c r="F145" s="24"/>
    </row>
    <row r="146" spans="1:6">
      <c r="A146" s="9" t="str">
        <f>IF(학생명렬표!A145="","",학생명렬표!A145)</f>
        <v/>
      </c>
      <c r="B146" s="22" t="str">
        <f>IF(학생명렬표!B145="","",학생명렬표!B145)</f>
        <v/>
      </c>
      <c r="C146" s="22" t="str">
        <f>IF(학생명렬표!C145="","",학생명렬표!C145)</f>
        <v/>
      </c>
      <c r="D146" s="22" t="str">
        <f>IF(학생명렬표!D145="","",학생명렬표!D145)</f>
        <v/>
      </c>
      <c r="E146" s="22"/>
      <c r="F146" s="24"/>
    </row>
    <row r="147" spans="1:6">
      <c r="A147" s="9" t="str">
        <f>IF(학생명렬표!A146="","",학생명렬표!A146)</f>
        <v/>
      </c>
      <c r="B147" s="22" t="str">
        <f>IF(학생명렬표!B146="","",학생명렬표!B146)</f>
        <v/>
      </c>
      <c r="C147" s="22" t="str">
        <f>IF(학생명렬표!C146="","",학생명렬표!C146)</f>
        <v/>
      </c>
      <c r="D147" s="22" t="str">
        <f>IF(학생명렬표!D146="","",학생명렬표!D146)</f>
        <v/>
      </c>
      <c r="E147" s="22"/>
      <c r="F147" s="24"/>
    </row>
    <row r="148" spans="1:6">
      <c r="A148" s="9" t="str">
        <f>IF(학생명렬표!A147="","",학생명렬표!A147)</f>
        <v/>
      </c>
      <c r="B148" s="22" t="str">
        <f>IF(학생명렬표!B147="","",학생명렬표!B147)</f>
        <v/>
      </c>
      <c r="C148" s="22" t="str">
        <f>IF(학생명렬표!C147="","",학생명렬표!C147)</f>
        <v/>
      </c>
      <c r="D148" s="22" t="str">
        <f>IF(학생명렬표!D147="","",학생명렬표!D147)</f>
        <v/>
      </c>
      <c r="E148" s="22"/>
      <c r="F148" s="24"/>
    </row>
    <row r="149" spans="1:6">
      <c r="A149" s="9" t="str">
        <f>IF(학생명렬표!A148="","",학생명렬표!A148)</f>
        <v/>
      </c>
      <c r="B149" s="22" t="str">
        <f>IF(학생명렬표!B148="","",학생명렬표!B148)</f>
        <v/>
      </c>
      <c r="C149" s="22" t="str">
        <f>IF(학생명렬표!C148="","",학생명렬표!C148)</f>
        <v/>
      </c>
      <c r="D149" s="22" t="str">
        <f>IF(학생명렬표!D148="","",학생명렬표!D148)</f>
        <v/>
      </c>
      <c r="E149" s="22"/>
      <c r="F149" s="24"/>
    </row>
    <row r="150" spans="1:6">
      <c r="A150" s="9" t="str">
        <f>IF(학생명렬표!A149="","",학생명렬표!A149)</f>
        <v/>
      </c>
      <c r="B150" s="22" t="str">
        <f>IF(학생명렬표!B149="","",학생명렬표!B149)</f>
        <v/>
      </c>
      <c r="C150" s="22" t="str">
        <f>IF(학생명렬표!C149="","",학생명렬표!C149)</f>
        <v/>
      </c>
      <c r="D150" s="22" t="str">
        <f>IF(학생명렬표!D149="","",학생명렬표!D149)</f>
        <v/>
      </c>
      <c r="E150" s="22"/>
      <c r="F150" s="24"/>
    </row>
    <row r="151" spans="1:6">
      <c r="A151" s="9" t="str">
        <f>IF(학생명렬표!A150="","",학생명렬표!A150)</f>
        <v/>
      </c>
      <c r="B151" s="22" t="str">
        <f>IF(학생명렬표!B150="","",학생명렬표!B150)</f>
        <v/>
      </c>
      <c r="C151" s="22" t="str">
        <f>IF(학생명렬표!C150="","",학생명렬표!C150)</f>
        <v/>
      </c>
      <c r="D151" s="22" t="str">
        <f>IF(학생명렬표!D150="","",학생명렬표!D150)</f>
        <v/>
      </c>
      <c r="E151" s="22"/>
      <c r="F151" s="24"/>
    </row>
    <row r="152" spans="1:6">
      <c r="A152" s="9" t="str">
        <f>IF(학생명렬표!A151="","",학생명렬표!A151)</f>
        <v/>
      </c>
      <c r="B152" s="22" t="str">
        <f>IF(학생명렬표!B151="","",학생명렬표!B151)</f>
        <v/>
      </c>
      <c r="C152" s="22" t="str">
        <f>IF(학생명렬표!C151="","",학생명렬표!C151)</f>
        <v/>
      </c>
      <c r="D152" s="22" t="str">
        <f>IF(학생명렬표!D151="","",학생명렬표!D151)</f>
        <v/>
      </c>
      <c r="E152" s="22"/>
      <c r="F152" s="24"/>
    </row>
    <row r="153" spans="1:6">
      <c r="A153" s="9" t="str">
        <f>IF(학생명렬표!A152="","",학생명렬표!A152)</f>
        <v/>
      </c>
      <c r="B153" s="22" t="str">
        <f>IF(학생명렬표!B152="","",학생명렬표!B152)</f>
        <v/>
      </c>
      <c r="C153" s="22" t="str">
        <f>IF(학생명렬표!C152="","",학생명렬표!C152)</f>
        <v/>
      </c>
      <c r="D153" s="22" t="str">
        <f>IF(학생명렬표!D152="","",학생명렬표!D152)</f>
        <v/>
      </c>
      <c r="E153" s="22"/>
      <c r="F153" s="24"/>
    </row>
    <row r="154" spans="1:6">
      <c r="A154" s="9" t="str">
        <f>IF(학생명렬표!A153="","",학생명렬표!A153)</f>
        <v/>
      </c>
      <c r="B154" s="22" t="str">
        <f>IF(학생명렬표!B153="","",학생명렬표!B153)</f>
        <v/>
      </c>
      <c r="C154" s="22" t="str">
        <f>IF(학생명렬표!C153="","",학생명렬표!C153)</f>
        <v/>
      </c>
      <c r="D154" s="22" t="str">
        <f>IF(학생명렬표!D153="","",학생명렬표!D153)</f>
        <v/>
      </c>
      <c r="E154" s="22"/>
      <c r="F154" s="24"/>
    </row>
    <row r="155" spans="1:6">
      <c r="A155" s="9" t="str">
        <f>IF(학생명렬표!A154="","",학생명렬표!A154)</f>
        <v/>
      </c>
      <c r="B155" s="22" t="str">
        <f>IF(학생명렬표!B154="","",학생명렬표!B154)</f>
        <v/>
      </c>
      <c r="C155" s="22" t="str">
        <f>IF(학생명렬표!C154="","",학생명렬표!C154)</f>
        <v/>
      </c>
      <c r="D155" s="22" t="str">
        <f>IF(학생명렬표!D154="","",학생명렬표!D154)</f>
        <v/>
      </c>
      <c r="E155" s="22"/>
      <c r="F155" s="24"/>
    </row>
    <row r="156" spans="1:6">
      <c r="A156" s="9" t="str">
        <f>IF(학생명렬표!A155="","",학생명렬표!A155)</f>
        <v/>
      </c>
      <c r="B156" s="22" t="str">
        <f>IF(학생명렬표!B155="","",학생명렬표!B155)</f>
        <v/>
      </c>
      <c r="C156" s="22" t="str">
        <f>IF(학생명렬표!C155="","",학생명렬표!C155)</f>
        <v/>
      </c>
      <c r="D156" s="22" t="str">
        <f>IF(학생명렬표!D155="","",학생명렬표!D155)</f>
        <v/>
      </c>
      <c r="E156" s="22"/>
      <c r="F156" s="24"/>
    </row>
    <row r="157" spans="1:6">
      <c r="A157" s="9" t="str">
        <f>IF(학생명렬표!A156="","",학생명렬표!A156)</f>
        <v/>
      </c>
      <c r="B157" s="22" t="str">
        <f>IF(학생명렬표!B156="","",학생명렬표!B156)</f>
        <v/>
      </c>
      <c r="C157" s="22" t="str">
        <f>IF(학생명렬표!C156="","",학생명렬표!C156)</f>
        <v/>
      </c>
      <c r="D157" s="22" t="str">
        <f>IF(학생명렬표!D156="","",학생명렬표!D156)</f>
        <v/>
      </c>
      <c r="E157" s="22"/>
      <c r="F157" s="24"/>
    </row>
    <row r="158" spans="1:6">
      <c r="A158" s="9" t="str">
        <f>IF(학생명렬표!A157="","",학생명렬표!A157)</f>
        <v/>
      </c>
      <c r="B158" s="22" t="str">
        <f>IF(학생명렬표!B157="","",학생명렬표!B157)</f>
        <v/>
      </c>
      <c r="C158" s="22" t="str">
        <f>IF(학생명렬표!C157="","",학생명렬표!C157)</f>
        <v/>
      </c>
      <c r="D158" s="22" t="str">
        <f>IF(학생명렬표!D157="","",학생명렬표!D157)</f>
        <v/>
      </c>
      <c r="E158" s="22"/>
      <c r="F158" s="24"/>
    </row>
    <row r="159" spans="1:6">
      <c r="A159" s="9" t="str">
        <f>IF(학생명렬표!A158="","",학생명렬표!A158)</f>
        <v/>
      </c>
      <c r="B159" s="22" t="str">
        <f>IF(학생명렬표!B158="","",학생명렬표!B158)</f>
        <v/>
      </c>
      <c r="C159" s="22" t="str">
        <f>IF(학생명렬표!C158="","",학생명렬표!C158)</f>
        <v/>
      </c>
      <c r="D159" s="22" t="str">
        <f>IF(학생명렬표!D158="","",학생명렬표!D158)</f>
        <v/>
      </c>
      <c r="E159" s="22"/>
      <c r="F159" s="24"/>
    </row>
    <row r="160" spans="1:6">
      <c r="A160" s="9" t="str">
        <f>IF(학생명렬표!A159="","",학생명렬표!A159)</f>
        <v/>
      </c>
      <c r="B160" s="22" t="str">
        <f>IF(학생명렬표!B159="","",학생명렬표!B159)</f>
        <v/>
      </c>
      <c r="C160" s="22" t="str">
        <f>IF(학생명렬표!C159="","",학생명렬표!C159)</f>
        <v/>
      </c>
      <c r="D160" s="22" t="str">
        <f>IF(학생명렬표!D159="","",학생명렬표!D159)</f>
        <v/>
      </c>
      <c r="E160" s="22"/>
      <c r="F160" s="24"/>
    </row>
    <row r="161" spans="1:6">
      <c r="A161" s="9" t="str">
        <f>IF(학생명렬표!A160="","",학생명렬표!A160)</f>
        <v/>
      </c>
      <c r="B161" s="22" t="str">
        <f>IF(학생명렬표!B160="","",학생명렬표!B160)</f>
        <v/>
      </c>
      <c r="C161" s="22" t="str">
        <f>IF(학생명렬표!C160="","",학생명렬표!C160)</f>
        <v/>
      </c>
      <c r="D161" s="22" t="str">
        <f>IF(학생명렬표!D160="","",학생명렬표!D160)</f>
        <v/>
      </c>
      <c r="E161" s="22"/>
      <c r="F161" s="24"/>
    </row>
    <row r="162" spans="1:6">
      <c r="A162" s="9" t="str">
        <f>IF(학생명렬표!A161="","",학생명렬표!A161)</f>
        <v/>
      </c>
      <c r="B162" s="22" t="str">
        <f>IF(학생명렬표!B161="","",학생명렬표!B161)</f>
        <v/>
      </c>
      <c r="C162" s="22" t="str">
        <f>IF(학생명렬표!C161="","",학생명렬표!C161)</f>
        <v/>
      </c>
      <c r="D162" s="22" t="str">
        <f>IF(학생명렬표!D161="","",학생명렬표!D161)</f>
        <v/>
      </c>
      <c r="E162" s="22"/>
      <c r="F162" s="24"/>
    </row>
    <row r="163" spans="1:6">
      <c r="A163" s="9" t="str">
        <f>IF(학생명렬표!A162="","",학생명렬표!A162)</f>
        <v/>
      </c>
      <c r="B163" s="22" t="str">
        <f>IF(학생명렬표!B162="","",학생명렬표!B162)</f>
        <v/>
      </c>
      <c r="C163" s="22" t="str">
        <f>IF(학생명렬표!C162="","",학생명렬표!C162)</f>
        <v/>
      </c>
      <c r="D163" s="22" t="str">
        <f>IF(학생명렬표!D162="","",학생명렬표!D162)</f>
        <v/>
      </c>
      <c r="E163" s="22"/>
      <c r="F163" s="24"/>
    </row>
    <row r="164" spans="1:6">
      <c r="A164" s="9" t="str">
        <f>IF(학생명렬표!A163="","",학생명렬표!A163)</f>
        <v/>
      </c>
      <c r="B164" s="22" t="str">
        <f>IF(학생명렬표!B163="","",학생명렬표!B163)</f>
        <v/>
      </c>
      <c r="C164" s="22" t="str">
        <f>IF(학생명렬표!C163="","",학생명렬표!C163)</f>
        <v/>
      </c>
      <c r="D164" s="22" t="str">
        <f>IF(학생명렬표!D163="","",학생명렬표!D163)</f>
        <v/>
      </c>
      <c r="E164" s="22"/>
      <c r="F164" s="24"/>
    </row>
    <row r="165" spans="1:6">
      <c r="A165" s="9" t="str">
        <f>IF(학생명렬표!A164="","",학생명렬표!A164)</f>
        <v/>
      </c>
      <c r="B165" s="22" t="str">
        <f>IF(학생명렬표!B164="","",학생명렬표!B164)</f>
        <v/>
      </c>
      <c r="C165" s="22" t="str">
        <f>IF(학생명렬표!C164="","",학생명렬표!C164)</f>
        <v/>
      </c>
      <c r="D165" s="22" t="str">
        <f>IF(학생명렬표!D164="","",학생명렬표!D164)</f>
        <v/>
      </c>
      <c r="E165" s="22"/>
      <c r="F165" s="24"/>
    </row>
    <row r="166" spans="1:6">
      <c r="A166" s="9" t="str">
        <f>IF(학생명렬표!A165="","",학생명렬표!A165)</f>
        <v/>
      </c>
      <c r="B166" s="22" t="str">
        <f>IF(학생명렬표!B165="","",학생명렬표!B165)</f>
        <v/>
      </c>
      <c r="C166" s="22" t="str">
        <f>IF(학생명렬표!C165="","",학생명렬표!C165)</f>
        <v/>
      </c>
      <c r="D166" s="22" t="str">
        <f>IF(학생명렬표!D165="","",학생명렬표!D165)</f>
        <v/>
      </c>
      <c r="E166" s="22"/>
      <c r="F166" s="24"/>
    </row>
    <row r="167" spans="1:6">
      <c r="A167" s="9" t="str">
        <f>IF(학생명렬표!A166="","",학생명렬표!A166)</f>
        <v/>
      </c>
      <c r="B167" s="22" t="str">
        <f>IF(학생명렬표!B166="","",학생명렬표!B166)</f>
        <v/>
      </c>
      <c r="C167" s="22" t="str">
        <f>IF(학생명렬표!C166="","",학생명렬표!C166)</f>
        <v/>
      </c>
      <c r="D167" s="22" t="str">
        <f>IF(학생명렬표!D166="","",학생명렬표!D166)</f>
        <v/>
      </c>
      <c r="E167" s="22"/>
      <c r="F167" s="24"/>
    </row>
    <row r="168" spans="1:6">
      <c r="A168" s="9" t="str">
        <f>IF(학생명렬표!A167="","",학생명렬표!A167)</f>
        <v/>
      </c>
      <c r="B168" s="22" t="str">
        <f>IF(학생명렬표!B167="","",학생명렬표!B167)</f>
        <v/>
      </c>
      <c r="C168" s="22" t="str">
        <f>IF(학생명렬표!C167="","",학생명렬표!C167)</f>
        <v/>
      </c>
      <c r="D168" s="22" t="str">
        <f>IF(학생명렬표!D167="","",학생명렬표!D167)</f>
        <v/>
      </c>
      <c r="E168" s="22"/>
      <c r="F168" s="24"/>
    </row>
    <row r="169" spans="1:6">
      <c r="A169" s="9" t="str">
        <f>IF(학생명렬표!A168="","",학생명렬표!A168)</f>
        <v/>
      </c>
      <c r="B169" s="22" t="str">
        <f>IF(학생명렬표!B168="","",학생명렬표!B168)</f>
        <v/>
      </c>
      <c r="C169" s="22" t="str">
        <f>IF(학생명렬표!C168="","",학생명렬표!C168)</f>
        <v/>
      </c>
      <c r="D169" s="22" t="str">
        <f>IF(학생명렬표!D168="","",학생명렬표!D168)</f>
        <v/>
      </c>
      <c r="E169" s="22"/>
      <c r="F169" s="24"/>
    </row>
    <row r="170" spans="1:6">
      <c r="A170" s="9" t="str">
        <f>IF(학생명렬표!A169="","",학생명렬표!A169)</f>
        <v/>
      </c>
      <c r="B170" s="22" t="str">
        <f>IF(학생명렬표!B169="","",학생명렬표!B169)</f>
        <v/>
      </c>
      <c r="C170" s="22" t="str">
        <f>IF(학생명렬표!C169="","",학생명렬표!C169)</f>
        <v/>
      </c>
      <c r="D170" s="22" t="str">
        <f>IF(학생명렬표!D169="","",학생명렬표!D169)</f>
        <v/>
      </c>
      <c r="E170" s="22"/>
      <c r="F170" s="24"/>
    </row>
    <row r="171" spans="1:6">
      <c r="A171" s="9" t="str">
        <f>IF(학생명렬표!A170="","",학생명렬표!A170)</f>
        <v/>
      </c>
      <c r="B171" s="22" t="str">
        <f>IF(학생명렬표!B170="","",학생명렬표!B170)</f>
        <v/>
      </c>
      <c r="C171" s="22" t="str">
        <f>IF(학생명렬표!C170="","",학생명렬표!C170)</f>
        <v/>
      </c>
      <c r="D171" s="22" t="str">
        <f>IF(학생명렬표!D170="","",학생명렬표!D170)</f>
        <v/>
      </c>
      <c r="E171" s="22"/>
      <c r="F171" s="24"/>
    </row>
    <row r="172" spans="1:6">
      <c r="A172" s="9" t="str">
        <f>IF(학생명렬표!A171="","",학생명렬표!A171)</f>
        <v/>
      </c>
      <c r="B172" s="22" t="str">
        <f>IF(학생명렬표!B171="","",학생명렬표!B171)</f>
        <v/>
      </c>
      <c r="C172" s="22" t="str">
        <f>IF(학생명렬표!C171="","",학생명렬표!C171)</f>
        <v/>
      </c>
      <c r="D172" s="22" t="str">
        <f>IF(학생명렬표!D171="","",학생명렬표!D171)</f>
        <v/>
      </c>
      <c r="E172" s="22"/>
      <c r="F172" s="24"/>
    </row>
    <row r="173" spans="1:6">
      <c r="A173" s="9" t="str">
        <f>IF(학생명렬표!A172="","",학생명렬표!A172)</f>
        <v/>
      </c>
      <c r="B173" s="22" t="str">
        <f>IF(학생명렬표!B172="","",학생명렬표!B172)</f>
        <v/>
      </c>
      <c r="C173" s="22" t="str">
        <f>IF(학생명렬표!C172="","",학생명렬표!C172)</f>
        <v/>
      </c>
      <c r="D173" s="22" t="str">
        <f>IF(학생명렬표!D172="","",학생명렬표!D172)</f>
        <v/>
      </c>
      <c r="E173" s="22"/>
      <c r="F173" s="24"/>
    </row>
    <row r="174" spans="1:6">
      <c r="A174" s="9" t="str">
        <f>IF(학생명렬표!A173="","",학생명렬표!A173)</f>
        <v/>
      </c>
      <c r="B174" s="22" t="str">
        <f>IF(학생명렬표!B173="","",학생명렬표!B173)</f>
        <v/>
      </c>
      <c r="C174" s="22" t="str">
        <f>IF(학생명렬표!C173="","",학생명렬표!C173)</f>
        <v/>
      </c>
      <c r="D174" s="22" t="str">
        <f>IF(학생명렬표!D173="","",학생명렬표!D173)</f>
        <v/>
      </c>
      <c r="E174" s="22"/>
      <c r="F174" s="24"/>
    </row>
    <row r="175" spans="1:6">
      <c r="A175" s="9" t="str">
        <f>IF(학생명렬표!A174="","",학생명렬표!A174)</f>
        <v/>
      </c>
      <c r="B175" s="22" t="str">
        <f>IF(학생명렬표!B174="","",학생명렬표!B174)</f>
        <v/>
      </c>
      <c r="C175" s="22" t="str">
        <f>IF(학생명렬표!C174="","",학생명렬표!C174)</f>
        <v/>
      </c>
      <c r="D175" s="22" t="str">
        <f>IF(학생명렬표!D174="","",학생명렬표!D174)</f>
        <v/>
      </c>
      <c r="E175" s="22"/>
      <c r="F175" s="24"/>
    </row>
    <row r="176" spans="1:6">
      <c r="A176" s="9" t="str">
        <f>IF(학생명렬표!A175="","",학생명렬표!A175)</f>
        <v/>
      </c>
      <c r="B176" s="22" t="str">
        <f>IF(학생명렬표!B175="","",학생명렬표!B175)</f>
        <v/>
      </c>
      <c r="C176" s="22" t="str">
        <f>IF(학생명렬표!C175="","",학생명렬표!C175)</f>
        <v/>
      </c>
      <c r="D176" s="22" t="str">
        <f>IF(학생명렬표!D175="","",학생명렬표!D175)</f>
        <v/>
      </c>
      <c r="E176" s="22"/>
      <c r="F176" s="24"/>
    </row>
    <row r="177" spans="1:6">
      <c r="A177" s="9" t="str">
        <f>IF(학생명렬표!A176="","",학생명렬표!A176)</f>
        <v/>
      </c>
      <c r="B177" s="22" t="str">
        <f>IF(학생명렬표!B176="","",학생명렬표!B176)</f>
        <v/>
      </c>
      <c r="C177" s="22" t="str">
        <f>IF(학생명렬표!C176="","",학생명렬표!C176)</f>
        <v/>
      </c>
      <c r="D177" s="22" t="str">
        <f>IF(학생명렬표!D176="","",학생명렬표!D176)</f>
        <v/>
      </c>
      <c r="E177" s="22"/>
      <c r="F177" s="24"/>
    </row>
    <row r="178" spans="1:6">
      <c r="A178" s="9" t="str">
        <f>IF(학생명렬표!A177="","",학생명렬표!A177)</f>
        <v/>
      </c>
      <c r="B178" s="22" t="str">
        <f>IF(학생명렬표!B177="","",학생명렬표!B177)</f>
        <v/>
      </c>
      <c r="C178" s="22" t="str">
        <f>IF(학생명렬표!C177="","",학생명렬표!C177)</f>
        <v/>
      </c>
      <c r="D178" s="22" t="str">
        <f>IF(학생명렬표!D177="","",학생명렬표!D177)</f>
        <v/>
      </c>
      <c r="E178" s="22"/>
      <c r="F178" s="24"/>
    </row>
    <row r="179" spans="1:6">
      <c r="A179" s="9" t="str">
        <f>IF(학생명렬표!A178="","",학생명렬표!A178)</f>
        <v/>
      </c>
      <c r="B179" s="22" t="str">
        <f>IF(학생명렬표!B178="","",학생명렬표!B178)</f>
        <v/>
      </c>
      <c r="C179" s="22" t="str">
        <f>IF(학생명렬표!C178="","",학생명렬표!C178)</f>
        <v/>
      </c>
      <c r="D179" s="22" t="str">
        <f>IF(학생명렬표!D178="","",학생명렬표!D178)</f>
        <v/>
      </c>
      <c r="E179" s="22"/>
      <c r="F179" s="24"/>
    </row>
    <row r="180" spans="1:6">
      <c r="A180" s="9" t="str">
        <f>IF(학생명렬표!A179="","",학생명렬표!A179)</f>
        <v/>
      </c>
      <c r="B180" s="22" t="str">
        <f>IF(학생명렬표!B179="","",학생명렬표!B179)</f>
        <v/>
      </c>
      <c r="C180" s="22" t="str">
        <f>IF(학생명렬표!C179="","",학생명렬표!C179)</f>
        <v/>
      </c>
      <c r="D180" s="22" t="str">
        <f>IF(학생명렬표!D179="","",학생명렬표!D179)</f>
        <v/>
      </c>
      <c r="E180" s="22"/>
      <c r="F180" s="24"/>
    </row>
    <row r="181" spans="1:6">
      <c r="A181" s="9" t="str">
        <f>IF(학생명렬표!A180="","",학생명렬표!A180)</f>
        <v/>
      </c>
      <c r="B181" s="22" t="str">
        <f>IF(학생명렬표!B180="","",학생명렬표!B180)</f>
        <v/>
      </c>
      <c r="C181" s="22" t="str">
        <f>IF(학생명렬표!C180="","",학생명렬표!C180)</f>
        <v/>
      </c>
      <c r="D181" s="22" t="str">
        <f>IF(학생명렬표!D180="","",학생명렬표!D180)</f>
        <v/>
      </c>
      <c r="E181" s="22"/>
      <c r="F181" s="24"/>
    </row>
    <row r="182" spans="1:6">
      <c r="A182" s="9" t="str">
        <f>IF(학생명렬표!A181="","",학생명렬표!A181)</f>
        <v/>
      </c>
      <c r="B182" s="22" t="str">
        <f>IF(학생명렬표!B181="","",학생명렬표!B181)</f>
        <v/>
      </c>
      <c r="C182" s="22" t="str">
        <f>IF(학생명렬표!C181="","",학생명렬표!C181)</f>
        <v/>
      </c>
      <c r="D182" s="22" t="str">
        <f>IF(학생명렬표!D181="","",학생명렬표!D181)</f>
        <v/>
      </c>
      <c r="E182" s="22"/>
      <c r="F182" s="24"/>
    </row>
    <row r="183" spans="1:6">
      <c r="A183" s="9" t="str">
        <f>IF(학생명렬표!A182="","",학생명렬표!A182)</f>
        <v/>
      </c>
      <c r="B183" s="22" t="str">
        <f>IF(학생명렬표!B182="","",학생명렬표!B182)</f>
        <v/>
      </c>
      <c r="C183" s="22" t="str">
        <f>IF(학생명렬표!C182="","",학생명렬표!C182)</f>
        <v/>
      </c>
      <c r="D183" s="22" t="str">
        <f>IF(학생명렬표!D182="","",학생명렬표!D182)</f>
        <v/>
      </c>
      <c r="E183" s="22"/>
      <c r="F183" s="24"/>
    </row>
    <row r="184" spans="1:6">
      <c r="A184" s="9" t="str">
        <f>IF(학생명렬표!A183="","",학생명렬표!A183)</f>
        <v/>
      </c>
      <c r="B184" s="22" t="str">
        <f>IF(학생명렬표!B183="","",학생명렬표!B183)</f>
        <v/>
      </c>
      <c r="C184" s="22" t="str">
        <f>IF(학생명렬표!C183="","",학생명렬표!C183)</f>
        <v/>
      </c>
      <c r="D184" s="22" t="str">
        <f>IF(학생명렬표!D183="","",학생명렬표!D183)</f>
        <v/>
      </c>
      <c r="E184" s="22"/>
      <c r="F184" s="24"/>
    </row>
    <row r="185" spans="1:6">
      <c r="A185" s="9" t="str">
        <f>IF(학생명렬표!A184="","",학생명렬표!A184)</f>
        <v/>
      </c>
      <c r="B185" s="22" t="str">
        <f>IF(학생명렬표!B184="","",학생명렬표!B184)</f>
        <v/>
      </c>
      <c r="C185" s="22" t="str">
        <f>IF(학생명렬표!C184="","",학생명렬표!C184)</f>
        <v/>
      </c>
      <c r="D185" s="22" t="str">
        <f>IF(학생명렬표!D184="","",학생명렬표!D184)</f>
        <v/>
      </c>
      <c r="E185" s="22"/>
      <c r="F185" s="24"/>
    </row>
    <row r="186" spans="1:6">
      <c r="A186" s="9" t="str">
        <f>IF(학생명렬표!A185="","",학생명렬표!A185)</f>
        <v/>
      </c>
      <c r="B186" s="22" t="str">
        <f>IF(학생명렬표!B185="","",학생명렬표!B185)</f>
        <v/>
      </c>
      <c r="C186" s="22" t="str">
        <f>IF(학생명렬표!C185="","",학생명렬표!C185)</f>
        <v/>
      </c>
      <c r="D186" s="22" t="str">
        <f>IF(학생명렬표!D185="","",학생명렬표!D185)</f>
        <v/>
      </c>
      <c r="E186" s="22"/>
      <c r="F186" s="24"/>
    </row>
    <row r="187" spans="1:6">
      <c r="A187" s="9" t="str">
        <f>IF(학생명렬표!A186="","",학생명렬표!A186)</f>
        <v/>
      </c>
      <c r="B187" s="22" t="str">
        <f>IF(학생명렬표!B186="","",학생명렬표!B186)</f>
        <v/>
      </c>
      <c r="C187" s="22" t="str">
        <f>IF(학생명렬표!C186="","",학생명렬표!C186)</f>
        <v/>
      </c>
      <c r="D187" s="22" t="str">
        <f>IF(학생명렬표!D186="","",학생명렬표!D186)</f>
        <v/>
      </c>
      <c r="E187" s="22"/>
      <c r="F187" s="24"/>
    </row>
    <row r="188" spans="1:6">
      <c r="A188" s="9" t="str">
        <f>IF(학생명렬표!A187="","",학생명렬표!A187)</f>
        <v/>
      </c>
      <c r="B188" s="22" t="str">
        <f>IF(학생명렬표!B187="","",학생명렬표!B187)</f>
        <v/>
      </c>
      <c r="C188" s="22" t="str">
        <f>IF(학생명렬표!C187="","",학생명렬표!C187)</f>
        <v/>
      </c>
      <c r="D188" s="22" t="str">
        <f>IF(학생명렬표!D187="","",학생명렬표!D187)</f>
        <v/>
      </c>
      <c r="E188" s="22"/>
      <c r="F188" s="24"/>
    </row>
    <row r="189" spans="1:6">
      <c r="A189" s="9" t="str">
        <f>IF(학생명렬표!A188="","",학생명렬표!A188)</f>
        <v/>
      </c>
      <c r="B189" s="22" t="str">
        <f>IF(학생명렬표!B188="","",학생명렬표!B188)</f>
        <v/>
      </c>
      <c r="C189" s="22" t="str">
        <f>IF(학생명렬표!C188="","",학생명렬표!C188)</f>
        <v/>
      </c>
      <c r="D189" s="22" t="str">
        <f>IF(학생명렬표!D188="","",학생명렬표!D188)</f>
        <v/>
      </c>
      <c r="E189" s="22"/>
      <c r="F189" s="24"/>
    </row>
    <row r="190" spans="1:6">
      <c r="A190" s="9" t="str">
        <f>IF(학생명렬표!A189="","",학생명렬표!A189)</f>
        <v/>
      </c>
      <c r="B190" s="22" t="str">
        <f>IF(학생명렬표!B189="","",학생명렬표!B189)</f>
        <v/>
      </c>
      <c r="C190" s="22" t="str">
        <f>IF(학생명렬표!C189="","",학생명렬표!C189)</f>
        <v/>
      </c>
      <c r="D190" s="22" t="str">
        <f>IF(학생명렬표!D189="","",학생명렬표!D189)</f>
        <v/>
      </c>
      <c r="E190" s="22"/>
      <c r="F190" s="24"/>
    </row>
    <row r="191" spans="1:6">
      <c r="A191" s="9" t="str">
        <f>IF(학생명렬표!A190="","",학생명렬표!A190)</f>
        <v/>
      </c>
      <c r="B191" s="22" t="str">
        <f>IF(학생명렬표!B190="","",학생명렬표!B190)</f>
        <v/>
      </c>
      <c r="C191" s="22" t="str">
        <f>IF(학생명렬표!C190="","",학생명렬표!C190)</f>
        <v/>
      </c>
      <c r="D191" s="22" t="str">
        <f>IF(학생명렬표!D190="","",학생명렬표!D190)</f>
        <v/>
      </c>
      <c r="E191" s="22"/>
      <c r="F191" s="24"/>
    </row>
    <row r="192" spans="1:6">
      <c r="A192" s="9" t="str">
        <f>IF(학생명렬표!A191="","",학생명렬표!A191)</f>
        <v/>
      </c>
      <c r="B192" s="22" t="str">
        <f>IF(학생명렬표!B191="","",학생명렬표!B191)</f>
        <v/>
      </c>
      <c r="C192" s="22" t="str">
        <f>IF(학생명렬표!C191="","",학생명렬표!C191)</f>
        <v/>
      </c>
      <c r="D192" s="22" t="str">
        <f>IF(학생명렬표!D191="","",학생명렬표!D191)</f>
        <v/>
      </c>
      <c r="E192" s="22"/>
      <c r="F192" s="24"/>
    </row>
    <row r="193" spans="1:6">
      <c r="A193" s="9" t="str">
        <f>IF(학생명렬표!A192="","",학생명렬표!A192)</f>
        <v/>
      </c>
      <c r="B193" s="22" t="str">
        <f>IF(학생명렬표!B192="","",학생명렬표!B192)</f>
        <v/>
      </c>
      <c r="C193" s="22" t="str">
        <f>IF(학생명렬표!C192="","",학생명렬표!C192)</f>
        <v/>
      </c>
      <c r="D193" s="22" t="str">
        <f>IF(학생명렬표!D192="","",학생명렬표!D192)</f>
        <v/>
      </c>
      <c r="E193" s="22"/>
      <c r="F193" s="24"/>
    </row>
    <row r="194" spans="1:6">
      <c r="A194" s="9" t="str">
        <f>IF(학생명렬표!A193="","",학생명렬표!A193)</f>
        <v/>
      </c>
      <c r="B194" s="22" t="str">
        <f>IF(학생명렬표!B193="","",학생명렬표!B193)</f>
        <v/>
      </c>
      <c r="C194" s="22" t="str">
        <f>IF(학생명렬표!C193="","",학생명렬표!C193)</f>
        <v/>
      </c>
      <c r="D194" s="22" t="str">
        <f>IF(학생명렬표!D193="","",학생명렬표!D193)</f>
        <v/>
      </c>
      <c r="E194" s="22"/>
      <c r="F194" s="24"/>
    </row>
    <row r="195" spans="1:6">
      <c r="A195" s="9" t="str">
        <f>IF(학생명렬표!A194="","",학생명렬표!A194)</f>
        <v/>
      </c>
      <c r="B195" s="22" t="str">
        <f>IF(학생명렬표!B194="","",학생명렬표!B194)</f>
        <v/>
      </c>
      <c r="C195" s="22" t="str">
        <f>IF(학생명렬표!C194="","",학생명렬표!C194)</f>
        <v/>
      </c>
      <c r="D195" s="22" t="str">
        <f>IF(학생명렬표!D194="","",학생명렬표!D194)</f>
        <v/>
      </c>
      <c r="E195" s="22"/>
      <c r="F195" s="24"/>
    </row>
    <row r="196" spans="1:6">
      <c r="A196" s="9" t="str">
        <f>IF(학생명렬표!A195="","",학생명렬표!A195)</f>
        <v/>
      </c>
      <c r="B196" s="22" t="str">
        <f>IF(학생명렬표!B195="","",학생명렬표!B195)</f>
        <v/>
      </c>
      <c r="C196" s="22" t="str">
        <f>IF(학생명렬표!C195="","",학생명렬표!C195)</f>
        <v/>
      </c>
      <c r="D196" s="22" t="str">
        <f>IF(학생명렬표!D195="","",학생명렬표!D195)</f>
        <v/>
      </c>
      <c r="E196" s="22"/>
      <c r="F196" s="24"/>
    </row>
    <row r="197" spans="1:6">
      <c r="A197" s="9" t="str">
        <f>IF(학생명렬표!A196="","",학생명렬표!A196)</f>
        <v/>
      </c>
      <c r="B197" s="22" t="str">
        <f>IF(학생명렬표!B196="","",학생명렬표!B196)</f>
        <v/>
      </c>
      <c r="C197" s="22" t="str">
        <f>IF(학생명렬표!C196="","",학생명렬표!C196)</f>
        <v/>
      </c>
      <c r="D197" s="22" t="str">
        <f>IF(학생명렬표!D196="","",학생명렬표!D196)</f>
        <v/>
      </c>
      <c r="E197" s="22"/>
      <c r="F197" s="24"/>
    </row>
    <row r="198" spans="1:6">
      <c r="A198" s="9" t="str">
        <f>IF(학생명렬표!A197="","",학생명렬표!A197)</f>
        <v/>
      </c>
      <c r="B198" s="22" t="str">
        <f>IF(학생명렬표!B197="","",학생명렬표!B197)</f>
        <v/>
      </c>
      <c r="C198" s="22" t="str">
        <f>IF(학생명렬표!C197="","",학생명렬표!C197)</f>
        <v/>
      </c>
      <c r="D198" s="22" t="str">
        <f>IF(학생명렬표!D197="","",학생명렬표!D197)</f>
        <v/>
      </c>
      <c r="E198" s="22"/>
      <c r="F198" s="24"/>
    </row>
    <row r="199" spans="1:6">
      <c r="A199" s="9" t="str">
        <f>IF(학생명렬표!A198="","",학생명렬표!A198)</f>
        <v/>
      </c>
      <c r="B199" s="22" t="str">
        <f>IF(학생명렬표!B198="","",학생명렬표!B198)</f>
        <v/>
      </c>
      <c r="C199" s="22" t="str">
        <f>IF(학생명렬표!C198="","",학생명렬표!C198)</f>
        <v/>
      </c>
      <c r="D199" s="22" t="str">
        <f>IF(학생명렬표!D198="","",학생명렬표!D198)</f>
        <v/>
      </c>
      <c r="E199" s="22"/>
      <c r="F199" s="24"/>
    </row>
    <row r="200" spans="1:6">
      <c r="A200" s="9" t="str">
        <f>IF(학생명렬표!A199="","",학생명렬표!A199)</f>
        <v/>
      </c>
      <c r="B200" s="22" t="str">
        <f>IF(학생명렬표!B199="","",학생명렬표!B199)</f>
        <v/>
      </c>
      <c r="C200" s="22" t="str">
        <f>IF(학생명렬표!C199="","",학생명렬표!C199)</f>
        <v/>
      </c>
      <c r="D200" s="22" t="str">
        <f>IF(학생명렬표!D199="","",학생명렬표!D199)</f>
        <v/>
      </c>
      <c r="E200" s="22"/>
      <c r="F200" s="24"/>
    </row>
    <row r="201" spans="1:6">
      <c r="A201" s="9" t="str">
        <f>IF(학생명렬표!A200="","",학생명렬표!A200)</f>
        <v/>
      </c>
      <c r="B201" s="22" t="str">
        <f>IF(학생명렬표!B200="","",학생명렬표!B200)</f>
        <v/>
      </c>
      <c r="C201" s="22" t="str">
        <f>IF(학생명렬표!C200="","",학생명렬표!C200)</f>
        <v/>
      </c>
      <c r="D201" s="22" t="str">
        <f>IF(학생명렬표!D200="","",학생명렬표!D200)</f>
        <v/>
      </c>
      <c r="E201" s="22"/>
      <c r="F201" s="24"/>
    </row>
    <row r="202" spans="1: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2"/>
      <c r="F202" s="24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C0BF-20E7-4ACC-8294-4FECA647CAF2}">
  <sheetPr codeName="Sheet12">
    <tabColor rgb="FF92D050"/>
  </sheetPr>
  <dimension ref="A1:Q203"/>
  <sheetViews>
    <sheetView topLeftCell="B1" workbookViewId="0">
      <pane ySplit="2" topLeftCell="A3" activePane="bottomLeft" state="frozen"/>
      <selection pane="bottomLeft" activeCell="E5" sqref="E5"/>
    </sheetView>
  </sheetViews>
  <sheetFormatPr defaultRowHeight="16.5"/>
  <cols>
    <col min="1" max="1" width="5.25" style="12" hidden="1" customWidth="1"/>
    <col min="2" max="2" width="3.375" style="12" bestFit="1" customWidth="1"/>
    <col min="3" max="3" width="5.25" style="12" bestFit="1" customWidth="1"/>
    <col min="4" max="4" width="9.875" style="12" customWidth="1"/>
    <col min="5" max="5" width="150.625" style="14" customWidth="1"/>
    <col min="6" max="14" width="3.625" style="12" customWidth="1"/>
    <col min="15" max="15" width="3.625" style="19" customWidth="1"/>
    <col min="16" max="16" width="3.625" style="20" customWidth="1"/>
    <col min="17" max="16384" width="9" style="8"/>
  </cols>
  <sheetData>
    <row r="1" spans="1:17">
      <c r="D1" s="43" t="s">
        <v>167</v>
      </c>
      <c r="F1" s="17" t="s">
        <v>165</v>
      </c>
      <c r="G1" s="18"/>
      <c r="H1" s="18"/>
      <c r="I1" s="18"/>
      <c r="J1" s="18"/>
      <c r="K1" s="18"/>
      <c r="L1" s="18"/>
      <c r="M1" s="18"/>
      <c r="N1" s="18"/>
      <c r="O1" s="18"/>
      <c r="P1" s="18"/>
    </row>
    <row r="2" spans="1:17">
      <c r="A2" s="11" t="s">
        <v>12</v>
      </c>
      <c r="B2" s="11" t="s">
        <v>13</v>
      </c>
      <c r="C2" s="11" t="s">
        <v>14</v>
      </c>
      <c r="D2" s="11" t="s">
        <v>15</v>
      </c>
      <c r="E2" s="15" t="s">
        <v>17</v>
      </c>
      <c r="F2" s="25">
        <v>1</v>
      </c>
      <c r="G2" s="25">
        <v>2</v>
      </c>
      <c r="H2" s="25">
        <v>3</v>
      </c>
      <c r="I2" s="25">
        <v>4</v>
      </c>
      <c r="J2" s="25">
        <v>5</v>
      </c>
      <c r="K2" s="25">
        <v>6</v>
      </c>
      <c r="L2" s="25">
        <v>7</v>
      </c>
      <c r="M2" s="25">
        <v>8</v>
      </c>
      <c r="N2" s="25">
        <v>9</v>
      </c>
      <c r="O2" s="26">
        <v>10</v>
      </c>
      <c r="P2" s="25">
        <v>11</v>
      </c>
    </row>
    <row r="3" spans="1:17">
      <c r="A3" s="9">
        <f>IF(학생명렬표!A2="","",학생명렬표!A2)</f>
        <v>1</v>
      </c>
      <c r="B3" s="23">
        <f>IF(학생명렬표!B2="","",학생명렬표!B2)</f>
        <v>1</v>
      </c>
      <c r="C3" s="23">
        <f>IF(학생명렬표!C2="","",학생명렬표!C2)</f>
        <v>1</v>
      </c>
      <c r="D3" s="23" t="str">
        <f>IF(학생명렬표!D2="","",학생명렬표!D2)</f>
        <v>강예혁</v>
      </c>
      <c r="E3" s="21" t="str">
        <f>IF(F3="O",'1_교과이수내용'!F3&amp;$D$1,"")&amp;IF(G3="O",'2_지적성장과정'!F3&amp;$D$1,"")&amp;IF(H3="O",'3_학업성취도'!F3&amp;$D$1,"")&amp;IF(I3="O",'4_태도'!F3&amp;$D$1,"")&amp;IF(J3="O",'5_적극성'!F3&amp;$D$1,"")&amp;IF(K3="O",'6_지적호기심'!F3&amp;$D$1,"")&amp;IF(L3="O",'7_특별한관심'!F3&amp;$D$1,"")&amp;IF(M3="O",'8_탁월한능력'!F3&amp;$D$1,"")&amp;IF(N3="O",'9_탐구활동'!F3&amp;$D$1,"")&amp;IF(O3="O",'10_진로관련사항'!F3&amp;$D$1,"")&amp;IF(P3="O",'11_프로젝트활동'!F3&amp;$D$1,"")</f>
        <v xml:space="preserve">hello world 지적성장과정 예시문1 학업성취도1 태도1 적극성1 지적호기심1 특별한관심1 탁월한능력1 탐구활동1 진로관련사항1 프로젝트활동1 </v>
      </c>
      <c r="F3" s="23" t="str">
        <f>IF('1_교과이수내용'!E3&gt;0,"O","X")</f>
        <v>O</v>
      </c>
      <c r="G3" s="23" t="str">
        <f>IF('2_지적성장과정'!E3&gt;0,"O","X")</f>
        <v>O</v>
      </c>
      <c r="H3" s="23" t="str">
        <f>IF('3_학업성취도'!E3&gt;0,"O","X")</f>
        <v>O</v>
      </c>
      <c r="I3" s="23" t="str">
        <f>IF('4_태도'!E3&gt;0,"O","X")</f>
        <v>O</v>
      </c>
      <c r="J3" s="23" t="str">
        <f>IF('5_적극성'!E3&gt;0,"O","X")</f>
        <v>O</v>
      </c>
      <c r="K3" s="23" t="str">
        <f>IF('6_지적호기심'!E3&gt;0,"O","X")</f>
        <v>O</v>
      </c>
      <c r="L3" s="23" t="str">
        <f>IF('7_특별한관심'!E3&gt;0,"O","X")</f>
        <v>O</v>
      </c>
      <c r="M3" s="23" t="str">
        <f>IF('8_탁월한능력'!E3&gt;0,"O","X")</f>
        <v>O</v>
      </c>
      <c r="N3" s="23" t="str">
        <f>IF('9_탐구활동'!E3&gt;0,"O","X")</f>
        <v>O</v>
      </c>
      <c r="O3" s="41" t="str">
        <f>IF('10_진로관련사항'!E3&gt;0,"O","X")</f>
        <v>O</v>
      </c>
      <c r="P3" s="23" t="str">
        <f>IF('11_프로젝트활동'!E3&gt;0,"O","X")</f>
        <v>O</v>
      </c>
    </row>
    <row r="4" spans="1:17">
      <c r="A4" s="9">
        <f>IF(학생명렬표!A3="","",학생명렬표!A3)</f>
        <v>1</v>
      </c>
      <c r="B4" s="23">
        <f>IF(학생명렬표!B3="","",학생명렬표!B3)</f>
        <v>1</v>
      </c>
      <c r="C4" s="23">
        <f>IF(학생명렬표!C3="","",학생명렬표!C3)</f>
        <v>2</v>
      </c>
      <c r="D4" s="23" t="str">
        <f>IF(학생명렬표!D3="","",학생명렬표!D3)</f>
        <v>강은찬</v>
      </c>
      <c r="E4" s="21" t="str">
        <f>IF(F4="O",'1_교과이수내용'!F4&amp;$D$1,"")&amp;IF(G4="O",'2_지적성장과정'!F4&amp;$D$1,"")&amp;IF(H4="O",'3_학업성취도'!F4&amp;$D$1,"")&amp;IF(I4="O",'4_태도'!F4&amp;$D$1,"")&amp;IF(J4="O",'5_적극성'!F4&amp;$D$1,"")&amp;IF(K4="O",'6_지적호기심'!F4&amp;$D$1,"")&amp;IF(L4="O",'7_특별한관심'!F4&amp;$D$1,"")&amp;IF(M4="O",'8_탁월한능력'!F4&amp;$D$1,"")&amp;IF(N4="O",'9_탐구활동'!F4&amp;$D$1,"")&amp;IF(O4="O",'10_진로관련사항'!F4&amp;$D$1,"")&amp;IF(P4="O",'11_프로젝트활동'!F4&amp;$D$1,"")</f>
        <v xml:space="preserve">교과이수내용 예시문2 지적호기심1 탁월한능력1 프로젝트활동1 </v>
      </c>
      <c r="F4" s="23" t="str">
        <f>IF('1_교과이수내용'!E4&gt;0,"O","X")</f>
        <v>O</v>
      </c>
      <c r="G4" s="23" t="str">
        <f>IF('2_지적성장과정'!E4&gt;0,"O","X")</f>
        <v>X</v>
      </c>
      <c r="H4" s="23" t="str">
        <f>IF('3_학업성취도'!E4&gt;0,"O","X")</f>
        <v>X</v>
      </c>
      <c r="I4" s="23" t="str">
        <f>IF('4_태도'!E4&gt;0,"O","X")</f>
        <v>X</v>
      </c>
      <c r="J4" s="23" t="str">
        <f>IF('5_적극성'!E4&gt;0,"O","X")</f>
        <v>X</v>
      </c>
      <c r="K4" s="23" t="str">
        <f>IF('6_지적호기심'!E4&gt;0,"O","X")</f>
        <v>O</v>
      </c>
      <c r="L4" s="23" t="str">
        <f>IF('7_특별한관심'!E4&gt;0,"O","X")</f>
        <v>X</v>
      </c>
      <c r="M4" s="23" t="str">
        <f>IF('8_탁월한능력'!E4&gt;0,"O","X")</f>
        <v>O</v>
      </c>
      <c r="N4" s="23" t="str">
        <f>IF('9_탐구활동'!E4&gt;0,"O","X")</f>
        <v>X</v>
      </c>
      <c r="O4" s="41" t="str">
        <f>IF('10_진로관련사항'!E4&gt;0,"O","X")</f>
        <v>X</v>
      </c>
      <c r="P4" s="23" t="str">
        <f>IF('11_프로젝트활동'!E4&gt;0,"O","X")</f>
        <v>O</v>
      </c>
    </row>
    <row r="5" spans="1:17">
      <c r="A5" s="9">
        <f>IF(학생명렬표!A4="","",학생명렬표!A4)</f>
        <v>1</v>
      </c>
      <c r="B5" s="23">
        <f>IF(학생명렬표!B4="","",학생명렬표!B4)</f>
        <v>1</v>
      </c>
      <c r="C5" s="23">
        <f>IF(학생명렬표!C4="","",학생명렬표!C4)</f>
        <v>3</v>
      </c>
      <c r="D5" s="23" t="str">
        <f>IF(학생명렬표!D4="","",학생명렬표!D4)</f>
        <v>고성윤</v>
      </c>
      <c r="E5" s="21" t="str">
        <f>IF(F5="O",'1_교과이수내용'!F5&amp;$D$1,"")&amp;IF(G5="O",'2_지적성장과정'!F5&amp;$D$1,"")&amp;IF(H5="O",'3_학업성취도'!F5&amp;$D$1,"")&amp;IF(I5="O",'4_태도'!F5&amp;$D$1,"")&amp;IF(J5="O",'5_적극성'!F5&amp;$D$1,"")&amp;IF(K5="O",'6_지적호기심'!F5&amp;$D$1,"")&amp;IF(L5="O",'7_특별한관심'!F5&amp;$D$1,"")&amp;IF(M5="O",'8_탁월한능력'!F5&amp;$D$1,"")&amp;IF(N5="O",'9_탐구활동'!F5&amp;$D$1,"")&amp;IF(O5="O",'10_진로관련사항'!F5&amp;$D$1,"")&amp;IF(P5="O",'11_프로젝트활동'!F5&amp;$D$1,"")</f>
        <v xml:space="preserve">교과이수내용 예시문3 </v>
      </c>
      <c r="F5" s="23" t="str">
        <f>IF('1_교과이수내용'!E5&gt;0,"O","X")</f>
        <v>O</v>
      </c>
      <c r="G5" s="23" t="str">
        <f>IF('2_지적성장과정'!E5&gt;0,"O","X")</f>
        <v>X</v>
      </c>
      <c r="H5" s="23" t="str">
        <f>IF('3_학업성취도'!E5&gt;0,"O","X")</f>
        <v>X</v>
      </c>
      <c r="I5" s="23" t="str">
        <f>IF('4_태도'!E5&gt;0,"O","X")</f>
        <v>X</v>
      </c>
      <c r="J5" s="23" t="str">
        <f>IF('5_적극성'!E5&gt;0,"O","X")</f>
        <v>X</v>
      </c>
      <c r="K5" s="23" t="str">
        <f>IF('6_지적호기심'!E5&gt;0,"O","X")</f>
        <v>X</v>
      </c>
      <c r="L5" s="23" t="str">
        <f>IF('7_특별한관심'!E5&gt;0,"O","X")</f>
        <v>X</v>
      </c>
      <c r="M5" s="23" t="str">
        <f>IF('8_탁월한능력'!E5&gt;0,"O","X")</f>
        <v>X</v>
      </c>
      <c r="N5" s="23" t="str">
        <f>IF('9_탐구활동'!E5&gt;0,"O","X")</f>
        <v>X</v>
      </c>
      <c r="O5" s="41" t="str">
        <f>IF('10_진로관련사항'!E5&gt;0,"O","X")</f>
        <v>X</v>
      </c>
      <c r="P5" s="23" t="str">
        <f>IF('11_프로젝트활동'!E5&gt;0,"O","X")</f>
        <v>X</v>
      </c>
    </row>
    <row r="6" spans="1:17">
      <c r="A6" s="9">
        <f>IF(학생명렬표!A5="","",학생명렬표!A5)</f>
        <v>1</v>
      </c>
      <c r="B6" s="23">
        <f>IF(학생명렬표!B5="","",학생명렬표!B5)</f>
        <v>1</v>
      </c>
      <c r="C6" s="23">
        <f>IF(학생명렬표!C5="","",학생명렬표!C5)</f>
        <v>4</v>
      </c>
      <c r="D6" s="23" t="str">
        <f>IF(학생명렬표!D5="","",학생명렬표!D5)</f>
        <v>김건</v>
      </c>
      <c r="E6" s="21" t="str">
        <f>IF(F6="O",'1_교과이수내용'!F6&amp;$D$1,"")&amp;IF(G6="O",'2_지적성장과정'!F6&amp;$D$1,"")&amp;IF(H6="O",'3_학업성취도'!F6&amp;$D$1,"")&amp;IF(I6="O",'4_태도'!F6&amp;$D$1,"")&amp;IF(J6="O",'5_적극성'!F6&amp;$D$1,"")&amp;IF(K6="O",'6_지적호기심'!F6&amp;$D$1,"")&amp;IF(L6="O",'7_특별한관심'!F6&amp;$D$1,"")&amp;IF(M6="O",'8_탁월한능력'!F6&amp;$D$1,"")&amp;IF(N6="O",'9_탐구활동'!F6&amp;$D$1,"")&amp;IF(O6="O",'10_진로관련사항'!F6&amp;$D$1,"")&amp;IF(P6="O",'11_프로젝트활동'!F6&amp;$D$1,"")</f>
        <v/>
      </c>
      <c r="F6" s="23" t="str">
        <f>IF('1_교과이수내용'!E6&gt;0,"O","X")</f>
        <v>X</v>
      </c>
      <c r="G6" s="23" t="str">
        <f>IF('2_지적성장과정'!E6&gt;0,"O","X")</f>
        <v>X</v>
      </c>
      <c r="H6" s="23" t="str">
        <f>IF('3_학업성취도'!E6&gt;0,"O","X")</f>
        <v>X</v>
      </c>
      <c r="I6" s="23" t="str">
        <f>IF('4_태도'!E6&gt;0,"O","X")</f>
        <v>X</v>
      </c>
      <c r="J6" s="23" t="str">
        <f>IF('5_적극성'!E6&gt;0,"O","X")</f>
        <v>X</v>
      </c>
      <c r="K6" s="23" t="str">
        <f>IF('6_지적호기심'!E6&gt;0,"O","X")</f>
        <v>X</v>
      </c>
      <c r="L6" s="23" t="str">
        <f>IF('7_특별한관심'!E6&gt;0,"O","X")</f>
        <v>X</v>
      </c>
      <c r="M6" s="23" t="str">
        <f>IF('8_탁월한능력'!E6&gt;0,"O","X")</f>
        <v>X</v>
      </c>
      <c r="N6" s="23" t="str">
        <f>IF('9_탐구활동'!E6&gt;0,"O","X")</f>
        <v>X</v>
      </c>
      <c r="O6" s="41" t="str">
        <f>IF('10_진로관련사항'!E6&gt;0,"O","X")</f>
        <v>X</v>
      </c>
      <c r="P6" s="23" t="str">
        <f>IF('11_프로젝트활동'!E6&gt;0,"O","X")</f>
        <v>X</v>
      </c>
    </row>
    <row r="7" spans="1:17">
      <c r="A7" s="9">
        <f>IF(학생명렬표!A6="","",학생명렬표!A6)</f>
        <v>1</v>
      </c>
      <c r="B7" s="23">
        <f>IF(학생명렬표!B6="","",학생명렬표!B6)</f>
        <v>1</v>
      </c>
      <c r="C7" s="23">
        <f>IF(학생명렬표!C6="","",학생명렬표!C6)</f>
        <v>5</v>
      </c>
      <c r="D7" s="23" t="str">
        <f>IF(학생명렬표!D6="","",학생명렬표!D6)</f>
        <v>김동건</v>
      </c>
      <c r="E7" s="21" t="str">
        <f>IF(F7="O",'1_교과이수내용'!F7&amp;$D$1,"")&amp;IF(G7="O",'2_지적성장과정'!F7&amp;$D$1,"")&amp;IF(H7="O",'3_학업성취도'!F7&amp;$D$1,"")&amp;IF(I7="O",'4_태도'!F7&amp;$D$1,"")&amp;IF(J7="O",'5_적극성'!F7&amp;$D$1,"")&amp;IF(K7="O",'6_지적호기심'!F7&amp;$D$1,"")&amp;IF(L7="O",'7_특별한관심'!F7&amp;$D$1,"")&amp;IF(M7="O",'8_탁월한능력'!F7&amp;$D$1,"")&amp;IF(N7="O",'9_탐구활동'!F7&amp;$D$1,"")&amp;IF(O7="O",'10_진로관련사항'!F7&amp;$D$1,"")&amp;IF(P7="O",'11_프로젝트활동'!F7&amp;$D$1,"")</f>
        <v/>
      </c>
      <c r="F7" s="23" t="str">
        <f>IF('1_교과이수내용'!E7&gt;0,"O","X")</f>
        <v>X</v>
      </c>
      <c r="G7" s="23" t="str">
        <f>IF('2_지적성장과정'!E7&gt;0,"O","X")</f>
        <v>X</v>
      </c>
      <c r="H7" s="23" t="str">
        <f>IF('3_학업성취도'!E7&gt;0,"O","X")</f>
        <v>X</v>
      </c>
      <c r="I7" s="23" t="str">
        <f>IF('4_태도'!E7&gt;0,"O","X")</f>
        <v>X</v>
      </c>
      <c r="J7" s="23" t="str">
        <f>IF('5_적극성'!E7&gt;0,"O","X")</f>
        <v>X</v>
      </c>
      <c r="K7" s="23" t="str">
        <f>IF('6_지적호기심'!E7&gt;0,"O","X")</f>
        <v>X</v>
      </c>
      <c r="L7" s="23" t="str">
        <f>IF('7_특별한관심'!E7&gt;0,"O","X")</f>
        <v>X</v>
      </c>
      <c r="M7" s="23" t="str">
        <f>IF('8_탁월한능력'!E7&gt;0,"O","X")</f>
        <v>X</v>
      </c>
      <c r="N7" s="23" t="str">
        <f>IF('9_탐구활동'!E7&gt;0,"O","X")</f>
        <v>X</v>
      </c>
      <c r="O7" s="41" t="str">
        <f>IF('10_진로관련사항'!E7&gt;0,"O","X")</f>
        <v>X</v>
      </c>
      <c r="P7" s="23" t="str">
        <f>IF('11_프로젝트활동'!E7&gt;0,"O","X")</f>
        <v>X</v>
      </c>
      <c r="Q7" s="42" t="str">
        <f>"Hello"&amp;D1&amp;"world"&amp;IF(""="","","false")&amp;IF(""="","","false")&amp;IF(""="","","false")&amp;IF(""="","","false")&amp;"!!!"&amp;""&amp;""&amp;""&amp;""&amp;"121"</f>
        <v>Hello world!!!121</v>
      </c>
    </row>
    <row r="8" spans="1:17">
      <c r="A8" s="9">
        <f>IF(학생명렬표!A7="","",학생명렬표!A7)</f>
        <v>1</v>
      </c>
      <c r="B8" s="23">
        <f>IF(학생명렬표!B7="","",학생명렬표!B7)</f>
        <v>1</v>
      </c>
      <c r="C8" s="23">
        <f>IF(학생명렬표!C7="","",학생명렬표!C7)</f>
        <v>6</v>
      </c>
      <c r="D8" s="23" t="str">
        <f>IF(학생명렬표!D7="","",학생명렬표!D7)</f>
        <v>김주완</v>
      </c>
      <c r="E8" s="21" t="str">
        <f>IF(F8="O",'1_교과이수내용'!F8&amp;$D$1,"")&amp;IF(G8="O",'2_지적성장과정'!F8&amp;$D$1,"")&amp;IF(H8="O",'3_학업성취도'!F8&amp;$D$1,"")&amp;IF(I8="O",'4_태도'!F8&amp;$D$1,"")&amp;IF(J8="O",'5_적극성'!F8&amp;$D$1,"")&amp;IF(K8="O",'6_지적호기심'!F8&amp;$D$1,"")&amp;IF(L8="O",'7_특별한관심'!F8&amp;$D$1,"")&amp;IF(M8="O",'8_탁월한능력'!F8&amp;$D$1,"")&amp;IF(N8="O",'9_탐구활동'!F8&amp;$D$1,"")&amp;IF(O8="O",'10_진로관련사항'!F8&amp;$D$1,"")&amp;IF(P8="O",'11_프로젝트활동'!F8&amp;$D$1,"")</f>
        <v/>
      </c>
      <c r="F8" s="23" t="str">
        <f>IF('1_교과이수내용'!E8&gt;0,"O","X")</f>
        <v>X</v>
      </c>
      <c r="G8" s="23" t="str">
        <f>IF('2_지적성장과정'!E8&gt;0,"O","X")</f>
        <v>X</v>
      </c>
      <c r="H8" s="23" t="str">
        <f>IF('3_학업성취도'!E8&gt;0,"O","X")</f>
        <v>X</v>
      </c>
      <c r="I8" s="23" t="str">
        <f>IF('4_태도'!E8&gt;0,"O","X")</f>
        <v>X</v>
      </c>
      <c r="J8" s="23" t="str">
        <f>IF('5_적극성'!E8&gt;0,"O","X")</f>
        <v>X</v>
      </c>
      <c r="K8" s="23" t="str">
        <f>IF('6_지적호기심'!E8&gt;0,"O","X")</f>
        <v>X</v>
      </c>
      <c r="L8" s="23" t="str">
        <f>IF('7_특별한관심'!E8&gt;0,"O","X")</f>
        <v>X</v>
      </c>
      <c r="M8" s="23" t="str">
        <f>IF('8_탁월한능력'!E8&gt;0,"O","X")</f>
        <v>X</v>
      </c>
      <c r="N8" s="23" t="str">
        <f>IF('9_탐구활동'!E8&gt;0,"O","X")</f>
        <v>X</v>
      </c>
      <c r="O8" s="41" t="str">
        <f>IF('10_진로관련사항'!E8&gt;0,"O","X")</f>
        <v>X</v>
      </c>
      <c r="P8" s="23" t="str">
        <f>IF('11_프로젝트활동'!E8&gt;0,"O","X")</f>
        <v>X</v>
      </c>
    </row>
    <row r="9" spans="1:17">
      <c r="A9" s="9">
        <f>IF(학생명렬표!A8="","",학생명렬표!A8)</f>
        <v>1</v>
      </c>
      <c r="B9" s="23">
        <f>IF(학생명렬표!B8="","",학생명렬표!B8)</f>
        <v>1</v>
      </c>
      <c r="C9" s="23">
        <f>IF(학생명렬표!C8="","",학생명렬표!C8)</f>
        <v>7</v>
      </c>
      <c r="D9" s="23" t="str">
        <f>IF(학생명렬표!D8="","",학생명렬표!D8)</f>
        <v>김태우</v>
      </c>
      <c r="E9" s="21" t="str">
        <f>IF(F9="O",'1_교과이수내용'!F9&amp;$D$1,"")&amp;IF(G9="O",'2_지적성장과정'!F9&amp;$D$1,"")&amp;IF(H9="O",'3_학업성취도'!F9&amp;$D$1,"")&amp;IF(I9="O",'4_태도'!F9&amp;$D$1,"")&amp;IF(J9="O",'5_적극성'!F9&amp;$D$1,"")&amp;IF(K9="O",'6_지적호기심'!F9&amp;$D$1,"")&amp;IF(L9="O",'7_특별한관심'!F9&amp;$D$1,"")&amp;IF(M9="O",'8_탁월한능력'!F9&amp;$D$1,"")&amp;IF(N9="O",'9_탐구활동'!F9&amp;$D$1,"")&amp;IF(O9="O",'10_진로관련사항'!F9&amp;$D$1,"")&amp;IF(P9="O",'11_프로젝트활동'!F9&amp;$D$1,"")</f>
        <v/>
      </c>
      <c r="F9" s="23" t="str">
        <f>IF('1_교과이수내용'!E9&gt;0,"O","X")</f>
        <v>X</v>
      </c>
      <c r="G9" s="23" t="str">
        <f>IF('2_지적성장과정'!E9&gt;0,"O","X")</f>
        <v>X</v>
      </c>
      <c r="H9" s="23" t="str">
        <f>IF('3_학업성취도'!E9&gt;0,"O","X")</f>
        <v>X</v>
      </c>
      <c r="I9" s="23" t="str">
        <f>IF('4_태도'!E9&gt;0,"O","X")</f>
        <v>X</v>
      </c>
      <c r="J9" s="23" t="str">
        <f>IF('5_적극성'!E9&gt;0,"O","X")</f>
        <v>X</v>
      </c>
      <c r="K9" s="23" t="str">
        <f>IF('6_지적호기심'!E9&gt;0,"O","X")</f>
        <v>X</v>
      </c>
      <c r="L9" s="23" t="str">
        <f>IF('7_특별한관심'!E9&gt;0,"O","X")</f>
        <v>X</v>
      </c>
      <c r="M9" s="23" t="str">
        <f>IF('8_탁월한능력'!E9&gt;0,"O","X")</f>
        <v>X</v>
      </c>
      <c r="N9" s="23" t="str">
        <f>IF('9_탐구활동'!E9&gt;0,"O","X")</f>
        <v>X</v>
      </c>
      <c r="O9" s="41" t="str">
        <f>IF('10_진로관련사항'!E9&gt;0,"O","X")</f>
        <v>X</v>
      </c>
      <c r="P9" s="23" t="str">
        <f>IF('11_프로젝트활동'!E9&gt;0,"O","X")</f>
        <v>X</v>
      </c>
    </row>
    <row r="10" spans="1:17">
      <c r="A10" s="9">
        <f>IF(학생명렬표!A9="","",학생명렬표!A9)</f>
        <v>1</v>
      </c>
      <c r="B10" s="23">
        <f>IF(학생명렬표!B9="","",학생명렬표!B9)</f>
        <v>1</v>
      </c>
      <c r="C10" s="23">
        <f>IF(학생명렬표!C9="","",학생명렬표!C9)</f>
        <v>8</v>
      </c>
      <c r="D10" s="23" t="str">
        <f>IF(학생명렬표!D9="","",학생명렬표!D9)</f>
        <v>노현서</v>
      </c>
      <c r="E10" s="21" t="str">
        <f>IF(F10="O",'1_교과이수내용'!F10&amp;$D$1,"")&amp;IF(G10="O",'2_지적성장과정'!F10&amp;$D$1,"")&amp;IF(H10="O",'3_학업성취도'!F10&amp;$D$1,"")&amp;IF(I10="O",'4_태도'!F10&amp;$D$1,"")&amp;IF(J10="O",'5_적극성'!F10&amp;$D$1,"")&amp;IF(K10="O",'6_지적호기심'!F10&amp;$D$1,"")&amp;IF(L10="O",'7_특별한관심'!F10&amp;$D$1,"")&amp;IF(M10="O",'8_탁월한능력'!F10&amp;$D$1,"")&amp;IF(N10="O",'9_탐구활동'!F10&amp;$D$1,"")&amp;IF(O10="O",'10_진로관련사항'!F10&amp;$D$1,"")&amp;IF(P10="O",'11_프로젝트활동'!F10&amp;$D$1,"")</f>
        <v/>
      </c>
      <c r="F10" s="23" t="str">
        <f>IF('1_교과이수내용'!E10&gt;0,"O","X")</f>
        <v>X</v>
      </c>
      <c r="G10" s="23" t="str">
        <f>IF('2_지적성장과정'!E10&gt;0,"O","X")</f>
        <v>X</v>
      </c>
      <c r="H10" s="23" t="str">
        <f>IF('3_학업성취도'!E10&gt;0,"O","X")</f>
        <v>X</v>
      </c>
      <c r="I10" s="23" t="str">
        <f>IF('4_태도'!E10&gt;0,"O","X")</f>
        <v>X</v>
      </c>
      <c r="J10" s="23" t="str">
        <f>IF('5_적극성'!E10&gt;0,"O","X")</f>
        <v>X</v>
      </c>
      <c r="K10" s="23" t="str">
        <f>IF('6_지적호기심'!E10&gt;0,"O","X")</f>
        <v>X</v>
      </c>
      <c r="L10" s="23" t="str">
        <f>IF('7_특별한관심'!E10&gt;0,"O","X")</f>
        <v>X</v>
      </c>
      <c r="M10" s="23" t="str">
        <f>IF('8_탁월한능력'!E10&gt;0,"O","X")</f>
        <v>X</v>
      </c>
      <c r="N10" s="23" t="str">
        <f>IF('9_탐구활동'!E10&gt;0,"O","X")</f>
        <v>X</v>
      </c>
      <c r="O10" s="41" t="str">
        <f>IF('10_진로관련사항'!E10&gt;0,"O","X")</f>
        <v>X</v>
      </c>
      <c r="P10" s="23" t="str">
        <f>IF('11_프로젝트활동'!E10&gt;0,"O","X")</f>
        <v>X</v>
      </c>
    </row>
    <row r="11" spans="1:17">
      <c r="A11" s="9">
        <f>IF(학생명렬표!A10="","",학생명렬표!A10)</f>
        <v>1</v>
      </c>
      <c r="B11" s="23">
        <f>IF(학생명렬표!B10="","",학생명렬표!B10)</f>
        <v>1</v>
      </c>
      <c r="C11" s="23">
        <f>IF(학생명렬표!C10="","",학생명렬표!C10)</f>
        <v>9</v>
      </c>
      <c r="D11" s="23" t="str">
        <f>IF(학생명렬표!D10="","",학생명렬표!D10)</f>
        <v>신유찬</v>
      </c>
      <c r="E11" s="21" t="str">
        <f>IF(F11="O",'1_교과이수내용'!F11&amp;$D$1,"")&amp;IF(G11="O",'2_지적성장과정'!F11&amp;$D$1,"")&amp;IF(H11="O",'3_학업성취도'!F11&amp;$D$1,"")&amp;IF(I11="O",'4_태도'!F11&amp;$D$1,"")&amp;IF(J11="O",'5_적극성'!F11&amp;$D$1,"")&amp;IF(K11="O",'6_지적호기심'!F11&amp;$D$1,"")&amp;IF(L11="O",'7_특별한관심'!F11&amp;$D$1,"")&amp;IF(M11="O",'8_탁월한능력'!F11&amp;$D$1,"")&amp;IF(N11="O",'9_탐구활동'!F11&amp;$D$1,"")&amp;IF(O11="O",'10_진로관련사항'!F11&amp;$D$1,"")&amp;IF(P11="O",'11_프로젝트활동'!F11&amp;$D$1,"")</f>
        <v/>
      </c>
      <c r="F11" s="23" t="str">
        <f>IF('1_교과이수내용'!E11&gt;0,"O","X")</f>
        <v>X</v>
      </c>
      <c r="G11" s="23" t="str">
        <f>IF('2_지적성장과정'!E11&gt;0,"O","X")</f>
        <v>X</v>
      </c>
      <c r="H11" s="23" t="str">
        <f>IF('3_학업성취도'!E11&gt;0,"O","X")</f>
        <v>X</v>
      </c>
      <c r="I11" s="23" t="str">
        <f>IF('4_태도'!E11&gt;0,"O","X")</f>
        <v>X</v>
      </c>
      <c r="J11" s="23" t="str">
        <f>IF('5_적극성'!E11&gt;0,"O","X")</f>
        <v>X</v>
      </c>
      <c r="K11" s="23" t="str">
        <f>IF('6_지적호기심'!E11&gt;0,"O","X")</f>
        <v>X</v>
      </c>
      <c r="L11" s="23" t="str">
        <f>IF('7_특별한관심'!E11&gt;0,"O","X")</f>
        <v>X</v>
      </c>
      <c r="M11" s="23" t="str">
        <f>IF('8_탁월한능력'!E11&gt;0,"O","X")</f>
        <v>X</v>
      </c>
      <c r="N11" s="23" t="str">
        <f>IF('9_탐구활동'!E11&gt;0,"O","X")</f>
        <v>X</v>
      </c>
      <c r="O11" s="41" t="str">
        <f>IF('10_진로관련사항'!E11&gt;0,"O","X")</f>
        <v>X</v>
      </c>
      <c r="P11" s="23" t="str">
        <f>IF('11_프로젝트활동'!E11&gt;0,"O","X")</f>
        <v>X</v>
      </c>
    </row>
    <row r="12" spans="1:17">
      <c r="A12" s="9">
        <f>IF(학생명렬표!A11="","",학생명렬표!A11)</f>
        <v>1</v>
      </c>
      <c r="B12" s="23">
        <f>IF(학생명렬표!B11="","",학생명렬표!B11)</f>
        <v>1</v>
      </c>
      <c r="C12" s="23">
        <f>IF(학생명렬표!C11="","",학생명렬표!C11)</f>
        <v>10</v>
      </c>
      <c r="D12" s="23" t="str">
        <f>IF(학생명렬표!D11="","",학생명렬표!D11)</f>
        <v>심윤섭</v>
      </c>
      <c r="E12" s="21" t="str">
        <f>IF(F12="O",'1_교과이수내용'!F12&amp;$D$1,"")&amp;IF(G12="O",'2_지적성장과정'!F12&amp;$D$1,"")&amp;IF(H12="O",'3_학업성취도'!F12&amp;$D$1,"")&amp;IF(I12="O",'4_태도'!F12&amp;$D$1,"")&amp;IF(J12="O",'5_적극성'!F12&amp;$D$1,"")&amp;IF(K12="O",'6_지적호기심'!F12&amp;$D$1,"")&amp;IF(L12="O",'7_특별한관심'!F12&amp;$D$1,"")&amp;IF(M12="O",'8_탁월한능력'!F12&amp;$D$1,"")&amp;IF(N12="O",'9_탐구활동'!F12&amp;$D$1,"")&amp;IF(O12="O",'10_진로관련사항'!F12&amp;$D$1,"")&amp;IF(P12="O",'11_프로젝트활동'!F12&amp;$D$1,"")</f>
        <v/>
      </c>
      <c r="F12" s="23" t="str">
        <f>IF('1_교과이수내용'!E12&gt;0,"O","X")</f>
        <v>X</v>
      </c>
      <c r="G12" s="23" t="str">
        <f>IF('2_지적성장과정'!E12&gt;0,"O","X")</f>
        <v>X</v>
      </c>
      <c r="H12" s="23" t="str">
        <f>IF('3_학업성취도'!E12&gt;0,"O","X")</f>
        <v>X</v>
      </c>
      <c r="I12" s="23" t="str">
        <f>IF('4_태도'!E12&gt;0,"O","X")</f>
        <v>X</v>
      </c>
      <c r="J12" s="23" t="str">
        <f>IF('5_적극성'!E12&gt;0,"O","X")</f>
        <v>X</v>
      </c>
      <c r="K12" s="23" t="str">
        <f>IF('6_지적호기심'!E12&gt;0,"O","X")</f>
        <v>X</v>
      </c>
      <c r="L12" s="23" t="str">
        <f>IF('7_특별한관심'!E12&gt;0,"O","X")</f>
        <v>X</v>
      </c>
      <c r="M12" s="23" t="str">
        <f>IF('8_탁월한능력'!E12&gt;0,"O","X")</f>
        <v>X</v>
      </c>
      <c r="N12" s="23" t="str">
        <f>IF('9_탐구활동'!E12&gt;0,"O","X")</f>
        <v>X</v>
      </c>
      <c r="O12" s="41" t="str">
        <f>IF('10_진로관련사항'!E12&gt;0,"O","X")</f>
        <v>X</v>
      </c>
      <c r="P12" s="23" t="str">
        <f>IF('11_프로젝트활동'!E12&gt;0,"O","X")</f>
        <v>X</v>
      </c>
    </row>
    <row r="13" spans="1:17">
      <c r="A13" s="9">
        <f>IF(학생명렬표!A12="","",학생명렬표!A12)</f>
        <v>1</v>
      </c>
      <c r="B13" s="23">
        <f>IF(학생명렬표!B12="","",학생명렬표!B12)</f>
        <v>1</v>
      </c>
      <c r="C13" s="23">
        <f>IF(학생명렬표!C12="","",학생명렬표!C12)</f>
        <v>11</v>
      </c>
      <c r="D13" s="23" t="str">
        <f>IF(학생명렬표!D12="","",학생명렬표!D12)</f>
        <v>윤가온</v>
      </c>
      <c r="E13" s="21" t="str">
        <f>IF(F13="O",'1_교과이수내용'!F13&amp;$D$1,"")&amp;IF(G13="O",'2_지적성장과정'!F13&amp;$D$1,"")&amp;IF(H13="O",'3_학업성취도'!F13&amp;$D$1,"")&amp;IF(I13="O",'4_태도'!F13&amp;$D$1,"")&amp;IF(J13="O",'5_적극성'!F13&amp;$D$1,"")&amp;IF(K13="O",'6_지적호기심'!F13&amp;$D$1,"")&amp;IF(L13="O",'7_특별한관심'!F13&amp;$D$1,"")&amp;IF(M13="O",'8_탁월한능력'!F13&amp;$D$1,"")&amp;IF(N13="O",'9_탐구활동'!F13&amp;$D$1,"")&amp;IF(O13="O",'10_진로관련사항'!F13&amp;$D$1,"")&amp;IF(P13="O",'11_프로젝트활동'!F13&amp;$D$1,"")</f>
        <v/>
      </c>
      <c r="F13" s="23" t="str">
        <f>IF('1_교과이수내용'!E13&gt;0,"O","X")</f>
        <v>X</v>
      </c>
      <c r="G13" s="23" t="str">
        <f>IF('2_지적성장과정'!E13&gt;0,"O","X")</f>
        <v>X</v>
      </c>
      <c r="H13" s="23" t="str">
        <f>IF('3_학업성취도'!E13&gt;0,"O","X")</f>
        <v>X</v>
      </c>
      <c r="I13" s="23" t="str">
        <f>IF('4_태도'!E13&gt;0,"O","X")</f>
        <v>X</v>
      </c>
      <c r="J13" s="23" t="str">
        <f>IF('5_적극성'!E13&gt;0,"O","X")</f>
        <v>X</v>
      </c>
      <c r="K13" s="23" t="str">
        <f>IF('6_지적호기심'!E13&gt;0,"O","X")</f>
        <v>X</v>
      </c>
      <c r="L13" s="23" t="str">
        <f>IF('7_특별한관심'!E13&gt;0,"O","X")</f>
        <v>X</v>
      </c>
      <c r="M13" s="23" t="str">
        <f>IF('8_탁월한능력'!E13&gt;0,"O","X")</f>
        <v>X</v>
      </c>
      <c r="N13" s="23" t="str">
        <f>IF('9_탐구활동'!E13&gt;0,"O","X")</f>
        <v>X</v>
      </c>
      <c r="O13" s="41" t="str">
        <f>IF('10_진로관련사항'!E13&gt;0,"O","X")</f>
        <v>X</v>
      </c>
      <c r="P13" s="23" t="str">
        <f>IF('11_프로젝트활동'!E13&gt;0,"O","X")</f>
        <v>X</v>
      </c>
    </row>
    <row r="14" spans="1:17">
      <c r="A14" s="9">
        <f>IF(학생명렬표!A13="","",학생명렬표!A13)</f>
        <v>1</v>
      </c>
      <c r="B14" s="23">
        <f>IF(학생명렬표!B13="","",학생명렬표!B13)</f>
        <v>1</v>
      </c>
      <c r="C14" s="23">
        <f>IF(학생명렬표!C13="","",학생명렬표!C13)</f>
        <v>12</v>
      </c>
      <c r="D14" s="23" t="str">
        <f>IF(학생명렬표!D13="","",학생명렬표!D13)</f>
        <v>윤지환</v>
      </c>
      <c r="E14" s="21" t="str">
        <f>IF(F14="O",'1_교과이수내용'!F14&amp;$D$1,"")&amp;IF(G14="O",'2_지적성장과정'!F14&amp;$D$1,"")&amp;IF(H14="O",'3_학업성취도'!F14&amp;$D$1,"")&amp;IF(I14="O",'4_태도'!F14&amp;$D$1,"")&amp;IF(J14="O",'5_적극성'!F14&amp;$D$1,"")&amp;IF(K14="O",'6_지적호기심'!F14&amp;$D$1,"")&amp;IF(L14="O",'7_특별한관심'!F14&amp;$D$1,"")&amp;IF(M14="O",'8_탁월한능력'!F14&amp;$D$1,"")&amp;IF(N14="O",'9_탐구활동'!F14&amp;$D$1,"")&amp;IF(O14="O",'10_진로관련사항'!F14&amp;$D$1,"")&amp;IF(P14="O",'11_프로젝트활동'!F14&amp;$D$1,"")</f>
        <v/>
      </c>
      <c r="F14" s="23" t="str">
        <f>IF('1_교과이수내용'!E14&gt;0,"O","X")</f>
        <v>X</v>
      </c>
      <c r="G14" s="23" t="str">
        <f>IF('2_지적성장과정'!E14&gt;0,"O","X")</f>
        <v>X</v>
      </c>
      <c r="H14" s="23" t="str">
        <f>IF('3_학업성취도'!E14&gt;0,"O","X")</f>
        <v>X</v>
      </c>
      <c r="I14" s="23" t="str">
        <f>IF('4_태도'!E14&gt;0,"O","X")</f>
        <v>X</v>
      </c>
      <c r="J14" s="23" t="str">
        <f>IF('5_적극성'!E14&gt;0,"O","X")</f>
        <v>X</v>
      </c>
      <c r="K14" s="23" t="str">
        <f>IF('6_지적호기심'!E14&gt;0,"O","X")</f>
        <v>X</v>
      </c>
      <c r="L14" s="23" t="str">
        <f>IF('7_특별한관심'!E14&gt;0,"O","X")</f>
        <v>X</v>
      </c>
      <c r="M14" s="23" t="str">
        <f>IF('8_탁월한능력'!E14&gt;0,"O","X")</f>
        <v>X</v>
      </c>
      <c r="N14" s="23" t="str">
        <f>IF('9_탐구활동'!E14&gt;0,"O","X")</f>
        <v>X</v>
      </c>
      <c r="O14" s="41" t="str">
        <f>IF('10_진로관련사항'!E14&gt;0,"O","X")</f>
        <v>X</v>
      </c>
      <c r="P14" s="23" t="str">
        <f>IF('11_프로젝트활동'!E14&gt;0,"O","X")</f>
        <v>X</v>
      </c>
    </row>
    <row r="15" spans="1:17">
      <c r="A15" s="9">
        <f>IF(학생명렬표!A14="","",학생명렬표!A14)</f>
        <v>1</v>
      </c>
      <c r="B15" s="23">
        <f>IF(학생명렬표!B14="","",학생명렬표!B14)</f>
        <v>1</v>
      </c>
      <c r="C15" s="23">
        <f>IF(학생명렬표!C14="","",학생명렬표!C14)</f>
        <v>13</v>
      </c>
      <c r="D15" s="23" t="str">
        <f>IF(학생명렬표!D14="","",학생명렬표!D14)</f>
        <v>이다연</v>
      </c>
      <c r="E15" s="21" t="str">
        <f>IF(F15="O",'1_교과이수내용'!F15&amp;$D$1,"")&amp;IF(G15="O",'2_지적성장과정'!F15&amp;$D$1,"")&amp;IF(H15="O",'3_학업성취도'!F15&amp;$D$1,"")&amp;IF(I15="O",'4_태도'!F15&amp;$D$1,"")&amp;IF(J15="O",'5_적극성'!F15&amp;$D$1,"")&amp;IF(K15="O",'6_지적호기심'!F15&amp;$D$1,"")&amp;IF(L15="O",'7_특별한관심'!F15&amp;$D$1,"")&amp;IF(M15="O",'8_탁월한능력'!F15&amp;$D$1,"")&amp;IF(N15="O",'9_탐구활동'!F15&amp;$D$1,"")&amp;IF(O15="O",'10_진로관련사항'!F15&amp;$D$1,"")&amp;IF(P15="O",'11_프로젝트활동'!F15&amp;$D$1,"")</f>
        <v/>
      </c>
      <c r="F15" s="23" t="str">
        <f>IF('1_교과이수내용'!E15&gt;0,"O","X")</f>
        <v>X</v>
      </c>
      <c r="G15" s="23" t="str">
        <f>IF('2_지적성장과정'!E15&gt;0,"O","X")</f>
        <v>X</v>
      </c>
      <c r="H15" s="23" t="str">
        <f>IF('3_학업성취도'!E15&gt;0,"O","X")</f>
        <v>X</v>
      </c>
      <c r="I15" s="23" t="str">
        <f>IF('4_태도'!E15&gt;0,"O","X")</f>
        <v>X</v>
      </c>
      <c r="J15" s="23" t="str">
        <f>IF('5_적극성'!E15&gt;0,"O","X")</f>
        <v>X</v>
      </c>
      <c r="K15" s="23" t="str">
        <f>IF('6_지적호기심'!E15&gt;0,"O","X")</f>
        <v>X</v>
      </c>
      <c r="L15" s="23" t="str">
        <f>IF('7_특별한관심'!E15&gt;0,"O","X")</f>
        <v>X</v>
      </c>
      <c r="M15" s="23" t="str">
        <f>IF('8_탁월한능력'!E15&gt;0,"O","X")</f>
        <v>X</v>
      </c>
      <c r="N15" s="23" t="str">
        <f>IF('9_탐구활동'!E15&gt;0,"O","X")</f>
        <v>X</v>
      </c>
      <c r="O15" s="41" t="str">
        <f>IF('10_진로관련사항'!E15&gt;0,"O","X")</f>
        <v>X</v>
      </c>
      <c r="P15" s="23" t="str">
        <f>IF('11_프로젝트활동'!E15&gt;0,"O","X")</f>
        <v>X</v>
      </c>
    </row>
    <row r="16" spans="1:17">
      <c r="A16" s="9">
        <f>IF(학생명렬표!A15="","",학생명렬표!A15)</f>
        <v>1</v>
      </c>
      <c r="B16" s="23">
        <f>IF(학생명렬표!B15="","",학생명렬표!B15)</f>
        <v>1</v>
      </c>
      <c r="C16" s="23">
        <f>IF(학생명렬표!C15="","",학생명렬표!C15)</f>
        <v>14</v>
      </c>
      <c r="D16" s="23" t="str">
        <f>IF(학생명렬표!D15="","",학생명렬표!D15)</f>
        <v>전승원</v>
      </c>
      <c r="E16" s="21" t="str">
        <f>IF(F16="O",'1_교과이수내용'!F16&amp;$D$1,"")&amp;IF(G16="O",'2_지적성장과정'!F16&amp;$D$1,"")&amp;IF(H16="O",'3_학업성취도'!F16&amp;$D$1,"")&amp;IF(I16="O",'4_태도'!F16&amp;$D$1,"")&amp;IF(J16="O",'5_적극성'!F16&amp;$D$1,"")&amp;IF(K16="O",'6_지적호기심'!F16&amp;$D$1,"")&amp;IF(L16="O",'7_특별한관심'!F16&amp;$D$1,"")&amp;IF(M16="O",'8_탁월한능력'!F16&amp;$D$1,"")&amp;IF(N16="O",'9_탐구활동'!F16&amp;$D$1,"")&amp;IF(O16="O",'10_진로관련사항'!F16&amp;$D$1,"")&amp;IF(P16="O",'11_프로젝트활동'!F16&amp;$D$1,"")</f>
        <v/>
      </c>
      <c r="F16" s="23" t="str">
        <f>IF('1_교과이수내용'!E16&gt;0,"O","X")</f>
        <v>X</v>
      </c>
      <c r="G16" s="23" t="str">
        <f>IF('2_지적성장과정'!E16&gt;0,"O","X")</f>
        <v>X</v>
      </c>
      <c r="H16" s="23" t="str">
        <f>IF('3_학업성취도'!E16&gt;0,"O","X")</f>
        <v>X</v>
      </c>
      <c r="I16" s="23" t="str">
        <f>IF('4_태도'!E16&gt;0,"O","X")</f>
        <v>X</v>
      </c>
      <c r="J16" s="23" t="str">
        <f>IF('5_적극성'!E16&gt;0,"O","X")</f>
        <v>X</v>
      </c>
      <c r="K16" s="23" t="str">
        <f>IF('6_지적호기심'!E16&gt;0,"O","X")</f>
        <v>X</v>
      </c>
      <c r="L16" s="23" t="str">
        <f>IF('7_특별한관심'!E16&gt;0,"O","X")</f>
        <v>X</v>
      </c>
      <c r="M16" s="23" t="str">
        <f>IF('8_탁월한능력'!E16&gt;0,"O","X")</f>
        <v>X</v>
      </c>
      <c r="N16" s="23" t="str">
        <f>IF('9_탐구활동'!E16&gt;0,"O","X")</f>
        <v>X</v>
      </c>
      <c r="O16" s="41" t="str">
        <f>IF('10_진로관련사항'!E16&gt;0,"O","X")</f>
        <v>X</v>
      </c>
      <c r="P16" s="23" t="str">
        <f>IF('11_프로젝트활동'!E16&gt;0,"O","X")</f>
        <v>X</v>
      </c>
    </row>
    <row r="17" spans="1:16">
      <c r="A17" s="9">
        <f>IF(학생명렬표!A16="","",학생명렬표!A16)</f>
        <v>1</v>
      </c>
      <c r="B17" s="23">
        <f>IF(학생명렬표!B16="","",학생명렬표!B16)</f>
        <v>1</v>
      </c>
      <c r="C17" s="23">
        <f>IF(학생명렬표!C16="","",학생명렬표!C16)</f>
        <v>15</v>
      </c>
      <c r="D17" s="23" t="str">
        <f>IF(학생명렬표!D16="","",학생명렬표!D16)</f>
        <v>정상호</v>
      </c>
      <c r="E17" s="21" t="str">
        <f>IF(F17="O",'1_교과이수내용'!F17&amp;$D$1,"")&amp;IF(G17="O",'2_지적성장과정'!F17&amp;$D$1,"")&amp;IF(H17="O",'3_학업성취도'!F17&amp;$D$1,"")&amp;IF(I17="O",'4_태도'!F17&amp;$D$1,"")&amp;IF(J17="O",'5_적극성'!F17&amp;$D$1,"")&amp;IF(K17="O",'6_지적호기심'!F17&amp;$D$1,"")&amp;IF(L17="O",'7_특별한관심'!F17&amp;$D$1,"")&amp;IF(M17="O",'8_탁월한능력'!F17&amp;$D$1,"")&amp;IF(N17="O",'9_탐구활동'!F17&amp;$D$1,"")&amp;IF(O17="O",'10_진로관련사항'!F17&amp;$D$1,"")&amp;IF(P17="O",'11_프로젝트활동'!F17&amp;$D$1,"")</f>
        <v/>
      </c>
      <c r="F17" s="23" t="str">
        <f>IF('1_교과이수내용'!E17&gt;0,"O","X")</f>
        <v>X</v>
      </c>
      <c r="G17" s="23" t="str">
        <f>IF('2_지적성장과정'!E17&gt;0,"O","X")</f>
        <v>X</v>
      </c>
      <c r="H17" s="23" t="str">
        <f>IF('3_학업성취도'!E17&gt;0,"O","X")</f>
        <v>X</v>
      </c>
      <c r="I17" s="23" t="str">
        <f>IF('4_태도'!E17&gt;0,"O","X")</f>
        <v>X</v>
      </c>
      <c r="J17" s="23" t="str">
        <f>IF('5_적극성'!E17&gt;0,"O","X")</f>
        <v>X</v>
      </c>
      <c r="K17" s="23" t="str">
        <f>IF('6_지적호기심'!E17&gt;0,"O","X")</f>
        <v>X</v>
      </c>
      <c r="L17" s="23" t="str">
        <f>IF('7_특별한관심'!E17&gt;0,"O","X")</f>
        <v>X</v>
      </c>
      <c r="M17" s="23" t="str">
        <f>IF('8_탁월한능력'!E17&gt;0,"O","X")</f>
        <v>X</v>
      </c>
      <c r="N17" s="23" t="str">
        <f>IF('9_탐구활동'!E17&gt;0,"O","X")</f>
        <v>X</v>
      </c>
      <c r="O17" s="41" t="str">
        <f>IF('10_진로관련사항'!E17&gt;0,"O","X")</f>
        <v>X</v>
      </c>
      <c r="P17" s="23" t="str">
        <f>IF('11_프로젝트활동'!E17&gt;0,"O","X")</f>
        <v>X</v>
      </c>
    </row>
    <row r="18" spans="1:16">
      <c r="A18" s="9">
        <f>IF(학생명렬표!A17="","",학생명렬표!A17)</f>
        <v>1</v>
      </c>
      <c r="B18" s="23">
        <f>IF(학생명렬표!B17="","",학생명렬표!B17)</f>
        <v>1</v>
      </c>
      <c r="C18" s="23">
        <f>IF(학생명렬표!C17="","",학생명렬표!C17)</f>
        <v>16</v>
      </c>
      <c r="D18" s="23" t="str">
        <f>IF(학생명렬표!D17="","",학생명렬표!D17)</f>
        <v>진태인</v>
      </c>
      <c r="E18" s="21" t="str">
        <f>IF(F18="O",'1_교과이수내용'!F18&amp;$D$1,"")&amp;IF(G18="O",'2_지적성장과정'!F18&amp;$D$1,"")&amp;IF(H18="O",'3_학업성취도'!F18&amp;$D$1,"")&amp;IF(I18="O",'4_태도'!F18&amp;$D$1,"")&amp;IF(J18="O",'5_적극성'!F18&amp;$D$1,"")&amp;IF(K18="O",'6_지적호기심'!F18&amp;$D$1,"")&amp;IF(L18="O",'7_특별한관심'!F18&amp;$D$1,"")&amp;IF(M18="O",'8_탁월한능력'!F18&amp;$D$1,"")&amp;IF(N18="O",'9_탐구활동'!F18&amp;$D$1,"")&amp;IF(O18="O",'10_진로관련사항'!F18&amp;$D$1,"")&amp;IF(P18="O",'11_프로젝트활동'!F18&amp;$D$1,"")</f>
        <v/>
      </c>
      <c r="F18" s="23" t="str">
        <f>IF('1_교과이수내용'!E18&gt;0,"O","X")</f>
        <v>X</v>
      </c>
      <c r="G18" s="23" t="str">
        <f>IF('2_지적성장과정'!E18&gt;0,"O","X")</f>
        <v>X</v>
      </c>
      <c r="H18" s="23" t="str">
        <f>IF('3_학업성취도'!E18&gt;0,"O","X")</f>
        <v>X</v>
      </c>
      <c r="I18" s="23" t="str">
        <f>IF('4_태도'!E18&gt;0,"O","X")</f>
        <v>X</v>
      </c>
      <c r="J18" s="23" t="str">
        <f>IF('5_적극성'!E18&gt;0,"O","X")</f>
        <v>X</v>
      </c>
      <c r="K18" s="23" t="str">
        <f>IF('6_지적호기심'!E18&gt;0,"O","X")</f>
        <v>X</v>
      </c>
      <c r="L18" s="23" t="str">
        <f>IF('7_특별한관심'!E18&gt;0,"O","X")</f>
        <v>X</v>
      </c>
      <c r="M18" s="23" t="str">
        <f>IF('8_탁월한능력'!E18&gt;0,"O","X")</f>
        <v>X</v>
      </c>
      <c r="N18" s="23" t="str">
        <f>IF('9_탐구활동'!E18&gt;0,"O","X")</f>
        <v>X</v>
      </c>
      <c r="O18" s="41" t="str">
        <f>IF('10_진로관련사항'!E18&gt;0,"O","X")</f>
        <v>X</v>
      </c>
      <c r="P18" s="23" t="str">
        <f>IF('11_프로젝트활동'!E18&gt;0,"O","X")</f>
        <v>X</v>
      </c>
    </row>
    <row r="19" spans="1:16">
      <c r="A19" s="9">
        <f>IF(학생명렬표!A18="","",학생명렬표!A18)</f>
        <v>1</v>
      </c>
      <c r="B19" s="23">
        <f>IF(학생명렬표!B18="","",학생명렬표!B18)</f>
        <v>1</v>
      </c>
      <c r="C19" s="23">
        <f>IF(학생명렬표!C18="","",학생명렬표!C18)</f>
        <v>17</v>
      </c>
      <c r="D19" s="23" t="str">
        <f>IF(학생명렬표!D18="","",학생명렬표!D18)</f>
        <v>한민솔</v>
      </c>
      <c r="E19" s="21" t="str">
        <f>IF(F19="O",'1_교과이수내용'!F19&amp;$D$1,"")&amp;IF(G19="O",'2_지적성장과정'!F19&amp;$D$1,"")&amp;IF(H19="O",'3_학업성취도'!F19&amp;$D$1,"")&amp;IF(I19="O",'4_태도'!F19&amp;$D$1,"")&amp;IF(J19="O",'5_적극성'!F19&amp;$D$1,"")&amp;IF(K19="O",'6_지적호기심'!F19&amp;$D$1,"")&amp;IF(L19="O",'7_특별한관심'!F19&amp;$D$1,"")&amp;IF(M19="O",'8_탁월한능력'!F19&amp;$D$1,"")&amp;IF(N19="O",'9_탐구활동'!F19&amp;$D$1,"")&amp;IF(O19="O",'10_진로관련사항'!F19&amp;$D$1,"")&amp;IF(P19="O",'11_프로젝트활동'!F19&amp;$D$1,"")</f>
        <v/>
      </c>
      <c r="F19" s="23" t="str">
        <f>IF('1_교과이수내용'!E19&gt;0,"O","X")</f>
        <v>X</v>
      </c>
      <c r="G19" s="23" t="str">
        <f>IF('2_지적성장과정'!E19&gt;0,"O","X")</f>
        <v>X</v>
      </c>
      <c r="H19" s="23" t="str">
        <f>IF('3_학업성취도'!E19&gt;0,"O","X")</f>
        <v>X</v>
      </c>
      <c r="I19" s="23" t="str">
        <f>IF('4_태도'!E19&gt;0,"O","X")</f>
        <v>X</v>
      </c>
      <c r="J19" s="23" t="str">
        <f>IF('5_적극성'!E19&gt;0,"O","X")</f>
        <v>X</v>
      </c>
      <c r="K19" s="23" t="str">
        <f>IF('6_지적호기심'!E19&gt;0,"O","X")</f>
        <v>X</v>
      </c>
      <c r="L19" s="23" t="str">
        <f>IF('7_특별한관심'!E19&gt;0,"O","X")</f>
        <v>X</v>
      </c>
      <c r="M19" s="23" t="str">
        <f>IF('8_탁월한능력'!E19&gt;0,"O","X")</f>
        <v>X</v>
      </c>
      <c r="N19" s="23" t="str">
        <f>IF('9_탐구활동'!E19&gt;0,"O","X")</f>
        <v>X</v>
      </c>
      <c r="O19" s="41" t="str">
        <f>IF('10_진로관련사항'!E19&gt;0,"O","X")</f>
        <v>X</v>
      </c>
      <c r="P19" s="23" t="str">
        <f>IF('11_프로젝트활동'!E19&gt;0,"O","X")</f>
        <v>X</v>
      </c>
    </row>
    <row r="20" spans="1:16">
      <c r="A20" s="9">
        <f>IF(학생명렬표!A19="","",학생명렬표!A19)</f>
        <v>1</v>
      </c>
      <c r="B20" s="23">
        <f>IF(학생명렬표!B19="","",학생명렬표!B19)</f>
        <v>2</v>
      </c>
      <c r="C20" s="23">
        <f>IF(학생명렬표!C19="","",학생명렬표!C19)</f>
        <v>1</v>
      </c>
      <c r="D20" s="23" t="str">
        <f>IF(학생명렬표!D19="","",학생명렬표!D19)</f>
        <v>김기홍</v>
      </c>
      <c r="E20" s="21" t="str">
        <f>IF(F20="O",'1_교과이수내용'!F20&amp;$D$1,"")&amp;IF(G20="O",'2_지적성장과정'!F20&amp;$D$1,"")&amp;IF(H20="O",'3_학업성취도'!F20&amp;$D$1,"")&amp;IF(I20="O",'4_태도'!F20&amp;$D$1,"")&amp;IF(J20="O",'5_적극성'!F20&amp;$D$1,"")&amp;IF(K20="O",'6_지적호기심'!F20&amp;$D$1,"")&amp;IF(L20="O",'7_특별한관심'!F20&amp;$D$1,"")&amp;IF(M20="O",'8_탁월한능력'!F20&amp;$D$1,"")&amp;IF(N20="O",'9_탐구활동'!F20&amp;$D$1,"")&amp;IF(O20="O",'10_진로관련사항'!F20&amp;$D$1,"")&amp;IF(P20="O",'11_프로젝트활동'!F20&amp;$D$1,"")</f>
        <v/>
      </c>
      <c r="F20" s="23" t="str">
        <f>IF('1_교과이수내용'!E20&gt;0,"O","X")</f>
        <v>X</v>
      </c>
      <c r="G20" s="23" t="str">
        <f>IF('2_지적성장과정'!E20&gt;0,"O","X")</f>
        <v>X</v>
      </c>
      <c r="H20" s="23" t="str">
        <f>IF('3_학업성취도'!E20&gt;0,"O","X")</f>
        <v>X</v>
      </c>
      <c r="I20" s="23" t="str">
        <f>IF('4_태도'!E20&gt;0,"O","X")</f>
        <v>X</v>
      </c>
      <c r="J20" s="23" t="str">
        <f>IF('5_적극성'!E20&gt;0,"O","X")</f>
        <v>X</v>
      </c>
      <c r="K20" s="23" t="str">
        <f>IF('6_지적호기심'!E20&gt;0,"O","X")</f>
        <v>X</v>
      </c>
      <c r="L20" s="23" t="str">
        <f>IF('7_특별한관심'!E20&gt;0,"O","X")</f>
        <v>X</v>
      </c>
      <c r="M20" s="23" t="str">
        <f>IF('8_탁월한능력'!E20&gt;0,"O","X")</f>
        <v>X</v>
      </c>
      <c r="N20" s="23" t="str">
        <f>IF('9_탐구활동'!E20&gt;0,"O","X")</f>
        <v>X</v>
      </c>
      <c r="O20" s="41" t="str">
        <f>IF('10_진로관련사항'!E20&gt;0,"O","X")</f>
        <v>X</v>
      </c>
      <c r="P20" s="23" t="str">
        <f>IF('11_프로젝트활동'!E20&gt;0,"O","X")</f>
        <v>X</v>
      </c>
    </row>
    <row r="21" spans="1:16">
      <c r="A21" s="9">
        <f>IF(학생명렬표!A20="","",학생명렬표!A20)</f>
        <v>1</v>
      </c>
      <c r="B21" s="23">
        <f>IF(학생명렬표!B20="","",학생명렬표!B20)</f>
        <v>2</v>
      </c>
      <c r="C21" s="23">
        <f>IF(학생명렬표!C20="","",학생명렬표!C20)</f>
        <v>2</v>
      </c>
      <c r="D21" s="23" t="str">
        <f>IF(학생명렬표!D20="","",학생명렬표!D20)</f>
        <v>김동우</v>
      </c>
      <c r="E21" s="21" t="str">
        <f>IF(F21="O",'1_교과이수내용'!F21&amp;$D$1,"")&amp;IF(G21="O",'2_지적성장과정'!F21&amp;$D$1,"")&amp;IF(H21="O",'3_학업성취도'!F21&amp;$D$1,"")&amp;IF(I21="O",'4_태도'!F21&amp;$D$1,"")&amp;IF(J21="O",'5_적극성'!F21&amp;$D$1,"")&amp;IF(K21="O",'6_지적호기심'!F21&amp;$D$1,"")&amp;IF(L21="O",'7_특별한관심'!F21&amp;$D$1,"")&amp;IF(M21="O",'8_탁월한능력'!F21&amp;$D$1,"")&amp;IF(N21="O",'9_탐구활동'!F21&amp;$D$1,"")&amp;IF(O21="O",'10_진로관련사항'!F21&amp;$D$1,"")&amp;IF(P21="O",'11_프로젝트활동'!F21&amp;$D$1,"")</f>
        <v/>
      </c>
      <c r="F21" s="23" t="str">
        <f>IF('1_교과이수내용'!E21&gt;0,"O","X")</f>
        <v>X</v>
      </c>
      <c r="G21" s="23" t="str">
        <f>IF('2_지적성장과정'!E21&gt;0,"O","X")</f>
        <v>X</v>
      </c>
      <c r="H21" s="23" t="str">
        <f>IF('3_학업성취도'!E21&gt;0,"O","X")</f>
        <v>X</v>
      </c>
      <c r="I21" s="23" t="str">
        <f>IF('4_태도'!E21&gt;0,"O","X")</f>
        <v>X</v>
      </c>
      <c r="J21" s="23" t="str">
        <f>IF('5_적극성'!E21&gt;0,"O","X")</f>
        <v>X</v>
      </c>
      <c r="K21" s="23" t="str">
        <f>IF('6_지적호기심'!E21&gt;0,"O","X")</f>
        <v>X</v>
      </c>
      <c r="L21" s="23" t="str">
        <f>IF('7_특별한관심'!E21&gt;0,"O","X")</f>
        <v>X</v>
      </c>
      <c r="M21" s="23" t="str">
        <f>IF('8_탁월한능력'!E21&gt;0,"O","X")</f>
        <v>X</v>
      </c>
      <c r="N21" s="23" t="str">
        <f>IF('9_탐구활동'!E21&gt;0,"O","X")</f>
        <v>X</v>
      </c>
      <c r="O21" s="41" t="str">
        <f>IF('10_진로관련사항'!E21&gt;0,"O","X")</f>
        <v>X</v>
      </c>
      <c r="P21" s="23" t="str">
        <f>IF('11_프로젝트활동'!E21&gt;0,"O","X")</f>
        <v>X</v>
      </c>
    </row>
    <row r="22" spans="1:16">
      <c r="A22" s="9">
        <f>IF(학생명렬표!A21="","",학생명렬표!A21)</f>
        <v>1</v>
      </c>
      <c r="B22" s="23">
        <f>IF(학생명렬표!B21="","",학생명렬표!B21)</f>
        <v>2</v>
      </c>
      <c r="C22" s="23">
        <f>IF(학생명렬표!C21="","",학생명렬표!C21)</f>
        <v>3</v>
      </c>
      <c r="D22" s="23" t="str">
        <f>IF(학생명렬표!D21="","",학생명렬표!D21)</f>
        <v>김승윤</v>
      </c>
      <c r="E22" s="21" t="str">
        <f>IF(F22="O",'1_교과이수내용'!F22&amp;$D$1,"")&amp;IF(G22="O",'2_지적성장과정'!F22&amp;$D$1,"")&amp;IF(H22="O",'3_학업성취도'!F22&amp;$D$1,"")&amp;IF(I22="O",'4_태도'!F22&amp;$D$1,"")&amp;IF(J22="O",'5_적극성'!F22&amp;$D$1,"")&amp;IF(K22="O",'6_지적호기심'!F22&amp;$D$1,"")&amp;IF(L22="O",'7_특별한관심'!F22&amp;$D$1,"")&amp;IF(M22="O",'8_탁월한능력'!F22&amp;$D$1,"")&amp;IF(N22="O",'9_탐구활동'!F22&amp;$D$1,"")&amp;IF(O22="O",'10_진로관련사항'!F22&amp;$D$1,"")&amp;IF(P22="O",'11_프로젝트활동'!F22&amp;$D$1,"")</f>
        <v/>
      </c>
      <c r="F22" s="23" t="str">
        <f>IF('1_교과이수내용'!E22&gt;0,"O","X")</f>
        <v>X</v>
      </c>
      <c r="G22" s="23" t="str">
        <f>IF('2_지적성장과정'!E22&gt;0,"O","X")</f>
        <v>X</v>
      </c>
      <c r="H22" s="23" t="str">
        <f>IF('3_학업성취도'!E22&gt;0,"O","X")</f>
        <v>X</v>
      </c>
      <c r="I22" s="23" t="str">
        <f>IF('4_태도'!E22&gt;0,"O","X")</f>
        <v>X</v>
      </c>
      <c r="J22" s="23" t="str">
        <f>IF('5_적극성'!E22&gt;0,"O","X")</f>
        <v>X</v>
      </c>
      <c r="K22" s="23" t="str">
        <f>IF('6_지적호기심'!E22&gt;0,"O","X")</f>
        <v>X</v>
      </c>
      <c r="L22" s="23" t="str">
        <f>IF('7_특별한관심'!E22&gt;0,"O","X")</f>
        <v>X</v>
      </c>
      <c r="M22" s="23" t="str">
        <f>IF('8_탁월한능력'!E22&gt;0,"O","X")</f>
        <v>X</v>
      </c>
      <c r="N22" s="23" t="str">
        <f>IF('9_탐구활동'!E22&gt;0,"O","X")</f>
        <v>X</v>
      </c>
      <c r="O22" s="41" t="str">
        <f>IF('10_진로관련사항'!E22&gt;0,"O","X")</f>
        <v>X</v>
      </c>
      <c r="P22" s="23" t="str">
        <f>IF('11_프로젝트활동'!E22&gt;0,"O","X")</f>
        <v>X</v>
      </c>
    </row>
    <row r="23" spans="1:16">
      <c r="A23" s="9">
        <f>IF(학생명렬표!A22="","",학생명렬표!A22)</f>
        <v>1</v>
      </c>
      <c r="B23" s="23">
        <f>IF(학생명렬표!B22="","",학생명렬표!B22)</f>
        <v>2</v>
      </c>
      <c r="C23" s="23">
        <f>IF(학생명렬표!C22="","",학생명렬표!C22)</f>
        <v>4</v>
      </c>
      <c r="D23" s="23" t="str">
        <f>IF(학생명렬표!D22="","",학생명렬표!D22)</f>
        <v>김현수</v>
      </c>
      <c r="E23" s="21" t="str">
        <f>IF(F23="O",'1_교과이수내용'!F23&amp;$D$1,"")&amp;IF(G23="O",'2_지적성장과정'!F23&amp;$D$1,"")&amp;IF(H23="O",'3_학업성취도'!F23&amp;$D$1,"")&amp;IF(I23="O",'4_태도'!F23&amp;$D$1,"")&amp;IF(J23="O",'5_적극성'!F23&amp;$D$1,"")&amp;IF(K23="O",'6_지적호기심'!F23&amp;$D$1,"")&amp;IF(L23="O",'7_특별한관심'!F23&amp;$D$1,"")&amp;IF(M23="O",'8_탁월한능력'!F23&amp;$D$1,"")&amp;IF(N23="O",'9_탐구활동'!F23&amp;$D$1,"")&amp;IF(O23="O",'10_진로관련사항'!F23&amp;$D$1,"")&amp;IF(P23="O",'11_프로젝트활동'!F23&amp;$D$1,"")</f>
        <v/>
      </c>
      <c r="F23" s="23" t="str">
        <f>IF('1_교과이수내용'!E23&gt;0,"O","X")</f>
        <v>X</v>
      </c>
      <c r="G23" s="23" t="str">
        <f>IF('2_지적성장과정'!E23&gt;0,"O","X")</f>
        <v>X</v>
      </c>
      <c r="H23" s="23" t="str">
        <f>IF('3_학업성취도'!E23&gt;0,"O","X")</f>
        <v>X</v>
      </c>
      <c r="I23" s="23" t="str">
        <f>IF('4_태도'!E23&gt;0,"O","X")</f>
        <v>X</v>
      </c>
      <c r="J23" s="23" t="str">
        <f>IF('5_적극성'!E23&gt;0,"O","X")</f>
        <v>X</v>
      </c>
      <c r="K23" s="23" t="str">
        <f>IF('6_지적호기심'!E23&gt;0,"O","X")</f>
        <v>X</v>
      </c>
      <c r="L23" s="23" t="str">
        <f>IF('7_특별한관심'!E23&gt;0,"O","X")</f>
        <v>X</v>
      </c>
      <c r="M23" s="23" t="str">
        <f>IF('8_탁월한능력'!E23&gt;0,"O","X")</f>
        <v>X</v>
      </c>
      <c r="N23" s="23" t="str">
        <f>IF('9_탐구활동'!E23&gt;0,"O","X")</f>
        <v>X</v>
      </c>
      <c r="O23" s="41" t="str">
        <f>IF('10_진로관련사항'!E23&gt;0,"O","X")</f>
        <v>X</v>
      </c>
      <c r="P23" s="23" t="str">
        <f>IF('11_프로젝트활동'!E23&gt;0,"O","X")</f>
        <v>X</v>
      </c>
    </row>
    <row r="24" spans="1:16">
      <c r="A24" s="9">
        <f>IF(학생명렬표!A23="","",학생명렬표!A23)</f>
        <v>1</v>
      </c>
      <c r="B24" s="23">
        <f>IF(학생명렬표!B23="","",학생명렬표!B23)</f>
        <v>2</v>
      </c>
      <c r="C24" s="23">
        <f>IF(학생명렬표!C23="","",학생명렬표!C23)</f>
        <v>5</v>
      </c>
      <c r="D24" s="23" t="str">
        <f>IF(학생명렬표!D23="","",학생명렬표!D23)</f>
        <v>박재원</v>
      </c>
      <c r="E24" s="21" t="str">
        <f>IF(F24="O",'1_교과이수내용'!F24&amp;$D$1,"")&amp;IF(G24="O",'2_지적성장과정'!F24&amp;$D$1,"")&amp;IF(H24="O",'3_학업성취도'!F24&amp;$D$1,"")&amp;IF(I24="O",'4_태도'!F24&amp;$D$1,"")&amp;IF(J24="O",'5_적극성'!F24&amp;$D$1,"")&amp;IF(K24="O",'6_지적호기심'!F24&amp;$D$1,"")&amp;IF(L24="O",'7_특별한관심'!F24&amp;$D$1,"")&amp;IF(M24="O",'8_탁월한능력'!F24&amp;$D$1,"")&amp;IF(N24="O",'9_탐구활동'!F24&amp;$D$1,"")&amp;IF(O24="O",'10_진로관련사항'!F24&amp;$D$1,"")&amp;IF(P24="O",'11_프로젝트활동'!F24&amp;$D$1,"")</f>
        <v/>
      </c>
      <c r="F24" s="23" t="str">
        <f>IF('1_교과이수내용'!E24&gt;0,"O","X")</f>
        <v>X</v>
      </c>
      <c r="G24" s="23" t="str">
        <f>IF('2_지적성장과정'!E24&gt;0,"O","X")</f>
        <v>X</v>
      </c>
      <c r="H24" s="23" t="str">
        <f>IF('3_학업성취도'!E24&gt;0,"O","X")</f>
        <v>X</v>
      </c>
      <c r="I24" s="23" t="str">
        <f>IF('4_태도'!E24&gt;0,"O","X")</f>
        <v>X</v>
      </c>
      <c r="J24" s="23" t="str">
        <f>IF('5_적극성'!E24&gt;0,"O","X")</f>
        <v>X</v>
      </c>
      <c r="K24" s="23" t="str">
        <f>IF('6_지적호기심'!E24&gt;0,"O","X")</f>
        <v>X</v>
      </c>
      <c r="L24" s="23" t="str">
        <f>IF('7_특별한관심'!E24&gt;0,"O","X")</f>
        <v>X</v>
      </c>
      <c r="M24" s="23" t="str">
        <f>IF('8_탁월한능력'!E24&gt;0,"O","X")</f>
        <v>X</v>
      </c>
      <c r="N24" s="23" t="str">
        <f>IF('9_탐구활동'!E24&gt;0,"O","X")</f>
        <v>X</v>
      </c>
      <c r="O24" s="41" t="str">
        <f>IF('10_진로관련사항'!E24&gt;0,"O","X")</f>
        <v>X</v>
      </c>
      <c r="P24" s="23" t="str">
        <f>IF('11_프로젝트활동'!E24&gt;0,"O","X")</f>
        <v>X</v>
      </c>
    </row>
    <row r="25" spans="1:16">
      <c r="A25" s="9">
        <f>IF(학생명렬표!A24="","",학생명렬표!A24)</f>
        <v>1</v>
      </c>
      <c r="B25" s="23">
        <f>IF(학생명렬표!B24="","",학생명렬표!B24)</f>
        <v>2</v>
      </c>
      <c r="C25" s="23">
        <f>IF(학생명렬표!C24="","",학생명렬표!C24)</f>
        <v>6</v>
      </c>
      <c r="D25" s="23" t="str">
        <f>IF(학생명렬표!D24="","",학생명렬표!D24)</f>
        <v>박주형</v>
      </c>
      <c r="E25" s="21" t="str">
        <f>IF(F25="O",'1_교과이수내용'!F25&amp;$D$1,"")&amp;IF(G25="O",'2_지적성장과정'!F25&amp;$D$1,"")&amp;IF(H25="O",'3_학업성취도'!F25&amp;$D$1,"")&amp;IF(I25="O",'4_태도'!F25&amp;$D$1,"")&amp;IF(J25="O",'5_적극성'!F25&amp;$D$1,"")&amp;IF(K25="O",'6_지적호기심'!F25&amp;$D$1,"")&amp;IF(L25="O",'7_특별한관심'!F25&amp;$D$1,"")&amp;IF(M25="O",'8_탁월한능력'!F25&amp;$D$1,"")&amp;IF(N25="O",'9_탐구활동'!F25&amp;$D$1,"")&amp;IF(O25="O",'10_진로관련사항'!F25&amp;$D$1,"")&amp;IF(P25="O",'11_프로젝트활동'!F25&amp;$D$1,"")</f>
        <v/>
      </c>
      <c r="F25" s="23" t="str">
        <f>IF('1_교과이수내용'!E25&gt;0,"O","X")</f>
        <v>X</v>
      </c>
      <c r="G25" s="23" t="str">
        <f>IF('2_지적성장과정'!E25&gt;0,"O","X")</f>
        <v>X</v>
      </c>
      <c r="H25" s="23" t="str">
        <f>IF('3_학업성취도'!E25&gt;0,"O","X")</f>
        <v>X</v>
      </c>
      <c r="I25" s="23" t="str">
        <f>IF('4_태도'!E25&gt;0,"O","X")</f>
        <v>X</v>
      </c>
      <c r="J25" s="23" t="str">
        <f>IF('5_적극성'!E25&gt;0,"O","X")</f>
        <v>X</v>
      </c>
      <c r="K25" s="23" t="str">
        <f>IF('6_지적호기심'!E25&gt;0,"O","X")</f>
        <v>X</v>
      </c>
      <c r="L25" s="23" t="str">
        <f>IF('7_특별한관심'!E25&gt;0,"O","X")</f>
        <v>X</v>
      </c>
      <c r="M25" s="23" t="str">
        <f>IF('8_탁월한능력'!E25&gt;0,"O","X")</f>
        <v>X</v>
      </c>
      <c r="N25" s="23" t="str">
        <f>IF('9_탐구활동'!E25&gt;0,"O","X")</f>
        <v>X</v>
      </c>
      <c r="O25" s="41" t="str">
        <f>IF('10_진로관련사항'!E25&gt;0,"O","X")</f>
        <v>X</v>
      </c>
      <c r="P25" s="23" t="str">
        <f>IF('11_프로젝트활동'!E25&gt;0,"O","X")</f>
        <v>X</v>
      </c>
    </row>
    <row r="26" spans="1:16">
      <c r="A26" s="9">
        <f>IF(학생명렬표!A25="","",학생명렬표!A25)</f>
        <v>1</v>
      </c>
      <c r="B26" s="23">
        <f>IF(학생명렬표!B25="","",학생명렬표!B25)</f>
        <v>2</v>
      </c>
      <c r="C26" s="23">
        <f>IF(학생명렬표!C25="","",학생명렬표!C25)</f>
        <v>7</v>
      </c>
      <c r="D26" s="23" t="str">
        <f>IF(학생명렬표!D25="","",학생명렬표!D25)</f>
        <v>박진우</v>
      </c>
      <c r="E26" s="21" t="str">
        <f>IF(F26="O",'1_교과이수내용'!F26&amp;$D$1,"")&amp;IF(G26="O",'2_지적성장과정'!F26&amp;$D$1,"")&amp;IF(H26="O",'3_학업성취도'!F26&amp;$D$1,"")&amp;IF(I26="O",'4_태도'!F26&amp;$D$1,"")&amp;IF(J26="O",'5_적극성'!F26&amp;$D$1,"")&amp;IF(K26="O",'6_지적호기심'!F26&amp;$D$1,"")&amp;IF(L26="O",'7_특별한관심'!F26&amp;$D$1,"")&amp;IF(M26="O",'8_탁월한능력'!F26&amp;$D$1,"")&amp;IF(N26="O",'9_탐구활동'!F26&amp;$D$1,"")&amp;IF(O26="O",'10_진로관련사항'!F26&amp;$D$1,"")&amp;IF(P26="O",'11_프로젝트활동'!F26&amp;$D$1,"")</f>
        <v/>
      </c>
      <c r="F26" s="23" t="str">
        <f>IF('1_교과이수내용'!E26&gt;0,"O","X")</f>
        <v>X</v>
      </c>
      <c r="G26" s="23" t="str">
        <f>IF('2_지적성장과정'!E26&gt;0,"O","X")</f>
        <v>X</v>
      </c>
      <c r="H26" s="23" t="str">
        <f>IF('3_학업성취도'!E26&gt;0,"O","X")</f>
        <v>X</v>
      </c>
      <c r="I26" s="23" t="str">
        <f>IF('4_태도'!E26&gt;0,"O","X")</f>
        <v>X</v>
      </c>
      <c r="J26" s="23" t="str">
        <f>IF('5_적극성'!E26&gt;0,"O","X")</f>
        <v>X</v>
      </c>
      <c r="K26" s="23" t="str">
        <f>IF('6_지적호기심'!E26&gt;0,"O","X")</f>
        <v>X</v>
      </c>
      <c r="L26" s="23" t="str">
        <f>IF('7_특별한관심'!E26&gt;0,"O","X")</f>
        <v>X</v>
      </c>
      <c r="M26" s="23" t="str">
        <f>IF('8_탁월한능력'!E26&gt;0,"O","X")</f>
        <v>X</v>
      </c>
      <c r="N26" s="23" t="str">
        <f>IF('9_탐구활동'!E26&gt;0,"O","X")</f>
        <v>X</v>
      </c>
      <c r="O26" s="41" t="str">
        <f>IF('10_진로관련사항'!E26&gt;0,"O","X")</f>
        <v>X</v>
      </c>
      <c r="P26" s="23" t="str">
        <f>IF('11_프로젝트활동'!E26&gt;0,"O","X")</f>
        <v>X</v>
      </c>
    </row>
    <row r="27" spans="1:16">
      <c r="A27" s="9">
        <f>IF(학생명렬표!A26="","",학생명렬표!A26)</f>
        <v>1</v>
      </c>
      <c r="B27" s="23">
        <f>IF(학생명렬표!B26="","",학생명렬표!B26)</f>
        <v>2</v>
      </c>
      <c r="C27" s="23">
        <f>IF(학생명렬표!C26="","",학생명렬표!C26)</f>
        <v>8</v>
      </c>
      <c r="D27" s="23" t="str">
        <f>IF(학생명렬표!D26="","",학생명렬표!D26)</f>
        <v>신동민</v>
      </c>
      <c r="E27" s="21" t="str">
        <f>IF(F27="O",'1_교과이수내용'!F27&amp;$D$1,"")&amp;IF(G27="O",'2_지적성장과정'!F27&amp;$D$1,"")&amp;IF(H27="O",'3_학업성취도'!F27&amp;$D$1,"")&amp;IF(I27="O",'4_태도'!F27&amp;$D$1,"")&amp;IF(J27="O",'5_적극성'!F27&amp;$D$1,"")&amp;IF(K27="O",'6_지적호기심'!F27&amp;$D$1,"")&amp;IF(L27="O",'7_특별한관심'!F27&amp;$D$1,"")&amp;IF(M27="O",'8_탁월한능력'!F27&amp;$D$1,"")&amp;IF(N27="O",'9_탐구활동'!F27&amp;$D$1,"")&amp;IF(O27="O",'10_진로관련사항'!F27&amp;$D$1,"")&amp;IF(P27="O",'11_프로젝트활동'!F27&amp;$D$1,"")</f>
        <v/>
      </c>
      <c r="F27" s="23" t="str">
        <f>IF('1_교과이수내용'!E27&gt;0,"O","X")</f>
        <v>X</v>
      </c>
      <c r="G27" s="23" t="str">
        <f>IF('2_지적성장과정'!E27&gt;0,"O","X")</f>
        <v>X</v>
      </c>
      <c r="H27" s="23" t="str">
        <f>IF('3_학업성취도'!E27&gt;0,"O","X")</f>
        <v>X</v>
      </c>
      <c r="I27" s="23" t="str">
        <f>IF('4_태도'!E27&gt;0,"O","X")</f>
        <v>X</v>
      </c>
      <c r="J27" s="23" t="str">
        <f>IF('5_적극성'!E27&gt;0,"O","X")</f>
        <v>X</v>
      </c>
      <c r="K27" s="23" t="str">
        <f>IF('6_지적호기심'!E27&gt;0,"O","X")</f>
        <v>X</v>
      </c>
      <c r="L27" s="23" t="str">
        <f>IF('7_특별한관심'!E27&gt;0,"O","X")</f>
        <v>X</v>
      </c>
      <c r="M27" s="23" t="str">
        <f>IF('8_탁월한능력'!E27&gt;0,"O","X")</f>
        <v>X</v>
      </c>
      <c r="N27" s="23" t="str">
        <f>IF('9_탐구활동'!E27&gt;0,"O","X")</f>
        <v>X</v>
      </c>
      <c r="O27" s="41" t="str">
        <f>IF('10_진로관련사항'!E27&gt;0,"O","X")</f>
        <v>X</v>
      </c>
      <c r="P27" s="23" t="str">
        <f>IF('11_프로젝트활동'!E27&gt;0,"O","X")</f>
        <v>X</v>
      </c>
    </row>
    <row r="28" spans="1:16">
      <c r="A28" s="9">
        <f>IF(학생명렬표!A27="","",학생명렬표!A27)</f>
        <v>1</v>
      </c>
      <c r="B28" s="23">
        <f>IF(학생명렬표!B27="","",학생명렬표!B27)</f>
        <v>2</v>
      </c>
      <c r="C28" s="23">
        <f>IF(학생명렬표!C27="","",학생명렬표!C27)</f>
        <v>9</v>
      </c>
      <c r="D28" s="23" t="str">
        <f>IF(학생명렬표!D27="","",학생명렬표!D27)</f>
        <v>염예찬</v>
      </c>
      <c r="E28" s="21" t="str">
        <f>IF(F28="O",'1_교과이수내용'!F28&amp;$D$1,"")&amp;IF(G28="O",'2_지적성장과정'!F28&amp;$D$1,"")&amp;IF(H28="O",'3_학업성취도'!F28&amp;$D$1,"")&amp;IF(I28="O",'4_태도'!F28&amp;$D$1,"")&amp;IF(J28="O",'5_적극성'!F28&amp;$D$1,"")&amp;IF(K28="O",'6_지적호기심'!F28&amp;$D$1,"")&amp;IF(L28="O",'7_특별한관심'!F28&amp;$D$1,"")&amp;IF(M28="O",'8_탁월한능력'!F28&amp;$D$1,"")&amp;IF(N28="O",'9_탐구활동'!F28&amp;$D$1,"")&amp;IF(O28="O",'10_진로관련사항'!F28&amp;$D$1,"")&amp;IF(P28="O",'11_프로젝트활동'!F28&amp;$D$1,"")</f>
        <v/>
      </c>
      <c r="F28" s="23" t="str">
        <f>IF('1_교과이수내용'!E28&gt;0,"O","X")</f>
        <v>X</v>
      </c>
      <c r="G28" s="23" t="str">
        <f>IF('2_지적성장과정'!E28&gt;0,"O","X")</f>
        <v>X</v>
      </c>
      <c r="H28" s="23" t="str">
        <f>IF('3_학업성취도'!E28&gt;0,"O","X")</f>
        <v>X</v>
      </c>
      <c r="I28" s="23" t="str">
        <f>IF('4_태도'!E28&gt;0,"O","X")</f>
        <v>X</v>
      </c>
      <c r="J28" s="23" t="str">
        <f>IF('5_적극성'!E28&gt;0,"O","X")</f>
        <v>X</v>
      </c>
      <c r="K28" s="23" t="str">
        <f>IF('6_지적호기심'!E28&gt;0,"O","X")</f>
        <v>X</v>
      </c>
      <c r="L28" s="23" t="str">
        <f>IF('7_특별한관심'!E28&gt;0,"O","X")</f>
        <v>X</v>
      </c>
      <c r="M28" s="23" t="str">
        <f>IF('8_탁월한능력'!E28&gt;0,"O","X")</f>
        <v>X</v>
      </c>
      <c r="N28" s="23" t="str">
        <f>IF('9_탐구활동'!E28&gt;0,"O","X")</f>
        <v>X</v>
      </c>
      <c r="O28" s="41" t="str">
        <f>IF('10_진로관련사항'!E28&gt;0,"O","X")</f>
        <v>X</v>
      </c>
      <c r="P28" s="23" t="str">
        <f>IF('11_프로젝트활동'!E28&gt;0,"O","X")</f>
        <v>X</v>
      </c>
    </row>
    <row r="29" spans="1:16">
      <c r="A29" s="9">
        <f>IF(학생명렬표!A28="","",학생명렬표!A28)</f>
        <v>1</v>
      </c>
      <c r="B29" s="23">
        <f>IF(학생명렬표!B28="","",학생명렬표!B28)</f>
        <v>2</v>
      </c>
      <c r="C29" s="23">
        <f>IF(학생명렬표!C28="","",학생명렬표!C28)</f>
        <v>10</v>
      </c>
      <c r="D29" s="23" t="str">
        <f>IF(학생명렬표!D28="","",학생명렬표!D28)</f>
        <v>이유겸</v>
      </c>
      <c r="E29" s="21" t="str">
        <f>IF(F29="O",'1_교과이수내용'!F29&amp;$D$1,"")&amp;IF(G29="O",'2_지적성장과정'!F29&amp;$D$1,"")&amp;IF(H29="O",'3_학업성취도'!F29&amp;$D$1,"")&amp;IF(I29="O",'4_태도'!F29&amp;$D$1,"")&amp;IF(J29="O",'5_적극성'!F29&amp;$D$1,"")&amp;IF(K29="O",'6_지적호기심'!F29&amp;$D$1,"")&amp;IF(L29="O",'7_특별한관심'!F29&amp;$D$1,"")&amp;IF(M29="O",'8_탁월한능력'!F29&amp;$D$1,"")&amp;IF(N29="O",'9_탐구활동'!F29&amp;$D$1,"")&amp;IF(O29="O",'10_진로관련사항'!F29&amp;$D$1,"")&amp;IF(P29="O",'11_프로젝트활동'!F29&amp;$D$1,"")</f>
        <v/>
      </c>
      <c r="F29" s="23" t="str">
        <f>IF('1_교과이수내용'!E29&gt;0,"O","X")</f>
        <v>X</v>
      </c>
      <c r="G29" s="23" t="str">
        <f>IF('2_지적성장과정'!E29&gt;0,"O","X")</f>
        <v>X</v>
      </c>
      <c r="H29" s="23" t="str">
        <f>IF('3_학업성취도'!E29&gt;0,"O","X")</f>
        <v>X</v>
      </c>
      <c r="I29" s="23" t="str">
        <f>IF('4_태도'!E29&gt;0,"O","X")</f>
        <v>X</v>
      </c>
      <c r="J29" s="23" t="str">
        <f>IF('5_적극성'!E29&gt;0,"O","X")</f>
        <v>X</v>
      </c>
      <c r="K29" s="23" t="str">
        <f>IF('6_지적호기심'!E29&gt;0,"O","X")</f>
        <v>X</v>
      </c>
      <c r="L29" s="23" t="str">
        <f>IF('7_특별한관심'!E29&gt;0,"O","X")</f>
        <v>X</v>
      </c>
      <c r="M29" s="23" t="str">
        <f>IF('8_탁월한능력'!E29&gt;0,"O","X")</f>
        <v>X</v>
      </c>
      <c r="N29" s="23" t="str">
        <f>IF('9_탐구활동'!E29&gt;0,"O","X")</f>
        <v>X</v>
      </c>
      <c r="O29" s="41" t="str">
        <f>IF('10_진로관련사항'!E29&gt;0,"O","X")</f>
        <v>X</v>
      </c>
      <c r="P29" s="23" t="str">
        <f>IF('11_프로젝트활동'!E29&gt;0,"O","X")</f>
        <v>X</v>
      </c>
    </row>
    <row r="30" spans="1:16">
      <c r="A30" s="9">
        <f>IF(학생명렬표!A29="","",학생명렬표!A29)</f>
        <v>1</v>
      </c>
      <c r="B30" s="23">
        <f>IF(학생명렬표!B29="","",학생명렬표!B29)</f>
        <v>2</v>
      </c>
      <c r="C30" s="23">
        <f>IF(학생명렬표!C29="","",학생명렬표!C29)</f>
        <v>11</v>
      </c>
      <c r="D30" s="23" t="str">
        <f>IF(학생명렬표!D29="","",학생명렬표!D29)</f>
        <v>이재윤</v>
      </c>
      <c r="E30" s="21" t="str">
        <f>IF(F30="O",'1_교과이수내용'!F30&amp;$D$1,"")&amp;IF(G30="O",'2_지적성장과정'!F30&amp;$D$1,"")&amp;IF(H30="O",'3_학업성취도'!F30&amp;$D$1,"")&amp;IF(I30="O",'4_태도'!F30&amp;$D$1,"")&amp;IF(J30="O",'5_적극성'!F30&amp;$D$1,"")&amp;IF(K30="O",'6_지적호기심'!F30&amp;$D$1,"")&amp;IF(L30="O",'7_특별한관심'!F30&amp;$D$1,"")&amp;IF(M30="O",'8_탁월한능력'!F30&amp;$D$1,"")&amp;IF(N30="O",'9_탐구활동'!F30&amp;$D$1,"")&amp;IF(O30="O",'10_진로관련사항'!F30&amp;$D$1,"")&amp;IF(P30="O",'11_프로젝트활동'!F30&amp;$D$1,"")</f>
        <v/>
      </c>
      <c r="F30" s="23" t="str">
        <f>IF('1_교과이수내용'!E30&gt;0,"O","X")</f>
        <v>X</v>
      </c>
      <c r="G30" s="23" t="str">
        <f>IF('2_지적성장과정'!E30&gt;0,"O","X")</f>
        <v>X</v>
      </c>
      <c r="H30" s="23" t="str">
        <f>IF('3_학업성취도'!E30&gt;0,"O","X")</f>
        <v>X</v>
      </c>
      <c r="I30" s="23" t="str">
        <f>IF('4_태도'!E30&gt;0,"O","X")</f>
        <v>X</v>
      </c>
      <c r="J30" s="23" t="str">
        <f>IF('5_적극성'!E30&gt;0,"O","X")</f>
        <v>X</v>
      </c>
      <c r="K30" s="23" t="str">
        <f>IF('6_지적호기심'!E30&gt;0,"O","X")</f>
        <v>X</v>
      </c>
      <c r="L30" s="23" t="str">
        <f>IF('7_특별한관심'!E30&gt;0,"O","X")</f>
        <v>X</v>
      </c>
      <c r="M30" s="23" t="str">
        <f>IF('8_탁월한능력'!E30&gt;0,"O","X")</f>
        <v>X</v>
      </c>
      <c r="N30" s="23" t="str">
        <f>IF('9_탐구활동'!E30&gt;0,"O","X")</f>
        <v>X</v>
      </c>
      <c r="O30" s="41" t="str">
        <f>IF('10_진로관련사항'!E30&gt;0,"O","X")</f>
        <v>X</v>
      </c>
      <c r="P30" s="23" t="str">
        <f>IF('11_프로젝트활동'!E30&gt;0,"O","X")</f>
        <v>X</v>
      </c>
    </row>
    <row r="31" spans="1:16">
      <c r="A31" s="9">
        <f>IF(학생명렬표!A30="","",학생명렬표!A30)</f>
        <v>1</v>
      </c>
      <c r="B31" s="23">
        <f>IF(학생명렬표!B30="","",학생명렬표!B30)</f>
        <v>2</v>
      </c>
      <c r="C31" s="23">
        <f>IF(학생명렬표!C30="","",학생명렬표!C30)</f>
        <v>12</v>
      </c>
      <c r="D31" s="23" t="str">
        <f>IF(학생명렬표!D30="","",학생명렬표!D30)</f>
        <v>이정무</v>
      </c>
      <c r="E31" s="21" t="str">
        <f>IF(F31="O",'1_교과이수내용'!F31&amp;$D$1,"")&amp;IF(G31="O",'2_지적성장과정'!F31&amp;$D$1,"")&amp;IF(H31="O",'3_학업성취도'!F31&amp;$D$1,"")&amp;IF(I31="O",'4_태도'!F31&amp;$D$1,"")&amp;IF(J31="O",'5_적극성'!F31&amp;$D$1,"")&amp;IF(K31="O",'6_지적호기심'!F31&amp;$D$1,"")&amp;IF(L31="O",'7_특별한관심'!F31&amp;$D$1,"")&amp;IF(M31="O",'8_탁월한능력'!F31&amp;$D$1,"")&amp;IF(N31="O",'9_탐구활동'!F31&amp;$D$1,"")&amp;IF(O31="O",'10_진로관련사항'!F31&amp;$D$1,"")&amp;IF(P31="O",'11_프로젝트활동'!F31&amp;$D$1,"")</f>
        <v/>
      </c>
      <c r="F31" s="23" t="str">
        <f>IF('1_교과이수내용'!E31&gt;0,"O","X")</f>
        <v>X</v>
      </c>
      <c r="G31" s="23" t="str">
        <f>IF('2_지적성장과정'!E31&gt;0,"O","X")</f>
        <v>X</v>
      </c>
      <c r="H31" s="23" t="str">
        <f>IF('3_학업성취도'!E31&gt;0,"O","X")</f>
        <v>X</v>
      </c>
      <c r="I31" s="23" t="str">
        <f>IF('4_태도'!E31&gt;0,"O","X")</f>
        <v>X</v>
      </c>
      <c r="J31" s="23" t="str">
        <f>IF('5_적극성'!E31&gt;0,"O","X")</f>
        <v>X</v>
      </c>
      <c r="K31" s="23" t="str">
        <f>IF('6_지적호기심'!E31&gt;0,"O","X")</f>
        <v>X</v>
      </c>
      <c r="L31" s="23" t="str">
        <f>IF('7_특별한관심'!E31&gt;0,"O","X")</f>
        <v>X</v>
      </c>
      <c r="M31" s="23" t="str">
        <f>IF('8_탁월한능력'!E31&gt;0,"O","X")</f>
        <v>X</v>
      </c>
      <c r="N31" s="23" t="str">
        <f>IF('9_탐구활동'!E31&gt;0,"O","X")</f>
        <v>X</v>
      </c>
      <c r="O31" s="41" t="str">
        <f>IF('10_진로관련사항'!E31&gt;0,"O","X")</f>
        <v>X</v>
      </c>
      <c r="P31" s="23" t="str">
        <f>IF('11_프로젝트활동'!E31&gt;0,"O","X")</f>
        <v>X</v>
      </c>
    </row>
    <row r="32" spans="1:16">
      <c r="A32" s="9">
        <f>IF(학생명렬표!A31="","",학생명렬표!A31)</f>
        <v>1</v>
      </c>
      <c r="B32" s="23">
        <f>IF(학생명렬표!B31="","",학생명렬표!B31)</f>
        <v>2</v>
      </c>
      <c r="C32" s="23">
        <f>IF(학생명렬표!C31="","",학생명렬표!C31)</f>
        <v>13</v>
      </c>
      <c r="D32" s="23" t="str">
        <f>IF(학생명렬표!D31="","",학생명렬표!D31)</f>
        <v>이정민</v>
      </c>
      <c r="E32" s="21" t="str">
        <f>IF(F32="O",'1_교과이수내용'!F32&amp;$D$1,"")&amp;IF(G32="O",'2_지적성장과정'!F32&amp;$D$1,"")&amp;IF(H32="O",'3_학업성취도'!F32&amp;$D$1,"")&amp;IF(I32="O",'4_태도'!F32&amp;$D$1,"")&amp;IF(J32="O",'5_적극성'!F32&amp;$D$1,"")&amp;IF(K32="O",'6_지적호기심'!F32&amp;$D$1,"")&amp;IF(L32="O",'7_특별한관심'!F32&amp;$D$1,"")&amp;IF(M32="O",'8_탁월한능력'!F32&amp;$D$1,"")&amp;IF(N32="O",'9_탐구활동'!F32&amp;$D$1,"")&amp;IF(O32="O",'10_진로관련사항'!F32&amp;$D$1,"")&amp;IF(P32="O",'11_프로젝트활동'!F32&amp;$D$1,"")</f>
        <v/>
      </c>
      <c r="F32" s="23" t="str">
        <f>IF('1_교과이수내용'!E32&gt;0,"O","X")</f>
        <v>X</v>
      </c>
      <c r="G32" s="23" t="str">
        <f>IF('2_지적성장과정'!E32&gt;0,"O","X")</f>
        <v>X</v>
      </c>
      <c r="H32" s="23" t="str">
        <f>IF('3_학업성취도'!E32&gt;0,"O","X")</f>
        <v>X</v>
      </c>
      <c r="I32" s="23" t="str">
        <f>IF('4_태도'!E32&gt;0,"O","X")</f>
        <v>X</v>
      </c>
      <c r="J32" s="23" t="str">
        <f>IF('5_적극성'!E32&gt;0,"O","X")</f>
        <v>X</v>
      </c>
      <c r="K32" s="23" t="str">
        <f>IF('6_지적호기심'!E32&gt;0,"O","X")</f>
        <v>X</v>
      </c>
      <c r="L32" s="23" t="str">
        <f>IF('7_특별한관심'!E32&gt;0,"O","X")</f>
        <v>X</v>
      </c>
      <c r="M32" s="23" t="str">
        <f>IF('8_탁월한능력'!E32&gt;0,"O","X")</f>
        <v>X</v>
      </c>
      <c r="N32" s="23" t="str">
        <f>IF('9_탐구활동'!E32&gt;0,"O","X")</f>
        <v>X</v>
      </c>
      <c r="O32" s="41" t="str">
        <f>IF('10_진로관련사항'!E32&gt;0,"O","X")</f>
        <v>X</v>
      </c>
      <c r="P32" s="23" t="str">
        <f>IF('11_프로젝트활동'!E32&gt;0,"O","X")</f>
        <v>X</v>
      </c>
    </row>
    <row r="33" spans="1:16">
      <c r="A33" s="9">
        <f>IF(학생명렬표!A32="","",학생명렬표!A32)</f>
        <v>1</v>
      </c>
      <c r="B33" s="23">
        <f>IF(학생명렬표!B32="","",학생명렬표!B32)</f>
        <v>2</v>
      </c>
      <c r="C33" s="23">
        <f>IF(학생명렬표!C32="","",학생명렬표!C32)</f>
        <v>14</v>
      </c>
      <c r="D33" s="23" t="str">
        <f>IF(학생명렬표!D32="","",학생명렬표!D32)</f>
        <v>임경훈</v>
      </c>
      <c r="E33" s="21" t="str">
        <f>IF(F33="O",'1_교과이수내용'!F33&amp;$D$1,"")&amp;IF(G33="O",'2_지적성장과정'!F33&amp;$D$1,"")&amp;IF(H33="O",'3_학업성취도'!F33&amp;$D$1,"")&amp;IF(I33="O",'4_태도'!F33&amp;$D$1,"")&amp;IF(J33="O",'5_적극성'!F33&amp;$D$1,"")&amp;IF(K33="O",'6_지적호기심'!F33&amp;$D$1,"")&amp;IF(L33="O",'7_특별한관심'!F33&amp;$D$1,"")&amp;IF(M33="O",'8_탁월한능력'!F33&amp;$D$1,"")&amp;IF(N33="O",'9_탐구활동'!F33&amp;$D$1,"")&amp;IF(O33="O",'10_진로관련사항'!F33&amp;$D$1,"")&amp;IF(P33="O",'11_프로젝트활동'!F33&amp;$D$1,"")</f>
        <v/>
      </c>
      <c r="F33" s="23" t="str">
        <f>IF('1_교과이수내용'!E33&gt;0,"O","X")</f>
        <v>X</v>
      </c>
      <c r="G33" s="23" t="str">
        <f>IF('2_지적성장과정'!E33&gt;0,"O","X")</f>
        <v>X</v>
      </c>
      <c r="H33" s="23" t="str">
        <f>IF('3_학업성취도'!E33&gt;0,"O","X")</f>
        <v>X</v>
      </c>
      <c r="I33" s="23" t="str">
        <f>IF('4_태도'!E33&gt;0,"O","X")</f>
        <v>X</v>
      </c>
      <c r="J33" s="23" t="str">
        <f>IF('5_적극성'!E33&gt;0,"O","X")</f>
        <v>X</v>
      </c>
      <c r="K33" s="23" t="str">
        <f>IF('6_지적호기심'!E33&gt;0,"O","X")</f>
        <v>X</v>
      </c>
      <c r="L33" s="23" t="str">
        <f>IF('7_특별한관심'!E33&gt;0,"O","X")</f>
        <v>X</v>
      </c>
      <c r="M33" s="23" t="str">
        <f>IF('8_탁월한능력'!E33&gt;0,"O","X")</f>
        <v>X</v>
      </c>
      <c r="N33" s="23" t="str">
        <f>IF('9_탐구활동'!E33&gt;0,"O","X")</f>
        <v>X</v>
      </c>
      <c r="O33" s="41" t="str">
        <f>IF('10_진로관련사항'!E33&gt;0,"O","X")</f>
        <v>X</v>
      </c>
      <c r="P33" s="23" t="str">
        <f>IF('11_프로젝트활동'!E33&gt;0,"O","X")</f>
        <v>X</v>
      </c>
    </row>
    <row r="34" spans="1:16">
      <c r="A34" s="9">
        <f>IF(학생명렬표!A33="","",학생명렬표!A33)</f>
        <v>1</v>
      </c>
      <c r="B34" s="23">
        <f>IF(학생명렬표!B33="","",학생명렬표!B33)</f>
        <v>2</v>
      </c>
      <c r="C34" s="23">
        <f>IF(학생명렬표!C33="","",학생명렬표!C33)</f>
        <v>15</v>
      </c>
      <c r="D34" s="23" t="str">
        <f>IF(학생명렬표!D33="","",학생명렬표!D33)</f>
        <v>장혜원</v>
      </c>
      <c r="E34" s="21" t="str">
        <f>IF(F34="O",'1_교과이수내용'!F34&amp;$D$1,"")&amp;IF(G34="O",'2_지적성장과정'!F34&amp;$D$1,"")&amp;IF(H34="O",'3_학업성취도'!F34&amp;$D$1,"")&amp;IF(I34="O",'4_태도'!F34&amp;$D$1,"")&amp;IF(J34="O",'5_적극성'!F34&amp;$D$1,"")&amp;IF(K34="O",'6_지적호기심'!F34&amp;$D$1,"")&amp;IF(L34="O",'7_특별한관심'!F34&amp;$D$1,"")&amp;IF(M34="O",'8_탁월한능력'!F34&amp;$D$1,"")&amp;IF(N34="O",'9_탐구활동'!F34&amp;$D$1,"")&amp;IF(O34="O",'10_진로관련사항'!F34&amp;$D$1,"")&amp;IF(P34="O",'11_프로젝트활동'!F34&amp;$D$1,"")</f>
        <v/>
      </c>
      <c r="F34" s="23" t="str">
        <f>IF('1_교과이수내용'!E34&gt;0,"O","X")</f>
        <v>X</v>
      </c>
      <c r="G34" s="23" t="str">
        <f>IF('2_지적성장과정'!E34&gt;0,"O","X")</f>
        <v>X</v>
      </c>
      <c r="H34" s="23" t="str">
        <f>IF('3_학업성취도'!E34&gt;0,"O","X")</f>
        <v>X</v>
      </c>
      <c r="I34" s="23" t="str">
        <f>IF('4_태도'!E34&gt;0,"O","X")</f>
        <v>X</v>
      </c>
      <c r="J34" s="23" t="str">
        <f>IF('5_적극성'!E34&gt;0,"O","X")</f>
        <v>X</v>
      </c>
      <c r="K34" s="23" t="str">
        <f>IF('6_지적호기심'!E34&gt;0,"O","X")</f>
        <v>X</v>
      </c>
      <c r="L34" s="23" t="str">
        <f>IF('7_특별한관심'!E34&gt;0,"O","X")</f>
        <v>X</v>
      </c>
      <c r="M34" s="23" t="str">
        <f>IF('8_탁월한능력'!E34&gt;0,"O","X")</f>
        <v>X</v>
      </c>
      <c r="N34" s="23" t="str">
        <f>IF('9_탐구활동'!E34&gt;0,"O","X")</f>
        <v>X</v>
      </c>
      <c r="O34" s="41" t="str">
        <f>IF('10_진로관련사항'!E34&gt;0,"O","X")</f>
        <v>X</v>
      </c>
      <c r="P34" s="23" t="str">
        <f>IF('11_프로젝트활동'!E34&gt;0,"O","X")</f>
        <v>X</v>
      </c>
    </row>
    <row r="35" spans="1:16">
      <c r="A35" s="9">
        <f>IF(학생명렬표!A34="","",학생명렬표!A34)</f>
        <v>1</v>
      </c>
      <c r="B35" s="23">
        <f>IF(학생명렬표!B34="","",학생명렬표!B34)</f>
        <v>2</v>
      </c>
      <c r="C35" s="23">
        <f>IF(학생명렬표!C34="","",학생명렬표!C34)</f>
        <v>16</v>
      </c>
      <c r="D35" s="23" t="str">
        <f>IF(학생명렬표!D34="","",학생명렬표!D34)</f>
        <v>최정연</v>
      </c>
      <c r="E35" s="21" t="str">
        <f>IF(F35="O",'1_교과이수내용'!F35&amp;$D$1,"")&amp;IF(G35="O",'2_지적성장과정'!F35&amp;$D$1,"")&amp;IF(H35="O",'3_학업성취도'!F35&amp;$D$1,"")&amp;IF(I35="O",'4_태도'!F35&amp;$D$1,"")&amp;IF(J35="O",'5_적극성'!F35&amp;$D$1,"")&amp;IF(K35="O",'6_지적호기심'!F35&amp;$D$1,"")&amp;IF(L35="O",'7_특별한관심'!F35&amp;$D$1,"")&amp;IF(M35="O",'8_탁월한능력'!F35&amp;$D$1,"")&amp;IF(N35="O",'9_탐구활동'!F35&amp;$D$1,"")&amp;IF(O35="O",'10_진로관련사항'!F35&amp;$D$1,"")&amp;IF(P35="O",'11_프로젝트활동'!F35&amp;$D$1,"")</f>
        <v/>
      </c>
      <c r="F35" s="23" t="str">
        <f>IF('1_교과이수내용'!E35&gt;0,"O","X")</f>
        <v>X</v>
      </c>
      <c r="G35" s="23" t="str">
        <f>IF('2_지적성장과정'!E35&gt;0,"O","X")</f>
        <v>X</v>
      </c>
      <c r="H35" s="23" t="str">
        <f>IF('3_학업성취도'!E35&gt;0,"O","X")</f>
        <v>X</v>
      </c>
      <c r="I35" s="23" t="str">
        <f>IF('4_태도'!E35&gt;0,"O","X")</f>
        <v>X</v>
      </c>
      <c r="J35" s="23" t="str">
        <f>IF('5_적극성'!E35&gt;0,"O","X")</f>
        <v>X</v>
      </c>
      <c r="K35" s="23" t="str">
        <f>IF('6_지적호기심'!E35&gt;0,"O","X")</f>
        <v>X</v>
      </c>
      <c r="L35" s="23" t="str">
        <f>IF('7_특별한관심'!E35&gt;0,"O","X")</f>
        <v>X</v>
      </c>
      <c r="M35" s="23" t="str">
        <f>IF('8_탁월한능력'!E35&gt;0,"O","X")</f>
        <v>X</v>
      </c>
      <c r="N35" s="23" t="str">
        <f>IF('9_탐구활동'!E35&gt;0,"O","X")</f>
        <v>X</v>
      </c>
      <c r="O35" s="41" t="str">
        <f>IF('10_진로관련사항'!E35&gt;0,"O","X")</f>
        <v>X</v>
      </c>
      <c r="P35" s="23" t="str">
        <f>IF('11_프로젝트활동'!E35&gt;0,"O","X")</f>
        <v>X</v>
      </c>
    </row>
    <row r="36" spans="1:16">
      <c r="A36" s="9">
        <f>IF(학생명렬표!A35="","",학생명렬표!A35)</f>
        <v>1</v>
      </c>
      <c r="B36" s="23">
        <f>IF(학생명렬표!B35="","",학생명렬표!B35)</f>
        <v>3</v>
      </c>
      <c r="C36" s="23">
        <f>IF(학생명렬표!C35="","",학생명렬표!C35)</f>
        <v>1</v>
      </c>
      <c r="D36" s="23" t="str">
        <f>IF(학생명렬표!D35="","",학생명렬표!D35)</f>
        <v>곽나영</v>
      </c>
      <c r="E36" s="21" t="str">
        <f>IF(F36="O",'1_교과이수내용'!F36&amp;$D$1,"")&amp;IF(G36="O",'2_지적성장과정'!F36&amp;$D$1,"")&amp;IF(H36="O",'3_학업성취도'!F36&amp;$D$1,"")&amp;IF(I36="O",'4_태도'!F36&amp;$D$1,"")&amp;IF(J36="O",'5_적극성'!F36&amp;$D$1,"")&amp;IF(K36="O",'6_지적호기심'!F36&amp;$D$1,"")&amp;IF(L36="O",'7_특별한관심'!F36&amp;$D$1,"")&amp;IF(M36="O",'8_탁월한능력'!F36&amp;$D$1,"")&amp;IF(N36="O",'9_탐구활동'!F36&amp;$D$1,"")&amp;IF(O36="O",'10_진로관련사항'!F36&amp;$D$1,"")&amp;IF(P36="O",'11_프로젝트활동'!F36&amp;$D$1,"")</f>
        <v/>
      </c>
      <c r="F36" s="23" t="str">
        <f>IF('1_교과이수내용'!E36&gt;0,"O","X")</f>
        <v>X</v>
      </c>
      <c r="G36" s="23" t="str">
        <f>IF('2_지적성장과정'!E36&gt;0,"O","X")</f>
        <v>X</v>
      </c>
      <c r="H36" s="23" t="str">
        <f>IF('3_학업성취도'!E36&gt;0,"O","X")</f>
        <v>X</v>
      </c>
      <c r="I36" s="23" t="str">
        <f>IF('4_태도'!E36&gt;0,"O","X")</f>
        <v>X</v>
      </c>
      <c r="J36" s="23" t="str">
        <f>IF('5_적극성'!E36&gt;0,"O","X")</f>
        <v>X</v>
      </c>
      <c r="K36" s="23" t="str">
        <f>IF('6_지적호기심'!E36&gt;0,"O","X")</f>
        <v>X</v>
      </c>
      <c r="L36" s="23" t="str">
        <f>IF('7_특별한관심'!E36&gt;0,"O","X")</f>
        <v>X</v>
      </c>
      <c r="M36" s="23" t="str">
        <f>IF('8_탁월한능력'!E36&gt;0,"O","X")</f>
        <v>X</v>
      </c>
      <c r="N36" s="23" t="str">
        <f>IF('9_탐구활동'!E36&gt;0,"O","X")</f>
        <v>X</v>
      </c>
      <c r="O36" s="41" t="str">
        <f>IF('10_진로관련사항'!E36&gt;0,"O","X")</f>
        <v>X</v>
      </c>
      <c r="P36" s="23" t="str">
        <f>IF('11_프로젝트활동'!E36&gt;0,"O","X")</f>
        <v>X</v>
      </c>
    </row>
    <row r="37" spans="1:16">
      <c r="A37" s="9">
        <f>IF(학생명렬표!A36="","",학생명렬표!A36)</f>
        <v>1</v>
      </c>
      <c r="B37" s="23">
        <f>IF(학생명렬표!B36="","",학생명렬표!B36)</f>
        <v>3</v>
      </c>
      <c r="C37" s="23">
        <f>IF(학생명렬표!C36="","",학생명렬표!C36)</f>
        <v>2</v>
      </c>
      <c r="D37" s="23" t="str">
        <f>IF(학생명렬표!D36="","",학생명렬표!D36)</f>
        <v>권도휘</v>
      </c>
      <c r="E37" s="21" t="str">
        <f>IF(F37="O",'1_교과이수내용'!F37&amp;$D$1,"")&amp;IF(G37="O",'2_지적성장과정'!F37&amp;$D$1,"")&amp;IF(H37="O",'3_학업성취도'!F37&amp;$D$1,"")&amp;IF(I37="O",'4_태도'!F37&amp;$D$1,"")&amp;IF(J37="O",'5_적극성'!F37&amp;$D$1,"")&amp;IF(K37="O",'6_지적호기심'!F37&amp;$D$1,"")&amp;IF(L37="O",'7_특별한관심'!F37&amp;$D$1,"")&amp;IF(M37="O",'8_탁월한능력'!F37&amp;$D$1,"")&amp;IF(N37="O",'9_탐구활동'!F37&amp;$D$1,"")&amp;IF(O37="O",'10_진로관련사항'!F37&amp;$D$1,"")&amp;IF(P37="O",'11_프로젝트활동'!F37&amp;$D$1,"")</f>
        <v/>
      </c>
      <c r="F37" s="23" t="str">
        <f>IF('1_교과이수내용'!E37&gt;0,"O","X")</f>
        <v>X</v>
      </c>
      <c r="G37" s="23" t="str">
        <f>IF('2_지적성장과정'!E37&gt;0,"O","X")</f>
        <v>X</v>
      </c>
      <c r="H37" s="23" t="str">
        <f>IF('3_학업성취도'!E37&gt;0,"O","X")</f>
        <v>X</v>
      </c>
      <c r="I37" s="23" t="str">
        <f>IF('4_태도'!E37&gt;0,"O","X")</f>
        <v>X</v>
      </c>
      <c r="J37" s="23" t="str">
        <f>IF('5_적극성'!E37&gt;0,"O","X")</f>
        <v>X</v>
      </c>
      <c r="K37" s="23" t="str">
        <f>IF('6_지적호기심'!E37&gt;0,"O","X")</f>
        <v>X</v>
      </c>
      <c r="L37" s="23" t="str">
        <f>IF('7_특별한관심'!E37&gt;0,"O","X")</f>
        <v>X</v>
      </c>
      <c r="M37" s="23" t="str">
        <f>IF('8_탁월한능력'!E37&gt;0,"O","X")</f>
        <v>X</v>
      </c>
      <c r="N37" s="23" t="str">
        <f>IF('9_탐구활동'!E37&gt;0,"O","X")</f>
        <v>X</v>
      </c>
      <c r="O37" s="41" t="str">
        <f>IF('10_진로관련사항'!E37&gt;0,"O","X")</f>
        <v>X</v>
      </c>
      <c r="P37" s="23" t="str">
        <f>IF('11_프로젝트활동'!E37&gt;0,"O","X")</f>
        <v>X</v>
      </c>
    </row>
    <row r="38" spans="1:16">
      <c r="A38" s="9">
        <f>IF(학생명렬표!A37="","",학생명렬표!A37)</f>
        <v>1</v>
      </c>
      <c r="B38" s="23">
        <f>IF(학생명렬표!B37="","",학생명렬표!B37)</f>
        <v>3</v>
      </c>
      <c r="C38" s="23">
        <f>IF(학생명렬표!C37="","",학생명렬표!C37)</f>
        <v>3</v>
      </c>
      <c r="D38" s="23" t="str">
        <f>IF(학생명렬표!D37="","",학생명렬표!D37)</f>
        <v>김규민</v>
      </c>
      <c r="E38" s="21" t="str">
        <f>IF(F38="O",'1_교과이수내용'!F38&amp;$D$1,"")&amp;IF(G38="O",'2_지적성장과정'!F38&amp;$D$1,"")&amp;IF(H38="O",'3_학업성취도'!F38&amp;$D$1,"")&amp;IF(I38="O",'4_태도'!F38&amp;$D$1,"")&amp;IF(J38="O",'5_적극성'!F38&amp;$D$1,"")&amp;IF(K38="O",'6_지적호기심'!F38&amp;$D$1,"")&amp;IF(L38="O",'7_특별한관심'!F38&amp;$D$1,"")&amp;IF(M38="O",'8_탁월한능력'!F38&amp;$D$1,"")&amp;IF(N38="O",'9_탐구활동'!F38&amp;$D$1,"")&amp;IF(O38="O",'10_진로관련사항'!F38&amp;$D$1,"")&amp;IF(P38="O",'11_프로젝트활동'!F38&amp;$D$1,"")</f>
        <v/>
      </c>
      <c r="F38" s="23" t="str">
        <f>IF('1_교과이수내용'!E38&gt;0,"O","X")</f>
        <v>X</v>
      </c>
      <c r="G38" s="23" t="str">
        <f>IF('2_지적성장과정'!E38&gt;0,"O","X")</f>
        <v>X</v>
      </c>
      <c r="H38" s="23" t="str">
        <f>IF('3_학업성취도'!E38&gt;0,"O","X")</f>
        <v>X</v>
      </c>
      <c r="I38" s="23" t="str">
        <f>IF('4_태도'!E38&gt;0,"O","X")</f>
        <v>X</v>
      </c>
      <c r="J38" s="23" t="str">
        <f>IF('5_적극성'!E38&gt;0,"O","X")</f>
        <v>X</v>
      </c>
      <c r="K38" s="23" t="str">
        <f>IF('6_지적호기심'!E38&gt;0,"O","X")</f>
        <v>X</v>
      </c>
      <c r="L38" s="23" t="str">
        <f>IF('7_특별한관심'!E38&gt;0,"O","X")</f>
        <v>X</v>
      </c>
      <c r="M38" s="23" t="str">
        <f>IF('8_탁월한능력'!E38&gt;0,"O","X")</f>
        <v>X</v>
      </c>
      <c r="N38" s="23" t="str">
        <f>IF('9_탐구활동'!E38&gt;0,"O","X")</f>
        <v>X</v>
      </c>
      <c r="O38" s="41" t="str">
        <f>IF('10_진로관련사항'!E38&gt;0,"O","X")</f>
        <v>X</v>
      </c>
      <c r="P38" s="23" t="str">
        <f>IF('11_프로젝트활동'!E38&gt;0,"O","X")</f>
        <v>X</v>
      </c>
    </row>
    <row r="39" spans="1:16">
      <c r="A39" s="9">
        <f>IF(학생명렬표!A38="","",학생명렬표!A38)</f>
        <v>1</v>
      </c>
      <c r="B39" s="23">
        <f>IF(학생명렬표!B38="","",학생명렬표!B38)</f>
        <v>3</v>
      </c>
      <c r="C39" s="23">
        <f>IF(학생명렬표!C38="","",학생명렬표!C38)</f>
        <v>4</v>
      </c>
      <c r="D39" s="23" t="str">
        <f>IF(학생명렬표!D38="","",학생명렬표!D38)</f>
        <v>김상원</v>
      </c>
      <c r="E39" s="21" t="str">
        <f>IF(F39="O",'1_교과이수내용'!F39&amp;$D$1,"")&amp;IF(G39="O",'2_지적성장과정'!F39&amp;$D$1,"")&amp;IF(H39="O",'3_학업성취도'!F39&amp;$D$1,"")&amp;IF(I39="O",'4_태도'!F39&amp;$D$1,"")&amp;IF(J39="O",'5_적극성'!F39&amp;$D$1,"")&amp;IF(K39="O",'6_지적호기심'!F39&amp;$D$1,"")&amp;IF(L39="O",'7_특별한관심'!F39&amp;$D$1,"")&amp;IF(M39="O",'8_탁월한능력'!F39&amp;$D$1,"")&amp;IF(N39="O",'9_탐구활동'!F39&amp;$D$1,"")&amp;IF(O39="O",'10_진로관련사항'!F39&amp;$D$1,"")&amp;IF(P39="O",'11_프로젝트활동'!F39&amp;$D$1,"")</f>
        <v/>
      </c>
      <c r="F39" s="23" t="str">
        <f>IF('1_교과이수내용'!E39&gt;0,"O","X")</f>
        <v>X</v>
      </c>
      <c r="G39" s="23" t="str">
        <f>IF('2_지적성장과정'!E39&gt;0,"O","X")</f>
        <v>X</v>
      </c>
      <c r="H39" s="23" t="str">
        <f>IF('3_학업성취도'!E39&gt;0,"O","X")</f>
        <v>X</v>
      </c>
      <c r="I39" s="23" t="str">
        <f>IF('4_태도'!E39&gt;0,"O","X")</f>
        <v>X</v>
      </c>
      <c r="J39" s="23" t="str">
        <f>IF('5_적극성'!E39&gt;0,"O","X")</f>
        <v>X</v>
      </c>
      <c r="K39" s="23" t="str">
        <f>IF('6_지적호기심'!E39&gt;0,"O","X")</f>
        <v>X</v>
      </c>
      <c r="L39" s="23" t="str">
        <f>IF('7_특별한관심'!E39&gt;0,"O","X")</f>
        <v>X</v>
      </c>
      <c r="M39" s="23" t="str">
        <f>IF('8_탁월한능력'!E39&gt;0,"O","X")</f>
        <v>X</v>
      </c>
      <c r="N39" s="23" t="str">
        <f>IF('9_탐구활동'!E39&gt;0,"O","X")</f>
        <v>X</v>
      </c>
      <c r="O39" s="41" t="str">
        <f>IF('10_진로관련사항'!E39&gt;0,"O","X")</f>
        <v>X</v>
      </c>
      <c r="P39" s="23" t="str">
        <f>IF('11_프로젝트활동'!E39&gt;0,"O","X")</f>
        <v>X</v>
      </c>
    </row>
    <row r="40" spans="1:16">
      <c r="A40" s="9">
        <f>IF(학생명렬표!A39="","",학생명렬표!A39)</f>
        <v>1</v>
      </c>
      <c r="B40" s="23">
        <f>IF(학생명렬표!B39="","",학생명렬표!B39)</f>
        <v>3</v>
      </c>
      <c r="C40" s="23">
        <f>IF(학생명렬표!C39="","",학생명렬표!C39)</f>
        <v>5</v>
      </c>
      <c r="D40" s="23" t="str">
        <f>IF(학생명렬표!D39="","",학생명렬표!D39)</f>
        <v>김지섭</v>
      </c>
      <c r="E40" s="21" t="str">
        <f>IF(F40="O",'1_교과이수내용'!F40&amp;$D$1,"")&amp;IF(G40="O",'2_지적성장과정'!F40&amp;$D$1,"")&amp;IF(H40="O",'3_학업성취도'!F40&amp;$D$1,"")&amp;IF(I40="O",'4_태도'!F40&amp;$D$1,"")&amp;IF(J40="O",'5_적극성'!F40&amp;$D$1,"")&amp;IF(K40="O",'6_지적호기심'!F40&amp;$D$1,"")&amp;IF(L40="O",'7_특별한관심'!F40&amp;$D$1,"")&amp;IF(M40="O",'8_탁월한능력'!F40&amp;$D$1,"")&amp;IF(N40="O",'9_탐구활동'!F40&amp;$D$1,"")&amp;IF(O40="O",'10_진로관련사항'!F40&amp;$D$1,"")&amp;IF(P40="O",'11_프로젝트활동'!F40&amp;$D$1,"")</f>
        <v/>
      </c>
      <c r="F40" s="23" t="str">
        <f>IF('1_교과이수내용'!E40&gt;0,"O","X")</f>
        <v>X</v>
      </c>
      <c r="G40" s="23" t="str">
        <f>IF('2_지적성장과정'!E40&gt;0,"O","X")</f>
        <v>X</v>
      </c>
      <c r="H40" s="23" t="str">
        <f>IF('3_학업성취도'!E40&gt;0,"O","X")</f>
        <v>X</v>
      </c>
      <c r="I40" s="23" t="str">
        <f>IF('4_태도'!E40&gt;0,"O","X")</f>
        <v>X</v>
      </c>
      <c r="J40" s="23" t="str">
        <f>IF('5_적극성'!E40&gt;0,"O","X")</f>
        <v>X</v>
      </c>
      <c r="K40" s="23" t="str">
        <f>IF('6_지적호기심'!E40&gt;0,"O","X")</f>
        <v>X</v>
      </c>
      <c r="L40" s="23" t="str">
        <f>IF('7_특별한관심'!E40&gt;0,"O","X")</f>
        <v>X</v>
      </c>
      <c r="M40" s="23" t="str">
        <f>IF('8_탁월한능력'!E40&gt;0,"O","X")</f>
        <v>X</v>
      </c>
      <c r="N40" s="23" t="str">
        <f>IF('9_탐구활동'!E40&gt;0,"O","X")</f>
        <v>X</v>
      </c>
      <c r="O40" s="41" t="str">
        <f>IF('10_진로관련사항'!E40&gt;0,"O","X")</f>
        <v>X</v>
      </c>
      <c r="P40" s="23" t="str">
        <f>IF('11_프로젝트활동'!E40&gt;0,"O","X")</f>
        <v>X</v>
      </c>
    </row>
    <row r="41" spans="1:16">
      <c r="A41" s="9">
        <f>IF(학생명렬표!A40="","",학생명렬표!A40)</f>
        <v>1</v>
      </c>
      <c r="B41" s="23">
        <f>IF(학생명렬표!B40="","",학생명렬표!B40)</f>
        <v>3</v>
      </c>
      <c r="C41" s="23">
        <f>IF(학생명렬표!C40="","",학생명렬표!C40)</f>
        <v>6</v>
      </c>
      <c r="D41" s="23" t="str">
        <f>IF(학생명렬표!D40="","",학생명렬표!D40)</f>
        <v>박지용</v>
      </c>
      <c r="E41" s="21" t="str">
        <f>IF(F41="O",'1_교과이수내용'!F41&amp;$D$1,"")&amp;IF(G41="O",'2_지적성장과정'!F41&amp;$D$1,"")&amp;IF(H41="O",'3_학업성취도'!F41&amp;$D$1,"")&amp;IF(I41="O",'4_태도'!F41&amp;$D$1,"")&amp;IF(J41="O",'5_적극성'!F41&amp;$D$1,"")&amp;IF(K41="O",'6_지적호기심'!F41&amp;$D$1,"")&amp;IF(L41="O",'7_특별한관심'!F41&amp;$D$1,"")&amp;IF(M41="O",'8_탁월한능력'!F41&amp;$D$1,"")&amp;IF(N41="O",'9_탐구활동'!F41&amp;$D$1,"")&amp;IF(O41="O",'10_진로관련사항'!F41&amp;$D$1,"")&amp;IF(P41="O",'11_프로젝트활동'!F41&amp;$D$1,"")</f>
        <v/>
      </c>
      <c r="F41" s="23" t="str">
        <f>IF('1_교과이수내용'!E41&gt;0,"O","X")</f>
        <v>X</v>
      </c>
      <c r="G41" s="23" t="str">
        <f>IF('2_지적성장과정'!E41&gt;0,"O","X")</f>
        <v>X</v>
      </c>
      <c r="H41" s="23" t="str">
        <f>IF('3_학업성취도'!E41&gt;0,"O","X")</f>
        <v>X</v>
      </c>
      <c r="I41" s="23" t="str">
        <f>IF('4_태도'!E41&gt;0,"O","X")</f>
        <v>X</v>
      </c>
      <c r="J41" s="23" t="str">
        <f>IF('5_적극성'!E41&gt;0,"O","X")</f>
        <v>X</v>
      </c>
      <c r="K41" s="23" t="str">
        <f>IF('6_지적호기심'!E41&gt;0,"O","X")</f>
        <v>X</v>
      </c>
      <c r="L41" s="23" t="str">
        <f>IF('7_특별한관심'!E41&gt;0,"O","X")</f>
        <v>X</v>
      </c>
      <c r="M41" s="23" t="str">
        <f>IF('8_탁월한능력'!E41&gt;0,"O","X")</f>
        <v>X</v>
      </c>
      <c r="N41" s="23" t="str">
        <f>IF('9_탐구활동'!E41&gt;0,"O","X")</f>
        <v>X</v>
      </c>
      <c r="O41" s="41" t="str">
        <f>IF('10_진로관련사항'!E41&gt;0,"O","X")</f>
        <v>X</v>
      </c>
      <c r="P41" s="23" t="str">
        <f>IF('11_프로젝트활동'!E41&gt;0,"O","X")</f>
        <v>X</v>
      </c>
    </row>
    <row r="42" spans="1:16">
      <c r="A42" s="9">
        <f>IF(학생명렬표!A41="","",학생명렬표!A41)</f>
        <v>1</v>
      </c>
      <c r="B42" s="23">
        <f>IF(학생명렬표!B41="","",학생명렬표!B41)</f>
        <v>3</v>
      </c>
      <c r="C42" s="23">
        <f>IF(학생명렬표!C41="","",학생명렬표!C41)</f>
        <v>7</v>
      </c>
      <c r="D42" s="23" t="str">
        <f>IF(학생명렬표!D41="","",학생명렬표!D41)</f>
        <v>백인성</v>
      </c>
      <c r="E42" s="21" t="str">
        <f>IF(F42="O",'1_교과이수내용'!F42&amp;$D$1,"")&amp;IF(G42="O",'2_지적성장과정'!F42&amp;$D$1,"")&amp;IF(H42="O",'3_학업성취도'!F42&amp;$D$1,"")&amp;IF(I42="O",'4_태도'!F42&amp;$D$1,"")&amp;IF(J42="O",'5_적극성'!F42&amp;$D$1,"")&amp;IF(K42="O",'6_지적호기심'!F42&amp;$D$1,"")&amp;IF(L42="O",'7_특별한관심'!F42&amp;$D$1,"")&amp;IF(M42="O",'8_탁월한능력'!F42&amp;$D$1,"")&amp;IF(N42="O",'9_탐구활동'!F42&amp;$D$1,"")&amp;IF(O42="O",'10_진로관련사항'!F42&amp;$D$1,"")&amp;IF(P42="O",'11_프로젝트활동'!F42&amp;$D$1,"")</f>
        <v/>
      </c>
      <c r="F42" s="23" t="str">
        <f>IF('1_교과이수내용'!E42&gt;0,"O","X")</f>
        <v>X</v>
      </c>
      <c r="G42" s="23" t="str">
        <f>IF('2_지적성장과정'!E42&gt;0,"O","X")</f>
        <v>X</v>
      </c>
      <c r="H42" s="23" t="str">
        <f>IF('3_학업성취도'!E42&gt;0,"O","X")</f>
        <v>X</v>
      </c>
      <c r="I42" s="23" t="str">
        <f>IF('4_태도'!E42&gt;0,"O","X")</f>
        <v>X</v>
      </c>
      <c r="J42" s="23" t="str">
        <f>IF('5_적극성'!E42&gt;0,"O","X")</f>
        <v>X</v>
      </c>
      <c r="K42" s="23" t="str">
        <f>IF('6_지적호기심'!E42&gt;0,"O","X")</f>
        <v>X</v>
      </c>
      <c r="L42" s="23" t="str">
        <f>IF('7_특별한관심'!E42&gt;0,"O","X")</f>
        <v>X</v>
      </c>
      <c r="M42" s="23" t="str">
        <f>IF('8_탁월한능력'!E42&gt;0,"O","X")</f>
        <v>X</v>
      </c>
      <c r="N42" s="23" t="str">
        <f>IF('9_탐구활동'!E42&gt;0,"O","X")</f>
        <v>X</v>
      </c>
      <c r="O42" s="41" t="str">
        <f>IF('10_진로관련사항'!E42&gt;0,"O","X")</f>
        <v>X</v>
      </c>
      <c r="P42" s="23" t="str">
        <f>IF('11_프로젝트활동'!E42&gt;0,"O","X")</f>
        <v>X</v>
      </c>
    </row>
    <row r="43" spans="1:16">
      <c r="A43" s="9">
        <f>IF(학생명렬표!A42="","",학생명렬표!A42)</f>
        <v>1</v>
      </c>
      <c r="B43" s="23">
        <f>IF(학생명렬표!B42="","",학생명렬표!B42)</f>
        <v>3</v>
      </c>
      <c r="C43" s="23">
        <f>IF(학생명렬표!C42="","",학생명렬표!C42)</f>
        <v>8</v>
      </c>
      <c r="D43" s="23" t="str">
        <f>IF(학생명렬표!D42="","",학생명렬표!D42)</f>
        <v>송준영</v>
      </c>
      <c r="E43" s="21" t="str">
        <f>IF(F43="O",'1_교과이수내용'!F43&amp;$D$1,"")&amp;IF(G43="O",'2_지적성장과정'!F43&amp;$D$1,"")&amp;IF(H43="O",'3_학업성취도'!F43&amp;$D$1,"")&amp;IF(I43="O",'4_태도'!F43&amp;$D$1,"")&amp;IF(J43="O",'5_적극성'!F43&amp;$D$1,"")&amp;IF(K43="O",'6_지적호기심'!F43&amp;$D$1,"")&amp;IF(L43="O",'7_특별한관심'!F43&amp;$D$1,"")&amp;IF(M43="O",'8_탁월한능력'!F43&amp;$D$1,"")&amp;IF(N43="O",'9_탐구활동'!F43&amp;$D$1,"")&amp;IF(O43="O",'10_진로관련사항'!F43&amp;$D$1,"")&amp;IF(P43="O",'11_프로젝트활동'!F43&amp;$D$1,"")</f>
        <v/>
      </c>
      <c r="F43" s="23" t="str">
        <f>IF('1_교과이수내용'!E43&gt;0,"O","X")</f>
        <v>X</v>
      </c>
      <c r="G43" s="23" t="str">
        <f>IF('2_지적성장과정'!E43&gt;0,"O","X")</f>
        <v>X</v>
      </c>
      <c r="H43" s="23" t="str">
        <f>IF('3_학업성취도'!E43&gt;0,"O","X")</f>
        <v>X</v>
      </c>
      <c r="I43" s="23" t="str">
        <f>IF('4_태도'!E43&gt;0,"O","X")</f>
        <v>X</v>
      </c>
      <c r="J43" s="23" t="str">
        <f>IF('5_적극성'!E43&gt;0,"O","X")</f>
        <v>X</v>
      </c>
      <c r="K43" s="23" t="str">
        <f>IF('6_지적호기심'!E43&gt;0,"O","X")</f>
        <v>X</v>
      </c>
      <c r="L43" s="23" t="str">
        <f>IF('7_특별한관심'!E43&gt;0,"O","X")</f>
        <v>X</v>
      </c>
      <c r="M43" s="23" t="str">
        <f>IF('8_탁월한능력'!E43&gt;0,"O","X")</f>
        <v>X</v>
      </c>
      <c r="N43" s="23" t="str">
        <f>IF('9_탐구활동'!E43&gt;0,"O","X")</f>
        <v>X</v>
      </c>
      <c r="O43" s="41" t="str">
        <f>IF('10_진로관련사항'!E43&gt;0,"O","X")</f>
        <v>X</v>
      </c>
      <c r="P43" s="23" t="str">
        <f>IF('11_프로젝트활동'!E43&gt;0,"O","X")</f>
        <v>X</v>
      </c>
    </row>
    <row r="44" spans="1:16">
      <c r="A44" s="9">
        <f>IF(학생명렬표!A43="","",학생명렬표!A43)</f>
        <v>1</v>
      </c>
      <c r="B44" s="23">
        <f>IF(학생명렬표!B43="","",학생명렬표!B43)</f>
        <v>3</v>
      </c>
      <c r="C44" s="23">
        <f>IF(학생명렬표!C43="","",학생명렬표!C43)</f>
        <v>9</v>
      </c>
      <c r="D44" s="23" t="str">
        <f>IF(학생명렬표!D43="","",학생명렬표!D43)</f>
        <v>양해승</v>
      </c>
      <c r="E44" s="21" t="str">
        <f>IF(F44="O",'1_교과이수내용'!F44&amp;$D$1,"")&amp;IF(G44="O",'2_지적성장과정'!F44&amp;$D$1,"")&amp;IF(H44="O",'3_학업성취도'!F44&amp;$D$1,"")&amp;IF(I44="O",'4_태도'!F44&amp;$D$1,"")&amp;IF(J44="O",'5_적극성'!F44&amp;$D$1,"")&amp;IF(K44="O",'6_지적호기심'!F44&amp;$D$1,"")&amp;IF(L44="O",'7_특별한관심'!F44&amp;$D$1,"")&amp;IF(M44="O",'8_탁월한능력'!F44&amp;$D$1,"")&amp;IF(N44="O",'9_탐구활동'!F44&amp;$D$1,"")&amp;IF(O44="O",'10_진로관련사항'!F44&amp;$D$1,"")&amp;IF(P44="O",'11_프로젝트활동'!F44&amp;$D$1,"")</f>
        <v/>
      </c>
      <c r="F44" s="23" t="str">
        <f>IF('1_교과이수내용'!E44&gt;0,"O","X")</f>
        <v>X</v>
      </c>
      <c r="G44" s="23" t="str">
        <f>IF('2_지적성장과정'!E44&gt;0,"O","X")</f>
        <v>X</v>
      </c>
      <c r="H44" s="23" t="str">
        <f>IF('3_학업성취도'!E44&gt;0,"O","X")</f>
        <v>X</v>
      </c>
      <c r="I44" s="23" t="str">
        <f>IF('4_태도'!E44&gt;0,"O","X")</f>
        <v>X</v>
      </c>
      <c r="J44" s="23" t="str">
        <f>IF('5_적극성'!E44&gt;0,"O","X")</f>
        <v>X</v>
      </c>
      <c r="K44" s="23" t="str">
        <f>IF('6_지적호기심'!E44&gt;0,"O","X")</f>
        <v>X</v>
      </c>
      <c r="L44" s="23" t="str">
        <f>IF('7_특별한관심'!E44&gt;0,"O","X")</f>
        <v>X</v>
      </c>
      <c r="M44" s="23" t="str">
        <f>IF('8_탁월한능력'!E44&gt;0,"O","X")</f>
        <v>X</v>
      </c>
      <c r="N44" s="23" t="str">
        <f>IF('9_탐구활동'!E44&gt;0,"O","X")</f>
        <v>X</v>
      </c>
      <c r="O44" s="41" t="str">
        <f>IF('10_진로관련사항'!E44&gt;0,"O","X")</f>
        <v>X</v>
      </c>
      <c r="P44" s="23" t="str">
        <f>IF('11_프로젝트활동'!E44&gt;0,"O","X")</f>
        <v>X</v>
      </c>
    </row>
    <row r="45" spans="1:16">
      <c r="A45" s="9">
        <f>IF(학생명렬표!A44="","",학생명렬표!A44)</f>
        <v>1</v>
      </c>
      <c r="B45" s="23">
        <f>IF(학생명렬표!B44="","",학생명렬표!B44)</f>
        <v>3</v>
      </c>
      <c r="C45" s="23">
        <f>IF(학생명렬표!C44="","",학생명렬표!C44)</f>
        <v>10</v>
      </c>
      <c r="D45" s="23" t="str">
        <f>IF(학생명렬표!D44="","",학생명렬표!D44)</f>
        <v>유하민</v>
      </c>
      <c r="E45" s="21" t="str">
        <f>IF(F45="O",'1_교과이수내용'!F45&amp;$D$1,"")&amp;IF(G45="O",'2_지적성장과정'!F45&amp;$D$1,"")&amp;IF(H45="O",'3_학업성취도'!F45&amp;$D$1,"")&amp;IF(I45="O",'4_태도'!F45&amp;$D$1,"")&amp;IF(J45="O",'5_적극성'!F45&amp;$D$1,"")&amp;IF(K45="O",'6_지적호기심'!F45&amp;$D$1,"")&amp;IF(L45="O",'7_특별한관심'!F45&amp;$D$1,"")&amp;IF(M45="O",'8_탁월한능력'!F45&amp;$D$1,"")&amp;IF(N45="O",'9_탐구활동'!F45&amp;$D$1,"")&amp;IF(O45="O",'10_진로관련사항'!F45&amp;$D$1,"")&amp;IF(P45="O",'11_프로젝트활동'!F45&amp;$D$1,"")</f>
        <v/>
      </c>
      <c r="F45" s="23" t="str">
        <f>IF('1_교과이수내용'!E45&gt;0,"O","X")</f>
        <v>X</v>
      </c>
      <c r="G45" s="23" t="str">
        <f>IF('2_지적성장과정'!E45&gt;0,"O","X")</f>
        <v>X</v>
      </c>
      <c r="H45" s="23" t="str">
        <f>IF('3_학업성취도'!E45&gt;0,"O","X")</f>
        <v>X</v>
      </c>
      <c r="I45" s="23" t="str">
        <f>IF('4_태도'!E45&gt;0,"O","X")</f>
        <v>X</v>
      </c>
      <c r="J45" s="23" t="str">
        <f>IF('5_적극성'!E45&gt;0,"O","X")</f>
        <v>X</v>
      </c>
      <c r="K45" s="23" t="str">
        <f>IF('6_지적호기심'!E45&gt;0,"O","X")</f>
        <v>X</v>
      </c>
      <c r="L45" s="23" t="str">
        <f>IF('7_특별한관심'!E45&gt;0,"O","X")</f>
        <v>X</v>
      </c>
      <c r="M45" s="23" t="str">
        <f>IF('8_탁월한능력'!E45&gt;0,"O","X")</f>
        <v>X</v>
      </c>
      <c r="N45" s="23" t="str">
        <f>IF('9_탐구활동'!E45&gt;0,"O","X")</f>
        <v>X</v>
      </c>
      <c r="O45" s="41" t="str">
        <f>IF('10_진로관련사항'!E45&gt;0,"O","X")</f>
        <v>X</v>
      </c>
      <c r="P45" s="23" t="str">
        <f>IF('11_프로젝트활동'!E45&gt;0,"O","X")</f>
        <v>X</v>
      </c>
    </row>
    <row r="46" spans="1:16">
      <c r="A46" s="9">
        <f>IF(학생명렬표!A45="","",학생명렬표!A45)</f>
        <v>1</v>
      </c>
      <c r="B46" s="23">
        <f>IF(학생명렬표!B45="","",학생명렬표!B45)</f>
        <v>3</v>
      </c>
      <c r="C46" s="23">
        <f>IF(학생명렬표!C45="","",학생명렬표!C45)</f>
        <v>11</v>
      </c>
      <c r="D46" s="23" t="str">
        <f>IF(학생명렬표!D45="","",학생명렬표!D45)</f>
        <v>이승헌</v>
      </c>
      <c r="E46" s="21" t="str">
        <f>IF(F46="O",'1_교과이수내용'!F46&amp;$D$1,"")&amp;IF(G46="O",'2_지적성장과정'!F46&amp;$D$1,"")&amp;IF(H46="O",'3_학업성취도'!F46&amp;$D$1,"")&amp;IF(I46="O",'4_태도'!F46&amp;$D$1,"")&amp;IF(J46="O",'5_적극성'!F46&amp;$D$1,"")&amp;IF(K46="O",'6_지적호기심'!F46&amp;$D$1,"")&amp;IF(L46="O",'7_특별한관심'!F46&amp;$D$1,"")&amp;IF(M46="O",'8_탁월한능력'!F46&amp;$D$1,"")&amp;IF(N46="O",'9_탐구활동'!F46&amp;$D$1,"")&amp;IF(O46="O",'10_진로관련사항'!F46&amp;$D$1,"")&amp;IF(P46="O",'11_프로젝트활동'!F46&amp;$D$1,"")</f>
        <v/>
      </c>
      <c r="F46" s="23" t="str">
        <f>IF('1_교과이수내용'!E46&gt;0,"O","X")</f>
        <v>X</v>
      </c>
      <c r="G46" s="23" t="str">
        <f>IF('2_지적성장과정'!E46&gt;0,"O","X")</f>
        <v>X</v>
      </c>
      <c r="H46" s="23" t="str">
        <f>IF('3_학업성취도'!E46&gt;0,"O","X")</f>
        <v>X</v>
      </c>
      <c r="I46" s="23" t="str">
        <f>IF('4_태도'!E46&gt;0,"O","X")</f>
        <v>X</v>
      </c>
      <c r="J46" s="23" t="str">
        <f>IF('5_적극성'!E46&gt;0,"O","X")</f>
        <v>X</v>
      </c>
      <c r="K46" s="23" t="str">
        <f>IF('6_지적호기심'!E46&gt;0,"O","X")</f>
        <v>X</v>
      </c>
      <c r="L46" s="23" t="str">
        <f>IF('7_특별한관심'!E46&gt;0,"O","X")</f>
        <v>X</v>
      </c>
      <c r="M46" s="23" t="str">
        <f>IF('8_탁월한능력'!E46&gt;0,"O","X")</f>
        <v>X</v>
      </c>
      <c r="N46" s="23" t="str">
        <f>IF('9_탐구활동'!E46&gt;0,"O","X")</f>
        <v>X</v>
      </c>
      <c r="O46" s="41" t="str">
        <f>IF('10_진로관련사항'!E46&gt;0,"O","X")</f>
        <v>X</v>
      </c>
      <c r="P46" s="23" t="str">
        <f>IF('11_프로젝트활동'!E46&gt;0,"O","X")</f>
        <v>X</v>
      </c>
    </row>
    <row r="47" spans="1:16">
      <c r="A47" s="9">
        <f>IF(학생명렬표!A46="","",학생명렬표!A46)</f>
        <v>1</v>
      </c>
      <c r="B47" s="23">
        <f>IF(학생명렬표!B46="","",학생명렬표!B46)</f>
        <v>3</v>
      </c>
      <c r="C47" s="23">
        <f>IF(학생명렬표!C46="","",학생명렬표!C46)</f>
        <v>12</v>
      </c>
      <c r="D47" s="23" t="str">
        <f>IF(학생명렬표!D46="","",학생명렬표!D46)</f>
        <v>이채원</v>
      </c>
      <c r="E47" s="21" t="str">
        <f>IF(F47="O",'1_교과이수내용'!F47&amp;$D$1,"")&amp;IF(G47="O",'2_지적성장과정'!F47&amp;$D$1,"")&amp;IF(H47="O",'3_학업성취도'!F47&amp;$D$1,"")&amp;IF(I47="O",'4_태도'!F47&amp;$D$1,"")&amp;IF(J47="O",'5_적극성'!F47&amp;$D$1,"")&amp;IF(K47="O",'6_지적호기심'!F47&amp;$D$1,"")&amp;IF(L47="O",'7_특별한관심'!F47&amp;$D$1,"")&amp;IF(M47="O",'8_탁월한능력'!F47&amp;$D$1,"")&amp;IF(N47="O",'9_탐구활동'!F47&amp;$D$1,"")&amp;IF(O47="O",'10_진로관련사항'!F47&amp;$D$1,"")&amp;IF(P47="O",'11_프로젝트활동'!F47&amp;$D$1,"")</f>
        <v/>
      </c>
      <c r="F47" s="23" t="str">
        <f>IF('1_교과이수내용'!E47&gt;0,"O","X")</f>
        <v>X</v>
      </c>
      <c r="G47" s="23" t="str">
        <f>IF('2_지적성장과정'!E47&gt;0,"O","X")</f>
        <v>X</v>
      </c>
      <c r="H47" s="23" t="str">
        <f>IF('3_학업성취도'!E47&gt;0,"O","X")</f>
        <v>X</v>
      </c>
      <c r="I47" s="23" t="str">
        <f>IF('4_태도'!E47&gt;0,"O","X")</f>
        <v>X</v>
      </c>
      <c r="J47" s="23" t="str">
        <f>IF('5_적극성'!E47&gt;0,"O","X")</f>
        <v>X</v>
      </c>
      <c r="K47" s="23" t="str">
        <f>IF('6_지적호기심'!E47&gt;0,"O","X")</f>
        <v>X</v>
      </c>
      <c r="L47" s="23" t="str">
        <f>IF('7_특별한관심'!E47&gt;0,"O","X")</f>
        <v>X</v>
      </c>
      <c r="M47" s="23" t="str">
        <f>IF('8_탁월한능력'!E47&gt;0,"O","X")</f>
        <v>X</v>
      </c>
      <c r="N47" s="23" t="str">
        <f>IF('9_탐구활동'!E47&gt;0,"O","X")</f>
        <v>X</v>
      </c>
      <c r="O47" s="41" t="str">
        <f>IF('10_진로관련사항'!E47&gt;0,"O","X")</f>
        <v>X</v>
      </c>
      <c r="P47" s="23" t="str">
        <f>IF('11_프로젝트활동'!E47&gt;0,"O","X")</f>
        <v>X</v>
      </c>
    </row>
    <row r="48" spans="1:16">
      <c r="A48" s="9">
        <f>IF(학생명렬표!A47="","",학생명렬표!A47)</f>
        <v>1</v>
      </c>
      <c r="B48" s="23">
        <f>IF(학생명렬표!B47="","",학생명렬표!B47)</f>
        <v>3</v>
      </c>
      <c r="C48" s="23">
        <f>IF(학생명렬표!C47="","",학생명렬표!C47)</f>
        <v>13</v>
      </c>
      <c r="D48" s="23" t="str">
        <f>IF(학생명렬표!D47="","",학생명렬표!D47)</f>
        <v>이호형</v>
      </c>
      <c r="E48" s="21" t="str">
        <f>IF(F48="O",'1_교과이수내용'!F48&amp;$D$1,"")&amp;IF(G48="O",'2_지적성장과정'!F48&amp;$D$1,"")&amp;IF(H48="O",'3_학업성취도'!F48&amp;$D$1,"")&amp;IF(I48="O",'4_태도'!F48&amp;$D$1,"")&amp;IF(J48="O",'5_적극성'!F48&amp;$D$1,"")&amp;IF(K48="O",'6_지적호기심'!F48&amp;$D$1,"")&amp;IF(L48="O",'7_특별한관심'!F48&amp;$D$1,"")&amp;IF(M48="O",'8_탁월한능력'!F48&amp;$D$1,"")&amp;IF(N48="O",'9_탐구활동'!F48&amp;$D$1,"")&amp;IF(O48="O",'10_진로관련사항'!F48&amp;$D$1,"")&amp;IF(P48="O",'11_프로젝트활동'!F48&amp;$D$1,"")</f>
        <v/>
      </c>
      <c r="F48" s="23" t="str">
        <f>IF('1_교과이수내용'!E48&gt;0,"O","X")</f>
        <v>X</v>
      </c>
      <c r="G48" s="23" t="str">
        <f>IF('2_지적성장과정'!E48&gt;0,"O","X")</f>
        <v>X</v>
      </c>
      <c r="H48" s="23" t="str">
        <f>IF('3_학업성취도'!E48&gt;0,"O","X")</f>
        <v>X</v>
      </c>
      <c r="I48" s="23" t="str">
        <f>IF('4_태도'!E48&gt;0,"O","X")</f>
        <v>X</v>
      </c>
      <c r="J48" s="23" t="str">
        <f>IF('5_적극성'!E48&gt;0,"O","X")</f>
        <v>X</v>
      </c>
      <c r="K48" s="23" t="str">
        <f>IF('6_지적호기심'!E48&gt;0,"O","X")</f>
        <v>X</v>
      </c>
      <c r="L48" s="23" t="str">
        <f>IF('7_특별한관심'!E48&gt;0,"O","X")</f>
        <v>X</v>
      </c>
      <c r="M48" s="23" t="str">
        <f>IF('8_탁월한능력'!E48&gt;0,"O","X")</f>
        <v>X</v>
      </c>
      <c r="N48" s="23" t="str">
        <f>IF('9_탐구활동'!E48&gt;0,"O","X")</f>
        <v>X</v>
      </c>
      <c r="O48" s="41" t="str">
        <f>IF('10_진로관련사항'!E48&gt;0,"O","X")</f>
        <v>X</v>
      </c>
      <c r="P48" s="23" t="str">
        <f>IF('11_프로젝트활동'!E48&gt;0,"O","X")</f>
        <v>X</v>
      </c>
    </row>
    <row r="49" spans="1:16">
      <c r="A49" s="9">
        <f>IF(학생명렬표!A48="","",학생명렬표!A48)</f>
        <v>1</v>
      </c>
      <c r="B49" s="23">
        <f>IF(학생명렬표!B48="","",학생명렬표!B48)</f>
        <v>3</v>
      </c>
      <c r="C49" s="23">
        <f>IF(학생명렬표!C48="","",학생명렬표!C48)</f>
        <v>14</v>
      </c>
      <c r="D49" s="23" t="str">
        <f>IF(학생명렬표!D48="","",학생명렬표!D48)</f>
        <v>지승현</v>
      </c>
      <c r="E49" s="21" t="str">
        <f>IF(F49="O",'1_교과이수내용'!F49&amp;$D$1,"")&amp;IF(G49="O",'2_지적성장과정'!F49&amp;$D$1,"")&amp;IF(H49="O",'3_학업성취도'!F49&amp;$D$1,"")&amp;IF(I49="O",'4_태도'!F49&amp;$D$1,"")&amp;IF(J49="O",'5_적극성'!F49&amp;$D$1,"")&amp;IF(K49="O",'6_지적호기심'!F49&amp;$D$1,"")&amp;IF(L49="O",'7_특별한관심'!F49&amp;$D$1,"")&amp;IF(M49="O",'8_탁월한능력'!F49&amp;$D$1,"")&amp;IF(N49="O",'9_탐구활동'!F49&amp;$D$1,"")&amp;IF(O49="O",'10_진로관련사항'!F49&amp;$D$1,"")&amp;IF(P49="O",'11_프로젝트활동'!F49&amp;$D$1,"")</f>
        <v/>
      </c>
      <c r="F49" s="23" t="str">
        <f>IF('1_교과이수내용'!E49&gt;0,"O","X")</f>
        <v>X</v>
      </c>
      <c r="G49" s="23" t="str">
        <f>IF('2_지적성장과정'!E49&gt;0,"O","X")</f>
        <v>X</v>
      </c>
      <c r="H49" s="23" t="str">
        <f>IF('3_학업성취도'!E49&gt;0,"O","X")</f>
        <v>X</v>
      </c>
      <c r="I49" s="23" t="str">
        <f>IF('4_태도'!E49&gt;0,"O","X")</f>
        <v>X</v>
      </c>
      <c r="J49" s="23" t="str">
        <f>IF('5_적극성'!E49&gt;0,"O","X")</f>
        <v>X</v>
      </c>
      <c r="K49" s="23" t="str">
        <f>IF('6_지적호기심'!E49&gt;0,"O","X")</f>
        <v>X</v>
      </c>
      <c r="L49" s="23" t="str">
        <f>IF('7_특별한관심'!E49&gt;0,"O","X")</f>
        <v>X</v>
      </c>
      <c r="M49" s="23" t="str">
        <f>IF('8_탁월한능력'!E49&gt;0,"O","X")</f>
        <v>X</v>
      </c>
      <c r="N49" s="23" t="str">
        <f>IF('9_탐구활동'!E49&gt;0,"O","X")</f>
        <v>X</v>
      </c>
      <c r="O49" s="41" t="str">
        <f>IF('10_진로관련사항'!E49&gt;0,"O","X")</f>
        <v>X</v>
      </c>
      <c r="P49" s="23" t="str">
        <f>IF('11_프로젝트활동'!E49&gt;0,"O","X")</f>
        <v>X</v>
      </c>
    </row>
    <row r="50" spans="1:16">
      <c r="A50" s="9">
        <f>IF(학생명렬표!A49="","",학생명렬표!A49)</f>
        <v>1</v>
      </c>
      <c r="B50" s="23">
        <f>IF(학생명렬표!B49="","",학생명렬표!B49)</f>
        <v>3</v>
      </c>
      <c r="C50" s="23">
        <f>IF(학생명렬표!C49="","",학생명렬표!C49)</f>
        <v>15</v>
      </c>
      <c r="D50" s="23" t="str">
        <f>IF(학생명렬표!D49="","",학생명렬표!D49)</f>
        <v>추수혁</v>
      </c>
      <c r="E50" s="21" t="str">
        <f>IF(F50="O",'1_교과이수내용'!F50&amp;$D$1,"")&amp;IF(G50="O",'2_지적성장과정'!F50&amp;$D$1,"")&amp;IF(H50="O",'3_학업성취도'!F50&amp;$D$1,"")&amp;IF(I50="O",'4_태도'!F50&amp;$D$1,"")&amp;IF(J50="O",'5_적극성'!F50&amp;$D$1,"")&amp;IF(K50="O",'6_지적호기심'!F50&amp;$D$1,"")&amp;IF(L50="O",'7_특별한관심'!F50&amp;$D$1,"")&amp;IF(M50="O",'8_탁월한능력'!F50&amp;$D$1,"")&amp;IF(N50="O",'9_탐구활동'!F50&amp;$D$1,"")&amp;IF(O50="O",'10_진로관련사항'!F50&amp;$D$1,"")&amp;IF(P50="O",'11_프로젝트활동'!F50&amp;$D$1,"")</f>
        <v/>
      </c>
      <c r="F50" s="23" t="str">
        <f>IF('1_교과이수내용'!E50&gt;0,"O","X")</f>
        <v>X</v>
      </c>
      <c r="G50" s="23" t="str">
        <f>IF('2_지적성장과정'!E50&gt;0,"O","X")</f>
        <v>X</v>
      </c>
      <c r="H50" s="23" t="str">
        <f>IF('3_학업성취도'!E50&gt;0,"O","X")</f>
        <v>X</v>
      </c>
      <c r="I50" s="23" t="str">
        <f>IF('4_태도'!E50&gt;0,"O","X")</f>
        <v>X</v>
      </c>
      <c r="J50" s="23" t="str">
        <f>IF('5_적극성'!E50&gt;0,"O","X")</f>
        <v>X</v>
      </c>
      <c r="K50" s="23" t="str">
        <f>IF('6_지적호기심'!E50&gt;0,"O","X")</f>
        <v>X</v>
      </c>
      <c r="L50" s="23" t="str">
        <f>IF('7_특별한관심'!E50&gt;0,"O","X")</f>
        <v>X</v>
      </c>
      <c r="M50" s="23" t="str">
        <f>IF('8_탁월한능력'!E50&gt;0,"O","X")</f>
        <v>X</v>
      </c>
      <c r="N50" s="23" t="str">
        <f>IF('9_탐구활동'!E50&gt;0,"O","X")</f>
        <v>X</v>
      </c>
      <c r="O50" s="41" t="str">
        <f>IF('10_진로관련사항'!E50&gt;0,"O","X")</f>
        <v>X</v>
      </c>
      <c r="P50" s="23" t="str">
        <f>IF('11_프로젝트활동'!E50&gt;0,"O","X")</f>
        <v>X</v>
      </c>
    </row>
    <row r="51" spans="1:16">
      <c r="A51" s="9">
        <f>IF(학생명렬표!A50="","",학생명렬표!A50)</f>
        <v>1</v>
      </c>
      <c r="B51" s="23">
        <f>IF(학생명렬표!B50="","",학생명렬표!B50)</f>
        <v>3</v>
      </c>
      <c r="C51" s="23">
        <f>IF(학생명렬표!C50="","",학생명렬표!C50)</f>
        <v>16</v>
      </c>
      <c r="D51" s="23" t="str">
        <f>IF(학생명렬표!D50="","",학생명렬표!D50)</f>
        <v>태종혁</v>
      </c>
      <c r="E51" s="21" t="str">
        <f>IF(F51="O",'1_교과이수내용'!F51&amp;$D$1,"")&amp;IF(G51="O",'2_지적성장과정'!F51&amp;$D$1,"")&amp;IF(H51="O",'3_학업성취도'!F51&amp;$D$1,"")&amp;IF(I51="O",'4_태도'!F51&amp;$D$1,"")&amp;IF(J51="O",'5_적극성'!F51&amp;$D$1,"")&amp;IF(K51="O",'6_지적호기심'!F51&amp;$D$1,"")&amp;IF(L51="O",'7_특별한관심'!F51&amp;$D$1,"")&amp;IF(M51="O",'8_탁월한능력'!F51&amp;$D$1,"")&amp;IF(N51="O",'9_탐구활동'!F51&amp;$D$1,"")&amp;IF(O51="O",'10_진로관련사항'!F51&amp;$D$1,"")&amp;IF(P51="O",'11_프로젝트활동'!F51&amp;$D$1,"")</f>
        <v/>
      </c>
      <c r="F51" s="23" t="str">
        <f>IF('1_교과이수내용'!E51&gt;0,"O","X")</f>
        <v>X</v>
      </c>
      <c r="G51" s="23" t="str">
        <f>IF('2_지적성장과정'!E51&gt;0,"O","X")</f>
        <v>X</v>
      </c>
      <c r="H51" s="23" t="str">
        <f>IF('3_학업성취도'!E51&gt;0,"O","X")</f>
        <v>X</v>
      </c>
      <c r="I51" s="23" t="str">
        <f>IF('4_태도'!E51&gt;0,"O","X")</f>
        <v>X</v>
      </c>
      <c r="J51" s="23" t="str">
        <f>IF('5_적극성'!E51&gt;0,"O","X")</f>
        <v>X</v>
      </c>
      <c r="K51" s="23" t="str">
        <f>IF('6_지적호기심'!E51&gt;0,"O","X")</f>
        <v>X</v>
      </c>
      <c r="L51" s="23" t="str">
        <f>IF('7_특별한관심'!E51&gt;0,"O","X")</f>
        <v>X</v>
      </c>
      <c r="M51" s="23" t="str">
        <f>IF('8_탁월한능력'!E51&gt;0,"O","X")</f>
        <v>X</v>
      </c>
      <c r="N51" s="23" t="str">
        <f>IF('9_탐구활동'!E51&gt;0,"O","X")</f>
        <v>X</v>
      </c>
      <c r="O51" s="41" t="str">
        <f>IF('10_진로관련사항'!E51&gt;0,"O","X")</f>
        <v>X</v>
      </c>
      <c r="P51" s="23" t="str">
        <f>IF('11_프로젝트활동'!E51&gt;0,"O","X")</f>
        <v>X</v>
      </c>
    </row>
    <row r="52" spans="1:16">
      <c r="A52" s="9">
        <f>IF(학생명렬표!A51="","",학생명렬표!A51)</f>
        <v>1</v>
      </c>
      <c r="B52" s="23">
        <f>IF(학생명렬표!B51="","",학생명렬표!B51)</f>
        <v>3</v>
      </c>
      <c r="C52" s="23">
        <f>IF(학생명렬표!C51="","",학생명렬표!C51)</f>
        <v>17</v>
      </c>
      <c r="D52" s="23" t="str">
        <f>IF(학생명렬표!D51="","",학생명렬표!D51)</f>
        <v>한준</v>
      </c>
      <c r="E52" s="21" t="str">
        <f>IF(F52="O",'1_교과이수내용'!F52&amp;$D$1,"")&amp;IF(G52="O",'2_지적성장과정'!F52&amp;$D$1,"")&amp;IF(H52="O",'3_학업성취도'!F52&amp;$D$1,"")&amp;IF(I52="O",'4_태도'!F52&amp;$D$1,"")&amp;IF(J52="O",'5_적극성'!F52&amp;$D$1,"")&amp;IF(K52="O",'6_지적호기심'!F52&amp;$D$1,"")&amp;IF(L52="O",'7_특별한관심'!F52&amp;$D$1,"")&amp;IF(M52="O",'8_탁월한능력'!F52&amp;$D$1,"")&amp;IF(N52="O",'9_탐구활동'!F52&amp;$D$1,"")&amp;IF(O52="O",'10_진로관련사항'!F52&amp;$D$1,"")&amp;IF(P52="O",'11_프로젝트활동'!F52&amp;$D$1,"")</f>
        <v/>
      </c>
      <c r="F52" s="23" t="str">
        <f>IF('1_교과이수내용'!E52&gt;0,"O","X")</f>
        <v>X</v>
      </c>
      <c r="G52" s="23" t="str">
        <f>IF('2_지적성장과정'!E52&gt;0,"O","X")</f>
        <v>X</v>
      </c>
      <c r="H52" s="23" t="str">
        <f>IF('3_학업성취도'!E52&gt;0,"O","X")</f>
        <v>X</v>
      </c>
      <c r="I52" s="23" t="str">
        <f>IF('4_태도'!E52&gt;0,"O","X")</f>
        <v>X</v>
      </c>
      <c r="J52" s="23" t="str">
        <f>IF('5_적극성'!E52&gt;0,"O","X")</f>
        <v>X</v>
      </c>
      <c r="K52" s="23" t="str">
        <f>IF('6_지적호기심'!E52&gt;0,"O","X")</f>
        <v>X</v>
      </c>
      <c r="L52" s="23" t="str">
        <f>IF('7_특별한관심'!E52&gt;0,"O","X")</f>
        <v>X</v>
      </c>
      <c r="M52" s="23" t="str">
        <f>IF('8_탁월한능력'!E52&gt;0,"O","X")</f>
        <v>X</v>
      </c>
      <c r="N52" s="23" t="str">
        <f>IF('9_탐구활동'!E52&gt;0,"O","X")</f>
        <v>X</v>
      </c>
      <c r="O52" s="41" t="str">
        <f>IF('10_진로관련사항'!E52&gt;0,"O","X")</f>
        <v>X</v>
      </c>
      <c r="P52" s="23" t="str">
        <f>IF('11_프로젝트활동'!E52&gt;0,"O","X")</f>
        <v>X</v>
      </c>
    </row>
    <row r="53" spans="1:16">
      <c r="A53" s="9">
        <f>IF(학생명렬표!A52="","",학생명렬표!A52)</f>
        <v>1</v>
      </c>
      <c r="B53" s="23">
        <f>IF(학생명렬표!B52="","",학생명렬표!B52)</f>
        <v>4</v>
      </c>
      <c r="C53" s="23">
        <f>IF(학생명렬표!C52="","",학생명렬표!C52)</f>
        <v>1</v>
      </c>
      <c r="D53" s="23" t="str">
        <f>IF(학생명렬표!D52="","",학생명렬표!D52)</f>
        <v>김도준</v>
      </c>
      <c r="E53" s="21" t="str">
        <f>IF(F53="O",'1_교과이수내용'!F53&amp;$D$1,"")&amp;IF(G53="O",'2_지적성장과정'!F53&amp;$D$1,"")&amp;IF(H53="O",'3_학업성취도'!F53&amp;$D$1,"")&amp;IF(I53="O",'4_태도'!F53&amp;$D$1,"")&amp;IF(J53="O",'5_적극성'!F53&amp;$D$1,"")&amp;IF(K53="O",'6_지적호기심'!F53&amp;$D$1,"")&amp;IF(L53="O",'7_특별한관심'!F53&amp;$D$1,"")&amp;IF(M53="O",'8_탁월한능력'!F53&amp;$D$1,"")&amp;IF(N53="O",'9_탐구활동'!F53&amp;$D$1,"")&amp;IF(O53="O",'10_진로관련사항'!F53&amp;$D$1,"")&amp;IF(P53="O",'11_프로젝트활동'!F53&amp;$D$1,"")</f>
        <v/>
      </c>
      <c r="F53" s="23" t="str">
        <f>IF('1_교과이수내용'!E53&gt;0,"O","X")</f>
        <v>X</v>
      </c>
      <c r="G53" s="23" t="str">
        <f>IF('2_지적성장과정'!E53&gt;0,"O","X")</f>
        <v>X</v>
      </c>
      <c r="H53" s="23" t="str">
        <f>IF('3_학업성취도'!E53&gt;0,"O","X")</f>
        <v>X</v>
      </c>
      <c r="I53" s="23" t="str">
        <f>IF('4_태도'!E53&gt;0,"O","X")</f>
        <v>X</v>
      </c>
      <c r="J53" s="23" t="str">
        <f>IF('5_적극성'!E53&gt;0,"O","X")</f>
        <v>X</v>
      </c>
      <c r="K53" s="23" t="str">
        <f>IF('6_지적호기심'!E53&gt;0,"O","X")</f>
        <v>X</v>
      </c>
      <c r="L53" s="23" t="str">
        <f>IF('7_특별한관심'!E53&gt;0,"O","X")</f>
        <v>X</v>
      </c>
      <c r="M53" s="23" t="str">
        <f>IF('8_탁월한능력'!E53&gt;0,"O","X")</f>
        <v>X</v>
      </c>
      <c r="N53" s="23" t="str">
        <f>IF('9_탐구활동'!E53&gt;0,"O","X")</f>
        <v>X</v>
      </c>
      <c r="O53" s="41" t="str">
        <f>IF('10_진로관련사항'!E53&gt;0,"O","X")</f>
        <v>X</v>
      </c>
      <c r="P53" s="23" t="str">
        <f>IF('11_프로젝트활동'!E53&gt;0,"O","X")</f>
        <v>X</v>
      </c>
    </row>
    <row r="54" spans="1:16">
      <c r="A54" s="9">
        <f>IF(학생명렬표!A53="","",학생명렬표!A53)</f>
        <v>1</v>
      </c>
      <c r="B54" s="23">
        <f>IF(학생명렬표!B53="","",학생명렬표!B53)</f>
        <v>4</v>
      </c>
      <c r="C54" s="23">
        <f>IF(학생명렬표!C53="","",학생명렬표!C53)</f>
        <v>2</v>
      </c>
      <c r="D54" s="23" t="str">
        <f>IF(학생명렬표!D53="","",학생명렬표!D53)</f>
        <v>김도형</v>
      </c>
      <c r="E54" s="21" t="str">
        <f>IF(F54="O",'1_교과이수내용'!F54&amp;$D$1,"")&amp;IF(G54="O",'2_지적성장과정'!F54&amp;$D$1,"")&amp;IF(H54="O",'3_학업성취도'!F54&amp;$D$1,"")&amp;IF(I54="O",'4_태도'!F54&amp;$D$1,"")&amp;IF(J54="O",'5_적극성'!F54&amp;$D$1,"")&amp;IF(K54="O",'6_지적호기심'!F54&amp;$D$1,"")&amp;IF(L54="O",'7_특별한관심'!F54&amp;$D$1,"")&amp;IF(M54="O",'8_탁월한능력'!F54&amp;$D$1,"")&amp;IF(N54="O",'9_탐구활동'!F54&amp;$D$1,"")&amp;IF(O54="O",'10_진로관련사항'!F54&amp;$D$1,"")&amp;IF(P54="O",'11_프로젝트활동'!F54&amp;$D$1,"")</f>
        <v/>
      </c>
      <c r="F54" s="23" t="str">
        <f>IF('1_교과이수내용'!E54&gt;0,"O","X")</f>
        <v>X</v>
      </c>
      <c r="G54" s="23" t="str">
        <f>IF('2_지적성장과정'!E54&gt;0,"O","X")</f>
        <v>X</v>
      </c>
      <c r="H54" s="23" t="str">
        <f>IF('3_학업성취도'!E54&gt;0,"O","X")</f>
        <v>X</v>
      </c>
      <c r="I54" s="23" t="str">
        <f>IF('4_태도'!E54&gt;0,"O","X")</f>
        <v>X</v>
      </c>
      <c r="J54" s="23" t="str">
        <f>IF('5_적극성'!E54&gt;0,"O","X")</f>
        <v>X</v>
      </c>
      <c r="K54" s="23" t="str">
        <f>IF('6_지적호기심'!E54&gt;0,"O","X")</f>
        <v>X</v>
      </c>
      <c r="L54" s="23" t="str">
        <f>IF('7_특별한관심'!E54&gt;0,"O","X")</f>
        <v>X</v>
      </c>
      <c r="M54" s="23" t="str">
        <f>IF('8_탁월한능력'!E54&gt;0,"O","X")</f>
        <v>X</v>
      </c>
      <c r="N54" s="23" t="str">
        <f>IF('9_탐구활동'!E54&gt;0,"O","X")</f>
        <v>X</v>
      </c>
      <c r="O54" s="41" t="str">
        <f>IF('10_진로관련사항'!E54&gt;0,"O","X")</f>
        <v>X</v>
      </c>
      <c r="P54" s="23" t="str">
        <f>IF('11_프로젝트활동'!E54&gt;0,"O","X")</f>
        <v>X</v>
      </c>
    </row>
    <row r="55" spans="1:16">
      <c r="A55" s="9">
        <f>IF(학생명렬표!A54="","",학생명렬표!A54)</f>
        <v>1</v>
      </c>
      <c r="B55" s="23">
        <f>IF(학생명렬표!B54="","",학생명렬표!B54)</f>
        <v>4</v>
      </c>
      <c r="C55" s="23">
        <f>IF(학생명렬표!C54="","",학생명렬표!C54)</f>
        <v>3</v>
      </c>
      <c r="D55" s="23" t="str">
        <f>IF(학생명렬표!D54="","",학생명렬표!D54)</f>
        <v>김범석</v>
      </c>
      <c r="E55" s="21" t="str">
        <f>IF(F55="O",'1_교과이수내용'!F55&amp;$D$1,"")&amp;IF(G55="O",'2_지적성장과정'!F55&amp;$D$1,"")&amp;IF(H55="O",'3_학업성취도'!F55&amp;$D$1,"")&amp;IF(I55="O",'4_태도'!F55&amp;$D$1,"")&amp;IF(J55="O",'5_적극성'!F55&amp;$D$1,"")&amp;IF(K55="O",'6_지적호기심'!F55&amp;$D$1,"")&amp;IF(L55="O",'7_특별한관심'!F55&amp;$D$1,"")&amp;IF(M55="O",'8_탁월한능력'!F55&amp;$D$1,"")&amp;IF(N55="O",'9_탐구활동'!F55&amp;$D$1,"")&amp;IF(O55="O",'10_진로관련사항'!F55&amp;$D$1,"")&amp;IF(P55="O",'11_프로젝트활동'!F55&amp;$D$1,"")</f>
        <v/>
      </c>
      <c r="F55" s="23" t="str">
        <f>IF('1_교과이수내용'!E55&gt;0,"O","X")</f>
        <v>X</v>
      </c>
      <c r="G55" s="23" t="str">
        <f>IF('2_지적성장과정'!E55&gt;0,"O","X")</f>
        <v>X</v>
      </c>
      <c r="H55" s="23" t="str">
        <f>IF('3_학업성취도'!E55&gt;0,"O","X")</f>
        <v>X</v>
      </c>
      <c r="I55" s="23" t="str">
        <f>IF('4_태도'!E55&gt;0,"O","X")</f>
        <v>X</v>
      </c>
      <c r="J55" s="23" t="str">
        <f>IF('5_적극성'!E55&gt;0,"O","X")</f>
        <v>X</v>
      </c>
      <c r="K55" s="23" t="str">
        <f>IF('6_지적호기심'!E55&gt;0,"O","X")</f>
        <v>X</v>
      </c>
      <c r="L55" s="23" t="str">
        <f>IF('7_특별한관심'!E55&gt;0,"O","X")</f>
        <v>X</v>
      </c>
      <c r="M55" s="23" t="str">
        <f>IF('8_탁월한능력'!E55&gt;0,"O","X")</f>
        <v>X</v>
      </c>
      <c r="N55" s="23" t="str">
        <f>IF('9_탐구활동'!E55&gt;0,"O","X")</f>
        <v>X</v>
      </c>
      <c r="O55" s="41" t="str">
        <f>IF('10_진로관련사항'!E55&gt;0,"O","X")</f>
        <v>X</v>
      </c>
      <c r="P55" s="23" t="str">
        <f>IF('11_프로젝트활동'!E55&gt;0,"O","X")</f>
        <v>X</v>
      </c>
    </row>
    <row r="56" spans="1:16">
      <c r="A56" s="9">
        <f>IF(학생명렬표!A55="","",학생명렬표!A55)</f>
        <v>1</v>
      </c>
      <c r="B56" s="23">
        <f>IF(학생명렬표!B55="","",학생명렬표!B55)</f>
        <v>4</v>
      </c>
      <c r="C56" s="23">
        <f>IF(학생명렬표!C55="","",학생명렬표!C55)</f>
        <v>4</v>
      </c>
      <c r="D56" s="23" t="str">
        <f>IF(학생명렬표!D55="","",학생명렬표!D55)</f>
        <v>김성준</v>
      </c>
      <c r="E56" s="21" t="str">
        <f>IF(F56="O",'1_교과이수내용'!F56&amp;$D$1,"")&amp;IF(G56="O",'2_지적성장과정'!F56&amp;$D$1,"")&amp;IF(H56="O",'3_학업성취도'!F56&amp;$D$1,"")&amp;IF(I56="O",'4_태도'!F56&amp;$D$1,"")&amp;IF(J56="O",'5_적극성'!F56&amp;$D$1,"")&amp;IF(K56="O",'6_지적호기심'!F56&amp;$D$1,"")&amp;IF(L56="O",'7_특별한관심'!F56&amp;$D$1,"")&amp;IF(M56="O",'8_탁월한능력'!F56&amp;$D$1,"")&amp;IF(N56="O",'9_탐구활동'!F56&amp;$D$1,"")&amp;IF(O56="O",'10_진로관련사항'!F56&amp;$D$1,"")&amp;IF(P56="O",'11_프로젝트활동'!F56&amp;$D$1,"")</f>
        <v/>
      </c>
      <c r="F56" s="23" t="str">
        <f>IF('1_교과이수내용'!E56&gt;0,"O","X")</f>
        <v>X</v>
      </c>
      <c r="G56" s="23" t="str">
        <f>IF('2_지적성장과정'!E56&gt;0,"O","X")</f>
        <v>X</v>
      </c>
      <c r="H56" s="23" t="str">
        <f>IF('3_학업성취도'!E56&gt;0,"O","X")</f>
        <v>X</v>
      </c>
      <c r="I56" s="23" t="str">
        <f>IF('4_태도'!E56&gt;0,"O","X")</f>
        <v>X</v>
      </c>
      <c r="J56" s="23" t="str">
        <f>IF('5_적극성'!E56&gt;0,"O","X")</f>
        <v>X</v>
      </c>
      <c r="K56" s="23" t="str">
        <f>IF('6_지적호기심'!E56&gt;0,"O","X")</f>
        <v>X</v>
      </c>
      <c r="L56" s="23" t="str">
        <f>IF('7_특별한관심'!E56&gt;0,"O","X")</f>
        <v>X</v>
      </c>
      <c r="M56" s="23" t="str">
        <f>IF('8_탁월한능력'!E56&gt;0,"O","X")</f>
        <v>X</v>
      </c>
      <c r="N56" s="23" t="str">
        <f>IF('9_탐구활동'!E56&gt;0,"O","X")</f>
        <v>X</v>
      </c>
      <c r="O56" s="41" t="str">
        <f>IF('10_진로관련사항'!E56&gt;0,"O","X")</f>
        <v>X</v>
      </c>
      <c r="P56" s="23" t="str">
        <f>IF('11_프로젝트활동'!E56&gt;0,"O","X")</f>
        <v>X</v>
      </c>
    </row>
    <row r="57" spans="1:16">
      <c r="A57" s="9">
        <f>IF(학생명렬표!A56="","",학생명렬표!A56)</f>
        <v>1</v>
      </c>
      <c r="B57" s="23">
        <f>IF(학생명렬표!B56="","",학생명렬표!B56)</f>
        <v>4</v>
      </c>
      <c r="C57" s="23">
        <f>IF(학생명렬표!C56="","",학생명렬표!C56)</f>
        <v>5</v>
      </c>
      <c r="D57" s="23" t="str">
        <f>IF(학생명렬표!D56="","",학생명렬표!D56)</f>
        <v>민재경</v>
      </c>
      <c r="E57" s="21" t="str">
        <f>IF(F57="O",'1_교과이수내용'!F57&amp;$D$1,"")&amp;IF(G57="O",'2_지적성장과정'!F57&amp;$D$1,"")&amp;IF(H57="O",'3_학업성취도'!F57&amp;$D$1,"")&amp;IF(I57="O",'4_태도'!F57&amp;$D$1,"")&amp;IF(J57="O",'5_적극성'!F57&amp;$D$1,"")&amp;IF(K57="O",'6_지적호기심'!F57&amp;$D$1,"")&amp;IF(L57="O",'7_특별한관심'!F57&amp;$D$1,"")&amp;IF(M57="O",'8_탁월한능력'!F57&amp;$D$1,"")&amp;IF(N57="O",'9_탐구활동'!F57&amp;$D$1,"")&amp;IF(O57="O",'10_진로관련사항'!F57&amp;$D$1,"")&amp;IF(P57="O",'11_프로젝트활동'!F57&amp;$D$1,"")</f>
        <v/>
      </c>
      <c r="F57" s="23" t="str">
        <f>IF('1_교과이수내용'!E57&gt;0,"O","X")</f>
        <v>X</v>
      </c>
      <c r="G57" s="23" t="str">
        <f>IF('2_지적성장과정'!E57&gt;0,"O","X")</f>
        <v>X</v>
      </c>
      <c r="H57" s="23" t="str">
        <f>IF('3_학업성취도'!E57&gt;0,"O","X")</f>
        <v>X</v>
      </c>
      <c r="I57" s="23" t="str">
        <f>IF('4_태도'!E57&gt;0,"O","X")</f>
        <v>X</v>
      </c>
      <c r="J57" s="23" t="str">
        <f>IF('5_적극성'!E57&gt;0,"O","X")</f>
        <v>X</v>
      </c>
      <c r="K57" s="23" t="str">
        <f>IF('6_지적호기심'!E57&gt;0,"O","X")</f>
        <v>X</v>
      </c>
      <c r="L57" s="23" t="str">
        <f>IF('7_특별한관심'!E57&gt;0,"O","X")</f>
        <v>X</v>
      </c>
      <c r="M57" s="23" t="str">
        <f>IF('8_탁월한능력'!E57&gt;0,"O","X")</f>
        <v>X</v>
      </c>
      <c r="N57" s="23" t="str">
        <f>IF('9_탐구활동'!E57&gt;0,"O","X")</f>
        <v>X</v>
      </c>
      <c r="O57" s="41" t="str">
        <f>IF('10_진로관련사항'!E57&gt;0,"O","X")</f>
        <v>X</v>
      </c>
      <c r="P57" s="23" t="str">
        <f>IF('11_프로젝트활동'!E57&gt;0,"O","X")</f>
        <v>X</v>
      </c>
    </row>
    <row r="58" spans="1:16">
      <c r="A58" s="9">
        <f>IF(학생명렬표!A57="","",학생명렬표!A57)</f>
        <v>1</v>
      </c>
      <c r="B58" s="23">
        <f>IF(학생명렬표!B57="","",학생명렬표!B57)</f>
        <v>4</v>
      </c>
      <c r="C58" s="23">
        <f>IF(학생명렬표!C57="","",학생명렬표!C57)</f>
        <v>6</v>
      </c>
      <c r="D58" s="23" t="str">
        <f>IF(학생명렬표!D57="","",학생명렬표!D57)</f>
        <v>방준하</v>
      </c>
      <c r="E58" s="21" t="str">
        <f>IF(F58="O",'1_교과이수내용'!F58&amp;$D$1,"")&amp;IF(G58="O",'2_지적성장과정'!F58&amp;$D$1,"")&amp;IF(H58="O",'3_학업성취도'!F58&amp;$D$1,"")&amp;IF(I58="O",'4_태도'!F58&amp;$D$1,"")&amp;IF(J58="O",'5_적극성'!F58&amp;$D$1,"")&amp;IF(K58="O",'6_지적호기심'!F58&amp;$D$1,"")&amp;IF(L58="O",'7_특별한관심'!F58&amp;$D$1,"")&amp;IF(M58="O",'8_탁월한능력'!F58&amp;$D$1,"")&amp;IF(N58="O",'9_탐구활동'!F58&amp;$D$1,"")&amp;IF(O58="O",'10_진로관련사항'!F58&amp;$D$1,"")&amp;IF(P58="O",'11_프로젝트활동'!F58&amp;$D$1,"")</f>
        <v/>
      </c>
      <c r="F58" s="23" t="str">
        <f>IF('1_교과이수내용'!E58&gt;0,"O","X")</f>
        <v>X</v>
      </c>
      <c r="G58" s="23" t="str">
        <f>IF('2_지적성장과정'!E58&gt;0,"O","X")</f>
        <v>X</v>
      </c>
      <c r="H58" s="23" t="str">
        <f>IF('3_학업성취도'!E58&gt;0,"O","X")</f>
        <v>X</v>
      </c>
      <c r="I58" s="23" t="str">
        <f>IF('4_태도'!E58&gt;0,"O","X")</f>
        <v>X</v>
      </c>
      <c r="J58" s="23" t="str">
        <f>IF('5_적극성'!E58&gt;0,"O","X")</f>
        <v>X</v>
      </c>
      <c r="K58" s="23" t="str">
        <f>IF('6_지적호기심'!E58&gt;0,"O","X")</f>
        <v>X</v>
      </c>
      <c r="L58" s="23" t="str">
        <f>IF('7_특별한관심'!E58&gt;0,"O","X")</f>
        <v>X</v>
      </c>
      <c r="M58" s="23" t="str">
        <f>IF('8_탁월한능력'!E58&gt;0,"O","X")</f>
        <v>X</v>
      </c>
      <c r="N58" s="23" t="str">
        <f>IF('9_탐구활동'!E58&gt;0,"O","X")</f>
        <v>X</v>
      </c>
      <c r="O58" s="41" t="str">
        <f>IF('10_진로관련사항'!E58&gt;0,"O","X")</f>
        <v>X</v>
      </c>
      <c r="P58" s="23" t="str">
        <f>IF('11_프로젝트활동'!E58&gt;0,"O","X")</f>
        <v>X</v>
      </c>
    </row>
    <row r="59" spans="1:16">
      <c r="A59" s="9">
        <f>IF(학생명렬표!A58="","",학생명렬표!A58)</f>
        <v>1</v>
      </c>
      <c r="B59" s="23">
        <f>IF(학생명렬표!B58="","",학생명렬표!B58)</f>
        <v>4</v>
      </c>
      <c r="C59" s="23">
        <f>IF(학생명렬표!C58="","",학생명렬표!C58)</f>
        <v>7</v>
      </c>
      <c r="D59" s="23" t="str">
        <f>IF(학생명렬표!D58="","",학생명렬표!D58)</f>
        <v>배준성</v>
      </c>
      <c r="E59" s="21" t="str">
        <f>IF(F59="O",'1_교과이수내용'!F59&amp;$D$1,"")&amp;IF(G59="O",'2_지적성장과정'!F59&amp;$D$1,"")&amp;IF(H59="O",'3_학업성취도'!F59&amp;$D$1,"")&amp;IF(I59="O",'4_태도'!F59&amp;$D$1,"")&amp;IF(J59="O",'5_적극성'!F59&amp;$D$1,"")&amp;IF(K59="O",'6_지적호기심'!F59&amp;$D$1,"")&amp;IF(L59="O",'7_특별한관심'!F59&amp;$D$1,"")&amp;IF(M59="O",'8_탁월한능력'!F59&amp;$D$1,"")&amp;IF(N59="O",'9_탐구활동'!F59&amp;$D$1,"")&amp;IF(O59="O",'10_진로관련사항'!F59&amp;$D$1,"")&amp;IF(P59="O",'11_프로젝트활동'!F59&amp;$D$1,"")</f>
        <v/>
      </c>
      <c r="F59" s="23" t="str">
        <f>IF('1_교과이수내용'!E59&gt;0,"O","X")</f>
        <v>X</v>
      </c>
      <c r="G59" s="23" t="str">
        <f>IF('2_지적성장과정'!E59&gt;0,"O","X")</f>
        <v>X</v>
      </c>
      <c r="H59" s="23" t="str">
        <f>IF('3_학업성취도'!E59&gt;0,"O","X")</f>
        <v>X</v>
      </c>
      <c r="I59" s="23" t="str">
        <f>IF('4_태도'!E59&gt;0,"O","X")</f>
        <v>X</v>
      </c>
      <c r="J59" s="23" t="str">
        <f>IF('5_적극성'!E59&gt;0,"O","X")</f>
        <v>X</v>
      </c>
      <c r="K59" s="23" t="str">
        <f>IF('6_지적호기심'!E59&gt;0,"O","X")</f>
        <v>X</v>
      </c>
      <c r="L59" s="23" t="str">
        <f>IF('7_특별한관심'!E59&gt;0,"O","X")</f>
        <v>X</v>
      </c>
      <c r="M59" s="23" t="str">
        <f>IF('8_탁월한능력'!E59&gt;0,"O","X")</f>
        <v>X</v>
      </c>
      <c r="N59" s="23" t="str">
        <f>IF('9_탐구활동'!E59&gt;0,"O","X")</f>
        <v>X</v>
      </c>
      <c r="O59" s="41" t="str">
        <f>IF('10_진로관련사항'!E59&gt;0,"O","X")</f>
        <v>X</v>
      </c>
      <c r="P59" s="23" t="str">
        <f>IF('11_프로젝트활동'!E59&gt;0,"O","X")</f>
        <v>X</v>
      </c>
    </row>
    <row r="60" spans="1:16">
      <c r="A60" s="9">
        <f>IF(학생명렬표!A59="","",학생명렬표!A59)</f>
        <v>1</v>
      </c>
      <c r="B60" s="23">
        <f>IF(학생명렬표!B59="","",학생명렬표!B59)</f>
        <v>4</v>
      </c>
      <c r="C60" s="23">
        <f>IF(학생명렬표!C59="","",학생명렬표!C59)</f>
        <v>8</v>
      </c>
      <c r="D60" s="23" t="str">
        <f>IF(학생명렬표!D59="","",학생명렬표!D59)</f>
        <v>봉준상</v>
      </c>
      <c r="E60" s="21" t="str">
        <f>IF(F60="O",'1_교과이수내용'!F60&amp;$D$1,"")&amp;IF(G60="O",'2_지적성장과정'!F60&amp;$D$1,"")&amp;IF(H60="O",'3_학업성취도'!F60&amp;$D$1,"")&amp;IF(I60="O",'4_태도'!F60&amp;$D$1,"")&amp;IF(J60="O",'5_적극성'!F60&amp;$D$1,"")&amp;IF(K60="O",'6_지적호기심'!F60&amp;$D$1,"")&amp;IF(L60="O",'7_특별한관심'!F60&amp;$D$1,"")&amp;IF(M60="O",'8_탁월한능력'!F60&amp;$D$1,"")&amp;IF(N60="O",'9_탐구활동'!F60&amp;$D$1,"")&amp;IF(O60="O",'10_진로관련사항'!F60&amp;$D$1,"")&amp;IF(P60="O",'11_프로젝트활동'!F60&amp;$D$1,"")</f>
        <v/>
      </c>
      <c r="F60" s="23" t="str">
        <f>IF('1_교과이수내용'!E60&gt;0,"O","X")</f>
        <v>X</v>
      </c>
      <c r="G60" s="23" t="str">
        <f>IF('2_지적성장과정'!E60&gt;0,"O","X")</f>
        <v>X</v>
      </c>
      <c r="H60" s="23" t="str">
        <f>IF('3_학업성취도'!E60&gt;0,"O","X")</f>
        <v>X</v>
      </c>
      <c r="I60" s="23" t="str">
        <f>IF('4_태도'!E60&gt;0,"O","X")</f>
        <v>X</v>
      </c>
      <c r="J60" s="23" t="str">
        <f>IF('5_적극성'!E60&gt;0,"O","X")</f>
        <v>X</v>
      </c>
      <c r="K60" s="23" t="str">
        <f>IF('6_지적호기심'!E60&gt;0,"O","X")</f>
        <v>X</v>
      </c>
      <c r="L60" s="23" t="str">
        <f>IF('7_특별한관심'!E60&gt;0,"O","X")</f>
        <v>X</v>
      </c>
      <c r="M60" s="23" t="str">
        <f>IF('8_탁월한능력'!E60&gt;0,"O","X")</f>
        <v>X</v>
      </c>
      <c r="N60" s="23" t="str">
        <f>IF('9_탐구활동'!E60&gt;0,"O","X")</f>
        <v>X</v>
      </c>
      <c r="O60" s="41" t="str">
        <f>IF('10_진로관련사항'!E60&gt;0,"O","X")</f>
        <v>X</v>
      </c>
      <c r="P60" s="23" t="str">
        <f>IF('11_프로젝트활동'!E60&gt;0,"O","X")</f>
        <v>X</v>
      </c>
    </row>
    <row r="61" spans="1:16">
      <c r="A61" s="9">
        <f>IF(학생명렬표!A60="","",학생명렬표!A60)</f>
        <v>1</v>
      </c>
      <c r="B61" s="23">
        <f>IF(학생명렬표!B60="","",학생명렬표!B60)</f>
        <v>4</v>
      </c>
      <c r="C61" s="23">
        <f>IF(학생명렬표!C60="","",학생명렬표!C60)</f>
        <v>9</v>
      </c>
      <c r="D61" s="23" t="str">
        <f>IF(학생명렬표!D60="","",학생명렬표!D60)</f>
        <v>성하늘</v>
      </c>
      <c r="E61" s="21" t="str">
        <f>IF(F61="O",'1_교과이수내용'!F61&amp;$D$1,"")&amp;IF(G61="O",'2_지적성장과정'!F61&amp;$D$1,"")&amp;IF(H61="O",'3_학업성취도'!F61&amp;$D$1,"")&amp;IF(I61="O",'4_태도'!F61&amp;$D$1,"")&amp;IF(J61="O",'5_적극성'!F61&amp;$D$1,"")&amp;IF(K61="O",'6_지적호기심'!F61&amp;$D$1,"")&amp;IF(L61="O",'7_특별한관심'!F61&amp;$D$1,"")&amp;IF(M61="O",'8_탁월한능력'!F61&amp;$D$1,"")&amp;IF(N61="O",'9_탐구활동'!F61&amp;$D$1,"")&amp;IF(O61="O",'10_진로관련사항'!F61&amp;$D$1,"")&amp;IF(P61="O",'11_프로젝트활동'!F61&amp;$D$1,"")</f>
        <v/>
      </c>
      <c r="F61" s="23" t="str">
        <f>IF('1_교과이수내용'!E61&gt;0,"O","X")</f>
        <v>X</v>
      </c>
      <c r="G61" s="23" t="str">
        <f>IF('2_지적성장과정'!E61&gt;0,"O","X")</f>
        <v>X</v>
      </c>
      <c r="H61" s="23" t="str">
        <f>IF('3_학업성취도'!E61&gt;0,"O","X")</f>
        <v>X</v>
      </c>
      <c r="I61" s="23" t="str">
        <f>IF('4_태도'!E61&gt;0,"O","X")</f>
        <v>X</v>
      </c>
      <c r="J61" s="23" t="str">
        <f>IF('5_적극성'!E61&gt;0,"O","X")</f>
        <v>X</v>
      </c>
      <c r="K61" s="23" t="str">
        <f>IF('6_지적호기심'!E61&gt;0,"O","X")</f>
        <v>X</v>
      </c>
      <c r="L61" s="23" t="str">
        <f>IF('7_특별한관심'!E61&gt;0,"O","X")</f>
        <v>X</v>
      </c>
      <c r="M61" s="23" t="str">
        <f>IF('8_탁월한능력'!E61&gt;0,"O","X")</f>
        <v>X</v>
      </c>
      <c r="N61" s="23" t="str">
        <f>IF('9_탐구활동'!E61&gt;0,"O","X")</f>
        <v>X</v>
      </c>
      <c r="O61" s="41" t="str">
        <f>IF('10_진로관련사항'!E61&gt;0,"O","X")</f>
        <v>X</v>
      </c>
      <c r="P61" s="23" t="str">
        <f>IF('11_프로젝트활동'!E61&gt;0,"O","X")</f>
        <v>X</v>
      </c>
    </row>
    <row r="62" spans="1:16">
      <c r="A62" s="9">
        <f>IF(학생명렬표!A61="","",학생명렬표!A61)</f>
        <v>1</v>
      </c>
      <c r="B62" s="23">
        <f>IF(학생명렬표!B61="","",학생명렬표!B61)</f>
        <v>4</v>
      </c>
      <c r="C62" s="23">
        <f>IF(학생명렬표!C61="","",학생명렬표!C61)</f>
        <v>10</v>
      </c>
      <c r="D62" s="23" t="str">
        <f>IF(학생명렬표!D61="","",학생명렬표!D61)</f>
        <v>유재성</v>
      </c>
      <c r="E62" s="21" t="str">
        <f>IF(F62="O",'1_교과이수내용'!F62&amp;$D$1,"")&amp;IF(G62="O",'2_지적성장과정'!F62&amp;$D$1,"")&amp;IF(H62="O",'3_학업성취도'!F62&amp;$D$1,"")&amp;IF(I62="O",'4_태도'!F62&amp;$D$1,"")&amp;IF(J62="O",'5_적극성'!F62&amp;$D$1,"")&amp;IF(K62="O",'6_지적호기심'!F62&amp;$D$1,"")&amp;IF(L62="O",'7_특별한관심'!F62&amp;$D$1,"")&amp;IF(M62="O",'8_탁월한능력'!F62&amp;$D$1,"")&amp;IF(N62="O",'9_탐구활동'!F62&amp;$D$1,"")&amp;IF(O62="O",'10_진로관련사항'!F62&amp;$D$1,"")&amp;IF(P62="O",'11_프로젝트활동'!F62&amp;$D$1,"")</f>
        <v/>
      </c>
      <c r="F62" s="23" t="str">
        <f>IF('1_교과이수내용'!E62&gt;0,"O","X")</f>
        <v>X</v>
      </c>
      <c r="G62" s="23" t="str">
        <f>IF('2_지적성장과정'!E62&gt;0,"O","X")</f>
        <v>X</v>
      </c>
      <c r="H62" s="23" t="str">
        <f>IF('3_학업성취도'!E62&gt;0,"O","X")</f>
        <v>X</v>
      </c>
      <c r="I62" s="23" t="str">
        <f>IF('4_태도'!E62&gt;0,"O","X")</f>
        <v>X</v>
      </c>
      <c r="J62" s="23" t="str">
        <f>IF('5_적극성'!E62&gt;0,"O","X")</f>
        <v>X</v>
      </c>
      <c r="K62" s="23" t="str">
        <f>IF('6_지적호기심'!E62&gt;0,"O","X")</f>
        <v>X</v>
      </c>
      <c r="L62" s="23" t="str">
        <f>IF('7_특별한관심'!E62&gt;0,"O","X")</f>
        <v>X</v>
      </c>
      <c r="M62" s="23" t="str">
        <f>IF('8_탁월한능력'!E62&gt;0,"O","X")</f>
        <v>X</v>
      </c>
      <c r="N62" s="23" t="str">
        <f>IF('9_탐구활동'!E62&gt;0,"O","X")</f>
        <v>X</v>
      </c>
      <c r="O62" s="41" t="str">
        <f>IF('10_진로관련사항'!E62&gt;0,"O","X")</f>
        <v>X</v>
      </c>
      <c r="P62" s="23" t="str">
        <f>IF('11_프로젝트활동'!E62&gt;0,"O","X")</f>
        <v>X</v>
      </c>
    </row>
    <row r="63" spans="1:16">
      <c r="A63" s="9">
        <f>IF(학생명렬표!A62="","",학생명렬표!A62)</f>
        <v>1</v>
      </c>
      <c r="B63" s="23">
        <f>IF(학생명렬표!B62="","",학생명렬표!B62)</f>
        <v>4</v>
      </c>
      <c r="C63" s="23">
        <f>IF(학생명렬표!C62="","",학생명렬표!C62)</f>
        <v>11</v>
      </c>
      <c r="D63" s="23" t="str">
        <f>IF(학생명렬표!D62="","",학생명렬표!D62)</f>
        <v>이현진</v>
      </c>
      <c r="E63" s="21" t="str">
        <f>IF(F63="O",'1_교과이수내용'!F63&amp;$D$1,"")&amp;IF(G63="O",'2_지적성장과정'!F63&amp;$D$1,"")&amp;IF(H63="O",'3_학업성취도'!F63&amp;$D$1,"")&amp;IF(I63="O",'4_태도'!F63&amp;$D$1,"")&amp;IF(J63="O",'5_적극성'!F63&amp;$D$1,"")&amp;IF(K63="O",'6_지적호기심'!F63&amp;$D$1,"")&amp;IF(L63="O",'7_특별한관심'!F63&amp;$D$1,"")&amp;IF(M63="O",'8_탁월한능력'!F63&amp;$D$1,"")&amp;IF(N63="O",'9_탐구활동'!F63&amp;$D$1,"")&amp;IF(O63="O",'10_진로관련사항'!F63&amp;$D$1,"")&amp;IF(P63="O",'11_프로젝트활동'!F63&amp;$D$1,"")</f>
        <v/>
      </c>
      <c r="F63" s="23" t="str">
        <f>IF('1_교과이수내용'!E63&gt;0,"O","X")</f>
        <v>X</v>
      </c>
      <c r="G63" s="23" t="str">
        <f>IF('2_지적성장과정'!E63&gt;0,"O","X")</f>
        <v>X</v>
      </c>
      <c r="H63" s="23" t="str">
        <f>IF('3_학업성취도'!E63&gt;0,"O","X")</f>
        <v>X</v>
      </c>
      <c r="I63" s="23" t="str">
        <f>IF('4_태도'!E63&gt;0,"O","X")</f>
        <v>X</v>
      </c>
      <c r="J63" s="23" t="str">
        <f>IF('5_적극성'!E63&gt;0,"O","X")</f>
        <v>X</v>
      </c>
      <c r="K63" s="23" t="str">
        <f>IF('6_지적호기심'!E63&gt;0,"O","X")</f>
        <v>X</v>
      </c>
      <c r="L63" s="23" t="str">
        <f>IF('7_특별한관심'!E63&gt;0,"O","X")</f>
        <v>X</v>
      </c>
      <c r="M63" s="23" t="str">
        <f>IF('8_탁월한능력'!E63&gt;0,"O","X")</f>
        <v>X</v>
      </c>
      <c r="N63" s="23" t="str">
        <f>IF('9_탐구활동'!E63&gt;0,"O","X")</f>
        <v>X</v>
      </c>
      <c r="O63" s="41" t="str">
        <f>IF('10_진로관련사항'!E63&gt;0,"O","X")</f>
        <v>X</v>
      </c>
      <c r="P63" s="23" t="str">
        <f>IF('11_프로젝트활동'!E63&gt;0,"O","X")</f>
        <v>X</v>
      </c>
    </row>
    <row r="64" spans="1:16">
      <c r="A64" s="9">
        <f>IF(학생명렬표!A63="","",학생명렬표!A63)</f>
        <v>1</v>
      </c>
      <c r="B64" s="23">
        <f>IF(학생명렬표!B63="","",학생명렬표!B63)</f>
        <v>4</v>
      </c>
      <c r="C64" s="23">
        <f>IF(학생명렬표!C63="","",학생명렬표!C63)</f>
        <v>12</v>
      </c>
      <c r="D64" s="23" t="str">
        <f>IF(학생명렬표!D63="","",학생명렬표!D63)</f>
        <v>임정훈</v>
      </c>
      <c r="E64" s="21" t="str">
        <f>IF(F64="O",'1_교과이수내용'!F64&amp;$D$1,"")&amp;IF(G64="O",'2_지적성장과정'!F64&amp;$D$1,"")&amp;IF(H64="O",'3_학업성취도'!F64&amp;$D$1,"")&amp;IF(I64="O",'4_태도'!F64&amp;$D$1,"")&amp;IF(J64="O",'5_적극성'!F64&amp;$D$1,"")&amp;IF(K64="O",'6_지적호기심'!F64&amp;$D$1,"")&amp;IF(L64="O",'7_특별한관심'!F64&amp;$D$1,"")&amp;IF(M64="O",'8_탁월한능력'!F64&amp;$D$1,"")&amp;IF(N64="O",'9_탐구활동'!F64&amp;$D$1,"")&amp;IF(O64="O",'10_진로관련사항'!F64&amp;$D$1,"")&amp;IF(P64="O",'11_프로젝트활동'!F64&amp;$D$1,"")</f>
        <v/>
      </c>
      <c r="F64" s="23" t="str">
        <f>IF('1_교과이수내용'!E64&gt;0,"O","X")</f>
        <v>X</v>
      </c>
      <c r="G64" s="23" t="str">
        <f>IF('2_지적성장과정'!E64&gt;0,"O","X")</f>
        <v>X</v>
      </c>
      <c r="H64" s="23" t="str">
        <f>IF('3_학업성취도'!E64&gt;0,"O","X")</f>
        <v>X</v>
      </c>
      <c r="I64" s="23" t="str">
        <f>IF('4_태도'!E64&gt;0,"O","X")</f>
        <v>X</v>
      </c>
      <c r="J64" s="23" t="str">
        <f>IF('5_적극성'!E64&gt;0,"O","X")</f>
        <v>X</v>
      </c>
      <c r="K64" s="23" t="str">
        <f>IF('6_지적호기심'!E64&gt;0,"O","X")</f>
        <v>X</v>
      </c>
      <c r="L64" s="23" t="str">
        <f>IF('7_특별한관심'!E64&gt;0,"O","X")</f>
        <v>X</v>
      </c>
      <c r="M64" s="23" t="str">
        <f>IF('8_탁월한능력'!E64&gt;0,"O","X")</f>
        <v>X</v>
      </c>
      <c r="N64" s="23" t="str">
        <f>IF('9_탐구활동'!E64&gt;0,"O","X")</f>
        <v>X</v>
      </c>
      <c r="O64" s="41" t="str">
        <f>IF('10_진로관련사항'!E64&gt;0,"O","X")</f>
        <v>X</v>
      </c>
      <c r="P64" s="23" t="str">
        <f>IF('11_프로젝트활동'!E64&gt;0,"O","X")</f>
        <v>X</v>
      </c>
    </row>
    <row r="65" spans="1:16">
      <c r="A65" s="9">
        <f>IF(학생명렬표!A64="","",학생명렬표!A64)</f>
        <v>1</v>
      </c>
      <c r="B65" s="23">
        <f>IF(학생명렬표!B64="","",학생명렬표!B64)</f>
        <v>4</v>
      </c>
      <c r="C65" s="23">
        <f>IF(학생명렬표!C64="","",학생명렬표!C64)</f>
        <v>13</v>
      </c>
      <c r="D65" s="23" t="str">
        <f>IF(학생명렬표!D64="","",학생명렬표!D64)</f>
        <v>전수정</v>
      </c>
      <c r="E65" s="21" t="str">
        <f>IF(F65="O",'1_교과이수내용'!F65&amp;$D$1,"")&amp;IF(G65="O",'2_지적성장과정'!F65&amp;$D$1,"")&amp;IF(H65="O",'3_학업성취도'!F65&amp;$D$1,"")&amp;IF(I65="O",'4_태도'!F65&amp;$D$1,"")&amp;IF(J65="O",'5_적극성'!F65&amp;$D$1,"")&amp;IF(K65="O",'6_지적호기심'!F65&amp;$D$1,"")&amp;IF(L65="O",'7_특별한관심'!F65&amp;$D$1,"")&amp;IF(M65="O",'8_탁월한능력'!F65&amp;$D$1,"")&amp;IF(N65="O",'9_탐구활동'!F65&amp;$D$1,"")&amp;IF(O65="O",'10_진로관련사항'!F65&amp;$D$1,"")&amp;IF(P65="O",'11_프로젝트활동'!F65&amp;$D$1,"")</f>
        <v/>
      </c>
      <c r="F65" s="23" t="str">
        <f>IF('1_교과이수내용'!E65&gt;0,"O","X")</f>
        <v>X</v>
      </c>
      <c r="G65" s="23" t="str">
        <f>IF('2_지적성장과정'!E65&gt;0,"O","X")</f>
        <v>X</v>
      </c>
      <c r="H65" s="23" t="str">
        <f>IF('3_학업성취도'!E65&gt;0,"O","X")</f>
        <v>X</v>
      </c>
      <c r="I65" s="23" t="str">
        <f>IF('4_태도'!E65&gt;0,"O","X")</f>
        <v>X</v>
      </c>
      <c r="J65" s="23" t="str">
        <f>IF('5_적극성'!E65&gt;0,"O","X")</f>
        <v>X</v>
      </c>
      <c r="K65" s="23" t="str">
        <f>IF('6_지적호기심'!E65&gt;0,"O","X")</f>
        <v>X</v>
      </c>
      <c r="L65" s="23" t="str">
        <f>IF('7_특별한관심'!E65&gt;0,"O","X")</f>
        <v>X</v>
      </c>
      <c r="M65" s="23" t="str">
        <f>IF('8_탁월한능력'!E65&gt;0,"O","X")</f>
        <v>X</v>
      </c>
      <c r="N65" s="23" t="str">
        <f>IF('9_탐구활동'!E65&gt;0,"O","X")</f>
        <v>X</v>
      </c>
      <c r="O65" s="41" t="str">
        <f>IF('10_진로관련사항'!E65&gt;0,"O","X")</f>
        <v>X</v>
      </c>
      <c r="P65" s="23" t="str">
        <f>IF('11_프로젝트활동'!E65&gt;0,"O","X")</f>
        <v>X</v>
      </c>
    </row>
    <row r="66" spans="1:16">
      <c r="A66" s="9">
        <f>IF(학생명렬표!A65="","",학생명렬표!A65)</f>
        <v>1</v>
      </c>
      <c r="B66" s="23">
        <f>IF(학생명렬표!B65="","",학생명렬표!B65)</f>
        <v>4</v>
      </c>
      <c r="C66" s="23">
        <f>IF(학생명렬표!C65="","",학생명렬표!C65)</f>
        <v>14</v>
      </c>
      <c r="D66" s="23" t="str">
        <f>IF(학생명렬표!D65="","",학생명렬표!D65)</f>
        <v>정지윤</v>
      </c>
      <c r="E66" s="21" t="str">
        <f>IF(F66="O",'1_교과이수내용'!F66&amp;$D$1,"")&amp;IF(G66="O",'2_지적성장과정'!F66&amp;$D$1,"")&amp;IF(H66="O",'3_학업성취도'!F66&amp;$D$1,"")&amp;IF(I66="O",'4_태도'!F66&amp;$D$1,"")&amp;IF(J66="O",'5_적극성'!F66&amp;$D$1,"")&amp;IF(K66="O",'6_지적호기심'!F66&amp;$D$1,"")&amp;IF(L66="O",'7_특별한관심'!F66&amp;$D$1,"")&amp;IF(M66="O",'8_탁월한능력'!F66&amp;$D$1,"")&amp;IF(N66="O",'9_탐구활동'!F66&amp;$D$1,"")&amp;IF(O66="O",'10_진로관련사항'!F66&amp;$D$1,"")&amp;IF(P66="O",'11_프로젝트활동'!F66&amp;$D$1,"")</f>
        <v/>
      </c>
      <c r="F66" s="23" t="str">
        <f>IF('1_교과이수내용'!E66&gt;0,"O","X")</f>
        <v>X</v>
      </c>
      <c r="G66" s="23" t="str">
        <f>IF('2_지적성장과정'!E66&gt;0,"O","X")</f>
        <v>X</v>
      </c>
      <c r="H66" s="23" t="str">
        <f>IF('3_학업성취도'!E66&gt;0,"O","X")</f>
        <v>X</v>
      </c>
      <c r="I66" s="23" t="str">
        <f>IF('4_태도'!E66&gt;0,"O","X")</f>
        <v>X</v>
      </c>
      <c r="J66" s="23" t="str">
        <f>IF('5_적극성'!E66&gt;0,"O","X")</f>
        <v>X</v>
      </c>
      <c r="K66" s="23" t="str">
        <f>IF('6_지적호기심'!E66&gt;0,"O","X")</f>
        <v>X</v>
      </c>
      <c r="L66" s="23" t="str">
        <f>IF('7_특별한관심'!E66&gt;0,"O","X")</f>
        <v>X</v>
      </c>
      <c r="M66" s="23" t="str">
        <f>IF('8_탁월한능력'!E66&gt;0,"O","X")</f>
        <v>X</v>
      </c>
      <c r="N66" s="23" t="str">
        <f>IF('9_탐구활동'!E66&gt;0,"O","X")</f>
        <v>X</v>
      </c>
      <c r="O66" s="41" t="str">
        <f>IF('10_진로관련사항'!E66&gt;0,"O","X")</f>
        <v>X</v>
      </c>
      <c r="P66" s="23" t="str">
        <f>IF('11_프로젝트활동'!E66&gt;0,"O","X")</f>
        <v>X</v>
      </c>
    </row>
    <row r="67" spans="1:16">
      <c r="A67" s="9">
        <f>IF(학생명렬표!A66="","",학생명렬표!A66)</f>
        <v>1</v>
      </c>
      <c r="B67" s="23">
        <f>IF(학생명렬표!B66="","",학생명렬표!B66)</f>
        <v>4</v>
      </c>
      <c r="C67" s="23">
        <f>IF(학생명렬표!C66="","",학생명렬표!C66)</f>
        <v>15</v>
      </c>
      <c r="D67" s="23" t="str">
        <f>IF(학생명렬표!D66="","",학생명렬표!D66)</f>
        <v>최희웅</v>
      </c>
      <c r="E67" s="21" t="str">
        <f>IF(F67="O",'1_교과이수내용'!F67&amp;$D$1,"")&amp;IF(G67="O",'2_지적성장과정'!F67&amp;$D$1,"")&amp;IF(H67="O",'3_학업성취도'!F67&amp;$D$1,"")&amp;IF(I67="O",'4_태도'!F67&amp;$D$1,"")&amp;IF(J67="O",'5_적극성'!F67&amp;$D$1,"")&amp;IF(K67="O",'6_지적호기심'!F67&amp;$D$1,"")&amp;IF(L67="O",'7_특별한관심'!F67&amp;$D$1,"")&amp;IF(M67="O",'8_탁월한능력'!F67&amp;$D$1,"")&amp;IF(N67="O",'9_탐구활동'!F67&amp;$D$1,"")&amp;IF(O67="O",'10_진로관련사항'!F67&amp;$D$1,"")&amp;IF(P67="O",'11_프로젝트활동'!F67&amp;$D$1,"")</f>
        <v/>
      </c>
      <c r="F67" s="23" t="str">
        <f>IF('1_교과이수내용'!E67&gt;0,"O","X")</f>
        <v>X</v>
      </c>
      <c r="G67" s="23" t="str">
        <f>IF('2_지적성장과정'!E67&gt;0,"O","X")</f>
        <v>X</v>
      </c>
      <c r="H67" s="23" t="str">
        <f>IF('3_학업성취도'!E67&gt;0,"O","X")</f>
        <v>X</v>
      </c>
      <c r="I67" s="23" t="str">
        <f>IF('4_태도'!E67&gt;0,"O","X")</f>
        <v>X</v>
      </c>
      <c r="J67" s="23" t="str">
        <f>IF('5_적극성'!E67&gt;0,"O","X")</f>
        <v>X</v>
      </c>
      <c r="K67" s="23" t="str">
        <f>IF('6_지적호기심'!E67&gt;0,"O","X")</f>
        <v>X</v>
      </c>
      <c r="L67" s="23" t="str">
        <f>IF('7_특별한관심'!E67&gt;0,"O","X")</f>
        <v>X</v>
      </c>
      <c r="M67" s="23" t="str">
        <f>IF('8_탁월한능력'!E67&gt;0,"O","X")</f>
        <v>X</v>
      </c>
      <c r="N67" s="23" t="str">
        <f>IF('9_탐구활동'!E67&gt;0,"O","X")</f>
        <v>X</v>
      </c>
      <c r="O67" s="41" t="str">
        <f>IF('10_진로관련사항'!E67&gt;0,"O","X")</f>
        <v>X</v>
      </c>
      <c r="P67" s="23" t="str">
        <f>IF('11_프로젝트활동'!E67&gt;0,"O","X")</f>
        <v>X</v>
      </c>
    </row>
    <row r="68" spans="1:16">
      <c r="A68" s="9">
        <f>IF(학생명렬표!A67="","",학생명렬표!A67)</f>
        <v>1</v>
      </c>
      <c r="B68" s="23">
        <f>IF(학생명렬표!B67="","",학생명렬표!B67)</f>
        <v>4</v>
      </c>
      <c r="C68" s="23">
        <f>IF(학생명렬표!C67="","",학생명렬표!C67)</f>
        <v>16</v>
      </c>
      <c r="D68" s="23" t="str">
        <f>IF(학생명렬표!D67="","",학생명렬표!D67)</f>
        <v>편성주</v>
      </c>
      <c r="E68" s="21" t="str">
        <f>IF(F68="O",'1_교과이수내용'!F68&amp;$D$1,"")&amp;IF(G68="O",'2_지적성장과정'!F68&amp;$D$1,"")&amp;IF(H68="O",'3_학업성취도'!F68&amp;$D$1,"")&amp;IF(I68="O",'4_태도'!F68&amp;$D$1,"")&amp;IF(J68="O",'5_적극성'!F68&amp;$D$1,"")&amp;IF(K68="O",'6_지적호기심'!F68&amp;$D$1,"")&amp;IF(L68="O",'7_특별한관심'!F68&amp;$D$1,"")&amp;IF(M68="O",'8_탁월한능력'!F68&amp;$D$1,"")&amp;IF(N68="O",'9_탐구활동'!F68&amp;$D$1,"")&amp;IF(O68="O",'10_진로관련사항'!F68&amp;$D$1,"")&amp;IF(P68="O",'11_프로젝트활동'!F68&amp;$D$1,"")</f>
        <v/>
      </c>
      <c r="F68" s="23" t="str">
        <f>IF('1_교과이수내용'!E68&gt;0,"O","X")</f>
        <v>X</v>
      </c>
      <c r="G68" s="23" t="str">
        <f>IF('2_지적성장과정'!E68&gt;0,"O","X")</f>
        <v>X</v>
      </c>
      <c r="H68" s="23" t="str">
        <f>IF('3_학업성취도'!E68&gt;0,"O","X")</f>
        <v>X</v>
      </c>
      <c r="I68" s="23" t="str">
        <f>IF('4_태도'!E68&gt;0,"O","X")</f>
        <v>X</v>
      </c>
      <c r="J68" s="23" t="str">
        <f>IF('5_적극성'!E68&gt;0,"O","X")</f>
        <v>X</v>
      </c>
      <c r="K68" s="23" t="str">
        <f>IF('6_지적호기심'!E68&gt;0,"O","X")</f>
        <v>X</v>
      </c>
      <c r="L68" s="23" t="str">
        <f>IF('7_특별한관심'!E68&gt;0,"O","X")</f>
        <v>X</v>
      </c>
      <c r="M68" s="23" t="str">
        <f>IF('8_탁월한능력'!E68&gt;0,"O","X")</f>
        <v>X</v>
      </c>
      <c r="N68" s="23" t="str">
        <f>IF('9_탐구활동'!E68&gt;0,"O","X")</f>
        <v>X</v>
      </c>
      <c r="O68" s="41" t="str">
        <f>IF('10_진로관련사항'!E68&gt;0,"O","X")</f>
        <v>X</v>
      </c>
      <c r="P68" s="23" t="str">
        <f>IF('11_프로젝트활동'!E68&gt;0,"O","X")</f>
        <v>X</v>
      </c>
    </row>
    <row r="69" spans="1:16">
      <c r="A69" s="9">
        <f>IF(학생명렬표!A68="","",학생명렬표!A68)</f>
        <v>1</v>
      </c>
      <c r="B69" s="23">
        <f>IF(학생명렬표!B68="","",학생명렬표!B68)</f>
        <v>5</v>
      </c>
      <c r="C69" s="23">
        <f>IF(학생명렬표!C68="","",학생명렬표!C68)</f>
        <v>1</v>
      </c>
      <c r="D69" s="23" t="str">
        <f>IF(학생명렬표!D68="","",학생명렬표!D68)</f>
        <v>김민재</v>
      </c>
      <c r="E69" s="21" t="str">
        <f>IF(F69="O",'1_교과이수내용'!F69&amp;$D$1,"")&amp;IF(G69="O",'2_지적성장과정'!F69&amp;$D$1,"")&amp;IF(H69="O",'3_학업성취도'!F69&amp;$D$1,"")&amp;IF(I69="O",'4_태도'!F69&amp;$D$1,"")&amp;IF(J69="O",'5_적극성'!F69&amp;$D$1,"")&amp;IF(K69="O",'6_지적호기심'!F69&amp;$D$1,"")&amp;IF(L69="O",'7_특별한관심'!F69&amp;$D$1,"")&amp;IF(M69="O",'8_탁월한능력'!F69&amp;$D$1,"")&amp;IF(N69="O",'9_탐구활동'!F69&amp;$D$1,"")&amp;IF(O69="O",'10_진로관련사항'!F69&amp;$D$1,"")&amp;IF(P69="O",'11_프로젝트활동'!F69&amp;$D$1,"")</f>
        <v/>
      </c>
      <c r="F69" s="23" t="str">
        <f>IF('1_교과이수내용'!E69&gt;0,"O","X")</f>
        <v>X</v>
      </c>
      <c r="G69" s="23" t="str">
        <f>IF('2_지적성장과정'!E69&gt;0,"O","X")</f>
        <v>X</v>
      </c>
      <c r="H69" s="23" t="str">
        <f>IF('3_학업성취도'!E69&gt;0,"O","X")</f>
        <v>X</v>
      </c>
      <c r="I69" s="23" t="str">
        <f>IF('4_태도'!E69&gt;0,"O","X")</f>
        <v>X</v>
      </c>
      <c r="J69" s="23" t="str">
        <f>IF('5_적극성'!E69&gt;0,"O","X")</f>
        <v>X</v>
      </c>
      <c r="K69" s="23" t="str">
        <f>IF('6_지적호기심'!E69&gt;0,"O","X")</f>
        <v>X</v>
      </c>
      <c r="L69" s="23" t="str">
        <f>IF('7_특별한관심'!E69&gt;0,"O","X")</f>
        <v>X</v>
      </c>
      <c r="M69" s="23" t="str">
        <f>IF('8_탁월한능력'!E69&gt;0,"O","X")</f>
        <v>X</v>
      </c>
      <c r="N69" s="23" t="str">
        <f>IF('9_탐구활동'!E69&gt;0,"O","X")</f>
        <v>X</v>
      </c>
      <c r="O69" s="41" t="str">
        <f>IF('10_진로관련사항'!E69&gt;0,"O","X")</f>
        <v>X</v>
      </c>
      <c r="P69" s="23" t="str">
        <f>IF('11_프로젝트활동'!E69&gt;0,"O","X")</f>
        <v>X</v>
      </c>
    </row>
    <row r="70" spans="1:16">
      <c r="A70" s="9">
        <f>IF(학생명렬표!A69="","",학생명렬표!A69)</f>
        <v>1</v>
      </c>
      <c r="B70" s="23">
        <f>IF(학생명렬표!B69="","",학생명렬표!B69)</f>
        <v>5</v>
      </c>
      <c r="C70" s="23">
        <f>IF(학생명렬표!C69="","",학생명렬표!C69)</f>
        <v>2</v>
      </c>
      <c r="D70" s="23" t="str">
        <f>IF(학생명렬표!D69="","",학생명렬표!D69)</f>
        <v>김보란</v>
      </c>
      <c r="E70" s="21" t="str">
        <f>IF(F70="O",'1_교과이수내용'!F70&amp;$D$1,"")&amp;IF(G70="O",'2_지적성장과정'!F70&amp;$D$1,"")&amp;IF(H70="O",'3_학업성취도'!F70&amp;$D$1,"")&amp;IF(I70="O",'4_태도'!F70&amp;$D$1,"")&amp;IF(J70="O",'5_적극성'!F70&amp;$D$1,"")&amp;IF(K70="O",'6_지적호기심'!F70&amp;$D$1,"")&amp;IF(L70="O",'7_특별한관심'!F70&amp;$D$1,"")&amp;IF(M70="O",'8_탁월한능력'!F70&amp;$D$1,"")&amp;IF(N70="O",'9_탐구활동'!F70&amp;$D$1,"")&amp;IF(O70="O",'10_진로관련사항'!F70&amp;$D$1,"")&amp;IF(P70="O",'11_프로젝트활동'!F70&amp;$D$1,"")</f>
        <v/>
      </c>
      <c r="F70" s="23" t="str">
        <f>IF('1_교과이수내용'!E70&gt;0,"O","X")</f>
        <v>X</v>
      </c>
      <c r="G70" s="23" t="str">
        <f>IF('2_지적성장과정'!E70&gt;0,"O","X")</f>
        <v>X</v>
      </c>
      <c r="H70" s="23" t="str">
        <f>IF('3_학업성취도'!E70&gt;0,"O","X")</f>
        <v>X</v>
      </c>
      <c r="I70" s="23" t="str">
        <f>IF('4_태도'!E70&gt;0,"O","X")</f>
        <v>X</v>
      </c>
      <c r="J70" s="23" t="str">
        <f>IF('5_적극성'!E70&gt;0,"O","X")</f>
        <v>X</v>
      </c>
      <c r="K70" s="23" t="str">
        <f>IF('6_지적호기심'!E70&gt;0,"O","X")</f>
        <v>X</v>
      </c>
      <c r="L70" s="23" t="str">
        <f>IF('7_특별한관심'!E70&gt;0,"O","X")</f>
        <v>X</v>
      </c>
      <c r="M70" s="23" t="str">
        <f>IF('8_탁월한능력'!E70&gt;0,"O","X")</f>
        <v>X</v>
      </c>
      <c r="N70" s="23" t="str">
        <f>IF('9_탐구활동'!E70&gt;0,"O","X")</f>
        <v>X</v>
      </c>
      <c r="O70" s="41" t="str">
        <f>IF('10_진로관련사항'!E70&gt;0,"O","X")</f>
        <v>X</v>
      </c>
      <c r="P70" s="23" t="str">
        <f>IF('11_프로젝트활동'!E70&gt;0,"O","X")</f>
        <v>X</v>
      </c>
    </row>
    <row r="71" spans="1:16">
      <c r="A71" s="9">
        <f>IF(학생명렬표!A70="","",학생명렬표!A70)</f>
        <v>1</v>
      </c>
      <c r="B71" s="23">
        <f>IF(학생명렬표!B70="","",학생명렬표!B70)</f>
        <v>5</v>
      </c>
      <c r="C71" s="23">
        <f>IF(학생명렬표!C70="","",학생명렬표!C70)</f>
        <v>3</v>
      </c>
      <c r="D71" s="23" t="str">
        <f>IF(학생명렬표!D70="","",학생명렬표!D70)</f>
        <v>김희주</v>
      </c>
      <c r="E71" s="21" t="str">
        <f>IF(F71="O",'1_교과이수내용'!F71&amp;$D$1,"")&amp;IF(G71="O",'2_지적성장과정'!F71&amp;$D$1,"")&amp;IF(H71="O",'3_학업성취도'!F71&amp;$D$1,"")&amp;IF(I71="O",'4_태도'!F71&amp;$D$1,"")&amp;IF(J71="O",'5_적극성'!F71&amp;$D$1,"")&amp;IF(K71="O",'6_지적호기심'!F71&amp;$D$1,"")&amp;IF(L71="O",'7_특별한관심'!F71&amp;$D$1,"")&amp;IF(M71="O",'8_탁월한능력'!F71&amp;$D$1,"")&amp;IF(N71="O",'9_탐구활동'!F71&amp;$D$1,"")&amp;IF(O71="O",'10_진로관련사항'!F71&amp;$D$1,"")&amp;IF(P71="O",'11_프로젝트활동'!F71&amp;$D$1,"")</f>
        <v/>
      </c>
      <c r="F71" s="23" t="str">
        <f>IF('1_교과이수내용'!E71&gt;0,"O","X")</f>
        <v>X</v>
      </c>
      <c r="G71" s="23" t="str">
        <f>IF('2_지적성장과정'!E71&gt;0,"O","X")</f>
        <v>X</v>
      </c>
      <c r="H71" s="23" t="str">
        <f>IF('3_학업성취도'!E71&gt;0,"O","X")</f>
        <v>X</v>
      </c>
      <c r="I71" s="23" t="str">
        <f>IF('4_태도'!E71&gt;0,"O","X")</f>
        <v>X</v>
      </c>
      <c r="J71" s="23" t="str">
        <f>IF('5_적극성'!E71&gt;0,"O","X")</f>
        <v>X</v>
      </c>
      <c r="K71" s="23" t="str">
        <f>IF('6_지적호기심'!E71&gt;0,"O","X")</f>
        <v>X</v>
      </c>
      <c r="L71" s="23" t="str">
        <f>IF('7_특별한관심'!E71&gt;0,"O","X")</f>
        <v>X</v>
      </c>
      <c r="M71" s="23" t="str">
        <f>IF('8_탁월한능력'!E71&gt;0,"O","X")</f>
        <v>X</v>
      </c>
      <c r="N71" s="23" t="str">
        <f>IF('9_탐구활동'!E71&gt;0,"O","X")</f>
        <v>X</v>
      </c>
      <c r="O71" s="41" t="str">
        <f>IF('10_진로관련사항'!E71&gt;0,"O","X")</f>
        <v>X</v>
      </c>
      <c r="P71" s="23" t="str">
        <f>IF('11_프로젝트활동'!E71&gt;0,"O","X")</f>
        <v>X</v>
      </c>
    </row>
    <row r="72" spans="1:16">
      <c r="A72" s="9">
        <f>IF(학생명렬표!A71="","",학생명렬표!A71)</f>
        <v>1</v>
      </c>
      <c r="B72" s="23">
        <f>IF(학생명렬표!B71="","",학생명렬표!B71)</f>
        <v>5</v>
      </c>
      <c r="C72" s="23">
        <f>IF(학생명렬표!C71="","",학생명렬표!C71)</f>
        <v>4</v>
      </c>
      <c r="D72" s="23" t="str">
        <f>IF(학생명렬표!D71="","",학생명렬표!D71)</f>
        <v>박찬혁</v>
      </c>
      <c r="E72" s="21" t="str">
        <f>IF(F72="O",'1_교과이수내용'!F72&amp;$D$1,"")&amp;IF(G72="O",'2_지적성장과정'!F72&amp;$D$1,"")&amp;IF(H72="O",'3_학업성취도'!F72&amp;$D$1,"")&amp;IF(I72="O",'4_태도'!F72&amp;$D$1,"")&amp;IF(J72="O",'5_적극성'!F72&amp;$D$1,"")&amp;IF(K72="O",'6_지적호기심'!F72&amp;$D$1,"")&amp;IF(L72="O",'7_특별한관심'!F72&amp;$D$1,"")&amp;IF(M72="O",'8_탁월한능력'!F72&amp;$D$1,"")&amp;IF(N72="O",'9_탐구활동'!F72&amp;$D$1,"")&amp;IF(O72="O",'10_진로관련사항'!F72&amp;$D$1,"")&amp;IF(P72="O",'11_프로젝트활동'!F72&amp;$D$1,"")</f>
        <v/>
      </c>
      <c r="F72" s="23" t="str">
        <f>IF('1_교과이수내용'!E72&gt;0,"O","X")</f>
        <v>X</v>
      </c>
      <c r="G72" s="23" t="str">
        <f>IF('2_지적성장과정'!E72&gt;0,"O","X")</f>
        <v>X</v>
      </c>
      <c r="H72" s="23" t="str">
        <f>IF('3_학업성취도'!E72&gt;0,"O","X")</f>
        <v>X</v>
      </c>
      <c r="I72" s="23" t="str">
        <f>IF('4_태도'!E72&gt;0,"O","X")</f>
        <v>X</v>
      </c>
      <c r="J72" s="23" t="str">
        <f>IF('5_적극성'!E72&gt;0,"O","X")</f>
        <v>X</v>
      </c>
      <c r="K72" s="23" t="str">
        <f>IF('6_지적호기심'!E72&gt;0,"O","X")</f>
        <v>X</v>
      </c>
      <c r="L72" s="23" t="str">
        <f>IF('7_특별한관심'!E72&gt;0,"O","X")</f>
        <v>X</v>
      </c>
      <c r="M72" s="23" t="str">
        <f>IF('8_탁월한능력'!E72&gt;0,"O","X")</f>
        <v>X</v>
      </c>
      <c r="N72" s="23" t="str">
        <f>IF('9_탐구활동'!E72&gt;0,"O","X")</f>
        <v>X</v>
      </c>
      <c r="O72" s="41" t="str">
        <f>IF('10_진로관련사항'!E72&gt;0,"O","X")</f>
        <v>X</v>
      </c>
      <c r="P72" s="23" t="str">
        <f>IF('11_프로젝트활동'!E72&gt;0,"O","X")</f>
        <v>X</v>
      </c>
    </row>
    <row r="73" spans="1:16">
      <c r="A73" s="9">
        <f>IF(학생명렬표!A72="","",학생명렬표!A72)</f>
        <v>1</v>
      </c>
      <c r="B73" s="23">
        <f>IF(학생명렬표!B72="","",학생명렬표!B72)</f>
        <v>5</v>
      </c>
      <c r="C73" s="23">
        <f>IF(학생명렬표!C72="","",학생명렬표!C72)</f>
        <v>5</v>
      </c>
      <c r="D73" s="23" t="str">
        <f>IF(학생명렬표!D72="","",학생명렬표!D72)</f>
        <v>배열희</v>
      </c>
      <c r="E73" s="21" t="str">
        <f>IF(F73="O",'1_교과이수내용'!F73&amp;$D$1,"")&amp;IF(G73="O",'2_지적성장과정'!F73&amp;$D$1,"")&amp;IF(H73="O",'3_학업성취도'!F73&amp;$D$1,"")&amp;IF(I73="O",'4_태도'!F73&amp;$D$1,"")&amp;IF(J73="O",'5_적극성'!F73&amp;$D$1,"")&amp;IF(K73="O",'6_지적호기심'!F73&amp;$D$1,"")&amp;IF(L73="O",'7_특별한관심'!F73&amp;$D$1,"")&amp;IF(M73="O",'8_탁월한능력'!F73&amp;$D$1,"")&amp;IF(N73="O",'9_탐구활동'!F73&amp;$D$1,"")&amp;IF(O73="O",'10_진로관련사항'!F73&amp;$D$1,"")&amp;IF(P73="O",'11_프로젝트활동'!F73&amp;$D$1,"")</f>
        <v/>
      </c>
      <c r="F73" s="23" t="str">
        <f>IF('1_교과이수내용'!E73&gt;0,"O","X")</f>
        <v>X</v>
      </c>
      <c r="G73" s="23" t="str">
        <f>IF('2_지적성장과정'!E73&gt;0,"O","X")</f>
        <v>X</v>
      </c>
      <c r="H73" s="23" t="str">
        <f>IF('3_학업성취도'!E73&gt;0,"O","X")</f>
        <v>X</v>
      </c>
      <c r="I73" s="23" t="str">
        <f>IF('4_태도'!E73&gt;0,"O","X")</f>
        <v>X</v>
      </c>
      <c r="J73" s="23" t="str">
        <f>IF('5_적극성'!E73&gt;0,"O","X")</f>
        <v>X</v>
      </c>
      <c r="K73" s="23" t="str">
        <f>IF('6_지적호기심'!E73&gt;0,"O","X")</f>
        <v>X</v>
      </c>
      <c r="L73" s="23" t="str">
        <f>IF('7_특별한관심'!E73&gt;0,"O","X")</f>
        <v>X</v>
      </c>
      <c r="M73" s="23" t="str">
        <f>IF('8_탁월한능력'!E73&gt;0,"O","X")</f>
        <v>X</v>
      </c>
      <c r="N73" s="23" t="str">
        <f>IF('9_탐구활동'!E73&gt;0,"O","X")</f>
        <v>X</v>
      </c>
      <c r="O73" s="41" t="str">
        <f>IF('10_진로관련사항'!E73&gt;0,"O","X")</f>
        <v>X</v>
      </c>
      <c r="P73" s="23" t="str">
        <f>IF('11_프로젝트활동'!E73&gt;0,"O","X")</f>
        <v>X</v>
      </c>
    </row>
    <row r="74" spans="1:16">
      <c r="A74" s="9">
        <f>IF(학생명렬표!A73="","",학생명렬표!A73)</f>
        <v>1</v>
      </c>
      <c r="B74" s="23">
        <f>IF(학생명렬표!B73="","",학생명렬표!B73)</f>
        <v>5</v>
      </c>
      <c r="C74" s="23">
        <f>IF(학생명렬표!C73="","",학생명렬표!C73)</f>
        <v>6</v>
      </c>
      <c r="D74" s="23" t="str">
        <f>IF(학생명렬표!D73="","",학생명렬표!D73)</f>
        <v>서지운</v>
      </c>
      <c r="E74" s="21" t="str">
        <f>IF(F74="O",'1_교과이수내용'!F74&amp;$D$1,"")&amp;IF(G74="O",'2_지적성장과정'!F74&amp;$D$1,"")&amp;IF(H74="O",'3_학업성취도'!F74&amp;$D$1,"")&amp;IF(I74="O",'4_태도'!F74&amp;$D$1,"")&amp;IF(J74="O",'5_적극성'!F74&amp;$D$1,"")&amp;IF(K74="O",'6_지적호기심'!F74&amp;$D$1,"")&amp;IF(L74="O",'7_특별한관심'!F74&amp;$D$1,"")&amp;IF(M74="O",'8_탁월한능력'!F74&amp;$D$1,"")&amp;IF(N74="O",'9_탐구활동'!F74&amp;$D$1,"")&amp;IF(O74="O",'10_진로관련사항'!F74&amp;$D$1,"")&amp;IF(P74="O",'11_프로젝트활동'!F74&amp;$D$1,"")</f>
        <v/>
      </c>
      <c r="F74" s="23" t="str">
        <f>IF('1_교과이수내용'!E74&gt;0,"O","X")</f>
        <v>X</v>
      </c>
      <c r="G74" s="23" t="str">
        <f>IF('2_지적성장과정'!E74&gt;0,"O","X")</f>
        <v>X</v>
      </c>
      <c r="H74" s="23" t="str">
        <f>IF('3_학업성취도'!E74&gt;0,"O","X")</f>
        <v>X</v>
      </c>
      <c r="I74" s="23" t="str">
        <f>IF('4_태도'!E74&gt;0,"O","X")</f>
        <v>X</v>
      </c>
      <c r="J74" s="23" t="str">
        <f>IF('5_적극성'!E74&gt;0,"O","X")</f>
        <v>X</v>
      </c>
      <c r="K74" s="23" t="str">
        <f>IF('6_지적호기심'!E74&gt;0,"O","X")</f>
        <v>X</v>
      </c>
      <c r="L74" s="23" t="str">
        <f>IF('7_특별한관심'!E74&gt;0,"O","X")</f>
        <v>X</v>
      </c>
      <c r="M74" s="23" t="str">
        <f>IF('8_탁월한능력'!E74&gt;0,"O","X")</f>
        <v>X</v>
      </c>
      <c r="N74" s="23" t="str">
        <f>IF('9_탐구활동'!E74&gt;0,"O","X")</f>
        <v>X</v>
      </c>
      <c r="O74" s="41" t="str">
        <f>IF('10_진로관련사항'!E74&gt;0,"O","X")</f>
        <v>X</v>
      </c>
      <c r="P74" s="23" t="str">
        <f>IF('11_프로젝트활동'!E74&gt;0,"O","X")</f>
        <v>X</v>
      </c>
    </row>
    <row r="75" spans="1:16">
      <c r="A75" s="9">
        <f>IF(학생명렬표!A74="","",학생명렬표!A74)</f>
        <v>1</v>
      </c>
      <c r="B75" s="23">
        <f>IF(학생명렬표!B74="","",학생명렬표!B74)</f>
        <v>5</v>
      </c>
      <c r="C75" s="23">
        <f>IF(학생명렬표!C74="","",학생명렬표!C74)</f>
        <v>7</v>
      </c>
      <c r="D75" s="23" t="str">
        <f>IF(학생명렬표!D74="","",학생명렬표!D74)</f>
        <v>원승빈</v>
      </c>
      <c r="E75" s="21" t="str">
        <f>IF(F75="O",'1_교과이수내용'!F75&amp;$D$1,"")&amp;IF(G75="O",'2_지적성장과정'!F75&amp;$D$1,"")&amp;IF(H75="O",'3_학업성취도'!F75&amp;$D$1,"")&amp;IF(I75="O",'4_태도'!F75&amp;$D$1,"")&amp;IF(J75="O",'5_적극성'!F75&amp;$D$1,"")&amp;IF(K75="O",'6_지적호기심'!F75&amp;$D$1,"")&amp;IF(L75="O",'7_특별한관심'!F75&amp;$D$1,"")&amp;IF(M75="O",'8_탁월한능력'!F75&amp;$D$1,"")&amp;IF(N75="O",'9_탐구활동'!F75&amp;$D$1,"")&amp;IF(O75="O",'10_진로관련사항'!F75&amp;$D$1,"")&amp;IF(P75="O",'11_프로젝트활동'!F75&amp;$D$1,"")</f>
        <v/>
      </c>
      <c r="F75" s="23" t="str">
        <f>IF('1_교과이수내용'!E75&gt;0,"O","X")</f>
        <v>X</v>
      </c>
      <c r="G75" s="23" t="str">
        <f>IF('2_지적성장과정'!E75&gt;0,"O","X")</f>
        <v>X</v>
      </c>
      <c r="H75" s="23" t="str">
        <f>IF('3_학업성취도'!E75&gt;0,"O","X")</f>
        <v>X</v>
      </c>
      <c r="I75" s="23" t="str">
        <f>IF('4_태도'!E75&gt;0,"O","X")</f>
        <v>X</v>
      </c>
      <c r="J75" s="23" t="str">
        <f>IF('5_적극성'!E75&gt;0,"O","X")</f>
        <v>X</v>
      </c>
      <c r="K75" s="23" t="str">
        <f>IF('6_지적호기심'!E75&gt;0,"O","X")</f>
        <v>X</v>
      </c>
      <c r="L75" s="23" t="str">
        <f>IF('7_특별한관심'!E75&gt;0,"O","X")</f>
        <v>X</v>
      </c>
      <c r="M75" s="23" t="str">
        <f>IF('8_탁월한능력'!E75&gt;0,"O","X")</f>
        <v>X</v>
      </c>
      <c r="N75" s="23" t="str">
        <f>IF('9_탐구활동'!E75&gt;0,"O","X")</f>
        <v>X</v>
      </c>
      <c r="O75" s="41" t="str">
        <f>IF('10_진로관련사항'!E75&gt;0,"O","X")</f>
        <v>X</v>
      </c>
      <c r="P75" s="23" t="str">
        <f>IF('11_프로젝트활동'!E75&gt;0,"O","X")</f>
        <v>X</v>
      </c>
    </row>
    <row r="76" spans="1:16">
      <c r="A76" s="9">
        <f>IF(학생명렬표!A75="","",학생명렬표!A75)</f>
        <v>1</v>
      </c>
      <c r="B76" s="23">
        <f>IF(학생명렬표!B75="","",학생명렬표!B75)</f>
        <v>5</v>
      </c>
      <c r="C76" s="23">
        <f>IF(학생명렬표!C75="","",학생명렬표!C75)</f>
        <v>8</v>
      </c>
      <c r="D76" s="23" t="str">
        <f>IF(학생명렬표!D75="","",학생명렬표!D75)</f>
        <v>이현승</v>
      </c>
      <c r="E76" s="21" t="str">
        <f>IF(F76="O",'1_교과이수내용'!F76&amp;$D$1,"")&amp;IF(G76="O",'2_지적성장과정'!F76&amp;$D$1,"")&amp;IF(H76="O",'3_학업성취도'!F76&amp;$D$1,"")&amp;IF(I76="O",'4_태도'!F76&amp;$D$1,"")&amp;IF(J76="O",'5_적극성'!F76&amp;$D$1,"")&amp;IF(K76="O",'6_지적호기심'!F76&amp;$D$1,"")&amp;IF(L76="O",'7_특별한관심'!F76&amp;$D$1,"")&amp;IF(M76="O",'8_탁월한능력'!F76&amp;$D$1,"")&amp;IF(N76="O",'9_탐구활동'!F76&amp;$D$1,"")&amp;IF(O76="O",'10_진로관련사항'!F76&amp;$D$1,"")&amp;IF(P76="O",'11_프로젝트활동'!F76&amp;$D$1,"")</f>
        <v/>
      </c>
      <c r="F76" s="23" t="str">
        <f>IF('1_교과이수내용'!E76&gt;0,"O","X")</f>
        <v>X</v>
      </c>
      <c r="G76" s="23" t="str">
        <f>IF('2_지적성장과정'!E76&gt;0,"O","X")</f>
        <v>X</v>
      </c>
      <c r="H76" s="23" t="str">
        <f>IF('3_학업성취도'!E76&gt;0,"O","X")</f>
        <v>X</v>
      </c>
      <c r="I76" s="23" t="str">
        <f>IF('4_태도'!E76&gt;0,"O","X")</f>
        <v>X</v>
      </c>
      <c r="J76" s="23" t="str">
        <f>IF('5_적극성'!E76&gt;0,"O","X")</f>
        <v>X</v>
      </c>
      <c r="K76" s="23" t="str">
        <f>IF('6_지적호기심'!E76&gt;0,"O","X")</f>
        <v>X</v>
      </c>
      <c r="L76" s="23" t="str">
        <f>IF('7_특별한관심'!E76&gt;0,"O","X")</f>
        <v>X</v>
      </c>
      <c r="M76" s="23" t="str">
        <f>IF('8_탁월한능력'!E76&gt;0,"O","X")</f>
        <v>X</v>
      </c>
      <c r="N76" s="23" t="str">
        <f>IF('9_탐구활동'!E76&gt;0,"O","X")</f>
        <v>X</v>
      </c>
      <c r="O76" s="41" t="str">
        <f>IF('10_진로관련사항'!E76&gt;0,"O","X")</f>
        <v>X</v>
      </c>
      <c r="P76" s="23" t="str">
        <f>IF('11_프로젝트활동'!E76&gt;0,"O","X")</f>
        <v>X</v>
      </c>
    </row>
    <row r="77" spans="1:16">
      <c r="A77" s="9">
        <f>IF(학생명렬표!A76="","",학생명렬표!A76)</f>
        <v>1</v>
      </c>
      <c r="B77" s="23">
        <f>IF(학생명렬표!B76="","",학생명렬표!B76)</f>
        <v>5</v>
      </c>
      <c r="C77" s="23">
        <f>IF(학생명렬표!C76="","",학생명렬표!C76)</f>
        <v>9</v>
      </c>
      <c r="D77" s="23" t="str">
        <f>IF(학생명렬표!D76="","",학생명렬표!D76)</f>
        <v>임승민</v>
      </c>
      <c r="E77" s="21" t="str">
        <f>IF(F77="O",'1_교과이수내용'!F77&amp;$D$1,"")&amp;IF(G77="O",'2_지적성장과정'!F77&amp;$D$1,"")&amp;IF(H77="O",'3_학업성취도'!F77&amp;$D$1,"")&amp;IF(I77="O",'4_태도'!F77&amp;$D$1,"")&amp;IF(J77="O",'5_적극성'!F77&amp;$D$1,"")&amp;IF(K77="O",'6_지적호기심'!F77&amp;$D$1,"")&amp;IF(L77="O",'7_특별한관심'!F77&amp;$D$1,"")&amp;IF(M77="O",'8_탁월한능력'!F77&amp;$D$1,"")&amp;IF(N77="O",'9_탐구활동'!F77&amp;$D$1,"")&amp;IF(O77="O",'10_진로관련사항'!F77&amp;$D$1,"")&amp;IF(P77="O",'11_프로젝트활동'!F77&amp;$D$1,"")</f>
        <v/>
      </c>
      <c r="F77" s="23" t="str">
        <f>IF('1_교과이수내용'!E77&gt;0,"O","X")</f>
        <v>X</v>
      </c>
      <c r="G77" s="23" t="str">
        <f>IF('2_지적성장과정'!E77&gt;0,"O","X")</f>
        <v>X</v>
      </c>
      <c r="H77" s="23" t="str">
        <f>IF('3_학업성취도'!E77&gt;0,"O","X")</f>
        <v>X</v>
      </c>
      <c r="I77" s="23" t="str">
        <f>IF('4_태도'!E77&gt;0,"O","X")</f>
        <v>X</v>
      </c>
      <c r="J77" s="23" t="str">
        <f>IF('5_적극성'!E77&gt;0,"O","X")</f>
        <v>X</v>
      </c>
      <c r="K77" s="23" t="str">
        <f>IF('6_지적호기심'!E77&gt;0,"O","X")</f>
        <v>X</v>
      </c>
      <c r="L77" s="23" t="str">
        <f>IF('7_특별한관심'!E77&gt;0,"O","X")</f>
        <v>X</v>
      </c>
      <c r="M77" s="23" t="str">
        <f>IF('8_탁월한능력'!E77&gt;0,"O","X")</f>
        <v>X</v>
      </c>
      <c r="N77" s="23" t="str">
        <f>IF('9_탐구활동'!E77&gt;0,"O","X")</f>
        <v>X</v>
      </c>
      <c r="O77" s="41" t="str">
        <f>IF('10_진로관련사항'!E77&gt;0,"O","X")</f>
        <v>X</v>
      </c>
      <c r="P77" s="23" t="str">
        <f>IF('11_프로젝트활동'!E77&gt;0,"O","X")</f>
        <v>X</v>
      </c>
    </row>
    <row r="78" spans="1:16">
      <c r="A78" s="9">
        <f>IF(학생명렬표!A77="","",학생명렬표!A77)</f>
        <v>1</v>
      </c>
      <c r="B78" s="23">
        <f>IF(학생명렬표!B77="","",학생명렬표!B77)</f>
        <v>5</v>
      </c>
      <c r="C78" s="23">
        <f>IF(학생명렬표!C77="","",학생명렬표!C77)</f>
        <v>10</v>
      </c>
      <c r="D78" s="23" t="str">
        <f>IF(학생명렬표!D77="","",학생명렬표!D77)</f>
        <v>장현준</v>
      </c>
      <c r="E78" s="21" t="str">
        <f>IF(F78="O",'1_교과이수내용'!F78&amp;$D$1,"")&amp;IF(G78="O",'2_지적성장과정'!F78&amp;$D$1,"")&amp;IF(H78="O",'3_학업성취도'!F78&amp;$D$1,"")&amp;IF(I78="O",'4_태도'!F78&amp;$D$1,"")&amp;IF(J78="O",'5_적극성'!F78&amp;$D$1,"")&amp;IF(K78="O",'6_지적호기심'!F78&amp;$D$1,"")&amp;IF(L78="O",'7_특별한관심'!F78&amp;$D$1,"")&amp;IF(M78="O",'8_탁월한능력'!F78&amp;$D$1,"")&amp;IF(N78="O",'9_탐구활동'!F78&amp;$D$1,"")&amp;IF(O78="O",'10_진로관련사항'!F78&amp;$D$1,"")&amp;IF(P78="O",'11_프로젝트활동'!F78&amp;$D$1,"")</f>
        <v/>
      </c>
      <c r="F78" s="23" t="str">
        <f>IF('1_교과이수내용'!E78&gt;0,"O","X")</f>
        <v>X</v>
      </c>
      <c r="G78" s="23" t="str">
        <f>IF('2_지적성장과정'!E78&gt;0,"O","X")</f>
        <v>X</v>
      </c>
      <c r="H78" s="23" t="str">
        <f>IF('3_학업성취도'!E78&gt;0,"O","X")</f>
        <v>X</v>
      </c>
      <c r="I78" s="23" t="str">
        <f>IF('4_태도'!E78&gt;0,"O","X")</f>
        <v>X</v>
      </c>
      <c r="J78" s="23" t="str">
        <f>IF('5_적극성'!E78&gt;0,"O","X")</f>
        <v>X</v>
      </c>
      <c r="K78" s="23" t="str">
        <f>IF('6_지적호기심'!E78&gt;0,"O","X")</f>
        <v>X</v>
      </c>
      <c r="L78" s="23" t="str">
        <f>IF('7_특별한관심'!E78&gt;0,"O","X")</f>
        <v>X</v>
      </c>
      <c r="M78" s="23" t="str">
        <f>IF('8_탁월한능력'!E78&gt;0,"O","X")</f>
        <v>X</v>
      </c>
      <c r="N78" s="23" t="str">
        <f>IF('9_탐구활동'!E78&gt;0,"O","X")</f>
        <v>X</v>
      </c>
      <c r="O78" s="41" t="str">
        <f>IF('10_진로관련사항'!E78&gt;0,"O","X")</f>
        <v>X</v>
      </c>
      <c r="P78" s="23" t="str">
        <f>IF('11_프로젝트활동'!E78&gt;0,"O","X")</f>
        <v>X</v>
      </c>
    </row>
    <row r="79" spans="1:16">
      <c r="A79" s="9">
        <f>IF(학생명렬표!A78="","",학생명렬표!A78)</f>
        <v>1</v>
      </c>
      <c r="B79" s="23">
        <f>IF(학생명렬표!B78="","",학생명렬표!B78)</f>
        <v>5</v>
      </c>
      <c r="C79" s="23">
        <f>IF(학생명렬표!C78="","",학생명렬표!C78)</f>
        <v>11</v>
      </c>
      <c r="D79" s="23" t="str">
        <f>IF(학생명렬표!D78="","",학생명렬표!D78)</f>
        <v>정광원</v>
      </c>
      <c r="E79" s="21" t="str">
        <f>IF(F79="O",'1_교과이수내용'!F79&amp;$D$1,"")&amp;IF(G79="O",'2_지적성장과정'!F79&amp;$D$1,"")&amp;IF(H79="O",'3_학업성취도'!F79&amp;$D$1,"")&amp;IF(I79="O",'4_태도'!F79&amp;$D$1,"")&amp;IF(J79="O",'5_적극성'!F79&amp;$D$1,"")&amp;IF(K79="O",'6_지적호기심'!F79&amp;$D$1,"")&amp;IF(L79="O",'7_특별한관심'!F79&amp;$D$1,"")&amp;IF(M79="O",'8_탁월한능력'!F79&amp;$D$1,"")&amp;IF(N79="O",'9_탐구활동'!F79&amp;$D$1,"")&amp;IF(O79="O",'10_진로관련사항'!F79&amp;$D$1,"")&amp;IF(P79="O",'11_프로젝트활동'!F79&amp;$D$1,"")</f>
        <v/>
      </c>
      <c r="F79" s="23" t="str">
        <f>IF('1_교과이수내용'!E79&gt;0,"O","X")</f>
        <v>X</v>
      </c>
      <c r="G79" s="23" t="str">
        <f>IF('2_지적성장과정'!E79&gt;0,"O","X")</f>
        <v>X</v>
      </c>
      <c r="H79" s="23" t="str">
        <f>IF('3_학업성취도'!E79&gt;0,"O","X")</f>
        <v>X</v>
      </c>
      <c r="I79" s="23" t="str">
        <f>IF('4_태도'!E79&gt;0,"O","X")</f>
        <v>X</v>
      </c>
      <c r="J79" s="23" t="str">
        <f>IF('5_적극성'!E79&gt;0,"O","X")</f>
        <v>X</v>
      </c>
      <c r="K79" s="23" t="str">
        <f>IF('6_지적호기심'!E79&gt;0,"O","X")</f>
        <v>X</v>
      </c>
      <c r="L79" s="23" t="str">
        <f>IF('7_특별한관심'!E79&gt;0,"O","X")</f>
        <v>X</v>
      </c>
      <c r="M79" s="23" t="str">
        <f>IF('8_탁월한능력'!E79&gt;0,"O","X")</f>
        <v>X</v>
      </c>
      <c r="N79" s="23" t="str">
        <f>IF('9_탐구활동'!E79&gt;0,"O","X")</f>
        <v>X</v>
      </c>
      <c r="O79" s="41" t="str">
        <f>IF('10_진로관련사항'!E79&gt;0,"O","X")</f>
        <v>X</v>
      </c>
      <c r="P79" s="23" t="str">
        <f>IF('11_프로젝트활동'!E79&gt;0,"O","X")</f>
        <v>X</v>
      </c>
    </row>
    <row r="80" spans="1:16">
      <c r="A80" s="9">
        <f>IF(학생명렬표!A79="","",학생명렬표!A79)</f>
        <v>1</v>
      </c>
      <c r="B80" s="23">
        <f>IF(학생명렬표!B79="","",학생명렬표!B79)</f>
        <v>5</v>
      </c>
      <c r="C80" s="23">
        <f>IF(학생명렬표!C79="","",학생명렬표!C79)</f>
        <v>12</v>
      </c>
      <c r="D80" s="23" t="str">
        <f>IF(학생명렬표!D79="","",학생명렬표!D79)</f>
        <v>정재원</v>
      </c>
      <c r="E80" s="21" t="str">
        <f>IF(F80="O",'1_교과이수내용'!F80&amp;$D$1,"")&amp;IF(G80="O",'2_지적성장과정'!F80&amp;$D$1,"")&amp;IF(H80="O",'3_학업성취도'!F80&amp;$D$1,"")&amp;IF(I80="O",'4_태도'!F80&amp;$D$1,"")&amp;IF(J80="O",'5_적극성'!F80&amp;$D$1,"")&amp;IF(K80="O",'6_지적호기심'!F80&amp;$D$1,"")&amp;IF(L80="O",'7_특별한관심'!F80&amp;$D$1,"")&amp;IF(M80="O",'8_탁월한능력'!F80&amp;$D$1,"")&amp;IF(N80="O",'9_탐구활동'!F80&amp;$D$1,"")&amp;IF(O80="O",'10_진로관련사항'!F80&amp;$D$1,"")&amp;IF(P80="O",'11_프로젝트활동'!F80&amp;$D$1,"")</f>
        <v/>
      </c>
      <c r="F80" s="23" t="str">
        <f>IF('1_교과이수내용'!E80&gt;0,"O","X")</f>
        <v>X</v>
      </c>
      <c r="G80" s="23" t="str">
        <f>IF('2_지적성장과정'!E80&gt;0,"O","X")</f>
        <v>X</v>
      </c>
      <c r="H80" s="23" t="str">
        <f>IF('3_학업성취도'!E80&gt;0,"O","X")</f>
        <v>X</v>
      </c>
      <c r="I80" s="23" t="str">
        <f>IF('4_태도'!E80&gt;0,"O","X")</f>
        <v>X</v>
      </c>
      <c r="J80" s="23" t="str">
        <f>IF('5_적극성'!E80&gt;0,"O","X")</f>
        <v>X</v>
      </c>
      <c r="K80" s="23" t="str">
        <f>IF('6_지적호기심'!E80&gt;0,"O","X")</f>
        <v>X</v>
      </c>
      <c r="L80" s="23" t="str">
        <f>IF('7_특별한관심'!E80&gt;0,"O","X")</f>
        <v>X</v>
      </c>
      <c r="M80" s="23" t="str">
        <f>IF('8_탁월한능력'!E80&gt;0,"O","X")</f>
        <v>X</v>
      </c>
      <c r="N80" s="23" t="str">
        <f>IF('9_탐구활동'!E80&gt;0,"O","X")</f>
        <v>X</v>
      </c>
      <c r="O80" s="41" t="str">
        <f>IF('10_진로관련사항'!E80&gt;0,"O","X")</f>
        <v>X</v>
      </c>
      <c r="P80" s="23" t="str">
        <f>IF('11_프로젝트활동'!E80&gt;0,"O","X")</f>
        <v>X</v>
      </c>
    </row>
    <row r="81" spans="1:16">
      <c r="A81" s="9">
        <f>IF(학생명렬표!A80="","",학생명렬표!A80)</f>
        <v>1</v>
      </c>
      <c r="B81" s="23">
        <f>IF(학생명렬표!B80="","",학생명렬표!B80)</f>
        <v>5</v>
      </c>
      <c r="C81" s="23">
        <f>IF(학생명렬표!C80="","",학생명렬표!C80)</f>
        <v>13</v>
      </c>
      <c r="D81" s="23" t="str">
        <f>IF(학생명렬표!D80="","",학생명렬표!D80)</f>
        <v>최원우</v>
      </c>
      <c r="E81" s="21" t="str">
        <f>IF(F81="O",'1_교과이수내용'!F81&amp;$D$1,"")&amp;IF(G81="O",'2_지적성장과정'!F81&amp;$D$1,"")&amp;IF(H81="O",'3_학업성취도'!F81&amp;$D$1,"")&amp;IF(I81="O",'4_태도'!F81&amp;$D$1,"")&amp;IF(J81="O",'5_적극성'!F81&amp;$D$1,"")&amp;IF(K81="O",'6_지적호기심'!F81&amp;$D$1,"")&amp;IF(L81="O",'7_특별한관심'!F81&amp;$D$1,"")&amp;IF(M81="O",'8_탁월한능력'!F81&amp;$D$1,"")&amp;IF(N81="O",'9_탐구활동'!F81&amp;$D$1,"")&amp;IF(O81="O",'10_진로관련사항'!F81&amp;$D$1,"")&amp;IF(P81="O",'11_프로젝트활동'!F81&amp;$D$1,"")</f>
        <v/>
      </c>
      <c r="F81" s="23" t="str">
        <f>IF('1_교과이수내용'!E81&gt;0,"O","X")</f>
        <v>X</v>
      </c>
      <c r="G81" s="23" t="str">
        <f>IF('2_지적성장과정'!E81&gt;0,"O","X")</f>
        <v>X</v>
      </c>
      <c r="H81" s="23" t="str">
        <f>IF('3_학업성취도'!E81&gt;0,"O","X")</f>
        <v>X</v>
      </c>
      <c r="I81" s="23" t="str">
        <f>IF('4_태도'!E81&gt;0,"O","X")</f>
        <v>X</v>
      </c>
      <c r="J81" s="23" t="str">
        <f>IF('5_적극성'!E81&gt;0,"O","X")</f>
        <v>X</v>
      </c>
      <c r="K81" s="23" t="str">
        <f>IF('6_지적호기심'!E81&gt;0,"O","X")</f>
        <v>X</v>
      </c>
      <c r="L81" s="23" t="str">
        <f>IF('7_특별한관심'!E81&gt;0,"O","X")</f>
        <v>X</v>
      </c>
      <c r="M81" s="23" t="str">
        <f>IF('8_탁월한능력'!E81&gt;0,"O","X")</f>
        <v>X</v>
      </c>
      <c r="N81" s="23" t="str">
        <f>IF('9_탐구활동'!E81&gt;0,"O","X")</f>
        <v>X</v>
      </c>
      <c r="O81" s="41" t="str">
        <f>IF('10_진로관련사항'!E81&gt;0,"O","X")</f>
        <v>X</v>
      </c>
      <c r="P81" s="23" t="str">
        <f>IF('11_프로젝트활동'!E81&gt;0,"O","X")</f>
        <v>X</v>
      </c>
    </row>
    <row r="82" spans="1:16">
      <c r="A82" s="9">
        <f>IF(학생명렬표!A81="","",학생명렬표!A81)</f>
        <v>1</v>
      </c>
      <c r="B82" s="23">
        <f>IF(학생명렬표!B81="","",학생명렬표!B81)</f>
        <v>5</v>
      </c>
      <c r="C82" s="23">
        <f>IF(학생명렬표!C81="","",학생명렬표!C81)</f>
        <v>14</v>
      </c>
      <c r="D82" s="23" t="str">
        <f>IF(학생명렬표!D81="","",학생명렬표!D81)</f>
        <v>최현민</v>
      </c>
      <c r="E82" s="21" t="str">
        <f>IF(F82="O",'1_교과이수내용'!F82&amp;$D$1,"")&amp;IF(G82="O",'2_지적성장과정'!F82&amp;$D$1,"")&amp;IF(H82="O",'3_학업성취도'!F82&amp;$D$1,"")&amp;IF(I82="O",'4_태도'!F82&amp;$D$1,"")&amp;IF(J82="O",'5_적극성'!F82&amp;$D$1,"")&amp;IF(K82="O",'6_지적호기심'!F82&amp;$D$1,"")&amp;IF(L82="O",'7_특별한관심'!F82&amp;$D$1,"")&amp;IF(M82="O",'8_탁월한능력'!F82&amp;$D$1,"")&amp;IF(N82="O",'9_탐구활동'!F82&amp;$D$1,"")&amp;IF(O82="O",'10_진로관련사항'!F82&amp;$D$1,"")&amp;IF(P82="O",'11_프로젝트활동'!F82&amp;$D$1,"")</f>
        <v/>
      </c>
      <c r="F82" s="23" t="str">
        <f>IF('1_교과이수내용'!E82&gt;0,"O","X")</f>
        <v>X</v>
      </c>
      <c r="G82" s="23" t="str">
        <f>IF('2_지적성장과정'!E82&gt;0,"O","X")</f>
        <v>X</v>
      </c>
      <c r="H82" s="23" t="str">
        <f>IF('3_학업성취도'!E82&gt;0,"O","X")</f>
        <v>X</v>
      </c>
      <c r="I82" s="23" t="str">
        <f>IF('4_태도'!E82&gt;0,"O","X")</f>
        <v>X</v>
      </c>
      <c r="J82" s="23" t="str">
        <f>IF('5_적극성'!E82&gt;0,"O","X")</f>
        <v>X</v>
      </c>
      <c r="K82" s="23" t="str">
        <f>IF('6_지적호기심'!E82&gt;0,"O","X")</f>
        <v>X</v>
      </c>
      <c r="L82" s="23" t="str">
        <f>IF('7_특별한관심'!E82&gt;0,"O","X")</f>
        <v>X</v>
      </c>
      <c r="M82" s="23" t="str">
        <f>IF('8_탁월한능력'!E82&gt;0,"O","X")</f>
        <v>X</v>
      </c>
      <c r="N82" s="23" t="str">
        <f>IF('9_탐구활동'!E82&gt;0,"O","X")</f>
        <v>X</v>
      </c>
      <c r="O82" s="41" t="str">
        <f>IF('10_진로관련사항'!E82&gt;0,"O","X")</f>
        <v>X</v>
      </c>
      <c r="P82" s="23" t="str">
        <f>IF('11_프로젝트활동'!E82&gt;0,"O","X")</f>
        <v>X</v>
      </c>
    </row>
    <row r="83" spans="1:16">
      <c r="A83" s="9">
        <f>IF(학생명렬표!A82="","",학생명렬표!A82)</f>
        <v>1</v>
      </c>
      <c r="B83" s="23">
        <f>IF(학생명렬표!B82="","",학생명렬표!B82)</f>
        <v>5</v>
      </c>
      <c r="C83" s="23">
        <f>IF(학생명렬표!C82="","",학생명렬표!C82)</f>
        <v>15</v>
      </c>
      <c r="D83" s="23" t="str">
        <f>IF(학생명렬표!D82="","",학생명렬표!D82)</f>
        <v>황규현</v>
      </c>
      <c r="E83" s="21" t="str">
        <f>IF(F83="O",'1_교과이수내용'!F83&amp;$D$1,"")&amp;IF(G83="O",'2_지적성장과정'!F83&amp;$D$1,"")&amp;IF(H83="O",'3_학업성취도'!F83&amp;$D$1,"")&amp;IF(I83="O",'4_태도'!F83&amp;$D$1,"")&amp;IF(J83="O",'5_적극성'!F83&amp;$D$1,"")&amp;IF(K83="O",'6_지적호기심'!F83&amp;$D$1,"")&amp;IF(L83="O",'7_특별한관심'!F83&amp;$D$1,"")&amp;IF(M83="O",'8_탁월한능력'!F83&amp;$D$1,"")&amp;IF(N83="O",'9_탐구활동'!F83&amp;$D$1,"")&amp;IF(O83="O",'10_진로관련사항'!F83&amp;$D$1,"")&amp;IF(P83="O",'11_프로젝트활동'!F83&amp;$D$1,"")</f>
        <v/>
      </c>
      <c r="F83" s="23" t="str">
        <f>IF('1_교과이수내용'!E83&gt;0,"O","X")</f>
        <v>X</v>
      </c>
      <c r="G83" s="23" t="str">
        <f>IF('2_지적성장과정'!E83&gt;0,"O","X")</f>
        <v>X</v>
      </c>
      <c r="H83" s="23" t="str">
        <f>IF('3_학업성취도'!E83&gt;0,"O","X")</f>
        <v>X</v>
      </c>
      <c r="I83" s="23" t="str">
        <f>IF('4_태도'!E83&gt;0,"O","X")</f>
        <v>X</v>
      </c>
      <c r="J83" s="23" t="str">
        <f>IF('5_적극성'!E83&gt;0,"O","X")</f>
        <v>X</v>
      </c>
      <c r="K83" s="23" t="str">
        <f>IF('6_지적호기심'!E83&gt;0,"O","X")</f>
        <v>X</v>
      </c>
      <c r="L83" s="23" t="str">
        <f>IF('7_특별한관심'!E83&gt;0,"O","X")</f>
        <v>X</v>
      </c>
      <c r="M83" s="23" t="str">
        <f>IF('8_탁월한능력'!E83&gt;0,"O","X")</f>
        <v>X</v>
      </c>
      <c r="N83" s="23" t="str">
        <f>IF('9_탐구활동'!E83&gt;0,"O","X")</f>
        <v>X</v>
      </c>
      <c r="O83" s="41" t="str">
        <f>IF('10_진로관련사항'!E83&gt;0,"O","X")</f>
        <v>X</v>
      </c>
      <c r="P83" s="23" t="str">
        <f>IF('11_프로젝트활동'!E83&gt;0,"O","X")</f>
        <v>X</v>
      </c>
    </row>
    <row r="84" spans="1:16">
      <c r="A84" s="9">
        <f>IF(학생명렬표!A83="","",학생명렬표!A83)</f>
        <v>1</v>
      </c>
      <c r="B84" s="23">
        <f>IF(학생명렬표!B83="","",학생명렬표!B83)</f>
        <v>5</v>
      </c>
      <c r="C84" s="23">
        <f>IF(학생명렬표!C83="","",학생명렬표!C83)</f>
        <v>16</v>
      </c>
      <c r="D84" s="23" t="str">
        <f>IF(학생명렬표!D83="","",학생명렬표!D83)</f>
        <v>황보승욱</v>
      </c>
      <c r="E84" s="21" t="str">
        <f>IF(F84="O",'1_교과이수내용'!F84&amp;$D$1,"")&amp;IF(G84="O",'2_지적성장과정'!F84&amp;$D$1,"")&amp;IF(H84="O",'3_학업성취도'!F84&amp;$D$1,"")&amp;IF(I84="O",'4_태도'!F84&amp;$D$1,"")&amp;IF(J84="O",'5_적극성'!F84&amp;$D$1,"")&amp;IF(K84="O",'6_지적호기심'!F84&amp;$D$1,"")&amp;IF(L84="O",'7_특별한관심'!F84&amp;$D$1,"")&amp;IF(M84="O",'8_탁월한능력'!F84&amp;$D$1,"")&amp;IF(N84="O",'9_탐구활동'!F84&amp;$D$1,"")&amp;IF(O84="O",'10_진로관련사항'!F84&amp;$D$1,"")&amp;IF(P84="O",'11_프로젝트활동'!F84&amp;$D$1,"")</f>
        <v/>
      </c>
      <c r="F84" s="23" t="str">
        <f>IF('1_교과이수내용'!E84&gt;0,"O","X")</f>
        <v>X</v>
      </c>
      <c r="G84" s="23" t="str">
        <f>IF('2_지적성장과정'!E84&gt;0,"O","X")</f>
        <v>X</v>
      </c>
      <c r="H84" s="23" t="str">
        <f>IF('3_학업성취도'!E84&gt;0,"O","X")</f>
        <v>X</v>
      </c>
      <c r="I84" s="23" t="str">
        <f>IF('4_태도'!E84&gt;0,"O","X")</f>
        <v>X</v>
      </c>
      <c r="J84" s="23" t="str">
        <f>IF('5_적극성'!E84&gt;0,"O","X")</f>
        <v>X</v>
      </c>
      <c r="K84" s="23" t="str">
        <f>IF('6_지적호기심'!E84&gt;0,"O","X")</f>
        <v>X</v>
      </c>
      <c r="L84" s="23" t="str">
        <f>IF('7_특별한관심'!E84&gt;0,"O","X")</f>
        <v>X</v>
      </c>
      <c r="M84" s="23" t="str">
        <f>IF('8_탁월한능력'!E84&gt;0,"O","X")</f>
        <v>X</v>
      </c>
      <c r="N84" s="23" t="str">
        <f>IF('9_탐구활동'!E84&gt;0,"O","X")</f>
        <v>X</v>
      </c>
      <c r="O84" s="41" t="str">
        <f>IF('10_진로관련사항'!E84&gt;0,"O","X")</f>
        <v>X</v>
      </c>
      <c r="P84" s="23" t="str">
        <f>IF('11_프로젝트활동'!E84&gt;0,"O","X")</f>
        <v>X</v>
      </c>
    </row>
    <row r="85" spans="1:16">
      <c r="A85" s="9">
        <f>IF(학생명렬표!A84="","",학생명렬표!A84)</f>
        <v>1</v>
      </c>
      <c r="B85" s="23">
        <f>IF(학생명렬표!B84="","",학생명렬표!B84)</f>
        <v>6</v>
      </c>
      <c r="C85" s="23">
        <f>IF(학생명렬표!C84="","",학생명렬표!C84)</f>
        <v>1</v>
      </c>
      <c r="D85" s="23" t="str">
        <f>IF(학생명렬표!D84="","",학생명렬표!D84)</f>
        <v>고명준</v>
      </c>
      <c r="E85" s="21" t="str">
        <f>IF(F85="O",'1_교과이수내용'!F85&amp;$D$1,"")&amp;IF(G85="O",'2_지적성장과정'!F85&amp;$D$1,"")&amp;IF(H85="O",'3_학업성취도'!F85&amp;$D$1,"")&amp;IF(I85="O",'4_태도'!F85&amp;$D$1,"")&amp;IF(J85="O",'5_적극성'!F85&amp;$D$1,"")&amp;IF(K85="O",'6_지적호기심'!F85&amp;$D$1,"")&amp;IF(L85="O",'7_특별한관심'!F85&amp;$D$1,"")&amp;IF(M85="O",'8_탁월한능력'!F85&amp;$D$1,"")&amp;IF(N85="O",'9_탐구활동'!F85&amp;$D$1,"")&amp;IF(O85="O",'10_진로관련사항'!F85&amp;$D$1,"")&amp;IF(P85="O",'11_프로젝트활동'!F85&amp;$D$1,"")</f>
        <v/>
      </c>
      <c r="F85" s="23" t="str">
        <f>IF('1_교과이수내용'!E85&gt;0,"O","X")</f>
        <v>X</v>
      </c>
      <c r="G85" s="23" t="str">
        <f>IF('2_지적성장과정'!E85&gt;0,"O","X")</f>
        <v>X</v>
      </c>
      <c r="H85" s="23" t="str">
        <f>IF('3_학업성취도'!E85&gt;0,"O","X")</f>
        <v>X</v>
      </c>
      <c r="I85" s="23" t="str">
        <f>IF('4_태도'!E85&gt;0,"O","X")</f>
        <v>X</v>
      </c>
      <c r="J85" s="23" t="str">
        <f>IF('5_적극성'!E85&gt;0,"O","X")</f>
        <v>X</v>
      </c>
      <c r="K85" s="23" t="str">
        <f>IF('6_지적호기심'!E85&gt;0,"O","X")</f>
        <v>X</v>
      </c>
      <c r="L85" s="23" t="str">
        <f>IF('7_특별한관심'!E85&gt;0,"O","X")</f>
        <v>X</v>
      </c>
      <c r="M85" s="23" t="str">
        <f>IF('8_탁월한능력'!E85&gt;0,"O","X")</f>
        <v>X</v>
      </c>
      <c r="N85" s="23" t="str">
        <f>IF('9_탐구활동'!E85&gt;0,"O","X")</f>
        <v>X</v>
      </c>
      <c r="O85" s="41" t="str">
        <f>IF('10_진로관련사항'!E85&gt;0,"O","X")</f>
        <v>X</v>
      </c>
      <c r="P85" s="23" t="str">
        <f>IF('11_프로젝트활동'!E85&gt;0,"O","X")</f>
        <v>X</v>
      </c>
    </row>
    <row r="86" spans="1:16">
      <c r="A86" s="9">
        <f>IF(학생명렬표!A85="","",학생명렬표!A85)</f>
        <v>1</v>
      </c>
      <c r="B86" s="23">
        <f>IF(학생명렬표!B85="","",학생명렬표!B85)</f>
        <v>6</v>
      </c>
      <c r="C86" s="23">
        <f>IF(학생명렬표!C85="","",학생명렬표!C85)</f>
        <v>2</v>
      </c>
      <c r="D86" s="23" t="str">
        <f>IF(학생명렬표!D85="","",학생명렬표!D85)</f>
        <v>김규헌</v>
      </c>
      <c r="E86" s="21" t="str">
        <f>IF(F86="O",'1_교과이수내용'!F86&amp;$D$1,"")&amp;IF(G86="O",'2_지적성장과정'!F86&amp;$D$1,"")&amp;IF(H86="O",'3_학업성취도'!F86&amp;$D$1,"")&amp;IF(I86="O",'4_태도'!F86&amp;$D$1,"")&amp;IF(J86="O",'5_적극성'!F86&amp;$D$1,"")&amp;IF(K86="O",'6_지적호기심'!F86&amp;$D$1,"")&amp;IF(L86="O",'7_특별한관심'!F86&amp;$D$1,"")&amp;IF(M86="O",'8_탁월한능력'!F86&amp;$D$1,"")&amp;IF(N86="O",'9_탐구활동'!F86&amp;$D$1,"")&amp;IF(O86="O",'10_진로관련사항'!F86&amp;$D$1,"")&amp;IF(P86="O",'11_프로젝트활동'!F86&amp;$D$1,"")</f>
        <v/>
      </c>
      <c r="F86" s="23" t="str">
        <f>IF('1_교과이수내용'!E86&gt;0,"O","X")</f>
        <v>X</v>
      </c>
      <c r="G86" s="23" t="str">
        <f>IF('2_지적성장과정'!E86&gt;0,"O","X")</f>
        <v>X</v>
      </c>
      <c r="H86" s="23" t="str">
        <f>IF('3_학업성취도'!E86&gt;0,"O","X")</f>
        <v>X</v>
      </c>
      <c r="I86" s="23" t="str">
        <f>IF('4_태도'!E86&gt;0,"O","X")</f>
        <v>X</v>
      </c>
      <c r="J86" s="23" t="str">
        <f>IF('5_적극성'!E86&gt;0,"O","X")</f>
        <v>X</v>
      </c>
      <c r="K86" s="23" t="str">
        <f>IF('6_지적호기심'!E86&gt;0,"O","X")</f>
        <v>X</v>
      </c>
      <c r="L86" s="23" t="str">
        <f>IF('7_특별한관심'!E86&gt;0,"O","X")</f>
        <v>X</v>
      </c>
      <c r="M86" s="23" t="str">
        <f>IF('8_탁월한능력'!E86&gt;0,"O","X")</f>
        <v>X</v>
      </c>
      <c r="N86" s="23" t="str">
        <f>IF('9_탐구활동'!E86&gt;0,"O","X")</f>
        <v>X</v>
      </c>
      <c r="O86" s="41" t="str">
        <f>IF('10_진로관련사항'!E86&gt;0,"O","X")</f>
        <v>X</v>
      </c>
      <c r="P86" s="23" t="str">
        <f>IF('11_프로젝트활동'!E86&gt;0,"O","X")</f>
        <v>X</v>
      </c>
    </row>
    <row r="87" spans="1:16">
      <c r="A87" s="9">
        <f>IF(학생명렬표!A86="","",학생명렬표!A86)</f>
        <v>1</v>
      </c>
      <c r="B87" s="23">
        <f>IF(학생명렬표!B86="","",학생명렬표!B86)</f>
        <v>6</v>
      </c>
      <c r="C87" s="23">
        <f>IF(학생명렬표!C86="","",학생명렬표!C86)</f>
        <v>3</v>
      </c>
      <c r="D87" s="23" t="str">
        <f>IF(학생명렬표!D86="","",학생명렬표!D86)</f>
        <v>김동빈</v>
      </c>
      <c r="E87" s="21" t="str">
        <f>IF(F87="O",'1_교과이수내용'!F87&amp;$D$1,"")&amp;IF(G87="O",'2_지적성장과정'!F87&amp;$D$1,"")&amp;IF(H87="O",'3_학업성취도'!F87&amp;$D$1,"")&amp;IF(I87="O",'4_태도'!F87&amp;$D$1,"")&amp;IF(J87="O",'5_적극성'!F87&amp;$D$1,"")&amp;IF(K87="O",'6_지적호기심'!F87&amp;$D$1,"")&amp;IF(L87="O",'7_특별한관심'!F87&amp;$D$1,"")&amp;IF(M87="O",'8_탁월한능력'!F87&amp;$D$1,"")&amp;IF(N87="O",'9_탐구활동'!F87&amp;$D$1,"")&amp;IF(O87="O",'10_진로관련사항'!F87&amp;$D$1,"")&amp;IF(P87="O",'11_프로젝트활동'!F87&amp;$D$1,"")</f>
        <v/>
      </c>
      <c r="F87" s="23" t="str">
        <f>IF('1_교과이수내용'!E87&gt;0,"O","X")</f>
        <v>X</v>
      </c>
      <c r="G87" s="23" t="str">
        <f>IF('2_지적성장과정'!E87&gt;0,"O","X")</f>
        <v>X</v>
      </c>
      <c r="H87" s="23" t="str">
        <f>IF('3_학업성취도'!E87&gt;0,"O","X")</f>
        <v>X</v>
      </c>
      <c r="I87" s="23" t="str">
        <f>IF('4_태도'!E87&gt;0,"O","X")</f>
        <v>X</v>
      </c>
      <c r="J87" s="23" t="str">
        <f>IF('5_적극성'!E87&gt;0,"O","X")</f>
        <v>X</v>
      </c>
      <c r="K87" s="23" t="str">
        <f>IF('6_지적호기심'!E87&gt;0,"O","X")</f>
        <v>X</v>
      </c>
      <c r="L87" s="23" t="str">
        <f>IF('7_특별한관심'!E87&gt;0,"O","X")</f>
        <v>X</v>
      </c>
      <c r="M87" s="23" t="str">
        <f>IF('8_탁월한능력'!E87&gt;0,"O","X")</f>
        <v>X</v>
      </c>
      <c r="N87" s="23" t="str">
        <f>IF('9_탐구활동'!E87&gt;0,"O","X")</f>
        <v>X</v>
      </c>
      <c r="O87" s="41" t="str">
        <f>IF('10_진로관련사항'!E87&gt;0,"O","X")</f>
        <v>X</v>
      </c>
      <c r="P87" s="23" t="str">
        <f>IF('11_프로젝트활동'!E87&gt;0,"O","X")</f>
        <v>X</v>
      </c>
    </row>
    <row r="88" spans="1:16">
      <c r="A88" s="9">
        <f>IF(학생명렬표!A87="","",학생명렬표!A87)</f>
        <v>1</v>
      </c>
      <c r="B88" s="23">
        <f>IF(학생명렬표!B87="","",학생명렬표!B87)</f>
        <v>6</v>
      </c>
      <c r="C88" s="23">
        <f>IF(학생명렬표!C87="","",학생명렬표!C87)</f>
        <v>4</v>
      </c>
      <c r="D88" s="23" t="str">
        <f>IF(학생명렬표!D87="","",학생명렬표!D87)</f>
        <v>김성우</v>
      </c>
      <c r="E88" s="21" t="str">
        <f>IF(F88="O",'1_교과이수내용'!F88&amp;$D$1,"")&amp;IF(G88="O",'2_지적성장과정'!F88&amp;$D$1,"")&amp;IF(H88="O",'3_학업성취도'!F88&amp;$D$1,"")&amp;IF(I88="O",'4_태도'!F88&amp;$D$1,"")&amp;IF(J88="O",'5_적극성'!F88&amp;$D$1,"")&amp;IF(K88="O",'6_지적호기심'!F88&amp;$D$1,"")&amp;IF(L88="O",'7_특별한관심'!F88&amp;$D$1,"")&amp;IF(M88="O",'8_탁월한능력'!F88&amp;$D$1,"")&amp;IF(N88="O",'9_탐구활동'!F88&amp;$D$1,"")&amp;IF(O88="O",'10_진로관련사항'!F88&amp;$D$1,"")&amp;IF(P88="O",'11_프로젝트활동'!F88&amp;$D$1,"")</f>
        <v/>
      </c>
      <c r="F88" s="23" t="str">
        <f>IF('1_교과이수내용'!E88&gt;0,"O","X")</f>
        <v>X</v>
      </c>
      <c r="G88" s="23" t="str">
        <f>IF('2_지적성장과정'!E88&gt;0,"O","X")</f>
        <v>X</v>
      </c>
      <c r="H88" s="23" t="str">
        <f>IF('3_학업성취도'!E88&gt;0,"O","X")</f>
        <v>X</v>
      </c>
      <c r="I88" s="23" t="str">
        <f>IF('4_태도'!E88&gt;0,"O","X")</f>
        <v>X</v>
      </c>
      <c r="J88" s="23" t="str">
        <f>IF('5_적극성'!E88&gt;0,"O","X")</f>
        <v>X</v>
      </c>
      <c r="K88" s="23" t="str">
        <f>IF('6_지적호기심'!E88&gt;0,"O","X")</f>
        <v>X</v>
      </c>
      <c r="L88" s="23" t="str">
        <f>IF('7_특별한관심'!E88&gt;0,"O","X")</f>
        <v>X</v>
      </c>
      <c r="M88" s="23" t="str">
        <f>IF('8_탁월한능력'!E88&gt;0,"O","X")</f>
        <v>X</v>
      </c>
      <c r="N88" s="23" t="str">
        <f>IF('9_탐구활동'!E88&gt;0,"O","X")</f>
        <v>X</v>
      </c>
      <c r="O88" s="41" t="str">
        <f>IF('10_진로관련사항'!E88&gt;0,"O","X")</f>
        <v>X</v>
      </c>
      <c r="P88" s="23" t="str">
        <f>IF('11_프로젝트활동'!E88&gt;0,"O","X")</f>
        <v>X</v>
      </c>
    </row>
    <row r="89" spans="1:16">
      <c r="A89" s="9">
        <f>IF(학생명렬표!A88="","",학생명렬표!A88)</f>
        <v>1</v>
      </c>
      <c r="B89" s="23">
        <f>IF(학생명렬표!B88="","",학생명렬표!B88)</f>
        <v>6</v>
      </c>
      <c r="C89" s="23">
        <f>IF(학생명렬표!C88="","",학생명렬표!C88)</f>
        <v>5</v>
      </c>
      <c r="D89" s="23" t="str">
        <f>IF(학생명렬표!D88="","",학생명렬표!D88)</f>
        <v>김시우</v>
      </c>
      <c r="E89" s="21" t="str">
        <f>IF(F89="O",'1_교과이수내용'!F89&amp;$D$1,"")&amp;IF(G89="O",'2_지적성장과정'!F89&amp;$D$1,"")&amp;IF(H89="O",'3_학업성취도'!F89&amp;$D$1,"")&amp;IF(I89="O",'4_태도'!F89&amp;$D$1,"")&amp;IF(J89="O",'5_적극성'!F89&amp;$D$1,"")&amp;IF(K89="O",'6_지적호기심'!F89&amp;$D$1,"")&amp;IF(L89="O",'7_특별한관심'!F89&amp;$D$1,"")&amp;IF(M89="O",'8_탁월한능력'!F89&amp;$D$1,"")&amp;IF(N89="O",'9_탐구활동'!F89&amp;$D$1,"")&amp;IF(O89="O",'10_진로관련사항'!F89&amp;$D$1,"")&amp;IF(P89="O",'11_프로젝트활동'!F89&amp;$D$1,"")</f>
        <v/>
      </c>
      <c r="F89" s="23" t="str">
        <f>IF('1_교과이수내용'!E89&gt;0,"O","X")</f>
        <v>X</v>
      </c>
      <c r="G89" s="23" t="str">
        <f>IF('2_지적성장과정'!E89&gt;0,"O","X")</f>
        <v>X</v>
      </c>
      <c r="H89" s="23" t="str">
        <f>IF('3_학업성취도'!E89&gt;0,"O","X")</f>
        <v>X</v>
      </c>
      <c r="I89" s="23" t="str">
        <f>IF('4_태도'!E89&gt;0,"O","X")</f>
        <v>X</v>
      </c>
      <c r="J89" s="23" t="str">
        <f>IF('5_적극성'!E89&gt;0,"O","X")</f>
        <v>X</v>
      </c>
      <c r="K89" s="23" t="str">
        <f>IF('6_지적호기심'!E89&gt;0,"O","X")</f>
        <v>X</v>
      </c>
      <c r="L89" s="23" t="str">
        <f>IF('7_특별한관심'!E89&gt;0,"O","X")</f>
        <v>X</v>
      </c>
      <c r="M89" s="23" t="str">
        <f>IF('8_탁월한능력'!E89&gt;0,"O","X")</f>
        <v>X</v>
      </c>
      <c r="N89" s="23" t="str">
        <f>IF('9_탐구활동'!E89&gt;0,"O","X")</f>
        <v>X</v>
      </c>
      <c r="O89" s="41" t="str">
        <f>IF('10_진로관련사항'!E89&gt;0,"O","X")</f>
        <v>X</v>
      </c>
      <c r="P89" s="23" t="str">
        <f>IF('11_프로젝트활동'!E89&gt;0,"O","X")</f>
        <v>X</v>
      </c>
    </row>
    <row r="90" spans="1:16">
      <c r="A90" s="9">
        <f>IF(학생명렬표!A89="","",학생명렬표!A89)</f>
        <v>1</v>
      </c>
      <c r="B90" s="23">
        <f>IF(학생명렬표!B89="","",학생명렬표!B89)</f>
        <v>6</v>
      </c>
      <c r="C90" s="23">
        <f>IF(학생명렬표!C89="","",학생명렬표!C89)</f>
        <v>6</v>
      </c>
      <c r="D90" s="23" t="str">
        <f>IF(학생명렬표!D89="","",학생명렬표!D89)</f>
        <v>김영우</v>
      </c>
      <c r="E90" s="21" t="str">
        <f>IF(F90="O",'1_교과이수내용'!F90&amp;$D$1,"")&amp;IF(G90="O",'2_지적성장과정'!F90&amp;$D$1,"")&amp;IF(H90="O",'3_학업성취도'!F90&amp;$D$1,"")&amp;IF(I90="O",'4_태도'!F90&amp;$D$1,"")&amp;IF(J90="O",'5_적극성'!F90&amp;$D$1,"")&amp;IF(K90="O",'6_지적호기심'!F90&amp;$D$1,"")&amp;IF(L90="O",'7_특별한관심'!F90&amp;$D$1,"")&amp;IF(M90="O",'8_탁월한능력'!F90&amp;$D$1,"")&amp;IF(N90="O",'9_탐구활동'!F90&amp;$D$1,"")&amp;IF(O90="O",'10_진로관련사항'!F90&amp;$D$1,"")&amp;IF(P90="O",'11_프로젝트활동'!F90&amp;$D$1,"")</f>
        <v/>
      </c>
      <c r="F90" s="23" t="str">
        <f>IF('1_교과이수내용'!E90&gt;0,"O","X")</f>
        <v>X</v>
      </c>
      <c r="G90" s="23" t="str">
        <f>IF('2_지적성장과정'!E90&gt;0,"O","X")</f>
        <v>X</v>
      </c>
      <c r="H90" s="23" t="str">
        <f>IF('3_학업성취도'!E90&gt;0,"O","X")</f>
        <v>X</v>
      </c>
      <c r="I90" s="23" t="str">
        <f>IF('4_태도'!E90&gt;0,"O","X")</f>
        <v>X</v>
      </c>
      <c r="J90" s="23" t="str">
        <f>IF('5_적극성'!E90&gt;0,"O","X")</f>
        <v>X</v>
      </c>
      <c r="K90" s="23" t="str">
        <f>IF('6_지적호기심'!E90&gt;0,"O","X")</f>
        <v>X</v>
      </c>
      <c r="L90" s="23" t="str">
        <f>IF('7_특별한관심'!E90&gt;0,"O","X")</f>
        <v>X</v>
      </c>
      <c r="M90" s="23" t="str">
        <f>IF('8_탁월한능력'!E90&gt;0,"O","X")</f>
        <v>X</v>
      </c>
      <c r="N90" s="23" t="str">
        <f>IF('9_탐구활동'!E90&gt;0,"O","X")</f>
        <v>X</v>
      </c>
      <c r="O90" s="41" t="str">
        <f>IF('10_진로관련사항'!E90&gt;0,"O","X")</f>
        <v>X</v>
      </c>
      <c r="P90" s="23" t="str">
        <f>IF('11_프로젝트활동'!E90&gt;0,"O","X")</f>
        <v>X</v>
      </c>
    </row>
    <row r="91" spans="1:16">
      <c r="A91" s="9">
        <f>IF(학생명렬표!A90="","",학생명렬표!A90)</f>
        <v>1</v>
      </c>
      <c r="B91" s="23">
        <f>IF(학생명렬표!B90="","",학생명렬표!B90)</f>
        <v>6</v>
      </c>
      <c r="C91" s="23">
        <f>IF(학생명렬표!C90="","",학생명렬표!C90)</f>
        <v>7</v>
      </c>
      <c r="D91" s="23" t="str">
        <f>IF(학생명렬표!D90="","",학생명렬표!D90)</f>
        <v>김은우</v>
      </c>
      <c r="E91" s="21" t="str">
        <f>IF(F91="O",'1_교과이수내용'!F91&amp;$D$1,"")&amp;IF(G91="O",'2_지적성장과정'!F91&amp;$D$1,"")&amp;IF(H91="O",'3_학업성취도'!F91&amp;$D$1,"")&amp;IF(I91="O",'4_태도'!F91&amp;$D$1,"")&amp;IF(J91="O",'5_적극성'!F91&amp;$D$1,"")&amp;IF(K91="O",'6_지적호기심'!F91&amp;$D$1,"")&amp;IF(L91="O",'7_특별한관심'!F91&amp;$D$1,"")&amp;IF(M91="O",'8_탁월한능력'!F91&amp;$D$1,"")&amp;IF(N91="O",'9_탐구활동'!F91&amp;$D$1,"")&amp;IF(O91="O",'10_진로관련사항'!F91&amp;$D$1,"")&amp;IF(P91="O",'11_프로젝트활동'!F91&amp;$D$1,"")</f>
        <v/>
      </c>
      <c r="F91" s="23" t="str">
        <f>IF('1_교과이수내용'!E91&gt;0,"O","X")</f>
        <v>X</v>
      </c>
      <c r="G91" s="23" t="str">
        <f>IF('2_지적성장과정'!E91&gt;0,"O","X")</f>
        <v>X</v>
      </c>
      <c r="H91" s="23" t="str">
        <f>IF('3_학업성취도'!E91&gt;0,"O","X")</f>
        <v>X</v>
      </c>
      <c r="I91" s="23" t="str">
        <f>IF('4_태도'!E91&gt;0,"O","X")</f>
        <v>X</v>
      </c>
      <c r="J91" s="23" t="str">
        <f>IF('5_적극성'!E91&gt;0,"O","X")</f>
        <v>X</v>
      </c>
      <c r="K91" s="23" t="str">
        <f>IF('6_지적호기심'!E91&gt;0,"O","X")</f>
        <v>X</v>
      </c>
      <c r="L91" s="23" t="str">
        <f>IF('7_특별한관심'!E91&gt;0,"O","X")</f>
        <v>X</v>
      </c>
      <c r="M91" s="23" t="str">
        <f>IF('8_탁월한능력'!E91&gt;0,"O","X")</f>
        <v>X</v>
      </c>
      <c r="N91" s="23" t="str">
        <f>IF('9_탐구활동'!E91&gt;0,"O","X")</f>
        <v>X</v>
      </c>
      <c r="O91" s="41" t="str">
        <f>IF('10_진로관련사항'!E91&gt;0,"O","X")</f>
        <v>X</v>
      </c>
      <c r="P91" s="23" t="str">
        <f>IF('11_프로젝트활동'!E91&gt;0,"O","X")</f>
        <v>X</v>
      </c>
    </row>
    <row r="92" spans="1:16">
      <c r="A92" s="9">
        <f>IF(학생명렬표!A91="","",학생명렬표!A91)</f>
        <v>1</v>
      </c>
      <c r="B92" s="23">
        <f>IF(학생명렬표!B91="","",학생명렬표!B91)</f>
        <v>6</v>
      </c>
      <c r="C92" s="23">
        <f>IF(학생명렬표!C91="","",학생명렬표!C91)</f>
        <v>8</v>
      </c>
      <c r="D92" s="23" t="str">
        <f>IF(학생명렬표!D91="","",학생명렬표!D91)</f>
        <v>김정우</v>
      </c>
      <c r="E92" s="21" t="str">
        <f>IF(F92="O",'1_교과이수내용'!F92&amp;$D$1,"")&amp;IF(G92="O",'2_지적성장과정'!F92&amp;$D$1,"")&amp;IF(H92="O",'3_학업성취도'!F92&amp;$D$1,"")&amp;IF(I92="O",'4_태도'!F92&amp;$D$1,"")&amp;IF(J92="O",'5_적극성'!F92&amp;$D$1,"")&amp;IF(K92="O",'6_지적호기심'!F92&amp;$D$1,"")&amp;IF(L92="O",'7_특별한관심'!F92&amp;$D$1,"")&amp;IF(M92="O",'8_탁월한능력'!F92&amp;$D$1,"")&amp;IF(N92="O",'9_탐구활동'!F92&amp;$D$1,"")&amp;IF(O92="O",'10_진로관련사항'!F92&amp;$D$1,"")&amp;IF(P92="O",'11_프로젝트활동'!F92&amp;$D$1,"")</f>
        <v/>
      </c>
      <c r="F92" s="23" t="str">
        <f>IF('1_교과이수내용'!E92&gt;0,"O","X")</f>
        <v>X</v>
      </c>
      <c r="G92" s="23" t="str">
        <f>IF('2_지적성장과정'!E92&gt;0,"O","X")</f>
        <v>X</v>
      </c>
      <c r="H92" s="23" t="str">
        <f>IF('3_학업성취도'!E92&gt;0,"O","X")</f>
        <v>X</v>
      </c>
      <c r="I92" s="23" t="str">
        <f>IF('4_태도'!E92&gt;0,"O","X")</f>
        <v>X</v>
      </c>
      <c r="J92" s="23" t="str">
        <f>IF('5_적극성'!E92&gt;0,"O","X")</f>
        <v>X</v>
      </c>
      <c r="K92" s="23" t="str">
        <f>IF('6_지적호기심'!E92&gt;0,"O","X")</f>
        <v>X</v>
      </c>
      <c r="L92" s="23" t="str">
        <f>IF('7_특별한관심'!E92&gt;0,"O","X")</f>
        <v>X</v>
      </c>
      <c r="M92" s="23" t="str">
        <f>IF('8_탁월한능력'!E92&gt;0,"O","X")</f>
        <v>X</v>
      </c>
      <c r="N92" s="23" t="str">
        <f>IF('9_탐구활동'!E92&gt;0,"O","X")</f>
        <v>X</v>
      </c>
      <c r="O92" s="41" t="str">
        <f>IF('10_진로관련사항'!E92&gt;0,"O","X")</f>
        <v>X</v>
      </c>
      <c r="P92" s="23" t="str">
        <f>IF('11_프로젝트활동'!E92&gt;0,"O","X")</f>
        <v>X</v>
      </c>
    </row>
    <row r="93" spans="1:16">
      <c r="A93" s="9">
        <f>IF(학생명렬표!A92="","",학생명렬표!A92)</f>
        <v>1</v>
      </c>
      <c r="B93" s="23">
        <f>IF(학생명렬표!B92="","",학생명렬표!B92)</f>
        <v>6</v>
      </c>
      <c r="C93" s="23">
        <f>IF(학생명렬표!C92="","",학생명렬표!C92)</f>
        <v>9</v>
      </c>
      <c r="D93" s="23" t="str">
        <f>IF(학생명렬표!D92="","",학생명렬표!D92)</f>
        <v>김현우</v>
      </c>
      <c r="E93" s="21" t="str">
        <f>IF(F93="O",'1_교과이수내용'!F93&amp;$D$1,"")&amp;IF(G93="O",'2_지적성장과정'!F93&amp;$D$1,"")&amp;IF(H93="O",'3_학업성취도'!F93&amp;$D$1,"")&amp;IF(I93="O",'4_태도'!F93&amp;$D$1,"")&amp;IF(J93="O",'5_적극성'!F93&amp;$D$1,"")&amp;IF(K93="O",'6_지적호기심'!F93&amp;$D$1,"")&amp;IF(L93="O",'7_특별한관심'!F93&amp;$D$1,"")&amp;IF(M93="O",'8_탁월한능력'!F93&amp;$D$1,"")&amp;IF(N93="O",'9_탐구활동'!F93&amp;$D$1,"")&amp;IF(O93="O",'10_진로관련사항'!F93&amp;$D$1,"")&amp;IF(P93="O",'11_프로젝트활동'!F93&amp;$D$1,"")</f>
        <v/>
      </c>
      <c r="F93" s="23" t="str">
        <f>IF('1_교과이수내용'!E93&gt;0,"O","X")</f>
        <v>X</v>
      </c>
      <c r="G93" s="23" t="str">
        <f>IF('2_지적성장과정'!E93&gt;0,"O","X")</f>
        <v>X</v>
      </c>
      <c r="H93" s="23" t="str">
        <f>IF('3_학업성취도'!E93&gt;0,"O","X")</f>
        <v>X</v>
      </c>
      <c r="I93" s="23" t="str">
        <f>IF('4_태도'!E93&gt;0,"O","X")</f>
        <v>X</v>
      </c>
      <c r="J93" s="23" t="str">
        <f>IF('5_적극성'!E93&gt;0,"O","X")</f>
        <v>X</v>
      </c>
      <c r="K93" s="23" t="str">
        <f>IF('6_지적호기심'!E93&gt;0,"O","X")</f>
        <v>X</v>
      </c>
      <c r="L93" s="23" t="str">
        <f>IF('7_특별한관심'!E93&gt;0,"O","X")</f>
        <v>X</v>
      </c>
      <c r="M93" s="23" t="str">
        <f>IF('8_탁월한능력'!E93&gt;0,"O","X")</f>
        <v>X</v>
      </c>
      <c r="N93" s="23" t="str">
        <f>IF('9_탐구활동'!E93&gt;0,"O","X")</f>
        <v>X</v>
      </c>
      <c r="O93" s="41" t="str">
        <f>IF('10_진로관련사항'!E93&gt;0,"O","X")</f>
        <v>X</v>
      </c>
      <c r="P93" s="23" t="str">
        <f>IF('11_프로젝트활동'!E93&gt;0,"O","X")</f>
        <v>X</v>
      </c>
    </row>
    <row r="94" spans="1:16">
      <c r="A94" s="9">
        <f>IF(학생명렬표!A93="","",학생명렬표!A93)</f>
        <v>1</v>
      </c>
      <c r="B94" s="23">
        <f>IF(학생명렬표!B93="","",학생명렬표!B93)</f>
        <v>6</v>
      </c>
      <c r="C94" s="23">
        <f>IF(학생명렬표!C93="","",학생명렬표!C93)</f>
        <v>10</v>
      </c>
      <c r="D94" s="23" t="str">
        <f>IF(학생명렬표!D93="","",학생명렬표!D93)</f>
        <v>송명헌</v>
      </c>
      <c r="E94" s="21" t="str">
        <f>IF(F94="O",'1_교과이수내용'!F94&amp;$D$1,"")&amp;IF(G94="O",'2_지적성장과정'!F94&amp;$D$1,"")&amp;IF(H94="O",'3_학업성취도'!F94&amp;$D$1,"")&amp;IF(I94="O",'4_태도'!F94&amp;$D$1,"")&amp;IF(J94="O",'5_적극성'!F94&amp;$D$1,"")&amp;IF(K94="O",'6_지적호기심'!F94&amp;$D$1,"")&amp;IF(L94="O",'7_특별한관심'!F94&amp;$D$1,"")&amp;IF(M94="O",'8_탁월한능력'!F94&amp;$D$1,"")&amp;IF(N94="O",'9_탐구활동'!F94&amp;$D$1,"")&amp;IF(O94="O",'10_진로관련사항'!F94&amp;$D$1,"")&amp;IF(P94="O",'11_프로젝트활동'!F94&amp;$D$1,"")</f>
        <v/>
      </c>
      <c r="F94" s="23" t="str">
        <f>IF('1_교과이수내용'!E94&gt;0,"O","X")</f>
        <v>X</v>
      </c>
      <c r="G94" s="23" t="str">
        <f>IF('2_지적성장과정'!E94&gt;0,"O","X")</f>
        <v>X</v>
      </c>
      <c r="H94" s="23" t="str">
        <f>IF('3_학업성취도'!E94&gt;0,"O","X")</f>
        <v>X</v>
      </c>
      <c r="I94" s="23" t="str">
        <f>IF('4_태도'!E94&gt;0,"O","X")</f>
        <v>X</v>
      </c>
      <c r="J94" s="23" t="str">
        <f>IF('5_적극성'!E94&gt;0,"O","X")</f>
        <v>X</v>
      </c>
      <c r="K94" s="23" t="str">
        <f>IF('6_지적호기심'!E94&gt;0,"O","X")</f>
        <v>X</v>
      </c>
      <c r="L94" s="23" t="str">
        <f>IF('7_특별한관심'!E94&gt;0,"O","X")</f>
        <v>X</v>
      </c>
      <c r="M94" s="23" t="str">
        <f>IF('8_탁월한능력'!E94&gt;0,"O","X")</f>
        <v>X</v>
      </c>
      <c r="N94" s="23" t="str">
        <f>IF('9_탐구활동'!E94&gt;0,"O","X")</f>
        <v>X</v>
      </c>
      <c r="O94" s="41" t="str">
        <f>IF('10_진로관련사항'!E94&gt;0,"O","X")</f>
        <v>X</v>
      </c>
      <c r="P94" s="23" t="str">
        <f>IF('11_프로젝트활동'!E94&gt;0,"O","X")</f>
        <v>X</v>
      </c>
    </row>
    <row r="95" spans="1:16">
      <c r="A95" s="9">
        <f>IF(학생명렬표!A94="","",학생명렬표!A94)</f>
        <v>1</v>
      </c>
      <c r="B95" s="23">
        <f>IF(학생명렬표!B94="","",학생명렬표!B94)</f>
        <v>6</v>
      </c>
      <c r="C95" s="23">
        <f>IF(학생명렬표!C94="","",학생명렬표!C94)</f>
        <v>11</v>
      </c>
      <c r="D95" s="23" t="str">
        <f>IF(학생명렬표!D94="","",학생명렬표!D94)</f>
        <v>이정민</v>
      </c>
      <c r="E95" s="21" t="str">
        <f>IF(F95="O",'1_교과이수내용'!F95&amp;$D$1,"")&amp;IF(G95="O",'2_지적성장과정'!F95&amp;$D$1,"")&amp;IF(H95="O",'3_학업성취도'!F95&amp;$D$1,"")&amp;IF(I95="O",'4_태도'!F95&amp;$D$1,"")&amp;IF(J95="O",'5_적극성'!F95&amp;$D$1,"")&amp;IF(K95="O",'6_지적호기심'!F95&amp;$D$1,"")&amp;IF(L95="O",'7_특별한관심'!F95&amp;$D$1,"")&amp;IF(M95="O",'8_탁월한능력'!F95&amp;$D$1,"")&amp;IF(N95="O",'9_탐구활동'!F95&amp;$D$1,"")&amp;IF(O95="O",'10_진로관련사항'!F95&amp;$D$1,"")&amp;IF(P95="O",'11_프로젝트활동'!F95&amp;$D$1,"")</f>
        <v/>
      </c>
      <c r="F95" s="23" t="str">
        <f>IF('1_교과이수내용'!E95&gt;0,"O","X")</f>
        <v>X</v>
      </c>
      <c r="G95" s="23" t="str">
        <f>IF('2_지적성장과정'!E95&gt;0,"O","X")</f>
        <v>X</v>
      </c>
      <c r="H95" s="23" t="str">
        <f>IF('3_학업성취도'!E95&gt;0,"O","X")</f>
        <v>X</v>
      </c>
      <c r="I95" s="23" t="str">
        <f>IF('4_태도'!E95&gt;0,"O","X")</f>
        <v>X</v>
      </c>
      <c r="J95" s="23" t="str">
        <f>IF('5_적극성'!E95&gt;0,"O","X")</f>
        <v>X</v>
      </c>
      <c r="K95" s="23" t="str">
        <f>IF('6_지적호기심'!E95&gt;0,"O","X")</f>
        <v>X</v>
      </c>
      <c r="L95" s="23" t="str">
        <f>IF('7_특별한관심'!E95&gt;0,"O","X")</f>
        <v>X</v>
      </c>
      <c r="M95" s="23" t="str">
        <f>IF('8_탁월한능력'!E95&gt;0,"O","X")</f>
        <v>X</v>
      </c>
      <c r="N95" s="23" t="str">
        <f>IF('9_탐구활동'!E95&gt;0,"O","X")</f>
        <v>X</v>
      </c>
      <c r="O95" s="41" t="str">
        <f>IF('10_진로관련사항'!E95&gt;0,"O","X")</f>
        <v>X</v>
      </c>
      <c r="P95" s="23" t="str">
        <f>IF('11_프로젝트활동'!E95&gt;0,"O","X")</f>
        <v>X</v>
      </c>
    </row>
    <row r="96" spans="1:16">
      <c r="A96" s="9">
        <f>IF(학생명렬표!A95="","",학생명렬표!A95)</f>
        <v>1</v>
      </c>
      <c r="B96" s="23">
        <f>IF(학생명렬표!B95="","",학생명렬표!B95)</f>
        <v>6</v>
      </c>
      <c r="C96" s="23">
        <f>IF(학생명렬표!C95="","",학생명렬표!C95)</f>
        <v>12</v>
      </c>
      <c r="D96" s="23" t="str">
        <f>IF(학생명렬표!D95="","",학생명렬표!D95)</f>
        <v>임원상</v>
      </c>
      <c r="E96" s="21" t="str">
        <f>IF(F96="O",'1_교과이수내용'!F96&amp;$D$1,"")&amp;IF(G96="O",'2_지적성장과정'!F96&amp;$D$1,"")&amp;IF(H96="O",'3_학업성취도'!F96&amp;$D$1,"")&amp;IF(I96="O",'4_태도'!F96&amp;$D$1,"")&amp;IF(J96="O",'5_적극성'!F96&amp;$D$1,"")&amp;IF(K96="O",'6_지적호기심'!F96&amp;$D$1,"")&amp;IF(L96="O",'7_특별한관심'!F96&amp;$D$1,"")&amp;IF(M96="O",'8_탁월한능력'!F96&amp;$D$1,"")&amp;IF(N96="O",'9_탐구활동'!F96&amp;$D$1,"")&amp;IF(O96="O",'10_진로관련사항'!F96&amp;$D$1,"")&amp;IF(P96="O",'11_프로젝트활동'!F96&amp;$D$1,"")</f>
        <v/>
      </c>
      <c r="F96" s="23" t="str">
        <f>IF('1_교과이수내용'!E96&gt;0,"O","X")</f>
        <v>X</v>
      </c>
      <c r="G96" s="23" t="str">
        <f>IF('2_지적성장과정'!E96&gt;0,"O","X")</f>
        <v>X</v>
      </c>
      <c r="H96" s="23" t="str">
        <f>IF('3_학업성취도'!E96&gt;0,"O","X")</f>
        <v>X</v>
      </c>
      <c r="I96" s="23" t="str">
        <f>IF('4_태도'!E96&gt;0,"O","X")</f>
        <v>X</v>
      </c>
      <c r="J96" s="23" t="str">
        <f>IF('5_적극성'!E96&gt;0,"O","X")</f>
        <v>X</v>
      </c>
      <c r="K96" s="23" t="str">
        <f>IF('6_지적호기심'!E96&gt;0,"O","X")</f>
        <v>X</v>
      </c>
      <c r="L96" s="23" t="str">
        <f>IF('7_특별한관심'!E96&gt;0,"O","X")</f>
        <v>X</v>
      </c>
      <c r="M96" s="23" t="str">
        <f>IF('8_탁월한능력'!E96&gt;0,"O","X")</f>
        <v>X</v>
      </c>
      <c r="N96" s="23" t="str">
        <f>IF('9_탐구활동'!E96&gt;0,"O","X")</f>
        <v>X</v>
      </c>
      <c r="O96" s="41" t="str">
        <f>IF('10_진로관련사항'!E96&gt;0,"O","X")</f>
        <v>X</v>
      </c>
      <c r="P96" s="23" t="str">
        <f>IF('11_프로젝트활동'!E96&gt;0,"O","X")</f>
        <v>X</v>
      </c>
    </row>
    <row r="97" spans="1:16">
      <c r="A97" s="9">
        <f>IF(학생명렬표!A96="","",학생명렬표!A96)</f>
        <v>1</v>
      </c>
      <c r="B97" s="23">
        <f>IF(학생명렬표!B96="","",학생명렬표!B96)</f>
        <v>6</v>
      </c>
      <c r="C97" s="23">
        <f>IF(학생명렬표!C96="","",학생명렬표!C96)</f>
        <v>13</v>
      </c>
      <c r="D97" s="23" t="str">
        <f>IF(학생명렬표!D96="","",학생명렬표!D96)</f>
        <v>전종훈</v>
      </c>
      <c r="E97" s="21" t="str">
        <f>IF(F97="O",'1_교과이수내용'!F97&amp;$D$1,"")&amp;IF(G97="O",'2_지적성장과정'!F97&amp;$D$1,"")&amp;IF(H97="O",'3_학업성취도'!F97&amp;$D$1,"")&amp;IF(I97="O",'4_태도'!F97&amp;$D$1,"")&amp;IF(J97="O",'5_적극성'!F97&amp;$D$1,"")&amp;IF(K97="O",'6_지적호기심'!F97&amp;$D$1,"")&amp;IF(L97="O",'7_특별한관심'!F97&amp;$D$1,"")&amp;IF(M97="O",'8_탁월한능력'!F97&amp;$D$1,"")&amp;IF(N97="O",'9_탐구활동'!F97&amp;$D$1,"")&amp;IF(O97="O",'10_진로관련사항'!F97&amp;$D$1,"")&amp;IF(P97="O",'11_프로젝트활동'!F97&amp;$D$1,"")</f>
        <v/>
      </c>
      <c r="F97" s="23" t="str">
        <f>IF('1_교과이수내용'!E97&gt;0,"O","X")</f>
        <v>X</v>
      </c>
      <c r="G97" s="23" t="str">
        <f>IF('2_지적성장과정'!E97&gt;0,"O","X")</f>
        <v>X</v>
      </c>
      <c r="H97" s="23" t="str">
        <f>IF('3_학업성취도'!E97&gt;0,"O","X")</f>
        <v>X</v>
      </c>
      <c r="I97" s="23" t="str">
        <f>IF('4_태도'!E97&gt;0,"O","X")</f>
        <v>X</v>
      </c>
      <c r="J97" s="23" t="str">
        <f>IF('5_적극성'!E97&gt;0,"O","X")</f>
        <v>X</v>
      </c>
      <c r="K97" s="23" t="str">
        <f>IF('6_지적호기심'!E97&gt;0,"O","X")</f>
        <v>X</v>
      </c>
      <c r="L97" s="23" t="str">
        <f>IF('7_특별한관심'!E97&gt;0,"O","X")</f>
        <v>X</v>
      </c>
      <c r="M97" s="23" t="str">
        <f>IF('8_탁월한능력'!E97&gt;0,"O","X")</f>
        <v>X</v>
      </c>
      <c r="N97" s="23" t="str">
        <f>IF('9_탐구활동'!E97&gt;0,"O","X")</f>
        <v>X</v>
      </c>
      <c r="O97" s="41" t="str">
        <f>IF('10_진로관련사항'!E97&gt;0,"O","X")</f>
        <v>X</v>
      </c>
      <c r="P97" s="23" t="str">
        <f>IF('11_프로젝트활동'!E97&gt;0,"O","X")</f>
        <v>X</v>
      </c>
    </row>
    <row r="98" spans="1:16">
      <c r="A98" s="9">
        <f>IF(학생명렬표!A97="","",학생명렬표!A97)</f>
        <v>1</v>
      </c>
      <c r="B98" s="23">
        <f>IF(학생명렬표!B97="","",학생명렬표!B97)</f>
        <v>6</v>
      </c>
      <c r="C98" s="23">
        <f>IF(학생명렬표!C97="","",학생명렬표!C97)</f>
        <v>14</v>
      </c>
      <c r="D98" s="23" t="str">
        <f>IF(학생명렬표!D97="","",학생명렬표!D97)</f>
        <v>조수민</v>
      </c>
      <c r="E98" s="21" t="str">
        <f>IF(F98="O",'1_교과이수내용'!F98&amp;$D$1,"")&amp;IF(G98="O",'2_지적성장과정'!F98&amp;$D$1,"")&amp;IF(H98="O",'3_학업성취도'!F98&amp;$D$1,"")&amp;IF(I98="O",'4_태도'!F98&amp;$D$1,"")&amp;IF(J98="O",'5_적극성'!F98&amp;$D$1,"")&amp;IF(K98="O",'6_지적호기심'!F98&amp;$D$1,"")&amp;IF(L98="O",'7_특별한관심'!F98&amp;$D$1,"")&amp;IF(M98="O",'8_탁월한능력'!F98&amp;$D$1,"")&amp;IF(N98="O",'9_탐구활동'!F98&amp;$D$1,"")&amp;IF(O98="O",'10_진로관련사항'!F98&amp;$D$1,"")&amp;IF(P98="O",'11_프로젝트활동'!F98&amp;$D$1,"")</f>
        <v/>
      </c>
      <c r="F98" s="23" t="str">
        <f>IF('1_교과이수내용'!E98&gt;0,"O","X")</f>
        <v>X</v>
      </c>
      <c r="G98" s="23" t="str">
        <f>IF('2_지적성장과정'!E98&gt;0,"O","X")</f>
        <v>X</v>
      </c>
      <c r="H98" s="23" t="str">
        <f>IF('3_학업성취도'!E98&gt;0,"O","X")</f>
        <v>X</v>
      </c>
      <c r="I98" s="23" t="str">
        <f>IF('4_태도'!E98&gt;0,"O","X")</f>
        <v>X</v>
      </c>
      <c r="J98" s="23" t="str">
        <f>IF('5_적극성'!E98&gt;0,"O","X")</f>
        <v>X</v>
      </c>
      <c r="K98" s="23" t="str">
        <f>IF('6_지적호기심'!E98&gt;0,"O","X")</f>
        <v>X</v>
      </c>
      <c r="L98" s="23" t="str">
        <f>IF('7_특별한관심'!E98&gt;0,"O","X")</f>
        <v>X</v>
      </c>
      <c r="M98" s="23" t="str">
        <f>IF('8_탁월한능력'!E98&gt;0,"O","X")</f>
        <v>X</v>
      </c>
      <c r="N98" s="23" t="str">
        <f>IF('9_탐구활동'!E98&gt;0,"O","X")</f>
        <v>X</v>
      </c>
      <c r="O98" s="41" t="str">
        <f>IF('10_진로관련사항'!E98&gt;0,"O","X")</f>
        <v>X</v>
      </c>
      <c r="P98" s="23" t="str">
        <f>IF('11_프로젝트활동'!E98&gt;0,"O","X")</f>
        <v>X</v>
      </c>
    </row>
    <row r="99" spans="1:16">
      <c r="A99" s="9">
        <f>IF(학생명렬표!A98="","",학생명렬표!A98)</f>
        <v>1</v>
      </c>
      <c r="B99" s="23">
        <f>IF(학생명렬표!B98="","",학생명렬표!B98)</f>
        <v>6</v>
      </c>
      <c r="C99" s="23">
        <f>IF(학생명렬표!C98="","",학생명렬표!C98)</f>
        <v>15</v>
      </c>
      <c r="D99" s="23" t="str">
        <f>IF(학생명렬표!D98="","",학생명렬표!D98)</f>
        <v>조하진</v>
      </c>
      <c r="E99" s="21" t="str">
        <f>IF(F99="O",'1_교과이수내용'!F99&amp;$D$1,"")&amp;IF(G99="O",'2_지적성장과정'!F99&amp;$D$1,"")&amp;IF(H99="O",'3_학업성취도'!F99&amp;$D$1,"")&amp;IF(I99="O",'4_태도'!F99&amp;$D$1,"")&amp;IF(J99="O",'5_적극성'!F99&amp;$D$1,"")&amp;IF(K99="O",'6_지적호기심'!F99&amp;$D$1,"")&amp;IF(L99="O",'7_특별한관심'!F99&amp;$D$1,"")&amp;IF(M99="O",'8_탁월한능력'!F99&amp;$D$1,"")&amp;IF(N99="O",'9_탐구활동'!F99&amp;$D$1,"")&amp;IF(O99="O",'10_진로관련사항'!F99&amp;$D$1,"")&amp;IF(P99="O",'11_프로젝트활동'!F99&amp;$D$1,"")</f>
        <v/>
      </c>
      <c r="F99" s="23" t="str">
        <f>IF('1_교과이수내용'!E99&gt;0,"O","X")</f>
        <v>X</v>
      </c>
      <c r="G99" s="23" t="str">
        <f>IF('2_지적성장과정'!E99&gt;0,"O","X")</f>
        <v>X</v>
      </c>
      <c r="H99" s="23" t="str">
        <f>IF('3_학업성취도'!E99&gt;0,"O","X")</f>
        <v>X</v>
      </c>
      <c r="I99" s="23" t="str">
        <f>IF('4_태도'!E99&gt;0,"O","X")</f>
        <v>X</v>
      </c>
      <c r="J99" s="23" t="str">
        <f>IF('5_적극성'!E99&gt;0,"O","X")</f>
        <v>X</v>
      </c>
      <c r="K99" s="23" t="str">
        <f>IF('6_지적호기심'!E99&gt;0,"O","X")</f>
        <v>X</v>
      </c>
      <c r="L99" s="23" t="str">
        <f>IF('7_특별한관심'!E99&gt;0,"O","X")</f>
        <v>X</v>
      </c>
      <c r="M99" s="23" t="str">
        <f>IF('8_탁월한능력'!E99&gt;0,"O","X")</f>
        <v>X</v>
      </c>
      <c r="N99" s="23" t="str">
        <f>IF('9_탐구활동'!E99&gt;0,"O","X")</f>
        <v>X</v>
      </c>
      <c r="O99" s="41" t="str">
        <f>IF('10_진로관련사항'!E99&gt;0,"O","X")</f>
        <v>X</v>
      </c>
      <c r="P99" s="23" t="str">
        <f>IF('11_프로젝트활동'!E99&gt;0,"O","X")</f>
        <v>X</v>
      </c>
    </row>
    <row r="100" spans="1:16">
      <c r="A100" s="9">
        <f>IF(학생명렬표!A99="","",학생명렬표!A99)</f>
        <v>1</v>
      </c>
      <c r="B100" s="23">
        <f>IF(학생명렬표!B99="","",학생명렬표!B99)</f>
        <v>6</v>
      </c>
      <c r="C100" s="23">
        <f>IF(학생명렬표!C99="","",학생명렬표!C99)</f>
        <v>16</v>
      </c>
      <c r="D100" s="23" t="str">
        <f>IF(학생명렬표!D99="","",학생명렬표!D99)</f>
        <v>하정윤</v>
      </c>
      <c r="E100" s="21" t="str">
        <f>IF(F100="O",'1_교과이수내용'!F100&amp;$D$1,"")&amp;IF(G100="O",'2_지적성장과정'!F100&amp;$D$1,"")&amp;IF(H100="O",'3_학업성취도'!F100&amp;$D$1,"")&amp;IF(I100="O",'4_태도'!F100&amp;$D$1,"")&amp;IF(J100="O",'5_적극성'!F100&amp;$D$1,"")&amp;IF(K100="O",'6_지적호기심'!F100&amp;$D$1,"")&amp;IF(L100="O",'7_특별한관심'!F100&amp;$D$1,"")&amp;IF(M100="O",'8_탁월한능력'!F100&amp;$D$1,"")&amp;IF(N100="O",'9_탐구활동'!F100&amp;$D$1,"")&amp;IF(O100="O",'10_진로관련사항'!F100&amp;$D$1,"")&amp;IF(P100="O",'11_프로젝트활동'!F100&amp;$D$1,"")</f>
        <v/>
      </c>
      <c r="F100" s="23" t="str">
        <f>IF('1_교과이수내용'!E100&gt;0,"O","X")</f>
        <v>X</v>
      </c>
      <c r="G100" s="23" t="str">
        <f>IF('2_지적성장과정'!E100&gt;0,"O","X")</f>
        <v>X</v>
      </c>
      <c r="H100" s="23" t="str">
        <f>IF('3_학업성취도'!E100&gt;0,"O","X")</f>
        <v>X</v>
      </c>
      <c r="I100" s="23" t="str">
        <f>IF('4_태도'!E100&gt;0,"O","X")</f>
        <v>X</v>
      </c>
      <c r="J100" s="23" t="str">
        <f>IF('5_적극성'!E100&gt;0,"O","X")</f>
        <v>X</v>
      </c>
      <c r="K100" s="23" t="str">
        <f>IF('6_지적호기심'!E100&gt;0,"O","X")</f>
        <v>X</v>
      </c>
      <c r="L100" s="23" t="str">
        <f>IF('7_특별한관심'!E100&gt;0,"O","X")</f>
        <v>X</v>
      </c>
      <c r="M100" s="23" t="str">
        <f>IF('8_탁월한능력'!E100&gt;0,"O","X")</f>
        <v>X</v>
      </c>
      <c r="N100" s="23" t="str">
        <f>IF('9_탐구활동'!E100&gt;0,"O","X")</f>
        <v>X</v>
      </c>
      <c r="O100" s="41" t="str">
        <f>IF('10_진로관련사항'!E100&gt;0,"O","X")</f>
        <v>X</v>
      </c>
      <c r="P100" s="23" t="str">
        <f>IF('11_프로젝트활동'!E100&gt;0,"O","X")</f>
        <v>X</v>
      </c>
    </row>
    <row r="101" spans="1:16">
      <c r="A101" s="9">
        <f>IF(학생명렬표!A100="","",학생명렬표!A100)</f>
        <v>1</v>
      </c>
      <c r="B101" s="23">
        <f>IF(학생명렬표!B100="","",학생명렬표!B100)</f>
        <v>6</v>
      </c>
      <c r="C101" s="23">
        <f>IF(학생명렬표!C100="","",학생명렬표!C100)</f>
        <v>17</v>
      </c>
      <c r="D101" s="23" t="str">
        <f>IF(학생명렬표!D100="","",학생명렬표!D100)</f>
        <v>한지민</v>
      </c>
      <c r="E101" s="21" t="str">
        <f>IF(F101="O",'1_교과이수내용'!F101&amp;$D$1,"")&amp;IF(G101="O",'2_지적성장과정'!F101&amp;$D$1,"")&amp;IF(H101="O",'3_학업성취도'!F101&amp;$D$1,"")&amp;IF(I101="O",'4_태도'!F101&amp;$D$1,"")&amp;IF(J101="O",'5_적극성'!F101&amp;$D$1,"")&amp;IF(K101="O",'6_지적호기심'!F101&amp;$D$1,"")&amp;IF(L101="O",'7_특별한관심'!F101&amp;$D$1,"")&amp;IF(M101="O",'8_탁월한능력'!F101&amp;$D$1,"")&amp;IF(N101="O",'9_탐구활동'!F101&amp;$D$1,"")&amp;IF(O101="O",'10_진로관련사항'!F101&amp;$D$1,"")&amp;IF(P101="O",'11_프로젝트활동'!F101&amp;$D$1,"")</f>
        <v/>
      </c>
      <c r="F101" s="23" t="str">
        <f>IF('1_교과이수내용'!E101&gt;0,"O","X")</f>
        <v>X</v>
      </c>
      <c r="G101" s="23" t="str">
        <f>IF('2_지적성장과정'!E101&gt;0,"O","X")</f>
        <v>X</v>
      </c>
      <c r="H101" s="23" t="str">
        <f>IF('3_학업성취도'!E101&gt;0,"O","X")</f>
        <v>X</v>
      </c>
      <c r="I101" s="23" t="str">
        <f>IF('4_태도'!E101&gt;0,"O","X")</f>
        <v>X</v>
      </c>
      <c r="J101" s="23" t="str">
        <f>IF('5_적극성'!E101&gt;0,"O","X")</f>
        <v>X</v>
      </c>
      <c r="K101" s="23" t="str">
        <f>IF('6_지적호기심'!E101&gt;0,"O","X")</f>
        <v>X</v>
      </c>
      <c r="L101" s="23" t="str">
        <f>IF('7_특별한관심'!E101&gt;0,"O","X")</f>
        <v>X</v>
      </c>
      <c r="M101" s="23" t="str">
        <f>IF('8_탁월한능력'!E101&gt;0,"O","X")</f>
        <v>X</v>
      </c>
      <c r="N101" s="23" t="str">
        <f>IF('9_탐구활동'!E101&gt;0,"O","X")</f>
        <v>X</v>
      </c>
      <c r="O101" s="41" t="str">
        <f>IF('10_진로관련사항'!E101&gt;0,"O","X")</f>
        <v>X</v>
      </c>
      <c r="P101" s="23" t="str">
        <f>IF('11_프로젝트활동'!E101&gt;0,"O","X")</f>
        <v>X</v>
      </c>
    </row>
    <row r="102" spans="1:16">
      <c r="A102" s="9" t="str">
        <f>IF(학생명렬표!A101="","",학생명렬표!A101)</f>
        <v/>
      </c>
      <c r="B102" s="23" t="str">
        <f>IF(학생명렬표!B101="","",학생명렬표!B101)</f>
        <v/>
      </c>
      <c r="C102" s="23" t="str">
        <f>IF(학생명렬표!C101="","",학생명렬표!C101)</f>
        <v/>
      </c>
      <c r="D102" s="23" t="str">
        <f>IF(학생명렬표!D101="","",학생명렬표!D101)</f>
        <v/>
      </c>
      <c r="E102" s="21" t="str">
        <f>IF(F102="O",'1_교과이수내용'!F102&amp;$D$1,"")&amp;IF(G102="O",'2_지적성장과정'!F102&amp;$D$1,"")&amp;IF(H102="O",'3_학업성취도'!F102&amp;$D$1,"")&amp;IF(I102="O",'4_태도'!F102&amp;$D$1,"")&amp;IF(J102="O",'5_적극성'!F102&amp;$D$1,"")&amp;IF(K102="O",'6_지적호기심'!F102&amp;$D$1,"")&amp;IF(L102="O",'7_특별한관심'!F102&amp;$D$1,"")&amp;IF(M102="O",'8_탁월한능력'!F102&amp;$D$1,"")&amp;IF(N102="O",'9_탐구활동'!F102&amp;$D$1,"")&amp;IF(O102="O",'10_진로관련사항'!F102&amp;$D$1,"")&amp;IF(P102="O",'11_프로젝트활동'!F102&amp;$D$1,"")</f>
        <v/>
      </c>
      <c r="F102" s="23" t="str">
        <f>IF('1_교과이수내용'!E102&gt;0,"O","X")</f>
        <v>X</v>
      </c>
      <c r="G102" s="23" t="str">
        <f>IF('2_지적성장과정'!E102&gt;0,"O","X")</f>
        <v>X</v>
      </c>
      <c r="H102" s="23" t="str">
        <f>IF('3_학업성취도'!E102&gt;0,"O","X")</f>
        <v>X</v>
      </c>
      <c r="I102" s="23" t="str">
        <f>IF('4_태도'!E102&gt;0,"O","X")</f>
        <v>X</v>
      </c>
      <c r="J102" s="23" t="str">
        <f>IF('5_적극성'!E102&gt;0,"O","X")</f>
        <v>X</v>
      </c>
      <c r="K102" s="23" t="str">
        <f>IF('6_지적호기심'!E102&gt;0,"O","X")</f>
        <v>X</v>
      </c>
      <c r="L102" s="23" t="str">
        <f>IF('7_특별한관심'!E102&gt;0,"O","X")</f>
        <v>X</v>
      </c>
      <c r="M102" s="23" t="str">
        <f>IF('8_탁월한능력'!E102&gt;0,"O","X")</f>
        <v>X</v>
      </c>
      <c r="N102" s="23" t="str">
        <f>IF('9_탐구활동'!E102&gt;0,"O","X")</f>
        <v>X</v>
      </c>
      <c r="O102" s="41" t="str">
        <f>IF('10_진로관련사항'!E102&gt;0,"O","X")</f>
        <v>X</v>
      </c>
      <c r="P102" s="23" t="str">
        <f>IF('11_프로젝트활동'!E102&gt;0,"O","X")</f>
        <v>X</v>
      </c>
    </row>
    <row r="103" spans="1:16">
      <c r="A103" s="9" t="str">
        <f>IF(학생명렬표!A102="","",학생명렬표!A102)</f>
        <v/>
      </c>
      <c r="B103" s="23" t="str">
        <f>IF(학생명렬표!B102="","",학생명렬표!B102)</f>
        <v/>
      </c>
      <c r="C103" s="23" t="str">
        <f>IF(학생명렬표!C102="","",학생명렬표!C102)</f>
        <v/>
      </c>
      <c r="D103" s="23" t="str">
        <f>IF(학생명렬표!D102="","",학생명렬표!D102)</f>
        <v/>
      </c>
      <c r="E103" s="21" t="str">
        <f>IF(F103="O",'1_교과이수내용'!F103&amp;$D$1,"")&amp;IF(G103="O",'2_지적성장과정'!F103&amp;$D$1,"")&amp;IF(H103="O",'3_학업성취도'!F103&amp;$D$1,"")&amp;IF(I103="O",'4_태도'!F103&amp;$D$1,"")&amp;IF(J103="O",'5_적극성'!F103&amp;$D$1,"")&amp;IF(K103="O",'6_지적호기심'!F103&amp;$D$1,"")&amp;IF(L103="O",'7_특별한관심'!F103&amp;$D$1,"")&amp;IF(M103="O",'8_탁월한능력'!F103&amp;$D$1,"")&amp;IF(N103="O",'9_탐구활동'!F103&amp;$D$1,"")&amp;IF(O103="O",'10_진로관련사항'!F103&amp;$D$1,"")&amp;IF(P103="O",'11_프로젝트활동'!F103&amp;$D$1,"")</f>
        <v/>
      </c>
      <c r="F103" s="23" t="str">
        <f>IF('1_교과이수내용'!E103&gt;0,"O","X")</f>
        <v>X</v>
      </c>
      <c r="G103" s="23" t="str">
        <f>IF('2_지적성장과정'!E103&gt;0,"O","X")</f>
        <v>X</v>
      </c>
      <c r="H103" s="23" t="str">
        <f>IF('3_학업성취도'!E103&gt;0,"O","X")</f>
        <v>X</v>
      </c>
      <c r="I103" s="23" t="str">
        <f>IF('4_태도'!E103&gt;0,"O","X")</f>
        <v>X</v>
      </c>
      <c r="J103" s="23" t="str">
        <f>IF('5_적극성'!E103&gt;0,"O","X")</f>
        <v>X</v>
      </c>
      <c r="K103" s="23" t="str">
        <f>IF('6_지적호기심'!E103&gt;0,"O","X")</f>
        <v>X</v>
      </c>
      <c r="L103" s="23" t="str">
        <f>IF('7_특별한관심'!E103&gt;0,"O","X")</f>
        <v>X</v>
      </c>
      <c r="M103" s="23" t="str">
        <f>IF('8_탁월한능력'!E103&gt;0,"O","X")</f>
        <v>X</v>
      </c>
      <c r="N103" s="23" t="str">
        <f>IF('9_탐구활동'!E103&gt;0,"O","X")</f>
        <v>X</v>
      </c>
      <c r="O103" s="41" t="str">
        <f>IF('10_진로관련사항'!E103&gt;0,"O","X")</f>
        <v>X</v>
      </c>
      <c r="P103" s="23" t="str">
        <f>IF('11_프로젝트활동'!E103&gt;0,"O","X")</f>
        <v>X</v>
      </c>
    </row>
    <row r="104" spans="1:16">
      <c r="A104" s="9" t="str">
        <f>IF(학생명렬표!A103="","",학생명렬표!A103)</f>
        <v/>
      </c>
      <c r="B104" s="23" t="str">
        <f>IF(학생명렬표!B103="","",학생명렬표!B103)</f>
        <v/>
      </c>
      <c r="C104" s="23" t="str">
        <f>IF(학생명렬표!C103="","",학생명렬표!C103)</f>
        <v/>
      </c>
      <c r="D104" s="23" t="str">
        <f>IF(학생명렬표!D103="","",학생명렬표!D103)</f>
        <v/>
      </c>
      <c r="E104" s="21" t="str">
        <f>IF(F104="O",'1_교과이수내용'!F104&amp;$D$1,"")&amp;IF(G104="O",'2_지적성장과정'!F104&amp;$D$1,"")&amp;IF(H104="O",'3_학업성취도'!F104&amp;$D$1,"")&amp;IF(I104="O",'4_태도'!F104&amp;$D$1,"")&amp;IF(J104="O",'5_적극성'!F104&amp;$D$1,"")&amp;IF(K104="O",'6_지적호기심'!F104&amp;$D$1,"")&amp;IF(L104="O",'7_특별한관심'!F104&amp;$D$1,"")&amp;IF(M104="O",'8_탁월한능력'!F104&amp;$D$1,"")&amp;IF(N104="O",'9_탐구활동'!F104&amp;$D$1,"")&amp;IF(O104="O",'10_진로관련사항'!F104&amp;$D$1,"")&amp;IF(P104="O",'11_프로젝트활동'!F104&amp;$D$1,"")</f>
        <v/>
      </c>
      <c r="F104" s="23" t="str">
        <f>IF('1_교과이수내용'!E104&gt;0,"O","X")</f>
        <v>X</v>
      </c>
      <c r="G104" s="23" t="str">
        <f>IF('2_지적성장과정'!E104&gt;0,"O","X")</f>
        <v>X</v>
      </c>
      <c r="H104" s="23" t="str">
        <f>IF('3_학업성취도'!E104&gt;0,"O","X")</f>
        <v>X</v>
      </c>
      <c r="I104" s="23" t="str">
        <f>IF('4_태도'!E104&gt;0,"O","X")</f>
        <v>X</v>
      </c>
      <c r="J104" s="23" t="str">
        <f>IF('5_적극성'!E104&gt;0,"O","X")</f>
        <v>X</v>
      </c>
      <c r="K104" s="23" t="str">
        <f>IF('6_지적호기심'!E104&gt;0,"O","X")</f>
        <v>X</v>
      </c>
      <c r="L104" s="23" t="str">
        <f>IF('7_특별한관심'!E104&gt;0,"O","X")</f>
        <v>X</v>
      </c>
      <c r="M104" s="23" t="str">
        <f>IF('8_탁월한능력'!E104&gt;0,"O","X")</f>
        <v>X</v>
      </c>
      <c r="N104" s="23" t="str">
        <f>IF('9_탐구활동'!E104&gt;0,"O","X")</f>
        <v>X</v>
      </c>
      <c r="O104" s="41" t="str">
        <f>IF('10_진로관련사항'!E104&gt;0,"O","X")</f>
        <v>X</v>
      </c>
      <c r="P104" s="23" t="str">
        <f>IF('11_프로젝트활동'!E104&gt;0,"O","X")</f>
        <v>X</v>
      </c>
    </row>
    <row r="105" spans="1:16">
      <c r="A105" s="9" t="str">
        <f>IF(학생명렬표!A104="","",학생명렬표!A104)</f>
        <v/>
      </c>
      <c r="B105" s="23" t="str">
        <f>IF(학생명렬표!B104="","",학생명렬표!B104)</f>
        <v/>
      </c>
      <c r="C105" s="23" t="str">
        <f>IF(학생명렬표!C104="","",학생명렬표!C104)</f>
        <v/>
      </c>
      <c r="D105" s="23" t="str">
        <f>IF(학생명렬표!D104="","",학생명렬표!D104)</f>
        <v/>
      </c>
      <c r="E105" s="21" t="str">
        <f>IF(F105="O",'1_교과이수내용'!F105&amp;$D$1,"")&amp;IF(G105="O",'2_지적성장과정'!F105&amp;$D$1,"")&amp;IF(H105="O",'3_학업성취도'!F105&amp;$D$1,"")&amp;IF(I105="O",'4_태도'!F105&amp;$D$1,"")&amp;IF(J105="O",'5_적극성'!F105&amp;$D$1,"")&amp;IF(K105="O",'6_지적호기심'!F105&amp;$D$1,"")&amp;IF(L105="O",'7_특별한관심'!F105&amp;$D$1,"")&amp;IF(M105="O",'8_탁월한능력'!F105&amp;$D$1,"")&amp;IF(N105="O",'9_탐구활동'!F105&amp;$D$1,"")&amp;IF(O105="O",'10_진로관련사항'!F105&amp;$D$1,"")&amp;IF(P105="O",'11_프로젝트활동'!F105&amp;$D$1,"")</f>
        <v/>
      </c>
      <c r="F105" s="23" t="str">
        <f>IF('1_교과이수내용'!E105&gt;0,"O","X")</f>
        <v>X</v>
      </c>
      <c r="G105" s="23" t="str">
        <f>IF('2_지적성장과정'!E105&gt;0,"O","X")</f>
        <v>X</v>
      </c>
      <c r="H105" s="23" t="str">
        <f>IF('3_학업성취도'!E105&gt;0,"O","X")</f>
        <v>X</v>
      </c>
      <c r="I105" s="23" t="str">
        <f>IF('4_태도'!E105&gt;0,"O","X")</f>
        <v>X</v>
      </c>
      <c r="J105" s="23" t="str">
        <f>IF('5_적극성'!E105&gt;0,"O","X")</f>
        <v>X</v>
      </c>
      <c r="K105" s="23" t="str">
        <f>IF('6_지적호기심'!E105&gt;0,"O","X")</f>
        <v>X</v>
      </c>
      <c r="L105" s="23" t="str">
        <f>IF('7_특별한관심'!E105&gt;0,"O","X")</f>
        <v>X</v>
      </c>
      <c r="M105" s="23" t="str">
        <f>IF('8_탁월한능력'!E105&gt;0,"O","X")</f>
        <v>X</v>
      </c>
      <c r="N105" s="23" t="str">
        <f>IF('9_탐구활동'!E105&gt;0,"O","X")</f>
        <v>X</v>
      </c>
      <c r="O105" s="41" t="str">
        <f>IF('10_진로관련사항'!E105&gt;0,"O","X")</f>
        <v>X</v>
      </c>
      <c r="P105" s="23" t="str">
        <f>IF('11_프로젝트활동'!E105&gt;0,"O","X")</f>
        <v>X</v>
      </c>
    </row>
    <row r="106" spans="1:16">
      <c r="A106" s="9" t="str">
        <f>IF(학생명렬표!A105="","",학생명렬표!A105)</f>
        <v/>
      </c>
      <c r="B106" s="23" t="str">
        <f>IF(학생명렬표!B105="","",학생명렬표!B105)</f>
        <v/>
      </c>
      <c r="C106" s="23" t="str">
        <f>IF(학생명렬표!C105="","",학생명렬표!C105)</f>
        <v/>
      </c>
      <c r="D106" s="23" t="str">
        <f>IF(학생명렬표!D105="","",학생명렬표!D105)</f>
        <v/>
      </c>
      <c r="E106" s="21" t="str">
        <f>IF(F106="O",'1_교과이수내용'!F106&amp;$D$1,"")&amp;IF(G106="O",'2_지적성장과정'!F106&amp;$D$1,"")&amp;IF(H106="O",'3_학업성취도'!F106&amp;$D$1,"")&amp;IF(I106="O",'4_태도'!F106&amp;$D$1,"")&amp;IF(J106="O",'5_적극성'!F106&amp;$D$1,"")&amp;IF(K106="O",'6_지적호기심'!F106&amp;$D$1,"")&amp;IF(L106="O",'7_특별한관심'!F106&amp;$D$1,"")&amp;IF(M106="O",'8_탁월한능력'!F106&amp;$D$1,"")&amp;IF(N106="O",'9_탐구활동'!F106&amp;$D$1,"")&amp;IF(O106="O",'10_진로관련사항'!F106&amp;$D$1,"")&amp;IF(P106="O",'11_프로젝트활동'!F106&amp;$D$1,"")</f>
        <v/>
      </c>
      <c r="F106" s="23" t="str">
        <f>IF('1_교과이수내용'!E106&gt;0,"O","X")</f>
        <v>X</v>
      </c>
      <c r="G106" s="23" t="str">
        <f>IF('2_지적성장과정'!E106&gt;0,"O","X")</f>
        <v>X</v>
      </c>
      <c r="H106" s="23" t="str">
        <f>IF('3_학업성취도'!E106&gt;0,"O","X")</f>
        <v>X</v>
      </c>
      <c r="I106" s="23" t="str">
        <f>IF('4_태도'!E106&gt;0,"O","X")</f>
        <v>X</v>
      </c>
      <c r="J106" s="23" t="str">
        <f>IF('5_적극성'!E106&gt;0,"O","X")</f>
        <v>X</v>
      </c>
      <c r="K106" s="23" t="str">
        <f>IF('6_지적호기심'!E106&gt;0,"O","X")</f>
        <v>X</v>
      </c>
      <c r="L106" s="23" t="str">
        <f>IF('7_특별한관심'!E106&gt;0,"O","X")</f>
        <v>X</v>
      </c>
      <c r="M106" s="23" t="str">
        <f>IF('8_탁월한능력'!E106&gt;0,"O","X")</f>
        <v>X</v>
      </c>
      <c r="N106" s="23" t="str">
        <f>IF('9_탐구활동'!E106&gt;0,"O","X")</f>
        <v>X</v>
      </c>
      <c r="O106" s="41" t="str">
        <f>IF('10_진로관련사항'!E106&gt;0,"O","X")</f>
        <v>X</v>
      </c>
      <c r="P106" s="23" t="str">
        <f>IF('11_프로젝트활동'!E106&gt;0,"O","X")</f>
        <v>X</v>
      </c>
    </row>
    <row r="107" spans="1:16">
      <c r="A107" s="9" t="str">
        <f>IF(학생명렬표!A106="","",학생명렬표!A106)</f>
        <v/>
      </c>
      <c r="B107" s="23" t="str">
        <f>IF(학생명렬표!B106="","",학생명렬표!B106)</f>
        <v/>
      </c>
      <c r="C107" s="23" t="str">
        <f>IF(학생명렬표!C106="","",학생명렬표!C106)</f>
        <v/>
      </c>
      <c r="D107" s="23" t="str">
        <f>IF(학생명렬표!D106="","",학생명렬표!D106)</f>
        <v/>
      </c>
      <c r="E107" s="21" t="str">
        <f>IF(F107="O",'1_교과이수내용'!F107&amp;$D$1,"")&amp;IF(G107="O",'2_지적성장과정'!F107&amp;$D$1,"")&amp;IF(H107="O",'3_학업성취도'!F107&amp;$D$1,"")&amp;IF(I107="O",'4_태도'!F107&amp;$D$1,"")&amp;IF(J107="O",'5_적극성'!F107&amp;$D$1,"")&amp;IF(K107="O",'6_지적호기심'!F107&amp;$D$1,"")&amp;IF(L107="O",'7_특별한관심'!F107&amp;$D$1,"")&amp;IF(M107="O",'8_탁월한능력'!F107&amp;$D$1,"")&amp;IF(N107="O",'9_탐구활동'!F107&amp;$D$1,"")&amp;IF(O107="O",'10_진로관련사항'!F107&amp;$D$1,"")&amp;IF(P107="O",'11_프로젝트활동'!F107&amp;$D$1,"")</f>
        <v/>
      </c>
      <c r="F107" s="23" t="str">
        <f>IF('1_교과이수내용'!E107&gt;0,"O","X")</f>
        <v>X</v>
      </c>
      <c r="G107" s="23" t="str">
        <f>IF('2_지적성장과정'!E107&gt;0,"O","X")</f>
        <v>X</v>
      </c>
      <c r="H107" s="23" t="str">
        <f>IF('3_학업성취도'!E107&gt;0,"O","X")</f>
        <v>X</v>
      </c>
      <c r="I107" s="23" t="str">
        <f>IF('4_태도'!E107&gt;0,"O","X")</f>
        <v>X</v>
      </c>
      <c r="J107" s="23" t="str">
        <f>IF('5_적극성'!E107&gt;0,"O","X")</f>
        <v>X</v>
      </c>
      <c r="K107" s="23" t="str">
        <f>IF('6_지적호기심'!E107&gt;0,"O","X")</f>
        <v>X</v>
      </c>
      <c r="L107" s="23" t="str">
        <f>IF('7_특별한관심'!E107&gt;0,"O","X")</f>
        <v>X</v>
      </c>
      <c r="M107" s="23" t="str">
        <f>IF('8_탁월한능력'!E107&gt;0,"O","X")</f>
        <v>X</v>
      </c>
      <c r="N107" s="23" t="str">
        <f>IF('9_탐구활동'!E107&gt;0,"O","X")</f>
        <v>X</v>
      </c>
      <c r="O107" s="41" t="str">
        <f>IF('10_진로관련사항'!E107&gt;0,"O","X")</f>
        <v>X</v>
      </c>
      <c r="P107" s="23" t="str">
        <f>IF('11_프로젝트활동'!E107&gt;0,"O","X")</f>
        <v>X</v>
      </c>
    </row>
    <row r="108" spans="1:16">
      <c r="A108" s="9" t="str">
        <f>IF(학생명렬표!A107="","",학생명렬표!A107)</f>
        <v/>
      </c>
      <c r="B108" s="23" t="str">
        <f>IF(학생명렬표!B107="","",학생명렬표!B107)</f>
        <v/>
      </c>
      <c r="C108" s="23" t="str">
        <f>IF(학생명렬표!C107="","",학생명렬표!C107)</f>
        <v/>
      </c>
      <c r="D108" s="23" t="str">
        <f>IF(학생명렬표!D107="","",학생명렬표!D107)</f>
        <v/>
      </c>
      <c r="E108" s="21" t="str">
        <f>IF(F108="O",'1_교과이수내용'!F108&amp;$D$1,"")&amp;IF(G108="O",'2_지적성장과정'!F108&amp;$D$1,"")&amp;IF(H108="O",'3_학업성취도'!F108&amp;$D$1,"")&amp;IF(I108="O",'4_태도'!F108&amp;$D$1,"")&amp;IF(J108="O",'5_적극성'!F108&amp;$D$1,"")&amp;IF(K108="O",'6_지적호기심'!F108&amp;$D$1,"")&amp;IF(L108="O",'7_특별한관심'!F108&amp;$D$1,"")&amp;IF(M108="O",'8_탁월한능력'!F108&amp;$D$1,"")&amp;IF(N108="O",'9_탐구활동'!F108&amp;$D$1,"")&amp;IF(O108="O",'10_진로관련사항'!F108&amp;$D$1,"")&amp;IF(P108="O",'11_프로젝트활동'!F108&amp;$D$1,"")</f>
        <v/>
      </c>
      <c r="F108" s="23" t="str">
        <f>IF('1_교과이수내용'!E108&gt;0,"O","X")</f>
        <v>X</v>
      </c>
      <c r="G108" s="23" t="str">
        <f>IF('2_지적성장과정'!E108&gt;0,"O","X")</f>
        <v>X</v>
      </c>
      <c r="H108" s="23" t="str">
        <f>IF('3_학업성취도'!E108&gt;0,"O","X")</f>
        <v>X</v>
      </c>
      <c r="I108" s="23" t="str">
        <f>IF('4_태도'!E108&gt;0,"O","X")</f>
        <v>X</v>
      </c>
      <c r="J108" s="23" t="str">
        <f>IF('5_적극성'!E108&gt;0,"O","X")</f>
        <v>X</v>
      </c>
      <c r="K108" s="23" t="str">
        <f>IF('6_지적호기심'!E108&gt;0,"O","X")</f>
        <v>X</v>
      </c>
      <c r="L108" s="23" t="str">
        <f>IF('7_특별한관심'!E108&gt;0,"O","X")</f>
        <v>X</v>
      </c>
      <c r="M108" s="23" t="str">
        <f>IF('8_탁월한능력'!E108&gt;0,"O","X")</f>
        <v>X</v>
      </c>
      <c r="N108" s="23" t="str">
        <f>IF('9_탐구활동'!E108&gt;0,"O","X")</f>
        <v>X</v>
      </c>
      <c r="O108" s="41" t="str">
        <f>IF('10_진로관련사항'!E108&gt;0,"O","X")</f>
        <v>X</v>
      </c>
      <c r="P108" s="23" t="str">
        <f>IF('11_프로젝트활동'!E108&gt;0,"O","X")</f>
        <v>X</v>
      </c>
    </row>
    <row r="109" spans="1:16">
      <c r="A109" s="9" t="str">
        <f>IF(학생명렬표!A108="","",학생명렬표!A108)</f>
        <v/>
      </c>
      <c r="B109" s="23" t="str">
        <f>IF(학생명렬표!B108="","",학생명렬표!B108)</f>
        <v/>
      </c>
      <c r="C109" s="23" t="str">
        <f>IF(학생명렬표!C108="","",학생명렬표!C108)</f>
        <v/>
      </c>
      <c r="D109" s="23" t="str">
        <f>IF(학생명렬표!D108="","",학생명렬표!D108)</f>
        <v/>
      </c>
      <c r="E109" s="21" t="str">
        <f>IF(F109="O",'1_교과이수내용'!F109&amp;$D$1,"")&amp;IF(G109="O",'2_지적성장과정'!F109&amp;$D$1,"")&amp;IF(H109="O",'3_학업성취도'!F109&amp;$D$1,"")&amp;IF(I109="O",'4_태도'!F109&amp;$D$1,"")&amp;IF(J109="O",'5_적극성'!F109&amp;$D$1,"")&amp;IF(K109="O",'6_지적호기심'!F109&amp;$D$1,"")&amp;IF(L109="O",'7_특별한관심'!F109&amp;$D$1,"")&amp;IF(M109="O",'8_탁월한능력'!F109&amp;$D$1,"")&amp;IF(N109="O",'9_탐구활동'!F109&amp;$D$1,"")&amp;IF(O109="O",'10_진로관련사항'!F109&amp;$D$1,"")&amp;IF(P109="O",'11_프로젝트활동'!F109&amp;$D$1,"")</f>
        <v/>
      </c>
      <c r="F109" s="23" t="str">
        <f>IF('1_교과이수내용'!E109&gt;0,"O","X")</f>
        <v>X</v>
      </c>
      <c r="G109" s="23" t="str">
        <f>IF('2_지적성장과정'!E109&gt;0,"O","X")</f>
        <v>X</v>
      </c>
      <c r="H109" s="23" t="str">
        <f>IF('3_학업성취도'!E109&gt;0,"O","X")</f>
        <v>X</v>
      </c>
      <c r="I109" s="23" t="str">
        <f>IF('4_태도'!E109&gt;0,"O","X")</f>
        <v>X</v>
      </c>
      <c r="J109" s="23" t="str">
        <f>IF('5_적극성'!E109&gt;0,"O","X")</f>
        <v>X</v>
      </c>
      <c r="K109" s="23" t="str">
        <f>IF('6_지적호기심'!E109&gt;0,"O","X")</f>
        <v>X</v>
      </c>
      <c r="L109" s="23" t="str">
        <f>IF('7_특별한관심'!E109&gt;0,"O","X")</f>
        <v>X</v>
      </c>
      <c r="M109" s="23" t="str">
        <f>IF('8_탁월한능력'!E109&gt;0,"O","X")</f>
        <v>X</v>
      </c>
      <c r="N109" s="23" t="str">
        <f>IF('9_탐구활동'!E109&gt;0,"O","X")</f>
        <v>X</v>
      </c>
      <c r="O109" s="41" t="str">
        <f>IF('10_진로관련사항'!E109&gt;0,"O","X")</f>
        <v>X</v>
      </c>
      <c r="P109" s="23" t="str">
        <f>IF('11_프로젝트활동'!E109&gt;0,"O","X")</f>
        <v>X</v>
      </c>
    </row>
    <row r="110" spans="1:16">
      <c r="A110" s="9" t="str">
        <f>IF(학생명렬표!A109="","",학생명렬표!A109)</f>
        <v/>
      </c>
      <c r="B110" s="23" t="str">
        <f>IF(학생명렬표!B109="","",학생명렬표!B109)</f>
        <v/>
      </c>
      <c r="C110" s="23" t="str">
        <f>IF(학생명렬표!C109="","",학생명렬표!C109)</f>
        <v/>
      </c>
      <c r="D110" s="23" t="str">
        <f>IF(학생명렬표!D109="","",학생명렬표!D109)</f>
        <v/>
      </c>
      <c r="E110" s="21" t="str">
        <f>IF(F110="O",'1_교과이수내용'!F110&amp;$D$1,"")&amp;IF(G110="O",'2_지적성장과정'!F110&amp;$D$1,"")&amp;IF(H110="O",'3_학업성취도'!F110&amp;$D$1,"")&amp;IF(I110="O",'4_태도'!F110&amp;$D$1,"")&amp;IF(J110="O",'5_적극성'!F110&amp;$D$1,"")&amp;IF(K110="O",'6_지적호기심'!F110&amp;$D$1,"")&amp;IF(L110="O",'7_특별한관심'!F110&amp;$D$1,"")&amp;IF(M110="O",'8_탁월한능력'!F110&amp;$D$1,"")&amp;IF(N110="O",'9_탐구활동'!F110&amp;$D$1,"")&amp;IF(O110="O",'10_진로관련사항'!F110&amp;$D$1,"")&amp;IF(P110="O",'11_프로젝트활동'!F110&amp;$D$1,"")</f>
        <v/>
      </c>
      <c r="F110" s="23" t="str">
        <f>IF('1_교과이수내용'!E110&gt;0,"O","X")</f>
        <v>X</v>
      </c>
      <c r="G110" s="23" t="str">
        <f>IF('2_지적성장과정'!E110&gt;0,"O","X")</f>
        <v>X</v>
      </c>
      <c r="H110" s="23" t="str">
        <f>IF('3_학업성취도'!E110&gt;0,"O","X")</f>
        <v>X</v>
      </c>
      <c r="I110" s="23" t="str">
        <f>IF('4_태도'!E110&gt;0,"O","X")</f>
        <v>X</v>
      </c>
      <c r="J110" s="23" t="str">
        <f>IF('5_적극성'!E110&gt;0,"O","X")</f>
        <v>X</v>
      </c>
      <c r="K110" s="23" t="str">
        <f>IF('6_지적호기심'!E110&gt;0,"O","X")</f>
        <v>X</v>
      </c>
      <c r="L110" s="23" t="str">
        <f>IF('7_특별한관심'!E110&gt;0,"O","X")</f>
        <v>X</v>
      </c>
      <c r="M110" s="23" t="str">
        <f>IF('8_탁월한능력'!E110&gt;0,"O","X")</f>
        <v>X</v>
      </c>
      <c r="N110" s="23" t="str">
        <f>IF('9_탐구활동'!E110&gt;0,"O","X")</f>
        <v>X</v>
      </c>
      <c r="O110" s="41" t="str">
        <f>IF('10_진로관련사항'!E110&gt;0,"O","X")</f>
        <v>X</v>
      </c>
      <c r="P110" s="23" t="str">
        <f>IF('11_프로젝트활동'!E110&gt;0,"O","X")</f>
        <v>X</v>
      </c>
    </row>
    <row r="111" spans="1:16">
      <c r="A111" s="9" t="str">
        <f>IF(학생명렬표!A110="","",학생명렬표!A110)</f>
        <v/>
      </c>
      <c r="B111" s="23" t="str">
        <f>IF(학생명렬표!B110="","",학생명렬표!B110)</f>
        <v/>
      </c>
      <c r="C111" s="23" t="str">
        <f>IF(학생명렬표!C110="","",학생명렬표!C110)</f>
        <v/>
      </c>
      <c r="D111" s="23" t="str">
        <f>IF(학생명렬표!D110="","",학생명렬표!D110)</f>
        <v/>
      </c>
      <c r="E111" s="21" t="str">
        <f>IF(F111="O",'1_교과이수내용'!F111&amp;$D$1,"")&amp;IF(G111="O",'2_지적성장과정'!F111&amp;$D$1,"")&amp;IF(H111="O",'3_학업성취도'!F111&amp;$D$1,"")&amp;IF(I111="O",'4_태도'!F111&amp;$D$1,"")&amp;IF(J111="O",'5_적극성'!F111&amp;$D$1,"")&amp;IF(K111="O",'6_지적호기심'!F111&amp;$D$1,"")&amp;IF(L111="O",'7_특별한관심'!F111&amp;$D$1,"")&amp;IF(M111="O",'8_탁월한능력'!F111&amp;$D$1,"")&amp;IF(N111="O",'9_탐구활동'!F111&amp;$D$1,"")&amp;IF(O111="O",'10_진로관련사항'!F111&amp;$D$1,"")&amp;IF(P111="O",'11_프로젝트활동'!F111&amp;$D$1,"")</f>
        <v/>
      </c>
      <c r="F111" s="23" t="str">
        <f>IF('1_교과이수내용'!E111&gt;0,"O","X")</f>
        <v>X</v>
      </c>
      <c r="G111" s="23" t="str">
        <f>IF('2_지적성장과정'!E111&gt;0,"O","X")</f>
        <v>X</v>
      </c>
      <c r="H111" s="23" t="str">
        <f>IF('3_학업성취도'!E111&gt;0,"O","X")</f>
        <v>X</v>
      </c>
      <c r="I111" s="23" t="str">
        <f>IF('4_태도'!E111&gt;0,"O","X")</f>
        <v>X</v>
      </c>
      <c r="J111" s="23" t="str">
        <f>IF('5_적극성'!E111&gt;0,"O","X")</f>
        <v>X</v>
      </c>
      <c r="K111" s="23" t="str">
        <f>IF('6_지적호기심'!E111&gt;0,"O","X")</f>
        <v>X</v>
      </c>
      <c r="L111" s="23" t="str">
        <f>IF('7_특별한관심'!E111&gt;0,"O","X")</f>
        <v>X</v>
      </c>
      <c r="M111" s="23" t="str">
        <f>IF('8_탁월한능력'!E111&gt;0,"O","X")</f>
        <v>X</v>
      </c>
      <c r="N111" s="23" t="str">
        <f>IF('9_탐구활동'!E111&gt;0,"O","X")</f>
        <v>X</v>
      </c>
      <c r="O111" s="41" t="str">
        <f>IF('10_진로관련사항'!E111&gt;0,"O","X")</f>
        <v>X</v>
      </c>
      <c r="P111" s="23" t="str">
        <f>IF('11_프로젝트활동'!E111&gt;0,"O","X")</f>
        <v>X</v>
      </c>
    </row>
    <row r="112" spans="1:16">
      <c r="A112" s="9" t="str">
        <f>IF(학생명렬표!A111="","",학생명렬표!A111)</f>
        <v/>
      </c>
      <c r="B112" s="23" t="str">
        <f>IF(학생명렬표!B111="","",학생명렬표!B111)</f>
        <v/>
      </c>
      <c r="C112" s="23" t="str">
        <f>IF(학생명렬표!C111="","",학생명렬표!C111)</f>
        <v/>
      </c>
      <c r="D112" s="23" t="str">
        <f>IF(학생명렬표!D111="","",학생명렬표!D111)</f>
        <v/>
      </c>
      <c r="E112" s="21" t="str">
        <f>IF(F112="O",'1_교과이수내용'!F112&amp;$D$1,"")&amp;IF(G112="O",'2_지적성장과정'!F112&amp;$D$1,"")&amp;IF(H112="O",'3_학업성취도'!F112&amp;$D$1,"")&amp;IF(I112="O",'4_태도'!F112&amp;$D$1,"")&amp;IF(J112="O",'5_적극성'!F112&amp;$D$1,"")&amp;IF(K112="O",'6_지적호기심'!F112&amp;$D$1,"")&amp;IF(L112="O",'7_특별한관심'!F112&amp;$D$1,"")&amp;IF(M112="O",'8_탁월한능력'!F112&amp;$D$1,"")&amp;IF(N112="O",'9_탐구활동'!F112&amp;$D$1,"")&amp;IF(O112="O",'10_진로관련사항'!F112&amp;$D$1,"")&amp;IF(P112="O",'11_프로젝트활동'!F112&amp;$D$1,"")</f>
        <v/>
      </c>
      <c r="F112" s="23" t="str">
        <f>IF('1_교과이수내용'!E112&gt;0,"O","X")</f>
        <v>X</v>
      </c>
      <c r="G112" s="23" t="str">
        <f>IF('2_지적성장과정'!E112&gt;0,"O","X")</f>
        <v>X</v>
      </c>
      <c r="H112" s="23" t="str">
        <f>IF('3_학업성취도'!E112&gt;0,"O","X")</f>
        <v>X</v>
      </c>
      <c r="I112" s="23" t="str">
        <f>IF('4_태도'!E112&gt;0,"O","X")</f>
        <v>X</v>
      </c>
      <c r="J112" s="23" t="str">
        <f>IF('5_적극성'!E112&gt;0,"O","X")</f>
        <v>X</v>
      </c>
      <c r="K112" s="23" t="str">
        <f>IF('6_지적호기심'!E112&gt;0,"O","X")</f>
        <v>X</v>
      </c>
      <c r="L112" s="23" t="str">
        <f>IF('7_특별한관심'!E112&gt;0,"O","X")</f>
        <v>X</v>
      </c>
      <c r="M112" s="23" t="str">
        <f>IF('8_탁월한능력'!E112&gt;0,"O","X")</f>
        <v>X</v>
      </c>
      <c r="N112" s="23" t="str">
        <f>IF('9_탐구활동'!E112&gt;0,"O","X")</f>
        <v>X</v>
      </c>
      <c r="O112" s="41" t="str">
        <f>IF('10_진로관련사항'!E112&gt;0,"O","X")</f>
        <v>X</v>
      </c>
      <c r="P112" s="23" t="str">
        <f>IF('11_프로젝트활동'!E112&gt;0,"O","X")</f>
        <v>X</v>
      </c>
    </row>
    <row r="113" spans="1:16">
      <c r="A113" s="9" t="str">
        <f>IF(학생명렬표!A112="","",학생명렬표!A112)</f>
        <v/>
      </c>
      <c r="B113" s="23" t="str">
        <f>IF(학생명렬표!B112="","",학생명렬표!B112)</f>
        <v/>
      </c>
      <c r="C113" s="23" t="str">
        <f>IF(학생명렬표!C112="","",학생명렬표!C112)</f>
        <v/>
      </c>
      <c r="D113" s="23" t="str">
        <f>IF(학생명렬표!D112="","",학생명렬표!D112)</f>
        <v/>
      </c>
      <c r="E113" s="21" t="str">
        <f>IF(F113="O",'1_교과이수내용'!F113&amp;$D$1,"")&amp;IF(G113="O",'2_지적성장과정'!F113&amp;$D$1,"")&amp;IF(H113="O",'3_학업성취도'!F113&amp;$D$1,"")&amp;IF(I113="O",'4_태도'!F113&amp;$D$1,"")&amp;IF(J113="O",'5_적극성'!F113&amp;$D$1,"")&amp;IF(K113="O",'6_지적호기심'!F113&amp;$D$1,"")&amp;IF(L113="O",'7_특별한관심'!F113&amp;$D$1,"")&amp;IF(M113="O",'8_탁월한능력'!F113&amp;$D$1,"")&amp;IF(N113="O",'9_탐구활동'!F113&amp;$D$1,"")&amp;IF(O113="O",'10_진로관련사항'!F113&amp;$D$1,"")&amp;IF(P113="O",'11_프로젝트활동'!F113&amp;$D$1,"")</f>
        <v/>
      </c>
      <c r="F113" s="23" t="str">
        <f>IF('1_교과이수내용'!E113&gt;0,"O","X")</f>
        <v>X</v>
      </c>
      <c r="G113" s="23" t="str">
        <f>IF('2_지적성장과정'!E113&gt;0,"O","X")</f>
        <v>X</v>
      </c>
      <c r="H113" s="23" t="str">
        <f>IF('3_학업성취도'!E113&gt;0,"O","X")</f>
        <v>X</v>
      </c>
      <c r="I113" s="23" t="str">
        <f>IF('4_태도'!E113&gt;0,"O","X")</f>
        <v>X</v>
      </c>
      <c r="J113" s="23" t="str">
        <f>IF('5_적극성'!E113&gt;0,"O","X")</f>
        <v>X</v>
      </c>
      <c r="K113" s="23" t="str">
        <f>IF('6_지적호기심'!E113&gt;0,"O","X")</f>
        <v>X</v>
      </c>
      <c r="L113" s="23" t="str">
        <f>IF('7_특별한관심'!E113&gt;0,"O","X")</f>
        <v>X</v>
      </c>
      <c r="M113" s="23" t="str">
        <f>IF('8_탁월한능력'!E113&gt;0,"O","X")</f>
        <v>X</v>
      </c>
      <c r="N113" s="23" t="str">
        <f>IF('9_탐구활동'!E113&gt;0,"O","X")</f>
        <v>X</v>
      </c>
      <c r="O113" s="41" t="str">
        <f>IF('10_진로관련사항'!E113&gt;0,"O","X")</f>
        <v>X</v>
      </c>
      <c r="P113" s="23" t="str">
        <f>IF('11_프로젝트활동'!E113&gt;0,"O","X")</f>
        <v>X</v>
      </c>
    </row>
    <row r="114" spans="1:16">
      <c r="A114" s="9" t="str">
        <f>IF(학생명렬표!A113="","",학생명렬표!A113)</f>
        <v/>
      </c>
      <c r="B114" s="23" t="str">
        <f>IF(학생명렬표!B113="","",학생명렬표!B113)</f>
        <v/>
      </c>
      <c r="C114" s="23" t="str">
        <f>IF(학생명렬표!C113="","",학생명렬표!C113)</f>
        <v/>
      </c>
      <c r="D114" s="23" t="str">
        <f>IF(학생명렬표!D113="","",학생명렬표!D113)</f>
        <v/>
      </c>
      <c r="E114" s="21" t="str">
        <f>IF(F114="O",'1_교과이수내용'!F114&amp;$D$1,"")&amp;IF(G114="O",'2_지적성장과정'!F114&amp;$D$1,"")&amp;IF(H114="O",'3_학업성취도'!F114&amp;$D$1,"")&amp;IF(I114="O",'4_태도'!F114&amp;$D$1,"")&amp;IF(J114="O",'5_적극성'!F114&amp;$D$1,"")&amp;IF(K114="O",'6_지적호기심'!F114&amp;$D$1,"")&amp;IF(L114="O",'7_특별한관심'!F114&amp;$D$1,"")&amp;IF(M114="O",'8_탁월한능력'!F114&amp;$D$1,"")&amp;IF(N114="O",'9_탐구활동'!F114&amp;$D$1,"")&amp;IF(O114="O",'10_진로관련사항'!F114&amp;$D$1,"")&amp;IF(P114="O",'11_프로젝트활동'!F114&amp;$D$1,"")</f>
        <v/>
      </c>
      <c r="F114" s="23" t="str">
        <f>IF('1_교과이수내용'!E114&gt;0,"O","X")</f>
        <v>X</v>
      </c>
      <c r="G114" s="23" t="str">
        <f>IF('2_지적성장과정'!E114&gt;0,"O","X")</f>
        <v>X</v>
      </c>
      <c r="H114" s="23" t="str">
        <f>IF('3_학업성취도'!E114&gt;0,"O","X")</f>
        <v>X</v>
      </c>
      <c r="I114" s="23" t="str">
        <f>IF('4_태도'!E114&gt;0,"O","X")</f>
        <v>X</v>
      </c>
      <c r="J114" s="23" t="str">
        <f>IF('5_적극성'!E114&gt;0,"O","X")</f>
        <v>X</v>
      </c>
      <c r="K114" s="23" t="str">
        <f>IF('6_지적호기심'!E114&gt;0,"O","X")</f>
        <v>X</v>
      </c>
      <c r="L114" s="23" t="str">
        <f>IF('7_특별한관심'!E114&gt;0,"O","X")</f>
        <v>X</v>
      </c>
      <c r="M114" s="23" t="str">
        <f>IF('8_탁월한능력'!E114&gt;0,"O","X")</f>
        <v>X</v>
      </c>
      <c r="N114" s="23" t="str">
        <f>IF('9_탐구활동'!E114&gt;0,"O","X")</f>
        <v>X</v>
      </c>
      <c r="O114" s="41" t="str">
        <f>IF('10_진로관련사항'!E114&gt;0,"O","X")</f>
        <v>X</v>
      </c>
      <c r="P114" s="23" t="str">
        <f>IF('11_프로젝트활동'!E114&gt;0,"O","X")</f>
        <v>X</v>
      </c>
    </row>
    <row r="115" spans="1:16">
      <c r="A115" s="9" t="str">
        <f>IF(학생명렬표!A114="","",학생명렬표!A114)</f>
        <v/>
      </c>
      <c r="B115" s="23" t="str">
        <f>IF(학생명렬표!B114="","",학생명렬표!B114)</f>
        <v/>
      </c>
      <c r="C115" s="23" t="str">
        <f>IF(학생명렬표!C114="","",학생명렬표!C114)</f>
        <v/>
      </c>
      <c r="D115" s="23" t="str">
        <f>IF(학생명렬표!D114="","",학생명렬표!D114)</f>
        <v/>
      </c>
      <c r="E115" s="21" t="str">
        <f>IF(F115="O",'1_교과이수내용'!F115&amp;$D$1,"")&amp;IF(G115="O",'2_지적성장과정'!F115&amp;$D$1,"")&amp;IF(H115="O",'3_학업성취도'!F115&amp;$D$1,"")&amp;IF(I115="O",'4_태도'!F115&amp;$D$1,"")&amp;IF(J115="O",'5_적극성'!F115&amp;$D$1,"")&amp;IF(K115="O",'6_지적호기심'!F115&amp;$D$1,"")&amp;IF(L115="O",'7_특별한관심'!F115&amp;$D$1,"")&amp;IF(M115="O",'8_탁월한능력'!F115&amp;$D$1,"")&amp;IF(N115="O",'9_탐구활동'!F115&amp;$D$1,"")&amp;IF(O115="O",'10_진로관련사항'!F115&amp;$D$1,"")&amp;IF(P115="O",'11_프로젝트활동'!F115&amp;$D$1,"")</f>
        <v/>
      </c>
      <c r="F115" s="23" t="str">
        <f>IF('1_교과이수내용'!E115&gt;0,"O","X")</f>
        <v>X</v>
      </c>
      <c r="G115" s="23" t="str">
        <f>IF('2_지적성장과정'!E115&gt;0,"O","X")</f>
        <v>X</v>
      </c>
      <c r="H115" s="23" t="str">
        <f>IF('3_학업성취도'!E115&gt;0,"O","X")</f>
        <v>X</v>
      </c>
      <c r="I115" s="23" t="str">
        <f>IF('4_태도'!E115&gt;0,"O","X")</f>
        <v>X</v>
      </c>
      <c r="J115" s="23" t="str">
        <f>IF('5_적극성'!E115&gt;0,"O","X")</f>
        <v>X</v>
      </c>
      <c r="K115" s="23" t="str">
        <f>IF('6_지적호기심'!E115&gt;0,"O","X")</f>
        <v>X</v>
      </c>
      <c r="L115" s="23" t="str">
        <f>IF('7_특별한관심'!E115&gt;0,"O","X")</f>
        <v>X</v>
      </c>
      <c r="M115" s="23" t="str">
        <f>IF('8_탁월한능력'!E115&gt;0,"O","X")</f>
        <v>X</v>
      </c>
      <c r="N115" s="23" t="str">
        <f>IF('9_탐구활동'!E115&gt;0,"O","X")</f>
        <v>X</v>
      </c>
      <c r="O115" s="41" t="str">
        <f>IF('10_진로관련사항'!E115&gt;0,"O","X")</f>
        <v>X</v>
      </c>
      <c r="P115" s="23" t="str">
        <f>IF('11_프로젝트활동'!E115&gt;0,"O","X")</f>
        <v>X</v>
      </c>
    </row>
    <row r="116" spans="1:16">
      <c r="A116" s="9" t="str">
        <f>IF(학생명렬표!A115="","",학생명렬표!A115)</f>
        <v/>
      </c>
      <c r="B116" s="23" t="str">
        <f>IF(학생명렬표!B115="","",학생명렬표!B115)</f>
        <v/>
      </c>
      <c r="C116" s="23" t="str">
        <f>IF(학생명렬표!C115="","",학생명렬표!C115)</f>
        <v/>
      </c>
      <c r="D116" s="23" t="str">
        <f>IF(학생명렬표!D115="","",학생명렬표!D115)</f>
        <v/>
      </c>
      <c r="E116" s="21" t="str">
        <f>IF(F116="O",'1_교과이수내용'!F116&amp;$D$1,"")&amp;IF(G116="O",'2_지적성장과정'!F116&amp;$D$1,"")&amp;IF(H116="O",'3_학업성취도'!F116&amp;$D$1,"")&amp;IF(I116="O",'4_태도'!F116&amp;$D$1,"")&amp;IF(J116="O",'5_적극성'!F116&amp;$D$1,"")&amp;IF(K116="O",'6_지적호기심'!F116&amp;$D$1,"")&amp;IF(L116="O",'7_특별한관심'!F116&amp;$D$1,"")&amp;IF(M116="O",'8_탁월한능력'!F116&amp;$D$1,"")&amp;IF(N116="O",'9_탐구활동'!F116&amp;$D$1,"")&amp;IF(O116="O",'10_진로관련사항'!F116&amp;$D$1,"")&amp;IF(P116="O",'11_프로젝트활동'!F116&amp;$D$1,"")</f>
        <v/>
      </c>
      <c r="F116" s="23" t="str">
        <f>IF('1_교과이수내용'!E116&gt;0,"O","X")</f>
        <v>X</v>
      </c>
      <c r="G116" s="23" t="str">
        <f>IF('2_지적성장과정'!E116&gt;0,"O","X")</f>
        <v>X</v>
      </c>
      <c r="H116" s="23" t="str">
        <f>IF('3_학업성취도'!E116&gt;0,"O","X")</f>
        <v>X</v>
      </c>
      <c r="I116" s="23" t="str">
        <f>IF('4_태도'!E116&gt;0,"O","X")</f>
        <v>X</v>
      </c>
      <c r="J116" s="23" t="str">
        <f>IF('5_적극성'!E116&gt;0,"O","X")</f>
        <v>X</v>
      </c>
      <c r="K116" s="23" t="str">
        <f>IF('6_지적호기심'!E116&gt;0,"O","X")</f>
        <v>X</v>
      </c>
      <c r="L116" s="23" t="str">
        <f>IF('7_특별한관심'!E116&gt;0,"O","X")</f>
        <v>X</v>
      </c>
      <c r="M116" s="23" t="str">
        <f>IF('8_탁월한능력'!E116&gt;0,"O","X")</f>
        <v>X</v>
      </c>
      <c r="N116" s="23" t="str">
        <f>IF('9_탐구활동'!E116&gt;0,"O","X")</f>
        <v>X</v>
      </c>
      <c r="O116" s="41" t="str">
        <f>IF('10_진로관련사항'!E116&gt;0,"O","X")</f>
        <v>X</v>
      </c>
      <c r="P116" s="23" t="str">
        <f>IF('11_프로젝트활동'!E116&gt;0,"O","X")</f>
        <v>X</v>
      </c>
    </row>
    <row r="117" spans="1:16">
      <c r="A117" s="9" t="str">
        <f>IF(학생명렬표!A116="","",학생명렬표!A116)</f>
        <v/>
      </c>
      <c r="B117" s="23" t="str">
        <f>IF(학생명렬표!B116="","",학생명렬표!B116)</f>
        <v/>
      </c>
      <c r="C117" s="23" t="str">
        <f>IF(학생명렬표!C116="","",학생명렬표!C116)</f>
        <v/>
      </c>
      <c r="D117" s="23" t="str">
        <f>IF(학생명렬표!D116="","",학생명렬표!D116)</f>
        <v/>
      </c>
      <c r="E117" s="21" t="str">
        <f>IF(F117="O",'1_교과이수내용'!F117&amp;$D$1,"")&amp;IF(G117="O",'2_지적성장과정'!F117&amp;$D$1,"")&amp;IF(H117="O",'3_학업성취도'!F117&amp;$D$1,"")&amp;IF(I117="O",'4_태도'!F117&amp;$D$1,"")&amp;IF(J117="O",'5_적극성'!F117&amp;$D$1,"")&amp;IF(K117="O",'6_지적호기심'!F117&amp;$D$1,"")&amp;IF(L117="O",'7_특별한관심'!F117&amp;$D$1,"")&amp;IF(M117="O",'8_탁월한능력'!F117&amp;$D$1,"")&amp;IF(N117="O",'9_탐구활동'!F117&amp;$D$1,"")&amp;IF(O117="O",'10_진로관련사항'!F117&amp;$D$1,"")&amp;IF(P117="O",'11_프로젝트활동'!F117&amp;$D$1,"")</f>
        <v/>
      </c>
      <c r="F117" s="23" t="str">
        <f>IF('1_교과이수내용'!E117&gt;0,"O","X")</f>
        <v>X</v>
      </c>
      <c r="G117" s="23" t="str">
        <f>IF('2_지적성장과정'!E117&gt;0,"O","X")</f>
        <v>X</v>
      </c>
      <c r="H117" s="23" t="str">
        <f>IF('3_학업성취도'!E117&gt;0,"O","X")</f>
        <v>X</v>
      </c>
      <c r="I117" s="23" t="str">
        <f>IF('4_태도'!E117&gt;0,"O","X")</f>
        <v>X</v>
      </c>
      <c r="J117" s="23" t="str">
        <f>IF('5_적극성'!E117&gt;0,"O","X")</f>
        <v>X</v>
      </c>
      <c r="K117" s="23" t="str">
        <f>IF('6_지적호기심'!E117&gt;0,"O","X")</f>
        <v>X</v>
      </c>
      <c r="L117" s="23" t="str">
        <f>IF('7_특별한관심'!E117&gt;0,"O","X")</f>
        <v>X</v>
      </c>
      <c r="M117" s="23" t="str">
        <f>IF('8_탁월한능력'!E117&gt;0,"O","X")</f>
        <v>X</v>
      </c>
      <c r="N117" s="23" t="str">
        <f>IF('9_탐구활동'!E117&gt;0,"O","X")</f>
        <v>X</v>
      </c>
      <c r="O117" s="41" t="str">
        <f>IF('10_진로관련사항'!E117&gt;0,"O","X")</f>
        <v>X</v>
      </c>
      <c r="P117" s="23" t="str">
        <f>IF('11_프로젝트활동'!E117&gt;0,"O","X")</f>
        <v>X</v>
      </c>
    </row>
    <row r="118" spans="1:16">
      <c r="A118" s="9" t="str">
        <f>IF(학생명렬표!A117="","",학생명렬표!A117)</f>
        <v/>
      </c>
      <c r="B118" s="23" t="str">
        <f>IF(학생명렬표!B117="","",학생명렬표!B117)</f>
        <v/>
      </c>
      <c r="C118" s="23" t="str">
        <f>IF(학생명렬표!C117="","",학생명렬표!C117)</f>
        <v/>
      </c>
      <c r="D118" s="23" t="str">
        <f>IF(학생명렬표!D117="","",학생명렬표!D117)</f>
        <v/>
      </c>
      <c r="E118" s="21" t="str">
        <f>IF(F118="O",'1_교과이수내용'!F118&amp;$D$1,"")&amp;IF(G118="O",'2_지적성장과정'!F118&amp;$D$1,"")&amp;IF(H118="O",'3_학업성취도'!F118&amp;$D$1,"")&amp;IF(I118="O",'4_태도'!F118&amp;$D$1,"")&amp;IF(J118="O",'5_적극성'!F118&amp;$D$1,"")&amp;IF(K118="O",'6_지적호기심'!F118&amp;$D$1,"")&amp;IF(L118="O",'7_특별한관심'!F118&amp;$D$1,"")&amp;IF(M118="O",'8_탁월한능력'!F118&amp;$D$1,"")&amp;IF(N118="O",'9_탐구활동'!F118&amp;$D$1,"")&amp;IF(O118="O",'10_진로관련사항'!F118&amp;$D$1,"")&amp;IF(P118="O",'11_프로젝트활동'!F118&amp;$D$1,"")</f>
        <v/>
      </c>
      <c r="F118" s="23" t="str">
        <f>IF('1_교과이수내용'!E118&gt;0,"O","X")</f>
        <v>X</v>
      </c>
      <c r="G118" s="23" t="str">
        <f>IF('2_지적성장과정'!E118&gt;0,"O","X")</f>
        <v>X</v>
      </c>
      <c r="H118" s="23" t="str">
        <f>IF('3_학업성취도'!E118&gt;0,"O","X")</f>
        <v>X</v>
      </c>
      <c r="I118" s="23" t="str">
        <f>IF('4_태도'!E118&gt;0,"O","X")</f>
        <v>X</v>
      </c>
      <c r="J118" s="23" t="str">
        <f>IF('5_적극성'!E118&gt;0,"O","X")</f>
        <v>X</v>
      </c>
      <c r="K118" s="23" t="str">
        <f>IF('6_지적호기심'!E118&gt;0,"O","X")</f>
        <v>X</v>
      </c>
      <c r="L118" s="23" t="str">
        <f>IF('7_특별한관심'!E118&gt;0,"O","X")</f>
        <v>X</v>
      </c>
      <c r="M118" s="23" t="str">
        <f>IF('8_탁월한능력'!E118&gt;0,"O","X")</f>
        <v>X</v>
      </c>
      <c r="N118" s="23" t="str">
        <f>IF('9_탐구활동'!E118&gt;0,"O","X")</f>
        <v>X</v>
      </c>
      <c r="O118" s="41" t="str">
        <f>IF('10_진로관련사항'!E118&gt;0,"O","X")</f>
        <v>X</v>
      </c>
      <c r="P118" s="23" t="str">
        <f>IF('11_프로젝트활동'!E118&gt;0,"O","X")</f>
        <v>X</v>
      </c>
    </row>
    <row r="119" spans="1:16">
      <c r="A119" s="9" t="str">
        <f>IF(학생명렬표!A118="","",학생명렬표!A118)</f>
        <v/>
      </c>
      <c r="B119" s="23" t="str">
        <f>IF(학생명렬표!B118="","",학생명렬표!B118)</f>
        <v/>
      </c>
      <c r="C119" s="23" t="str">
        <f>IF(학생명렬표!C118="","",학생명렬표!C118)</f>
        <v/>
      </c>
      <c r="D119" s="23" t="str">
        <f>IF(학생명렬표!D118="","",학생명렬표!D118)</f>
        <v/>
      </c>
      <c r="E119" s="21" t="str">
        <f>IF(F119="O",'1_교과이수내용'!F119&amp;$D$1,"")&amp;IF(G119="O",'2_지적성장과정'!F119&amp;$D$1,"")&amp;IF(H119="O",'3_학업성취도'!F119&amp;$D$1,"")&amp;IF(I119="O",'4_태도'!F119&amp;$D$1,"")&amp;IF(J119="O",'5_적극성'!F119&amp;$D$1,"")&amp;IF(K119="O",'6_지적호기심'!F119&amp;$D$1,"")&amp;IF(L119="O",'7_특별한관심'!F119&amp;$D$1,"")&amp;IF(M119="O",'8_탁월한능력'!F119&amp;$D$1,"")&amp;IF(N119="O",'9_탐구활동'!F119&amp;$D$1,"")&amp;IF(O119="O",'10_진로관련사항'!F119&amp;$D$1,"")&amp;IF(P119="O",'11_프로젝트활동'!F119&amp;$D$1,"")</f>
        <v/>
      </c>
      <c r="F119" s="23" t="str">
        <f>IF('1_교과이수내용'!E119&gt;0,"O","X")</f>
        <v>X</v>
      </c>
      <c r="G119" s="23" t="str">
        <f>IF('2_지적성장과정'!E119&gt;0,"O","X")</f>
        <v>X</v>
      </c>
      <c r="H119" s="23" t="str">
        <f>IF('3_학업성취도'!E119&gt;0,"O","X")</f>
        <v>X</v>
      </c>
      <c r="I119" s="23" t="str">
        <f>IF('4_태도'!E119&gt;0,"O","X")</f>
        <v>X</v>
      </c>
      <c r="J119" s="23" t="str">
        <f>IF('5_적극성'!E119&gt;0,"O","X")</f>
        <v>X</v>
      </c>
      <c r="K119" s="23" t="str">
        <f>IF('6_지적호기심'!E119&gt;0,"O","X")</f>
        <v>X</v>
      </c>
      <c r="L119" s="23" t="str">
        <f>IF('7_특별한관심'!E119&gt;0,"O","X")</f>
        <v>X</v>
      </c>
      <c r="M119" s="23" t="str">
        <f>IF('8_탁월한능력'!E119&gt;0,"O","X")</f>
        <v>X</v>
      </c>
      <c r="N119" s="23" t="str">
        <f>IF('9_탐구활동'!E119&gt;0,"O","X")</f>
        <v>X</v>
      </c>
      <c r="O119" s="41" t="str">
        <f>IF('10_진로관련사항'!E119&gt;0,"O","X")</f>
        <v>X</v>
      </c>
      <c r="P119" s="23" t="str">
        <f>IF('11_프로젝트활동'!E119&gt;0,"O","X")</f>
        <v>X</v>
      </c>
    </row>
    <row r="120" spans="1:16">
      <c r="A120" s="9" t="str">
        <f>IF(학생명렬표!A119="","",학생명렬표!A119)</f>
        <v/>
      </c>
      <c r="B120" s="23" t="str">
        <f>IF(학생명렬표!B119="","",학생명렬표!B119)</f>
        <v/>
      </c>
      <c r="C120" s="23" t="str">
        <f>IF(학생명렬표!C119="","",학생명렬표!C119)</f>
        <v/>
      </c>
      <c r="D120" s="23" t="str">
        <f>IF(학생명렬표!D119="","",학생명렬표!D119)</f>
        <v/>
      </c>
      <c r="E120" s="21" t="str">
        <f>IF(F120="O",'1_교과이수내용'!F120&amp;$D$1,"")&amp;IF(G120="O",'2_지적성장과정'!F120&amp;$D$1,"")&amp;IF(H120="O",'3_학업성취도'!F120&amp;$D$1,"")&amp;IF(I120="O",'4_태도'!F120&amp;$D$1,"")&amp;IF(J120="O",'5_적극성'!F120&amp;$D$1,"")&amp;IF(K120="O",'6_지적호기심'!F120&amp;$D$1,"")&amp;IF(L120="O",'7_특별한관심'!F120&amp;$D$1,"")&amp;IF(M120="O",'8_탁월한능력'!F120&amp;$D$1,"")&amp;IF(N120="O",'9_탐구활동'!F120&amp;$D$1,"")&amp;IF(O120="O",'10_진로관련사항'!F120&amp;$D$1,"")&amp;IF(P120="O",'11_프로젝트활동'!F120&amp;$D$1,"")</f>
        <v/>
      </c>
      <c r="F120" s="23" t="str">
        <f>IF('1_교과이수내용'!E120&gt;0,"O","X")</f>
        <v>X</v>
      </c>
      <c r="G120" s="23" t="str">
        <f>IF('2_지적성장과정'!E120&gt;0,"O","X")</f>
        <v>X</v>
      </c>
      <c r="H120" s="23" t="str">
        <f>IF('3_학업성취도'!E120&gt;0,"O","X")</f>
        <v>X</v>
      </c>
      <c r="I120" s="23" t="str">
        <f>IF('4_태도'!E120&gt;0,"O","X")</f>
        <v>X</v>
      </c>
      <c r="J120" s="23" t="str">
        <f>IF('5_적극성'!E120&gt;0,"O","X")</f>
        <v>X</v>
      </c>
      <c r="K120" s="23" t="str">
        <f>IF('6_지적호기심'!E120&gt;0,"O","X")</f>
        <v>X</v>
      </c>
      <c r="L120" s="23" t="str">
        <f>IF('7_특별한관심'!E120&gt;0,"O","X")</f>
        <v>X</v>
      </c>
      <c r="M120" s="23" t="str">
        <f>IF('8_탁월한능력'!E120&gt;0,"O","X")</f>
        <v>X</v>
      </c>
      <c r="N120" s="23" t="str">
        <f>IF('9_탐구활동'!E120&gt;0,"O","X")</f>
        <v>X</v>
      </c>
      <c r="O120" s="41" t="str">
        <f>IF('10_진로관련사항'!E120&gt;0,"O","X")</f>
        <v>X</v>
      </c>
      <c r="P120" s="23" t="str">
        <f>IF('11_프로젝트활동'!E120&gt;0,"O","X")</f>
        <v>X</v>
      </c>
    </row>
    <row r="121" spans="1:16">
      <c r="A121" s="9" t="str">
        <f>IF(학생명렬표!A120="","",학생명렬표!A120)</f>
        <v/>
      </c>
      <c r="B121" s="23" t="str">
        <f>IF(학생명렬표!B120="","",학생명렬표!B120)</f>
        <v/>
      </c>
      <c r="C121" s="23" t="str">
        <f>IF(학생명렬표!C120="","",학생명렬표!C120)</f>
        <v/>
      </c>
      <c r="D121" s="23" t="str">
        <f>IF(학생명렬표!D120="","",학생명렬표!D120)</f>
        <v/>
      </c>
      <c r="E121" s="21" t="str">
        <f>IF(F121="O",'1_교과이수내용'!F121&amp;$D$1,"")&amp;IF(G121="O",'2_지적성장과정'!F121&amp;$D$1,"")&amp;IF(H121="O",'3_학업성취도'!F121&amp;$D$1,"")&amp;IF(I121="O",'4_태도'!F121&amp;$D$1,"")&amp;IF(J121="O",'5_적극성'!F121&amp;$D$1,"")&amp;IF(K121="O",'6_지적호기심'!F121&amp;$D$1,"")&amp;IF(L121="O",'7_특별한관심'!F121&amp;$D$1,"")&amp;IF(M121="O",'8_탁월한능력'!F121&amp;$D$1,"")&amp;IF(N121="O",'9_탐구활동'!F121&amp;$D$1,"")&amp;IF(O121="O",'10_진로관련사항'!F121&amp;$D$1,"")&amp;IF(P121="O",'11_프로젝트활동'!F121&amp;$D$1,"")</f>
        <v/>
      </c>
      <c r="F121" s="23" t="str">
        <f>IF('1_교과이수내용'!E121&gt;0,"O","X")</f>
        <v>X</v>
      </c>
      <c r="G121" s="23" t="str">
        <f>IF('2_지적성장과정'!E121&gt;0,"O","X")</f>
        <v>X</v>
      </c>
      <c r="H121" s="23" t="str">
        <f>IF('3_학업성취도'!E121&gt;0,"O","X")</f>
        <v>X</v>
      </c>
      <c r="I121" s="23" t="str">
        <f>IF('4_태도'!E121&gt;0,"O","X")</f>
        <v>X</v>
      </c>
      <c r="J121" s="23" t="str">
        <f>IF('5_적극성'!E121&gt;0,"O","X")</f>
        <v>X</v>
      </c>
      <c r="K121" s="23" t="str">
        <f>IF('6_지적호기심'!E121&gt;0,"O","X")</f>
        <v>X</v>
      </c>
      <c r="L121" s="23" t="str">
        <f>IF('7_특별한관심'!E121&gt;0,"O","X")</f>
        <v>X</v>
      </c>
      <c r="M121" s="23" t="str">
        <f>IF('8_탁월한능력'!E121&gt;0,"O","X")</f>
        <v>X</v>
      </c>
      <c r="N121" s="23" t="str">
        <f>IF('9_탐구활동'!E121&gt;0,"O","X")</f>
        <v>X</v>
      </c>
      <c r="O121" s="41" t="str">
        <f>IF('10_진로관련사항'!E121&gt;0,"O","X")</f>
        <v>X</v>
      </c>
      <c r="P121" s="23" t="str">
        <f>IF('11_프로젝트활동'!E121&gt;0,"O","X")</f>
        <v>X</v>
      </c>
    </row>
    <row r="122" spans="1:16">
      <c r="A122" s="9" t="str">
        <f>IF(학생명렬표!A121="","",학생명렬표!A121)</f>
        <v/>
      </c>
      <c r="B122" s="23" t="str">
        <f>IF(학생명렬표!B121="","",학생명렬표!B121)</f>
        <v/>
      </c>
      <c r="C122" s="23" t="str">
        <f>IF(학생명렬표!C121="","",학생명렬표!C121)</f>
        <v/>
      </c>
      <c r="D122" s="23" t="str">
        <f>IF(학생명렬표!D121="","",학생명렬표!D121)</f>
        <v/>
      </c>
      <c r="E122" s="21" t="str">
        <f>IF(F122="O",'1_교과이수내용'!F122&amp;$D$1,"")&amp;IF(G122="O",'2_지적성장과정'!F122&amp;$D$1,"")&amp;IF(H122="O",'3_학업성취도'!F122&amp;$D$1,"")&amp;IF(I122="O",'4_태도'!F122&amp;$D$1,"")&amp;IF(J122="O",'5_적극성'!F122&amp;$D$1,"")&amp;IF(K122="O",'6_지적호기심'!F122&amp;$D$1,"")&amp;IF(L122="O",'7_특별한관심'!F122&amp;$D$1,"")&amp;IF(M122="O",'8_탁월한능력'!F122&amp;$D$1,"")&amp;IF(N122="O",'9_탐구활동'!F122&amp;$D$1,"")&amp;IF(O122="O",'10_진로관련사항'!F122&amp;$D$1,"")&amp;IF(P122="O",'11_프로젝트활동'!F122&amp;$D$1,"")</f>
        <v/>
      </c>
      <c r="F122" s="23" t="str">
        <f>IF('1_교과이수내용'!E122&gt;0,"O","X")</f>
        <v>X</v>
      </c>
      <c r="G122" s="23" t="str">
        <f>IF('2_지적성장과정'!E122&gt;0,"O","X")</f>
        <v>X</v>
      </c>
      <c r="H122" s="23" t="str">
        <f>IF('3_학업성취도'!E122&gt;0,"O","X")</f>
        <v>X</v>
      </c>
      <c r="I122" s="23" t="str">
        <f>IF('4_태도'!E122&gt;0,"O","X")</f>
        <v>X</v>
      </c>
      <c r="J122" s="23" t="str">
        <f>IF('5_적극성'!E122&gt;0,"O","X")</f>
        <v>X</v>
      </c>
      <c r="K122" s="23" t="str">
        <f>IF('6_지적호기심'!E122&gt;0,"O","X")</f>
        <v>X</v>
      </c>
      <c r="L122" s="23" t="str">
        <f>IF('7_특별한관심'!E122&gt;0,"O","X")</f>
        <v>X</v>
      </c>
      <c r="M122" s="23" t="str">
        <f>IF('8_탁월한능력'!E122&gt;0,"O","X")</f>
        <v>X</v>
      </c>
      <c r="N122" s="23" t="str">
        <f>IF('9_탐구활동'!E122&gt;0,"O","X")</f>
        <v>X</v>
      </c>
      <c r="O122" s="41" t="str">
        <f>IF('10_진로관련사항'!E122&gt;0,"O","X")</f>
        <v>X</v>
      </c>
      <c r="P122" s="23" t="str">
        <f>IF('11_프로젝트활동'!E122&gt;0,"O","X")</f>
        <v>X</v>
      </c>
    </row>
    <row r="123" spans="1:16">
      <c r="A123" s="9" t="str">
        <f>IF(학생명렬표!A122="","",학생명렬표!A122)</f>
        <v/>
      </c>
      <c r="B123" s="23" t="str">
        <f>IF(학생명렬표!B122="","",학생명렬표!B122)</f>
        <v/>
      </c>
      <c r="C123" s="23" t="str">
        <f>IF(학생명렬표!C122="","",학생명렬표!C122)</f>
        <v/>
      </c>
      <c r="D123" s="23" t="str">
        <f>IF(학생명렬표!D122="","",학생명렬표!D122)</f>
        <v/>
      </c>
      <c r="E123" s="21" t="str">
        <f>IF(F123="O",'1_교과이수내용'!F123&amp;$D$1,"")&amp;IF(G123="O",'2_지적성장과정'!F123&amp;$D$1,"")&amp;IF(H123="O",'3_학업성취도'!F123&amp;$D$1,"")&amp;IF(I123="O",'4_태도'!F123&amp;$D$1,"")&amp;IF(J123="O",'5_적극성'!F123&amp;$D$1,"")&amp;IF(K123="O",'6_지적호기심'!F123&amp;$D$1,"")&amp;IF(L123="O",'7_특별한관심'!F123&amp;$D$1,"")&amp;IF(M123="O",'8_탁월한능력'!F123&amp;$D$1,"")&amp;IF(N123="O",'9_탐구활동'!F123&amp;$D$1,"")&amp;IF(O123="O",'10_진로관련사항'!F123&amp;$D$1,"")&amp;IF(P123="O",'11_프로젝트활동'!F123&amp;$D$1,"")</f>
        <v/>
      </c>
      <c r="F123" s="23" t="str">
        <f>IF('1_교과이수내용'!E123&gt;0,"O","X")</f>
        <v>X</v>
      </c>
      <c r="G123" s="23" t="str">
        <f>IF('2_지적성장과정'!E123&gt;0,"O","X")</f>
        <v>X</v>
      </c>
      <c r="H123" s="23" t="str">
        <f>IF('3_학업성취도'!E123&gt;0,"O","X")</f>
        <v>X</v>
      </c>
      <c r="I123" s="23" t="str">
        <f>IF('4_태도'!E123&gt;0,"O","X")</f>
        <v>X</v>
      </c>
      <c r="J123" s="23" t="str">
        <f>IF('5_적극성'!E123&gt;0,"O","X")</f>
        <v>X</v>
      </c>
      <c r="K123" s="23" t="str">
        <f>IF('6_지적호기심'!E123&gt;0,"O","X")</f>
        <v>X</v>
      </c>
      <c r="L123" s="23" t="str">
        <f>IF('7_특별한관심'!E123&gt;0,"O","X")</f>
        <v>X</v>
      </c>
      <c r="M123" s="23" t="str">
        <f>IF('8_탁월한능력'!E123&gt;0,"O","X")</f>
        <v>X</v>
      </c>
      <c r="N123" s="23" t="str">
        <f>IF('9_탐구활동'!E123&gt;0,"O","X")</f>
        <v>X</v>
      </c>
      <c r="O123" s="41" t="str">
        <f>IF('10_진로관련사항'!E123&gt;0,"O","X")</f>
        <v>X</v>
      </c>
      <c r="P123" s="23" t="str">
        <f>IF('11_프로젝트활동'!E123&gt;0,"O","X")</f>
        <v>X</v>
      </c>
    </row>
    <row r="124" spans="1:16">
      <c r="A124" s="9" t="str">
        <f>IF(학생명렬표!A123="","",학생명렬표!A123)</f>
        <v/>
      </c>
      <c r="B124" s="23" t="str">
        <f>IF(학생명렬표!B123="","",학생명렬표!B123)</f>
        <v/>
      </c>
      <c r="C124" s="23" t="str">
        <f>IF(학생명렬표!C123="","",학생명렬표!C123)</f>
        <v/>
      </c>
      <c r="D124" s="23" t="str">
        <f>IF(학생명렬표!D123="","",학생명렬표!D123)</f>
        <v/>
      </c>
      <c r="E124" s="21" t="str">
        <f>IF(F124="O",'1_교과이수내용'!F124&amp;$D$1,"")&amp;IF(G124="O",'2_지적성장과정'!F124&amp;$D$1,"")&amp;IF(H124="O",'3_학업성취도'!F124&amp;$D$1,"")&amp;IF(I124="O",'4_태도'!F124&amp;$D$1,"")&amp;IF(J124="O",'5_적극성'!F124&amp;$D$1,"")&amp;IF(K124="O",'6_지적호기심'!F124&amp;$D$1,"")&amp;IF(L124="O",'7_특별한관심'!F124&amp;$D$1,"")&amp;IF(M124="O",'8_탁월한능력'!F124&amp;$D$1,"")&amp;IF(N124="O",'9_탐구활동'!F124&amp;$D$1,"")&amp;IF(O124="O",'10_진로관련사항'!F124&amp;$D$1,"")&amp;IF(P124="O",'11_프로젝트활동'!F124&amp;$D$1,"")</f>
        <v/>
      </c>
      <c r="F124" s="23" t="str">
        <f>IF('1_교과이수내용'!E124&gt;0,"O","X")</f>
        <v>X</v>
      </c>
      <c r="G124" s="23" t="str">
        <f>IF('2_지적성장과정'!E124&gt;0,"O","X")</f>
        <v>X</v>
      </c>
      <c r="H124" s="23" t="str">
        <f>IF('3_학업성취도'!E124&gt;0,"O","X")</f>
        <v>X</v>
      </c>
      <c r="I124" s="23" t="str">
        <f>IF('4_태도'!E124&gt;0,"O","X")</f>
        <v>X</v>
      </c>
      <c r="J124" s="23" t="str">
        <f>IF('5_적극성'!E124&gt;0,"O","X")</f>
        <v>X</v>
      </c>
      <c r="K124" s="23" t="str">
        <f>IF('6_지적호기심'!E124&gt;0,"O","X")</f>
        <v>X</v>
      </c>
      <c r="L124" s="23" t="str">
        <f>IF('7_특별한관심'!E124&gt;0,"O","X")</f>
        <v>X</v>
      </c>
      <c r="M124" s="23" t="str">
        <f>IF('8_탁월한능력'!E124&gt;0,"O","X")</f>
        <v>X</v>
      </c>
      <c r="N124" s="23" t="str">
        <f>IF('9_탐구활동'!E124&gt;0,"O","X")</f>
        <v>X</v>
      </c>
      <c r="O124" s="41" t="str">
        <f>IF('10_진로관련사항'!E124&gt;0,"O","X")</f>
        <v>X</v>
      </c>
      <c r="P124" s="23" t="str">
        <f>IF('11_프로젝트활동'!E124&gt;0,"O","X")</f>
        <v>X</v>
      </c>
    </row>
    <row r="125" spans="1:16">
      <c r="A125" s="9" t="str">
        <f>IF(학생명렬표!A124="","",학생명렬표!A124)</f>
        <v/>
      </c>
      <c r="B125" s="23" t="str">
        <f>IF(학생명렬표!B124="","",학생명렬표!B124)</f>
        <v/>
      </c>
      <c r="C125" s="23" t="str">
        <f>IF(학생명렬표!C124="","",학생명렬표!C124)</f>
        <v/>
      </c>
      <c r="D125" s="23" t="str">
        <f>IF(학생명렬표!D124="","",학생명렬표!D124)</f>
        <v/>
      </c>
      <c r="E125" s="21" t="str">
        <f>IF(F125="O",'1_교과이수내용'!F125&amp;$D$1,"")&amp;IF(G125="O",'2_지적성장과정'!F125&amp;$D$1,"")&amp;IF(H125="O",'3_학업성취도'!F125&amp;$D$1,"")&amp;IF(I125="O",'4_태도'!F125&amp;$D$1,"")&amp;IF(J125="O",'5_적극성'!F125&amp;$D$1,"")&amp;IF(K125="O",'6_지적호기심'!F125&amp;$D$1,"")&amp;IF(L125="O",'7_특별한관심'!F125&amp;$D$1,"")&amp;IF(M125="O",'8_탁월한능력'!F125&amp;$D$1,"")&amp;IF(N125="O",'9_탐구활동'!F125&amp;$D$1,"")&amp;IF(O125="O",'10_진로관련사항'!F125&amp;$D$1,"")&amp;IF(P125="O",'11_프로젝트활동'!F125&amp;$D$1,"")</f>
        <v/>
      </c>
      <c r="F125" s="23" t="str">
        <f>IF('1_교과이수내용'!E125&gt;0,"O","X")</f>
        <v>X</v>
      </c>
      <c r="G125" s="23" t="str">
        <f>IF('2_지적성장과정'!E125&gt;0,"O","X")</f>
        <v>X</v>
      </c>
      <c r="H125" s="23" t="str">
        <f>IF('3_학업성취도'!E125&gt;0,"O","X")</f>
        <v>X</v>
      </c>
      <c r="I125" s="23" t="str">
        <f>IF('4_태도'!E125&gt;0,"O","X")</f>
        <v>X</v>
      </c>
      <c r="J125" s="23" t="str">
        <f>IF('5_적극성'!E125&gt;0,"O","X")</f>
        <v>X</v>
      </c>
      <c r="K125" s="23" t="str">
        <f>IF('6_지적호기심'!E125&gt;0,"O","X")</f>
        <v>X</v>
      </c>
      <c r="L125" s="23" t="str">
        <f>IF('7_특별한관심'!E125&gt;0,"O","X")</f>
        <v>X</v>
      </c>
      <c r="M125" s="23" t="str">
        <f>IF('8_탁월한능력'!E125&gt;0,"O","X")</f>
        <v>X</v>
      </c>
      <c r="N125" s="23" t="str">
        <f>IF('9_탐구활동'!E125&gt;0,"O","X")</f>
        <v>X</v>
      </c>
      <c r="O125" s="41" t="str">
        <f>IF('10_진로관련사항'!E125&gt;0,"O","X")</f>
        <v>X</v>
      </c>
      <c r="P125" s="23" t="str">
        <f>IF('11_프로젝트활동'!E125&gt;0,"O","X")</f>
        <v>X</v>
      </c>
    </row>
    <row r="126" spans="1:16">
      <c r="A126" s="9" t="str">
        <f>IF(학생명렬표!A125="","",학생명렬표!A125)</f>
        <v/>
      </c>
      <c r="B126" s="23" t="str">
        <f>IF(학생명렬표!B125="","",학생명렬표!B125)</f>
        <v/>
      </c>
      <c r="C126" s="23" t="str">
        <f>IF(학생명렬표!C125="","",학생명렬표!C125)</f>
        <v/>
      </c>
      <c r="D126" s="23" t="str">
        <f>IF(학생명렬표!D125="","",학생명렬표!D125)</f>
        <v/>
      </c>
      <c r="E126" s="21" t="str">
        <f>IF(F126="O",'1_교과이수내용'!F126&amp;$D$1,"")&amp;IF(G126="O",'2_지적성장과정'!F126&amp;$D$1,"")&amp;IF(H126="O",'3_학업성취도'!F126&amp;$D$1,"")&amp;IF(I126="O",'4_태도'!F126&amp;$D$1,"")&amp;IF(J126="O",'5_적극성'!F126&amp;$D$1,"")&amp;IF(K126="O",'6_지적호기심'!F126&amp;$D$1,"")&amp;IF(L126="O",'7_특별한관심'!F126&amp;$D$1,"")&amp;IF(M126="O",'8_탁월한능력'!F126&amp;$D$1,"")&amp;IF(N126="O",'9_탐구활동'!F126&amp;$D$1,"")&amp;IF(O126="O",'10_진로관련사항'!F126&amp;$D$1,"")&amp;IF(P126="O",'11_프로젝트활동'!F126&amp;$D$1,"")</f>
        <v/>
      </c>
      <c r="F126" s="23" t="str">
        <f>IF('1_교과이수내용'!E126&gt;0,"O","X")</f>
        <v>X</v>
      </c>
      <c r="G126" s="23" t="str">
        <f>IF('2_지적성장과정'!E126&gt;0,"O","X")</f>
        <v>X</v>
      </c>
      <c r="H126" s="23" t="str">
        <f>IF('3_학업성취도'!E126&gt;0,"O","X")</f>
        <v>X</v>
      </c>
      <c r="I126" s="23" t="str">
        <f>IF('4_태도'!E126&gt;0,"O","X")</f>
        <v>X</v>
      </c>
      <c r="J126" s="23" t="str">
        <f>IF('5_적극성'!E126&gt;0,"O","X")</f>
        <v>X</v>
      </c>
      <c r="K126" s="23" t="str">
        <f>IF('6_지적호기심'!E126&gt;0,"O","X")</f>
        <v>X</v>
      </c>
      <c r="L126" s="23" t="str">
        <f>IF('7_특별한관심'!E126&gt;0,"O","X")</f>
        <v>X</v>
      </c>
      <c r="M126" s="23" t="str">
        <f>IF('8_탁월한능력'!E126&gt;0,"O","X")</f>
        <v>X</v>
      </c>
      <c r="N126" s="23" t="str">
        <f>IF('9_탐구활동'!E126&gt;0,"O","X")</f>
        <v>X</v>
      </c>
      <c r="O126" s="41" t="str">
        <f>IF('10_진로관련사항'!E126&gt;0,"O","X")</f>
        <v>X</v>
      </c>
      <c r="P126" s="23" t="str">
        <f>IF('11_프로젝트활동'!E126&gt;0,"O","X")</f>
        <v>X</v>
      </c>
    </row>
    <row r="127" spans="1:16">
      <c r="A127" s="9" t="str">
        <f>IF(학생명렬표!A126="","",학생명렬표!A126)</f>
        <v/>
      </c>
      <c r="B127" s="23" t="str">
        <f>IF(학생명렬표!B126="","",학생명렬표!B126)</f>
        <v/>
      </c>
      <c r="C127" s="23" t="str">
        <f>IF(학생명렬표!C126="","",학생명렬표!C126)</f>
        <v/>
      </c>
      <c r="D127" s="23" t="str">
        <f>IF(학생명렬표!D126="","",학생명렬표!D126)</f>
        <v/>
      </c>
      <c r="E127" s="21" t="str">
        <f>IF(F127="O",'1_교과이수내용'!F127&amp;$D$1,"")&amp;IF(G127="O",'2_지적성장과정'!F127&amp;$D$1,"")&amp;IF(H127="O",'3_학업성취도'!F127&amp;$D$1,"")&amp;IF(I127="O",'4_태도'!F127&amp;$D$1,"")&amp;IF(J127="O",'5_적극성'!F127&amp;$D$1,"")&amp;IF(K127="O",'6_지적호기심'!F127&amp;$D$1,"")&amp;IF(L127="O",'7_특별한관심'!F127&amp;$D$1,"")&amp;IF(M127="O",'8_탁월한능력'!F127&amp;$D$1,"")&amp;IF(N127="O",'9_탐구활동'!F127&amp;$D$1,"")&amp;IF(O127="O",'10_진로관련사항'!F127&amp;$D$1,"")&amp;IF(P127="O",'11_프로젝트활동'!F127&amp;$D$1,"")</f>
        <v/>
      </c>
      <c r="F127" s="23" t="str">
        <f>IF('1_교과이수내용'!E127&gt;0,"O","X")</f>
        <v>X</v>
      </c>
      <c r="G127" s="23" t="str">
        <f>IF('2_지적성장과정'!E127&gt;0,"O","X")</f>
        <v>X</v>
      </c>
      <c r="H127" s="23" t="str">
        <f>IF('3_학업성취도'!E127&gt;0,"O","X")</f>
        <v>X</v>
      </c>
      <c r="I127" s="23" t="str">
        <f>IF('4_태도'!E127&gt;0,"O","X")</f>
        <v>X</v>
      </c>
      <c r="J127" s="23" t="str">
        <f>IF('5_적극성'!E127&gt;0,"O","X")</f>
        <v>X</v>
      </c>
      <c r="K127" s="23" t="str">
        <f>IF('6_지적호기심'!E127&gt;0,"O","X")</f>
        <v>X</v>
      </c>
      <c r="L127" s="23" t="str">
        <f>IF('7_특별한관심'!E127&gt;0,"O","X")</f>
        <v>X</v>
      </c>
      <c r="M127" s="23" t="str">
        <f>IF('8_탁월한능력'!E127&gt;0,"O","X")</f>
        <v>X</v>
      </c>
      <c r="N127" s="23" t="str">
        <f>IF('9_탐구활동'!E127&gt;0,"O","X")</f>
        <v>X</v>
      </c>
      <c r="O127" s="41" t="str">
        <f>IF('10_진로관련사항'!E127&gt;0,"O","X")</f>
        <v>X</v>
      </c>
      <c r="P127" s="23" t="str">
        <f>IF('11_프로젝트활동'!E127&gt;0,"O","X")</f>
        <v>X</v>
      </c>
    </row>
    <row r="128" spans="1:16">
      <c r="A128" s="9" t="str">
        <f>IF(학생명렬표!A127="","",학생명렬표!A127)</f>
        <v/>
      </c>
      <c r="B128" s="23" t="str">
        <f>IF(학생명렬표!B127="","",학생명렬표!B127)</f>
        <v/>
      </c>
      <c r="C128" s="23" t="str">
        <f>IF(학생명렬표!C127="","",학생명렬표!C127)</f>
        <v/>
      </c>
      <c r="D128" s="23" t="str">
        <f>IF(학생명렬표!D127="","",학생명렬표!D127)</f>
        <v/>
      </c>
      <c r="E128" s="21" t="str">
        <f>IF(F128="O",'1_교과이수내용'!F128&amp;$D$1,"")&amp;IF(G128="O",'2_지적성장과정'!F128&amp;$D$1,"")&amp;IF(H128="O",'3_학업성취도'!F128&amp;$D$1,"")&amp;IF(I128="O",'4_태도'!F128&amp;$D$1,"")&amp;IF(J128="O",'5_적극성'!F128&amp;$D$1,"")&amp;IF(K128="O",'6_지적호기심'!F128&amp;$D$1,"")&amp;IF(L128="O",'7_특별한관심'!F128&amp;$D$1,"")&amp;IF(M128="O",'8_탁월한능력'!F128&amp;$D$1,"")&amp;IF(N128="O",'9_탐구활동'!F128&amp;$D$1,"")&amp;IF(O128="O",'10_진로관련사항'!F128&amp;$D$1,"")&amp;IF(P128="O",'11_프로젝트활동'!F128&amp;$D$1,"")</f>
        <v/>
      </c>
      <c r="F128" s="23" t="str">
        <f>IF('1_교과이수내용'!E128&gt;0,"O","X")</f>
        <v>X</v>
      </c>
      <c r="G128" s="23" t="str">
        <f>IF('2_지적성장과정'!E128&gt;0,"O","X")</f>
        <v>X</v>
      </c>
      <c r="H128" s="23" t="str">
        <f>IF('3_학업성취도'!E128&gt;0,"O","X")</f>
        <v>X</v>
      </c>
      <c r="I128" s="23" t="str">
        <f>IF('4_태도'!E128&gt;0,"O","X")</f>
        <v>X</v>
      </c>
      <c r="J128" s="23" t="str">
        <f>IF('5_적극성'!E128&gt;0,"O","X")</f>
        <v>X</v>
      </c>
      <c r="K128" s="23" t="str">
        <f>IF('6_지적호기심'!E128&gt;0,"O","X")</f>
        <v>X</v>
      </c>
      <c r="L128" s="23" t="str">
        <f>IF('7_특별한관심'!E128&gt;0,"O","X")</f>
        <v>X</v>
      </c>
      <c r="M128" s="23" t="str">
        <f>IF('8_탁월한능력'!E128&gt;0,"O","X")</f>
        <v>X</v>
      </c>
      <c r="N128" s="23" t="str">
        <f>IF('9_탐구활동'!E128&gt;0,"O","X")</f>
        <v>X</v>
      </c>
      <c r="O128" s="41" t="str">
        <f>IF('10_진로관련사항'!E128&gt;0,"O","X")</f>
        <v>X</v>
      </c>
      <c r="P128" s="23" t="str">
        <f>IF('11_프로젝트활동'!E128&gt;0,"O","X")</f>
        <v>X</v>
      </c>
    </row>
    <row r="129" spans="1:16">
      <c r="A129" s="9" t="str">
        <f>IF(학생명렬표!A128="","",학생명렬표!A128)</f>
        <v/>
      </c>
      <c r="B129" s="23" t="str">
        <f>IF(학생명렬표!B128="","",학생명렬표!B128)</f>
        <v/>
      </c>
      <c r="C129" s="23" t="str">
        <f>IF(학생명렬표!C128="","",학생명렬표!C128)</f>
        <v/>
      </c>
      <c r="D129" s="23" t="str">
        <f>IF(학생명렬표!D128="","",학생명렬표!D128)</f>
        <v/>
      </c>
      <c r="E129" s="21" t="str">
        <f>IF(F129="O",'1_교과이수내용'!F129&amp;$D$1,"")&amp;IF(G129="O",'2_지적성장과정'!F129&amp;$D$1,"")&amp;IF(H129="O",'3_학업성취도'!F129&amp;$D$1,"")&amp;IF(I129="O",'4_태도'!F129&amp;$D$1,"")&amp;IF(J129="O",'5_적극성'!F129&amp;$D$1,"")&amp;IF(K129="O",'6_지적호기심'!F129&amp;$D$1,"")&amp;IF(L129="O",'7_특별한관심'!F129&amp;$D$1,"")&amp;IF(M129="O",'8_탁월한능력'!F129&amp;$D$1,"")&amp;IF(N129="O",'9_탐구활동'!F129&amp;$D$1,"")&amp;IF(O129="O",'10_진로관련사항'!F129&amp;$D$1,"")&amp;IF(P129="O",'11_프로젝트활동'!F129&amp;$D$1,"")</f>
        <v/>
      </c>
      <c r="F129" s="23" t="str">
        <f>IF('1_교과이수내용'!E129&gt;0,"O","X")</f>
        <v>X</v>
      </c>
      <c r="G129" s="23" t="str">
        <f>IF('2_지적성장과정'!E129&gt;0,"O","X")</f>
        <v>X</v>
      </c>
      <c r="H129" s="23" t="str">
        <f>IF('3_학업성취도'!E129&gt;0,"O","X")</f>
        <v>X</v>
      </c>
      <c r="I129" s="23" t="str">
        <f>IF('4_태도'!E129&gt;0,"O","X")</f>
        <v>X</v>
      </c>
      <c r="J129" s="23" t="str">
        <f>IF('5_적극성'!E129&gt;0,"O","X")</f>
        <v>X</v>
      </c>
      <c r="K129" s="23" t="str">
        <f>IF('6_지적호기심'!E129&gt;0,"O","X")</f>
        <v>X</v>
      </c>
      <c r="L129" s="23" t="str">
        <f>IF('7_특별한관심'!E129&gt;0,"O","X")</f>
        <v>X</v>
      </c>
      <c r="M129" s="23" t="str">
        <f>IF('8_탁월한능력'!E129&gt;0,"O","X")</f>
        <v>X</v>
      </c>
      <c r="N129" s="23" t="str">
        <f>IF('9_탐구활동'!E129&gt;0,"O","X")</f>
        <v>X</v>
      </c>
      <c r="O129" s="41" t="str">
        <f>IF('10_진로관련사항'!E129&gt;0,"O","X")</f>
        <v>X</v>
      </c>
      <c r="P129" s="23" t="str">
        <f>IF('11_프로젝트활동'!E129&gt;0,"O","X")</f>
        <v>X</v>
      </c>
    </row>
    <row r="130" spans="1:16">
      <c r="A130" s="9" t="str">
        <f>IF(학생명렬표!A129="","",학생명렬표!A129)</f>
        <v/>
      </c>
      <c r="B130" s="23" t="str">
        <f>IF(학생명렬표!B129="","",학생명렬표!B129)</f>
        <v/>
      </c>
      <c r="C130" s="23" t="str">
        <f>IF(학생명렬표!C129="","",학생명렬표!C129)</f>
        <v/>
      </c>
      <c r="D130" s="23" t="str">
        <f>IF(학생명렬표!D129="","",학생명렬표!D129)</f>
        <v/>
      </c>
      <c r="E130" s="21" t="str">
        <f>IF(F130="O",'1_교과이수내용'!F130&amp;$D$1,"")&amp;IF(G130="O",'2_지적성장과정'!F130&amp;$D$1,"")&amp;IF(H130="O",'3_학업성취도'!F130&amp;$D$1,"")&amp;IF(I130="O",'4_태도'!F130&amp;$D$1,"")&amp;IF(J130="O",'5_적극성'!F130&amp;$D$1,"")&amp;IF(K130="O",'6_지적호기심'!F130&amp;$D$1,"")&amp;IF(L130="O",'7_특별한관심'!F130&amp;$D$1,"")&amp;IF(M130="O",'8_탁월한능력'!F130&amp;$D$1,"")&amp;IF(N130="O",'9_탐구활동'!F130&amp;$D$1,"")&amp;IF(O130="O",'10_진로관련사항'!F130&amp;$D$1,"")&amp;IF(P130="O",'11_프로젝트활동'!F130&amp;$D$1,"")</f>
        <v/>
      </c>
      <c r="F130" s="23" t="str">
        <f>IF('1_교과이수내용'!E130&gt;0,"O","X")</f>
        <v>X</v>
      </c>
      <c r="G130" s="23" t="str">
        <f>IF('2_지적성장과정'!E130&gt;0,"O","X")</f>
        <v>X</v>
      </c>
      <c r="H130" s="23" t="str">
        <f>IF('3_학업성취도'!E130&gt;0,"O","X")</f>
        <v>X</v>
      </c>
      <c r="I130" s="23" t="str">
        <f>IF('4_태도'!E130&gt;0,"O","X")</f>
        <v>X</v>
      </c>
      <c r="J130" s="23" t="str">
        <f>IF('5_적극성'!E130&gt;0,"O","X")</f>
        <v>X</v>
      </c>
      <c r="K130" s="23" t="str">
        <f>IF('6_지적호기심'!E130&gt;0,"O","X")</f>
        <v>X</v>
      </c>
      <c r="L130" s="23" t="str">
        <f>IF('7_특별한관심'!E130&gt;0,"O","X")</f>
        <v>X</v>
      </c>
      <c r="M130" s="23" t="str">
        <f>IF('8_탁월한능력'!E130&gt;0,"O","X")</f>
        <v>X</v>
      </c>
      <c r="N130" s="23" t="str">
        <f>IF('9_탐구활동'!E130&gt;0,"O","X")</f>
        <v>X</v>
      </c>
      <c r="O130" s="41" t="str">
        <f>IF('10_진로관련사항'!E130&gt;0,"O","X")</f>
        <v>X</v>
      </c>
      <c r="P130" s="23" t="str">
        <f>IF('11_프로젝트활동'!E130&gt;0,"O","X")</f>
        <v>X</v>
      </c>
    </row>
    <row r="131" spans="1:16">
      <c r="A131" s="9" t="str">
        <f>IF(학생명렬표!A130="","",학생명렬표!A130)</f>
        <v/>
      </c>
      <c r="B131" s="23" t="str">
        <f>IF(학생명렬표!B130="","",학생명렬표!B130)</f>
        <v/>
      </c>
      <c r="C131" s="23" t="str">
        <f>IF(학생명렬표!C130="","",학생명렬표!C130)</f>
        <v/>
      </c>
      <c r="D131" s="23" t="str">
        <f>IF(학생명렬표!D130="","",학생명렬표!D130)</f>
        <v/>
      </c>
      <c r="E131" s="21" t="str">
        <f>IF(F131="O",'1_교과이수내용'!F131&amp;$D$1,"")&amp;IF(G131="O",'2_지적성장과정'!F131&amp;$D$1,"")&amp;IF(H131="O",'3_학업성취도'!F131&amp;$D$1,"")&amp;IF(I131="O",'4_태도'!F131&amp;$D$1,"")&amp;IF(J131="O",'5_적극성'!F131&amp;$D$1,"")&amp;IF(K131="O",'6_지적호기심'!F131&amp;$D$1,"")&amp;IF(L131="O",'7_특별한관심'!F131&amp;$D$1,"")&amp;IF(M131="O",'8_탁월한능력'!F131&amp;$D$1,"")&amp;IF(N131="O",'9_탐구활동'!F131&amp;$D$1,"")&amp;IF(O131="O",'10_진로관련사항'!F131&amp;$D$1,"")&amp;IF(P131="O",'11_프로젝트활동'!F131&amp;$D$1,"")</f>
        <v/>
      </c>
      <c r="F131" s="23" t="str">
        <f>IF('1_교과이수내용'!E131&gt;0,"O","X")</f>
        <v>X</v>
      </c>
      <c r="G131" s="23" t="str">
        <f>IF('2_지적성장과정'!E131&gt;0,"O","X")</f>
        <v>X</v>
      </c>
      <c r="H131" s="23" t="str">
        <f>IF('3_학업성취도'!E131&gt;0,"O","X")</f>
        <v>X</v>
      </c>
      <c r="I131" s="23" t="str">
        <f>IF('4_태도'!E131&gt;0,"O","X")</f>
        <v>X</v>
      </c>
      <c r="J131" s="23" t="str">
        <f>IF('5_적극성'!E131&gt;0,"O","X")</f>
        <v>X</v>
      </c>
      <c r="K131" s="23" t="str">
        <f>IF('6_지적호기심'!E131&gt;0,"O","X")</f>
        <v>X</v>
      </c>
      <c r="L131" s="23" t="str">
        <f>IF('7_특별한관심'!E131&gt;0,"O","X")</f>
        <v>X</v>
      </c>
      <c r="M131" s="23" t="str">
        <f>IF('8_탁월한능력'!E131&gt;0,"O","X")</f>
        <v>X</v>
      </c>
      <c r="N131" s="23" t="str">
        <f>IF('9_탐구활동'!E131&gt;0,"O","X")</f>
        <v>X</v>
      </c>
      <c r="O131" s="41" t="str">
        <f>IF('10_진로관련사항'!E131&gt;0,"O","X")</f>
        <v>X</v>
      </c>
      <c r="P131" s="23" t="str">
        <f>IF('11_프로젝트활동'!E131&gt;0,"O","X")</f>
        <v>X</v>
      </c>
    </row>
    <row r="132" spans="1:16">
      <c r="A132" s="9" t="str">
        <f>IF(학생명렬표!A131="","",학생명렬표!A131)</f>
        <v/>
      </c>
      <c r="B132" s="23" t="str">
        <f>IF(학생명렬표!B131="","",학생명렬표!B131)</f>
        <v/>
      </c>
      <c r="C132" s="23" t="str">
        <f>IF(학생명렬표!C131="","",학생명렬표!C131)</f>
        <v/>
      </c>
      <c r="D132" s="23" t="str">
        <f>IF(학생명렬표!D131="","",학생명렬표!D131)</f>
        <v/>
      </c>
      <c r="E132" s="21" t="str">
        <f>IF(F132="O",'1_교과이수내용'!F132&amp;$D$1,"")&amp;IF(G132="O",'2_지적성장과정'!F132&amp;$D$1,"")&amp;IF(H132="O",'3_학업성취도'!F132&amp;$D$1,"")&amp;IF(I132="O",'4_태도'!F132&amp;$D$1,"")&amp;IF(J132="O",'5_적극성'!F132&amp;$D$1,"")&amp;IF(K132="O",'6_지적호기심'!F132&amp;$D$1,"")&amp;IF(L132="O",'7_특별한관심'!F132&amp;$D$1,"")&amp;IF(M132="O",'8_탁월한능력'!F132&amp;$D$1,"")&amp;IF(N132="O",'9_탐구활동'!F132&amp;$D$1,"")&amp;IF(O132="O",'10_진로관련사항'!F132&amp;$D$1,"")&amp;IF(P132="O",'11_프로젝트활동'!F132&amp;$D$1,"")</f>
        <v/>
      </c>
      <c r="F132" s="23" t="str">
        <f>IF('1_교과이수내용'!E132&gt;0,"O","X")</f>
        <v>X</v>
      </c>
      <c r="G132" s="23" t="str">
        <f>IF('2_지적성장과정'!E132&gt;0,"O","X")</f>
        <v>X</v>
      </c>
      <c r="H132" s="23" t="str">
        <f>IF('3_학업성취도'!E132&gt;0,"O","X")</f>
        <v>X</v>
      </c>
      <c r="I132" s="23" t="str">
        <f>IF('4_태도'!E132&gt;0,"O","X")</f>
        <v>X</v>
      </c>
      <c r="J132" s="23" t="str">
        <f>IF('5_적극성'!E132&gt;0,"O","X")</f>
        <v>X</v>
      </c>
      <c r="K132" s="23" t="str">
        <f>IF('6_지적호기심'!E132&gt;0,"O","X")</f>
        <v>X</v>
      </c>
      <c r="L132" s="23" t="str">
        <f>IF('7_특별한관심'!E132&gt;0,"O","X")</f>
        <v>X</v>
      </c>
      <c r="M132" s="23" t="str">
        <f>IF('8_탁월한능력'!E132&gt;0,"O","X")</f>
        <v>X</v>
      </c>
      <c r="N132" s="23" t="str">
        <f>IF('9_탐구활동'!E132&gt;0,"O","X")</f>
        <v>X</v>
      </c>
      <c r="O132" s="41" t="str">
        <f>IF('10_진로관련사항'!E132&gt;0,"O","X")</f>
        <v>X</v>
      </c>
      <c r="P132" s="23" t="str">
        <f>IF('11_프로젝트활동'!E132&gt;0,"O","X")</f>
        <v>X</v>
      </c>
    </row>
    <row r="133" spans="1:16">
      <c r="A133" s="9" t="str">
        <f>IF(학생명렬표!A132="","",학생명렬표!A132)</f>
        <v/>
      </c>
      <c r="B133" s="23" t="str">
        <f>IF(학생명렬표!B132="","",학생명렬표!B132)</f>
        <v/>
      </c>
      <c r="C133" s="23" t="str">
        <f>IF(학생명렬표!C132="","",학생명렬표!C132)</f>
        <v/>
      </c>
      <c r="D133" s="23" t="str">
        <f>IF(학생명렬표!D132="","",학생명렬표!D132)</f>
        <v/>
      </c>
      <c r="E133" s="21" t="str">
        <f>IF(F133="O",'1_교과이수내용'!F133&amp;$D$1,"")&amp;IF(G133="O",'2_지적성장과정'!F133&amp;$D$1,"")&amp;IF(H133="O",'3_학업성취도'!F133&amp;$D$1,"")&amp;IF(I133="O",'4_태도'!F133&amp;$D$1,"")&amp;IF(J133="O",'5_적극성'!F133&amp;$D$1,"")&amp;IF(K133="O",'6_지적호기심'!F133&amp;$D$1,"")&amp;IF(L133="O",'7_특별한관심'!F133&amp;$D$1,"")&amp;IF(M133="O",'8_탁월한능력'!F133&amp;$D$1,"")&amp;IF(N133="O",'9_탐구활동'!F133&amp;$D$1,"")&amp;IF(O133="O",'10_진로관련사항'!F133&amp;$D$1,"")&amp;IF(P133="O",'11_프로젝트활동'!F133&amp;$D$1,"")</f>
        <v/>
      </c>
      <c r="F133" s="23" t="str">
        <f>IF('1_교과이수내용'!E133&gt;0,"O","X")</f>
        <v>X</v>
      </c>
      <c r="G133" s="23" t="str">
        <f>IF('2_지적성장과정'!E133&gt;0,"O","X")</f>
        <v>X</v>
      </c>
      <c r="H133" s="23" t="str">
        <f>IF('3_학업성취도'!E133&gt;0,"O","X")</f>
        <v>X</v>
      </c>
      <c r="I133" s="23" t="str">
        <f>IF('4_태도'!E133&gt;0,"O","X")</f>
        <v>X</v>
      </c>
      <c r="J133" s="23" t="str">
        <f>IF('5_적극성'!E133&gt;0,"O","X")</f>
        <v>X</v>
      </c>
      <c r="K133" s="23" t="str">
        <f>IF('6_지적호기심'!E133&gt;0,"O","X")</f>
        <v>X</v>
      </c>
      <c r="L133" s="23" t="str">
        <f>IF('7_특별한관심'!E133&gt;0,"O","X")</f>
        <v>X</v>
      </c>
      <c r="M133" s="23" t="str">
        <f>IF('8_탁월한능력'!E133&gt;0,"O","X")</f>
        <v>X</v>
      </c>
      <c r="N133" s="23" t="str">
        <f>IF('9_탐구활동'!E133&gt;0,"O","X")</f>
        <v>X</v>
      </c>
      <c r="O133" s="41" t="str">
        <f>IF('10_진로관련사항'!E133&gt;0,"O","X")</f>
        <v>X</v>
      </c>
      <c r="P133" s="23" t="str">
        <f>IF('11_프로젝트활동'!E133&gt;0,"O","X")</f>
        <v>X</v>
      </c>
    </row>
    <row r="134" spans="1:16">
      <c r="A134" s="9" t="str">
        <f>IF(학생명렬표!A133="","",학생명렬표!A133)</f>
        <v/>
      </c>
      <c r="B134" s="23" t="str">
        <f>IF(학생명렬표!B133="","",학생명렬표!B133)</f>
        <v/>
      </c>
      <c r="C134" s="23" t="str">
        <f>IF(학생명렬표!C133="","",학생명렬표!C133)</f>
        <v/>
      </c>
      <c r="D134" s="23" t="str">
        <f>IF(학생명렬표!D133="","",학생명렬표!D133)</f>
        <v/>
      </c>
      <c r="E134" s="21" t="str">
        <f>IF(F134="O",'1_교과이수내용'!F134&amp;$D$1,"")&amp;IF(G134="O",'2_지적성장과정'!F134&amp;$D$1,"")&amp;IF(H134="O",'3_학업성취도'!F134&amp;$D$1,"")&amp;IF(I134="O",'4_태도'!F134&amp;$D$1,"")&amp;IF(J134="O",'5_적극성'!F134&amp;$D$1,"")&amp;IF(K134="O",'6_지적호기심'!F134&amp;$D$1,"")&amp;IF(L134="O",'7_특별한관심'!F134&amp;$D$1,"")&amp;IF(M134="O",'8_탁월한능력'!F134&amp;$D$1,"")&amp;IF(N134="O",'9_탐구활동'!F134&amp;$D$1,"")&amp;IF(O134="O",'10_진로관련사항'!F134&amp;$D$1,"")&amp;IF(P134="O",'11_프로젝트활동'!F134&amp;$D$1,"")</f>
        <v/>
      </c>
      <c r="F134" s="23" t="str">
        <f>IF('1_교과이수내용'!E134&gt;0,"O","X")</f>
        <v>X</v>
      </c>
      <c r="G134" s="23" t="str">
        <f>IF('2_지적성장과정'!E134&gt;0,"O","X")</f>
        <v>X</v>
      </c>
      <c r="H134" s="23" t="str">
        <f>IF('3_학업성취도'!E134&gt;0,"O","X")</f>
        <v>X</v>
      </c>
      <c r="I134" s="23" t="str">
        <f>IF('4_태도'!E134&gt;0,"O","X")</f>
        <v>X</v>
      </c>
      <c r="J134" s="23" t="str">
        <f>IF('5_적극성'!E134&gt;0,"O","X")</f>
        <v>X</v>
      </c>
      <c r="K134" s="23" t="str">
        <f>IF('6_지적호기심'!E134&gt;0,"O","X")</f>
        <v>X</v>
      </c>
      <c r="L134" s="23" t="str">
        <f>IF('7_특별한관심'!E134&gt;0,"O","X")</f>
        <v>X</v>
      </c>
      <c r="M134" s="23" t="str">
        <f>IF('8_탁월한능력'!E134&gt;0,"O","X")</f>
        <v>X</v>
      </c>
      <c r="N134" s="23" t="str">
        <f>IF('9_탐구활동'!E134&gt;0,"O","X")</f>
        <v>X</v>
      </c>
      <c r="O134" s="41" t="str">
        <f>IF('10_진로관련사항'!E134&gt;0,"O","X")</f>
        <v>X</v>
      </c>
      <c r="P134" s="23" t="str">
        <f>IF('11_프로젝트활동'!E134&gt;0,"O","X")</f>
        <v>X</v>
      </c>
    </row>
    <row r="135" spans="1:16">
      <c r="A135" s="9" t="str">
        <f>IF(학생명렬표!A134="","",학생명렬표!A134)</f>
        <v/>
      </c>
      <c r="B135" s="23" t="str">
        <f>IF(학생명렬표!B134="","",학생명렬표!B134)</f>
        <v/>
      </c>
      <c r="C135" s="23" t="str">
        <f>IF(학생명렬표!C134="","",학생명렬표!C134)</f>
        <v/>
      </c>
      <c r="D135" s="23" t="str">
        <f>IF(학생명렬표!D134="","",학생명렬표!D134)</f>
        <v/>
      </c>
      <c r="E135" s="21" t="str">
        <f>IF(F135="O",'1_교과이수내용'!F135&amp;$D$1,"")&amp;IF(G135="O",'2_지적성장과정'!F135&amp;$D$1,"")&amp;IF(H135="O",'3_학업성취도'!F135&amp;$D$1,"")&amp;IF(I135="O",'4_태도'!F135&amp;$D$1,"")&amp;IF(J135="O",'5_적극성'!F135&amp;$D$1,"")&amp;IF(K135="O",'6_지적호기심'!F135&amp;$D$1,"")&amp;IF(L135="O",'7_특별한관심'!F135&amp;$D$1,"")&amp;IF(M135="O",'8_탁월한능력'!F135&amp;$D$1,"")&amp;IF(N135="O",'9_탐구활동'!F135&amp;$D$1,"")&amp;IF(O135="O",'10_진로관련사항'!F135&amp;$D$1,"")&amp;IF(P135="O",'11_프로젝트활동'!F135&amp;$D$1,"")</f>
        <v/>
      </c>
      <c r="F135" s="23" t="str">
        <f>IF('1_교과이수내용'!E135&gt;0,"O","X")</f>
        <v>X</v>
      </c>
      <c r="G135" s="23" t="str">
        <f>IF('2_지적성장과정'!E135&gt;0,"O","X")</f>
        <v>X</v>
      </c>
      <c r="H135" s="23" t="str">
        <f>IF('3_학업성취도'!E135&gt;0,"O","X")</f>
        <v>X</v>
      </c>
      <c r="I135" s="23" t="str">
        <f>IF('4_태도'!E135&gt;0,"O","X")</f>
        <v>X</v>
      </c>
      <c r="J135" s="23" t="str">
        <f>IF('5_적극성'!E135&gt;0,"O","X")</f>
        <v>X</v>
      </c>
      <c r="K135" s="23" t="str">
        <f>IF('6_지적호기심'!E135&gt;0,"O","X")</f>
        <v>X</v>
      </c>
      <c r="L135" s="23" t="str">
        <f>IF('7_특별한관심'!E135&gt;0,"O","X")</f>
        <v>X</v>
      </c>
      <c r="M135" s="23" t="str">
        <f>IF('8_탁월한능력'!E135&gt;0,"O","X")</f>
        <v>X</v>
      </c>
      <c r="N135" s="23" t="str">
        <f>IF('9_탐구활동'!E135&gt;0,"O","X")</f>
        <v>X</v>
      </c>
      <c r="O135" s="41" t="str">
        <f>IF('10_진로관련사항'!E135&gt;0,"O","X")</f>
        <v>X</v>
      </c>
      <c r="P135" s="23" t="str">
        <f>IF('11_프로젝트활동'!E135&gt;0,"O","X")</f>
        <v>X</v>
      </c>
    </row>
    <row r="136" spans="1:16">
      <c r="A136" s="9" t="str">
        <f>IF(학생명렬표!A135="","",학생명렬표!A135)</f>
        <v/>
      </c>
      <c r="B136" s="23" t="str">
        <f>IF(학생명렬표!B135="","",학생명렬표!B135)</f>
        <v/>
      </c>
      <c r="C136" s="23" t="str">
        <f>IF(학생명렬표!C135="","",학생명렬표!C135)</f>
        <v/>
      </c>
      <c r="D136" s="23" t="str">
        <f>IF(학생명렬표!D135="","",학생명렬표!D135)</f>
        <v/>
      </c>
      <c r="E136" s="21" t="str">
        <f>IF(F136="O",'1_교과이수내용'!F136&amp;$D$1,"")&amp;IF(G136="O",'2_지적성장과정'!F136&amp;$D$1,"")&amp;IF(H136="O",'3_학업성취도'!F136&amp;$D$1,"")&amp;IF(I136="O",'4_태도'!F136&amp;$D$1,"")&amp;IF(J136="O",'5_적극성'!F136&amp;$D$1,"")&amp;IF(K136="O",'6_지적호기심'!F136&amp;$D$1,"")&amp;IF(L136="O",'7_특별한관심'!F136&amp;$D$1,"")&amp;IF(M136="O",'8_탁월한능력'!F136&amp;$D$1,"")&amp;IF(N136="O",'9_탐구활동'!F136&amp;$D$1,"")&amp;IF(O136="O",'10_진로관련사항'!F136&amp;$D$1,"")&amp;IF(P136="O",'11_프로젝트활동'!F136&amp;$D$1,"")</f>
        <v/>
      </c>
      <c r="F136" s="23" t="str">
        <f>IF('1_교과이수내용'!E136&gt;0,"O","X")</f>
        <v>X</v>
      </c>
      <c r="G136" s="23" t="str">
        <f>IF('2_지적성장과정'!E136&gt;0,"O","X")</f>
        <v>X</v>
      </c>
      <c r="H136" s="23" t="str">
        <f>IF('3_학업성취도'!E136&gt;0,"O","X")</f>
        <v>X</v>
      </c>
      <c r="I136" s="23" t="str">
        <f>IF('4_태도'!E136&gt;0,"O","X")</f>
        <v>X</v>
      </c>
      <c r="J136" s="23" t="str">
        <f>IF('5_적극성'!E136&gt;0,"O","X")</f>
        <v>X</v>
      </c>
      <c r="K136" s="23" t="str">
        <f>IF('6_지적호기심'!E136&gt;0,"O","X")</f>
        <v>X</v>
      </c>
      <c r="L136" s="23" t="str">
        <f>IF('7_특별한관심'!E136&gt;0,"O","X")</f>
        <v>X</v>
      </c>
      <c r="M136" s="23" t="str">
        <f>IF('8_탁월한능력'!E136&gt;0,"O","X")</f>
        <v>X</v>
      </c>
      <c r="N136" s="23" t="str">
        <f>IF('9_탐구활동'!E136&gt;0,"O","X")</f>
        <v>X</v>
      </c>
      <c r="O136" s="41" t="str">
        <f>IF('10_진로관련사항'!E136&gt;0,"O","X")</f>
        <v>X</v>
      </c>
      <c r="P136" s="23" t="str">
        <f>IF('11_프로젝트활동'!E136&gt;0,"O","X")</f>
        <v>X</v>
      </c>
    </row>
    <row r="137" spans="1:16">
      <c r="A137" s="9" t="str">
        <f>IF(학생명렬표!A136="","",학생명렬표!A136)</f>
        <v/>
      </c>
      <c r="B137" s="23" t="str">
        <f>IF(학생명렬표!B136="","",학생명렬표!B136)</f>
        <v/>
      </c>
      <c r="C137" s="23" t="str">
        <f>IF(학생명렬표!C136="","",학생명렬표!C136)</f>
        <v/>
      </c>
      <c r="D137" s="23" t="str">
        <f>IF(학생명렬표!D136="","",학생명렬표!D136)</f>
        <v/>
      </c>
      <c r="E137" s="21" t="str">
        <f>IF(F137="O",'1_교과이수내용'!F137&amp;$D$1,"")&amp;IF(G137="O",'2_지적성장과정'!F137&amp;$D$1,"")&amp;IF(H137="O",'3_학업성취도'!F137&amp;$D$1,"")&amp;IF(I137="O",'4_태도'!F137&amp;$D$1,"")&amp;IF(J137="O",'5_적극성'!F137&amp;$D$1,"")&amp;IF(K137="O",'6_지적호기심'!F137&amp;$D$1,"")&amp;IF(L137="O",'7_특별한관심'!F137&amp;$D$1,"")&amp;IF(M137="O",'8_탁월한능력'!F137&amp;$D$1,"")&amp;IF(N137="O",'9_탐구활동'!F137&amp;$D$1,"")&amp;IF(O137="O",'10_진로관련사항'!F137&amp;$D$1,"")&amp;IF(P137="O",'11_프로젝트활동'!F137&amp;$D$1,"")</f>
        <v/>
      </c>
      <c r="F137" s="23" t="str">
        <f>IF('1_교과이수내용'!E137&gt;0,"O","X")</f>
        <v>X</v>
      </c>
      <c r="G137" s="23" t="str">
        <f>IF('2_지적성장과정'!E137&gt;0,"O","X")</f>
        <v>X</v>
      </c>
      <c r="H137" s="23" t="str">
        <f>IF('3_학업성취도'!E137&gt;0,"O","X")</f>
        <v>X</v>
      </c>
      <c r="I137" s="23" t="str">
        <f>IF('4_태도'!E137&gt;0,"O","X")</f>
        <v>X</v>
      </c>
      <c r="J137" s="23" t="str">
        <f>IF('5_적극성'!E137&gt;0,"O","X")</f>
        <v>X</v>
      </c>
      <c r="K137" s="23" t="str">
        <f>IF('6_지적호기심'!E137&gt;0,"O","X")</f>
        <v>X</v>
      </c>
      <c r="L137" s="23" t="str">
        <f>IF('7_특별한관심'!E137&gt;0,"O","X")</f>
        <v>X</v>
      </c>
      <c r="M137" s="23" t="str">
        <f>IF('8_탁월한능력'!E137&gt;0,"O","X")</f>
        <v>X</v>
      </c>
      <c r="N137" s="23" t="str">
        <f>IF('9_탐구활동'!E137&gt;0,"O","X")</f>
        <v>X</v>
      </c>
      <c r="O137" s="41" t="str">
        <f>IF('10_진로관련사항'!E137&gt;0,"O","X")</f>
        <v>X</v>
      </c>
      <c r="P137" s="23" t="str">
        <f>IF('11_프로젝트활동'!E137&gt;0,"O","X")</f>
        <v>X</v>
      </c>
    </row>
    <row r="138" spans="1:16">
      <c r="A138" s="9" t="str">
        <f>IF(학생명렬표!A137="","",학생명렬표!A137)</f>
        <v/>
      </c>
      <c r="B138" s="23" t="str">
        <f>IF(학생명렬표!B137="","",학생명렬표!B137)</f>
        <v/>
      </c>
      <c r="C138" s="23" t="str">
        <f>IF(학생명렬표!C137="","",학생명렬표!C137)</f>
        <v/>
      </c>
      <c r="D138" s="23" t="str">
        <f>IF(학생명렬표!D137="","",학생명렬표!D137)</f>
        <v/>
      </c>
      <c r="E138" s="21" t="str">
        <f>IF(F138="O",'1_교과이수내용'!F138&amp;$D$1,"")&amp;IF(G138="O",'2_지적성장과정'!F138&amp;$D$1,"")&amp;IF(H138="O",'3_학업성취도'!F138&amp;$D$1,"")&amp;IF(I138="O",'4_태도'!F138&amp;$D$1,"")&amp;IF(J138="O",'5_적극성'!F138&amp;$D$1,"")&amp;IF(K138="O",'6_지적호기심'!F138&amp;$D$1,"")&amp;IF(L138="O",'7_특별한관심'!F138&amp;$D$1,"")&amp;IF(M138="O",'8_탁월한능력'!F138&amp;$D$1,"")&amp;IF(N138="O",'9_탐구활동'!F138&amp;$D$1,"")&amp;IF(O138="O",'10_진로관련사항'!F138&amp;$D$1,"")&amp;IF(P138="O",'11_프로젝트활동'!F138&amp;$D$1,"")</f>
        <v/>
      </c>
      <c r="F138" s="23" t="str">
        <f>IF('1_교과이수내용'!E138&gt;0,"O","X")</f>
        <v>X</v>
      </c>
      <c r="G138" s="23" t="str">
        <f>IF('2_지적성장과정'!E138&gt;0,"O","X")</f>
        <v>X</v>
      </c>
      <c r="H138" s="23" t="str">
        <f>IF('3_학업성취도'!E138&gt;0,"O","X")</f>
        <v>X</v>
      </c>
      <c r="I138" s="23" t="str">
        <f>IF('4_태도'!E138&gt;0,"O","X")</f>
        <v>X</v>
      </c>
      <c r="J138" s="23" t="str">
        <f>IF('5_적극성'!E138&gt;0,"O","X")</f>
        <v>X</v>
      </c>
      <c r="K138" s="23" t="str">
        <f>IF('6_지적호기심'!E138&gt;0,"O","X")</f>
        <v>X</v>
      </c>
      <c r="L138" s="23" t="str">
        <f>IF('7_특별한관심'!E138&gt;0,"O","X")</f>
        <v>X</v>
      </c>
      <c r="M138" s="23" t="str">
        <f>IF('8_탁월한능력'!E138&gt;0,"O","X")</f>
        <v>X</v>
      </c>
      <c r="N138" s="23" t="str">
        <f>IF('9_탐구활동'!E138&gt;0,"O","X")</f>
        <v>X</v>
      </c>
      <c r="O138" s="41" t="str">
        <f>IF('10_진로관련사항'!E138&gt;0,"O","X")</f>
        <v>X</v>
      </c>
      <c r="P138" s="23" t="str">
        <f>IF('11_프로젝트활동'!E138&gt;0,"O","X")</f>
        <v>X</v>
      </c>
    </row>
    <row r="139" spans="1:16">
      <c r="A139" s="9" t="str">
        <f>IF(학생명렬표!A138="","",학생명렬표!A138)</f>
        <v/>
      </c>
      <c r="B139" s="23" t="str">
        <f>IF(학생명렬표!B138="","",학생명렬표!B138)</f>
        <v/>
      </c>
      <c r="C139" s="23" t="str">
        <f>IF(학생명렬표!C138="","",학생명렬표!C138)</f>
        <v/>
      </c>
      <c r="D139" s="23" t="str">
        <f>IF(학생명렬표!D138="","",학생명렬표!D138)</f>
        <v/>
      </c>
      <c r="E139" s="21" t="str">
        <f>IF(F139="O",'1_교과이수내용'!F139&amp;$D$1,"")&amp;IF(G139="O",'2_지적성장과정'!F139&amp;$D$1,"")&amp;IF(H139="O",'3_학업성취도'!F139&amp;$D$1,"")&amp;IF(I139="O",'4_태도'!F139&amp;$D$1,"")&amp;IF(J139="O",'5_적극성'!F139&amp;$D$1,"")&amp;IF(K139="O",'6_지적호기심'!F139&amp;$D$1,"")&amp;IF(L139="O",'7_특별한관심'!F139&amp;$D$1,"")&amp;IF(M139="O",'8_탁월한능력'!F139&amp;$D$1,"")&amp;IF(N139="O",'9_탐구활동'!F139&amp;$D$1,"")&amp;IF(O139="O",'10_진로관련사항'!F139&amp;$D$1,"")&amp;IF(P139="O",'11_프로젝트활동'!F139&amp;$D$1,"")</f>
        <v/>
      </c>
      <c r="F139" s="23" t="str">
        <f>IF('1_교과이수내용'!E139&gt;0,"O","X")</f>
        <v>X</v>
      </c>
      <c r="G139" s="23" t="str">
        <f>IF('2_지적성장과정'!E139&gt;0,"O","X")</f>
        <v>X</v>
      </c>
      <c r="H139" s="23" t="str">
        <f>IF('3_학업성취도'!E139&gt;0,"O","X")</f>
        <v>X</v>
      </c>
      <c r="I139" s="23" t="str">
        <f>IF('4_태도'!E139&gt;0,"O","X")</f>
        <v>X</v>
      </c>
      <c r="J139" s="23" t="str">
        <f>IF('5_적극성'!E139&gt;0,"O","X")</f>
        <v>X</v>
      </c>
      <c r="K139" s="23" t="str">
        <f>IF('6_지적호기심'!E139&gt;0,"O","X")</f>
        <v>X</v>
      </c>
      <c r="L139" s="23" t="str">
        <f>IF('7_특별한관심'!E139&gt;0,"O","X")</f>
        <v>X</v>
      </c>
      <c r="M139" s="23" t="str">
        <f>IF('8_탁월한능력'!E139&gt;0,"O","X")</f>
        <v>X</v>
      </c>
      <c r="N139" s="23" t="str">
        <f>IF('9_탐구활동'!E139&gt;0,"O","X")</f>
        <v>X</v>
      </c>
      <c r="O139" s="41" t="str">
        <f>IF('10_진로관련사항'!E139&gt;0,"O","X")</f>
        <v>X</v>
      </c>
      <c r="P139" s="23" t="str">
        <f>IF('11_프로젝트활동'!E139&gt;0,"O","X")</f>
        <v>X</v>
      </c>
    </row>
    <row r="140" spans="1:16">
      <c r="A140" s="9" t="str">
        <f>IF(학생명렬표!A139="","",학생명렬표!A139)</f>
        <v/>
      </c>
      <c r="B140" s="23" t="str">
        <f>IF(학생명렬표!B139="","",학생명렬표!B139)</f>
        <v/>
      </c>
      <c r="C140" s="23" t="str">
        <f>IF(학생명렬표!C139="","",학생명렬표!C139)</f>
        <v/>
      </c>
      <c r="D140" s="23" t="str">
        <f>IF(학생명렬표!D139="","",학생명렬표!D139)</f>
        <v/>
      </c>
      <c r="E140" s="21" t="str">
        <f>IF(F140="O",'1_교과이수내용'!F140&amp;$D$1,"")&amp;IF(G140="O",'2_지적성장과정'!F140&amp;$D$1,"")&amp;IF(H140="O",'3_학업성취도'!F140&amp;$D$1,"")&amp;IF(I140="O",'4_태도'!F140&amp;$D$1,"")&amp;IF(J140="O",'5_적극성'!F140&amp;$D$1,"")&amp;IF(K140="O",'6_지적호기심'!F140&amp;$D$1,"")&amp;IF(L140="O",'7_특별한관심'!F140&amp;$D$1,"")&amp;IF(M140="O",'8_탁월한능력'!F140&amp;$D$1,"")&amp;IF(N140="O",'9_탐구활동'!F140&amp;$D$1,"")&amp;IF(O140="O",'10_진로관련사항'!F140&amp;$D$1,"")&amp;IF(P140="O",'11_프로젝트활동'!F140&amp;$D$1,"")</f>
        <v/>
      </c>
      <c r="F140" s="23" t="str">
        <f>IF('1_교과이수내용'!E140&gt;0,"O","X")</f>
        <v>X</v>
      </c>
      <c r="G140" s="23" t="str">
        <f>IF('2_지적성장과정'!E140&gt;0,"O","X")</f>
        <v>X</v>
      </c>
      <c r="H140" s="23" t="str">
        <f>IF('3_학업성취도'!E140&gt;0,"O","X")</f>
        <v>X</v>
      </c>
      <c r="I140" s="23" t="str">
        <f>IF('4_태도'!E140&gt;0,"O","X")</f>
        <v>X</v>
      </c>
      <c r="J140" s="23" t="str">
        <f>IF('5_적극성'!E140&gt;0,"O","X")</f>
        <v>X</v>
      </c>
      <c r="K140" s="23" t="str">
        <f>IF('6_지적호기심'!E140&gt;0,"O","X")</f>
        <v>X</v>
      </c>
      <c r="L140" s="23" t="str">
        <f>IF('7_특별한관심'!E140&gt;0,"O","X")</f>
        <v>X</v>
      </c>
      <c r="M140" s="23" t="str">
        <f>IF('8_탁월한능력'!E140&gt;0,"O","X")</f>
        <v>X</v>
      </c>
      <c r="N140" s="23" t="str">
        <f>IF('9_탐구활동'!E140&gt;0,"O","X")</f>
        <v>X</v>
      </c>
      <c r="O140" s="41" t="str">
        <f>IF('10_진로관련사항'!E140&gt;0,"O","X")</f>
        <v>X</v>
      </c>
      <c r="P140" s="23" t="str">
        <f>IF('11_프로젝트활동'!E140&gt;0,"O","X")</f>
        <v>X</v>
      </c>
    </row>
    <row r="141" spans="1:16">
      <c r="A141" s="9" t="str">
        <f>IF(학생명렬표!A140="","",학생명렬표!A140)</f>
        <v/>
      </c>
      <c r="B141" s="23" t="str">
        <f>IF(학생명렬표!B140="","",학생명렬표!B140)</f>
        <v/>
      </c>
      <c r="C141" s="23" t="str">
        <f>IF(학생명렬표!C140="","",학생명렬표!C140)</f>
        <v/>
      </c>
      <c r="D141" s="23" t="str">
        <f>IF(학생명렬표!D140="","",학생명렬표!D140)</f>
        <v/>
      </c>
      <c r="E141" s="21" t="str">
        <f>IF(F141="O",'1_교과이수내용'!F141&amp;$D$1,"")&amp;IF(G141="O",'2_지적성장과정'!F141&amp;$D$1,"")&amp;IF(H141="O",'3_학업성취도'!F141&amp;$D$1,"")&amp;IF(I141="O",'4_태도'!F141&amp;$D$1,"")&amp;IF(J141="O",'5_적극성'!F141&amp;$D$1,"")&amp;IF(K141="O",'6_지적호기심'!F141&amp;$D$1,"")&amp;IF(L141="O",'7_특별한관심'!F141&amp;$D$1,"")&amp;IF(M141="O",'8_탁월한능력'!F141&amp;$D$1,"")&amp;IF(N141="O",'9_탐구활동'!F141&amp;$D$1,"")&amp;IF(O141="O",'10_진로관련사항'!F141&amp;$D$1,"")&amp;IF(P141="O",'11_프로젝트활동'!F141&amp;$D$1,"")</f>
        <v/>
      </c>
      <c r="F141" s="23" t="str">
        <f>IF('1_교과이수내용'!E141&gt;0,"O","X")</f>
        <v>X</v>
      </c>
      <c r="G141" s="23" t="str">
        <f>IF('2_지적성장과정'!E141&gt;0,"O","X")</f>
        <v>X</v>
      </c>
      <c r="H141" s="23" t="str">
        <f>IF('3_학업성취도'!E141&gt;0,"O","X")</f>
        <v>X</v>
      </c>
      <c r="I141" s="23" t="str">
        <f>IF('4_태도'!E141&gt;0,"O","X")</f>
        <v>X</v>
      </c>
      <c r="J141" s="23" t="str">
        <f>IF('5_적극성'!E141&gt;0,"O","X")</f>
        <v>X</v>
      </c>
      <c r="K141" s="23" t="str">
        <f>IF('6_지적호기심'!E141&gt;0,"O","X")</f>
        <v>X</v>
      </c>
      <c r="L141" s="23" t="str">
        <f>IF('7_특별한관심'!E141&gt;0,"O","X")</f>
        <v>X</v>
      </c>
      <c r="M141" s="23" t="str">
        <f>IF('8_탁월한능력'!E141&gt;0,"O","X")</f>
        <v>X</v>
      </c>
      <c r="N141" s="23" t="str">
        <f>IF('9_탐구활동'!E141&gt;0,"O","X")</f>
        <v>X</v>
      </c>
      <c r="O141" s="41" t="str">
        <f>IF('10_진로관련사항'!E141&gt;0,"O","X")</f>
        <v>X</v>
      </c>
      <c r="P141" s="23" t="str">
        <f>IF('11_프로젝트활동'!E141&gt;0,"O","X")</f>
        <v>X</v>
      </c>
    </row>
    <row r="142" spans="1:16">
      <c r="A142" s="9" t="str">
        <f>IF(학생명렬표!A141="","",학생명렬표!A141)</f>
        <v/>
      </c>
      <c r="B142" s="23" t="str">
        <f>IF(학생명렬표!B141="","",학생명렬표!B141)</f>
        <v/>
      </c>
      <c r="C142" s="23" t="str">
        <f>IF(학생명렬표!C141="","",학생명렬표!C141)</f>
        <v/>
      </c>
      <c r="D142" s="23" t="str">
        <f>IF(학생명렬표!D141="","",학생명렬표!D141)</f>
        <v/>
      </c>
      <c r="E142" s="21" t="str">
        <f>IF(F142="O",'1_교과이수내용'!F142&amp;$D$1,"")&amp;IF(G142="O",'2_지적성장과정'!F142&amp;$D$1,"")&amp;IF(H142="O",'3_학업성취도'!F142&amp;$D$1,"")&amp;IF(I142="O",'4_태도'!F142&amp;$D$1,"")&amp;IF(J142="O",'5_적극성'!F142&amp;$D$1,"")&amp;IF(K142="O",'6_지적호기심'!F142&amp;$D$1,"")&amp;IF(L142="O",'7_특별한관심'!F142&amp;$D$1,"")&amp;IF(M142="O",'8_탁월한능력'!F142&amp;$D$1,"")&amp;IF(N142="O",'9_탐구활동'!F142&amp;$D$1,"")&amp;IF(O142="O",'10_진로관련사항'!F142&amp;$D$1,"")&amp;IF(P142="O",'11_프로젝트활동'!F142&amp;$D$1,"")</f>
        <v/>
      </c>
      <c r="F142" s="23" t="str">
        <f>IF('1_교과이수내용'!E142&gt;0,"O","X")</f>
        <v>X</v>
      </c>
      <c r="G142" s="23" t="str">
        <f>IF('2_지적성장과정'!E142&gt;0,"O","X")</f>
        <v>X</v>
      </c>
      <c r="H142" s="23" t="str">
        <f>IF('3_학업성취도'!E142&gt;0,"O","X")</f>
        <v>X</v>
      </c>
      <c r="I142" s="23" t="str">
        <f>IF('4_태도'!E142&gt;0,"O","X")</f>
        <v>X</v>
      </c>
      <c r="J142" s="23" t="str">
        <f>IF('5_적극성'!E142&gt;0,"O","X")</f>
        <v>X</v>
      </c>
      <c r="K142" s="23" t="str">
        <f>IF('6_지적호기심'!E142&gt;0,"O","X")</f>
        <v>X</v>
      </c>
      <c r="L142" s="23" t="str">
        <f>IF('7_특별한관심'!E142&gt;0,"O","X")</f>
        <v>X</v>
      </c>
      <c r="M142" s="23" t="str">
        <f>IF('8_탁월한능력'!E142&gt;0,"O","X")</f>
        <v>X</v>
      </c>
      <c r="N142" s="23" t="str">
        <f>IF('9_탐구활동'!E142&gt;0,"O","X")</f>
        <v>X</v>
      </c>
      <c r="O142" s="41" t="str">
        <f>IF('10_진로관련사항'!E142&gt;0,"O","X")</f>
        <v>X</v>
      </c>
      <c r="P142" s="23" t="str">
        <f>IF('11_프로젝트활동'!E142&gt;0,"O","X")</f>
        <v>X</v>
      </c>
    </row>
    <row r="143" spans="1:16">
      <c r="A143" s="9" t="str">
        <f>IF(학생명렬표!A142="","",학생명렬표!A142)</f>
        <v/>
      </c>
      <c r="B143" s="23" t="str">
        <f>IF(학생명렬표!B142="","",학생명렬표!B142)</f>
        <v/>
      </c>
      <c r="C143" s="23" t="str">
        <f>IF(학생명렬표!C142="","",학생명렬표!C142)</f>
        <v/>
      </c>
      <c r="D143" s="23" t="str">
        <f>IF(학생명렬표!D142="","",학생명렬표!D142)</f>
        <v/>
      </c>
      <c r="E143" s="21" t="str">
        <f>IF(F143="O",'1_교과이수내용'!F143&amp;$D$1,"")&amp;IF(G143="O",'2_지적성장과정'!F143&amp;$D$1,"")&amp;IF(H143="O",'3_학업성취도'!F143&amp;$D$1,"")&amp;IF(I143="O",'4_태도'!F143&amp;$D$1,"")&amp;IF(J143="O",'5_적극성'!F143&amp;$D$1,"")&amp;IF(K143="O",'6_지적호기심'!F143&amp;$D$1,"")&amp;IF(L143="O",'7_특별한관심'!F143&amp;$D$1,"")&amp;IF(M143="O",'8_탁월한능력'!F143&amp;$D$1,"")&amp;IF(N143="O",'9_탐구활동'!F143&amp;$D$1,"")&amp;IF(O143="O",'10_진로관련사항'!F143&amp;$D$1,"")&amp;IF(P143="O",'11_프로젝트활동'!F143&amp;$D$1,"")</f>
        <v/>
      </c>
      <c r="F143" s="23" t="str">
        <f>IF('1_교과이수내용'!E143&gt;0,"O","X")</f>
        <v>X</v>
      </c>
      <c r="G143" s="23" t="str">
        <f>IF('2_지적성장과정'!E143&gt;0,"O","X")</f>
        <v>X</v>
      </c>
      <c r="H143" s="23" t="str">
        <f>IF('3_학업성취도'!E143&gt;0,"O","X")</f>
        <v>X</v>
      </c>
      <c r="I143" s="23" t="str">
        <f>IF('4_태도'!E143&gt;0,"O","X")</f>
        <v>X</v>
      </c>
      <c r="J143" s="23" t="str">
        <f>IF('5_적극성'!E143&gt;0,"O","X")</f>
        <v>X</v>
      </c>
      <c r="K143" s="23" t="str">
        <f>IF('6_지적호기심'!E143&gt;0,"O","X")</f>
        <v>X</v>
      </c>
      <c r="L143" s="23" t="str">
        <f>IF('7_특별한관심'!E143&gt;0,"O","X")</f>
        <v>X</v>
      </c>
      <c r="M143" s="23" t="str">
        <f>IF('8_탁월한능력'!E143&gt;0,"O","X")</f>
        <v>X</v>
      </c>
      <c r="N143" s="23" t="str">
        <f>IF('9_탐구활동'!E143&gt;0,"O","X")</f>
        <v>X</v>
      </c>
      <c r="O143" s="41" t="str">
        <f>IF('10_진로관련사항'!E143&gt;0,"O","X")</f>
        <v>X</v>
      </c>
      <c r="P143" s="23" t="str">
        <f>IF('11_프로젝트활동'!E143&gt;0,"O","X")</f>
        <v>X</v>
      </c>
    </row>
    <row r="144" spans="1:16">
      <c r="A144" s="9" t="str">
        <f>IF(학생명렬표!A143="","",학생명렬표!A143)</f>
        <v/>
      </c>
      <c r="B144" s="23" t="str">
        <f>IF(학생명렬표!B143="","",학생명렬표!B143)</f>
        <v/>
      </c>
      <c r="C144" s="23" t="str">
        <f>IF(학생명렬표!C143="","",학생명렬표!C143)</f>
        <v/>
      </c>
      <c r="D144" s="23" t="str">
        <f>IF(학생명렬표!D143="","",학생명렬표!D143)</f>
        <v/>
      </c>
      <c r="E144" s="21" t="str">
        <f>IF(F144="O",'1_교과이수내용'!F144&amp;$D$1,"")&amp;IF(G144="O",'2_지적성장과정'!F144&amp;$D$1,"")&amp;IF(H144="O",'3_학업성취도'!F144&amp;$D$1,"")&amp;IF(I144="O",'4_태도'!F144&amp;$D$1,"")&amp;IF(J144="O",'5_적극성'!F144&amp;$D$1,"")&amp;IF(K144="O",'6_지적호기심'!F144&amp;$D$1,"")&amp;IF(L144="O",'7_특별한관심'!F144&amp;$D$1,"")&amp;IF(M144="O",'8_탁월한능력'!F144&amp;$D$1,"")&amp;IF(N144="O",'9_탐구활동'!F144&amp;$D$1,"")&amp;IF(O144="O",'10_진로관련사항'!F144&amp;$D$1,"")&amp;IF(P144="O",'11_프로젝트활동'!F144&amp;$D$1,"")</f>
        <v/>
      </c>
      <c r="F144" s="23" t="str">
        <f>IF('1_교과이수내용'!E144&gt;0,"O","X")</f>
        <v>X</v>
      </c>
      <c r="G144" s="23" t="str">
        <f>IF('2_지적성장과정'!E144&gt;0,"O","X")</f>
        <v>X</v>
      </c>
      <c r="H144" s="23" t="str">
        <f>IF('3_학업성취도'!E144&gt;0,"O","X")</f>
        <v>X</v>
      </c>
      <c r="I144" s="23" t="str">
        <f>IF('4_태도'!E144&gt;0,"O","X")</f>
        <v>X</v>
      </c>
      <c r="J144" s="23" t="str">
        <f>IF('5_적극성'!E144&gt;0,"O","X")</f>
        <v>X</v>
      </c>
      <c r="K144" s="23" t="str">
        <f>IF('6_지적호기심'!E144&gt;0,"O","X")</f>
        <v>X</v>
      </c>
      <c r="L144" s="23" t="str">
        <f>IF('7_특별한관심'!E144&gt;0,"O","X")</f>
        <v>X</v>
      </c>
      <c r="M144" s="23" t="str">
        <f>IF('8_탁월한능력'!E144&gt;0,"O","X")</f>
        <v>X</v>
      </c>
      <c r="N144" s="23" t="str">
        <f>IF('9_탐구활동'!E144&gt;0,"O","X")</f>
        <v>X</v>
      </c>
      <c r="O144" s="41" t="str">
        <f>IF('10_진로관련사항'!E144&gt;0,"O","X")</f>
        <v>X</v>
      </c>
      <c r="P144" s="23" t="str">
        <f>IF('11_프로젝트활동'!E144&gt;0,"O","X")</f>
        <v>X</v>
      </c>
    </row>
    <row r="145" spans="1:16">
      <c r="A145" s="9" t="str">
        <f>IF(학생명렬표!A144="","",학생명렬표!A144)</f>
        <v/>
      </c>
      <c r="B145" s="23" t="str">
        <f>IF(학생명렬표!B144="","",학생명렬표!B144)</f>
        <v/>
      </c>
      <c r="C145" s="23" t="str">
        <f>IF(학생명렬표!C144="","",학생명렬표!C144)</f>
        <v/>
      </c>
      <c r="D145" s="23" t="str">
        <f>IF(학생명렬표!D144="","",학생명렬표!D144)</f>
        <v/>
      </c>
      <c r="E145" s="21" t="str">
        <f>IF(F145="O",'1_교과이수내용'!F145&amp;$D$1,"")&amp;IF(G145="O",'2_지적성장과정'!F145&amp;$D$1,"")&amp;IF(H145="O",'3_학업성취도'!F145&amp;$D$1,"")&amp;IF(I145="O",'4_태도'!F145&amp;$D$1,"")&amp;IF(J145="O",'5_적극성'!F145&amp;$D$1,"")&amp;IF(K145="O",'6_지적호기심'!F145&amp;$D$1,"")&amp;IF(L145="O",'7_특별한관심'!F145&amp;$D$1,"")&amp;IF(M145="O",'8_탁월한능력'!F145&amp;$D$1,"")&amp;IF(N145="O",'9_탐구활동'!F145&amp;$D$1,"")&amp;IF(O145="O",'10_진로관련사항'!F145&amp;$D$1,"")&amp;IF(P145="O",'11_프로젝트활동'!F145&amp;$D$1,"")</f>
        <v/>
      </c>
      <c r="F145" s="23" t="str">
        <f>IF('1_교과이수내용'!E145&gt;0,"O","X")</f>
        <v>X</v>
      </c>
      <c r="G145" s="23" t="str">
        <f>IF('2_지적성장과정'!E145&gt;0,"O","X")</f>
        <v>X</v>
      </c>
      <c r="H145" s="23" t="str">
        <f>IF('3_학업성취도'!E145&gt;0,"O","X")</f>
        <v>X</v>
      </c>
      <c r="I145" s="23" t="str">
        <f>IF('4_태도'!E145&gt;0,"O","X")</f>
        <v>X</v>
      </c>
      <c r="J145" s="23" t="str">
        <f>IF('5_적극성'!E145&gt;0,"O","X")</f>
        <v>X</v>
      </c>
      <c r="K145" s="23" t="str">
        <f>IF('6_지적호기심'!E145&gt;0,"O","X")</f>
        <v>X</v>
      </c>
      <c r="L145" s="23" t="str">
        <f>IF('7_특별한관심'!E145&gt;0,"O","X")</f>
        <v>X</v>
      </c>
      <c r="M145" s="23" t="str">
        <f>IF('8_탁월한능력'!E145&gt;0,"O","X")</f>
        <v>X</v>
      </c>
      <c r="N145" s="23" t="str">
        <f>IF('9_탐구활동'!E145&gt;0,"O","X")</f>
        <v>X</v>
      </c>
      <c r="O145" s="41" t="str">
        <f>IF('10_진로관련사항'!E145&gt;0,"O","X")</f>
        <v>X</v>
      </c>
      <c r="P145" s="23" t="str">
        <f>IF('11_프로젝트활동'!E145&gt;0,"O","X")</f>
        <v>X</v>
      </c>
    </row>
    <row r="146" spans="1:16">
      <c r="A146" s="9" t="str">
        <f>IF(학생명렬표!A145="","",학생명렬표!A145)</f>
        <v/>
      </c>
      <c r="B146" s="23" t="str">
        <f>IF(학생명렬표!B145="","",학생명렬표!B145)</f>
        <v/>
      </c>
      <c r="C146" s="23" t="str">
        <f>IF(학생명렬표!C145="","",학생명렬표!C145)</f>
        <v/>
      </c>
      <c r="D146" s="23" t="str">
        <f>IF(학생명렬표!D145="","",학생명렬표!D145)</f>
        <v/>
      </c>
      <c r="E146" s="21" t="str">
        <f>IF(F146="O",'1_교과이수내용'!F146&amp;$D$1,"")&amp;IF(G146="O",'2_지적성장과정'!F146&amp;$D$1,"")&amp;IF(H146="O",'3_학업성취도'!F146&amp;$D$1,"")&amp;IF(I146="O",'4_태도'!F146&amp;$D$1,"")&amp;IF(J146="O",'5_적극성'!F146&amp;$D$1,"")&amp;IF(K146="O",'6_지적호기심'!F146&amp;$D$1,"")&amp;IF(L146="O",'7_특별한관심'!F146&amp;$D$1,"")&amp;IF(M146="O",'8_탁월한능력'!F146&amp;$D$1,"")&amp;IF(N146="O",'9_탐구활동'!F146&amp;$D$1,"")&amp;IF(O146="O",'10_진로관련사항'!F146&amp;$D$1,"")&amp;IF(P146="O",'11_프로젝트활동'!F146&amp;$D$1,"")</f>
        <v/>
      </c>
      <c r="F146" s="23" t="str">
        <f>IF('1_교과이수내용'!E146&gt;0,"O","X")</f>
        <v>X</v>
      </c>
      <c r="G146" s="23" t="str">
        <f>IF('2_지적성장과정'!E146&gt;0,"O","X")</f>
        <v>X</v>
      </c>
      <c r="H146" s="23" t="str">
        <f>IF('3_학업성취도'!E146&gt;0,"O","X")</f>
        <v>X</v>
      </c>
      <c r="I146" s="23" t="str">
        <f>IF('4_태도'!E146&gt;0,"O","X")</f>
        <v>X</v>
      </c>
      <c r="J146" s="23" t="str">
        <f>IF('5_적극성'!E146&gt;0,"O","X")</f>
        <v>X</v>
      </c>
      <c r="K146" s="23" t="str">
        <f>IF('6_지적호기심'!E146&gt;0,"O","X")</f>
        <v>X</v>
      </c>
      <c r="L146" s="23" t="str">
        <f>IF('7_특별한관심'!E146&gt;0,"O","X")</f>
        <v>X</v>
      </c>
      <c r="M146" s="23" t="str">
        <f>IF('8_탁월한능력'!E146&gt;0,"O","X")</f>
        <v>X</v>
      </c>
      <c r="N146" s="23" t="str">
        <f>IF('9_탐구활동'!E146&gt;0,"O","X")</f>
        <v>X</v>
      </c>
      <c r="O146" s="41" t="str">
        <f>IF('10_진로관련사항'!E146&gt;0,"O","X")</f>
        <v>X</v>
      </c>
      <c r="P146" s="23" t="str">
        <f>IF('11_프로젝트활동'!E146&gt;0,"O","X")</f>
        <v>X</v>
      </c>
    </row>
    <row r="147" spans="1:16">
      <c r="A147" s="9" t="str">
        <f>IF(학생명렬표!A146="","",학생명렬표!A146)</f>
        <v/>
      </c>
      <c r="B147" s="23" t="str">
        <f>IF(학생명렬표!B146="","",학생명렬표!B146)</f>
        <v/>
      </c>
      <c r="C147" s="23" t="str">
        <f>IF(학생명렬표!C146="","",학생명렬표!C146)</f>
        <v/>
      </c>
      <c r="D147" s="23" t="str">
        <f>IF(학생명렬표!D146="","",학생명렬표!D146)</f>
        <v/>
      </c>
      <c r="E147" s="21" t="str">
        <f>IF(F147="O",'1_교과이수내용'!F147&amp;$D$1,"")&amp;IF(G147="O",'2_지적성장과정'!F147&amp;$D$1,"")&amp;IF(H147="O",'3_학업성취도'!F147&amp;$D$1,"")&amp;IF(I147="O",'4_태도'!F147&amp;$D$1,"")&amp;IF(J147="O",'5_적극성'!F147&amp;$D$1,"")&amp;IF(K147="O",'6_지적호기심'!F147&amp;$D$1,"")&amp;IF(L147="O",'7_특별한관심'!F147&amp;$D$1,"")&amp;IF(M147="O",'8_탁월한능력'!F147&amp;$D$1,"")&amp;IF(N147="O",'9_탐구활동'!F147&amp;$D$1,"")&amp;IF(O147="O",'10_진로관련사항'!F147&amp;$D$1,"")&amp;IF(P147="O",'11_프로젝트활동'!F147&amp;$D$1,"")</f>
        <v/>
      </c>
      <c r="F147" s="23" t="str">
        <f>IF('1_교과이수내용'!E147&gt;0,"O","X")</f>
        <v>X</v>
      </c>
      <c r="G147" s="23" t="str">
        <f>IF('2_지적성장과정'!E147&gt;0,"O","X")</f>
        <v>X</v>
      </c>
      <c r="H147" s="23" t="str">
        <f>IF('3_학업성취도'!E147&gt;0,"O","X")</f>
        <v>X</v>
      </c>
      <c r="I147" s="23" t="str">
        <f>IF('4_태도'!E147&gt;0,"O","X")</f>
        <v>X</v>
      </c>
      <c r="J147" s="23" t="str">
        <f>IF('5_적극성'!E147&gt;0,"O","X")</f>
        <v>X</v>
      </c>
      <c r="K147" s="23" t="str">
        <f>IF('6_지적호기심'!E147&gt;0,"O","X")</f>
        <v>X</v>
      </c>
      <c r="L147" s="23" t="str">
        <f>IF('7_특별한관심'!E147&gt;0,"O","X")</f>
        <v>X</v>
      </c>
      <c r="M147" s="23" t="str">
        <f>IF('8_탁월한능력'!E147&gt;0,"O","X")</f>
        <v>X</v>
      </c>
      <c r="N147" s="23" t="str">
        <f>IF('9_탐구활동'!E147&gt;0,"O","X")</f>
        <v>X</v>
      </c>
      <c r="O147" s="41" t="str">
        <f>IF('10_진로관련사항'!E147&gt;0,"O","X")</f>
        <v>X</v>
      </c>
      <c r="P147" s="23" t="str">
        <f>IF('11_프로젝트활동'!E147&gt;0,"O","X")</f>
        <v>X</v>
      </c>
    </row>
    <row r="148" spans="1:16">
      <c r="A148" s="9" t="str">
        <f>IF(학생명렬표!A147="","",학생명렬표!A147)</f>
        <v/>
      </c>
      <c r="B148" s="23" t="str">
        <f>IF(학생명렬표!B147="","",학생명렬표!B147)</f>
        <v/>
      </c>
      <c r="C148" s="23" t="str">
        <f>IF(학생명렬표!C147="","",학생명렬표!C147)</f>
        <v/>
      </c>
      <c r="D148" s="23" t="str">
        <f>IF(학생명렬표!D147="","",학생명렬표!D147)</f>
        <v/>
      </c>
      <c r="E148" s="21" t="str">
        <f>IF(F148="O",'1_교과이수내용'!F148&amp;$D$1,"")&amp;IF(G148="O",'2_지적성장과정'!F148&amp;$D$1,"")&amp;IF(H148="O",'3_학업성취도'!F148&amp;$D$1,"")&amp;IF(I148="O",'4_태도'!F148&amp;$D$1,"")&amp;IF(J148="O",'5_적극성'!F148&amp;$D$1,"")&amp;IF(K148="O",'6_지적호기심'!F148&amp;$D$1,"")&amp;IF(L148="O",'7_특별한관심'!F148&amp;$D$1,"")&amp;IF(M148="O",'8_탁월한능력'!F148&amp;$D$1,"")&amp;IF(N148="O",'9_탐구활동'!F148&amp;$D$1,"")&amp;IF(O148="O",'10_진로관련사항'!F148&amp;$D$1,"")&amp;IF(P148="O",'11_프로젝트활동'!F148&amp;$D$1,"")</f>
        <v/>
      </c>
      <c r="F148" s="23" t="str">
        <f>IF('1_교과이수내용'!E148&gt;0,"O","X")</f>
        <v>X</v>
      </c>
      <c r="G148" s="23" t="str">
        <f>IF('2_지적성장과정'!E148&gt;0,"O","X")</f>
        <v>X</v>
      </c>
      <c r="H148" s="23" t="str">
        <f>IF('3_학업성취도'!E148&gt;0,"O","X")</f>
        <v>X</v>
      </c>
      <c r="I148" s="23" t="str">
        <f>IF('4_태도'!E148&gt;0,"O","X")</f>
        <v>X</v>
      </c>
      <c r="J148" s="23" t="str">
        <f>IF('5_적극성'!E148&gt;0,"O","X")</f>
        <v>X</v>
      </c>
      <c r="K148" s="23" t="str">
        <f>IF('6_지적호기심'!E148&gt;0,"O","X")</f>
        <v>X</v>
      </c>
      <c r="L148" s="23" t="str">
        <f>IF('7_특별한관심'!E148&gt;0,"O","X")</f>
        <v>X</v>
      </c>
      <c r="M148" s="23" t="str">
        <f>IF('8_탁월한능력'!E148&gt;0,"O","X")</f>
        <v>X</v>
      </c>
      <c r="N148" s="23" t="str">
        <f>IF('9_탐구활동'!E148&gt;0,"O","X")</f>
        <v>X</v>
      </c>
      <c r="O148" s="41" t="str">
        <f>IF('10_진로관련사항'!E148&gt;0,"O","X")</f>
        <v>X</v>
      </c>
      <c r="P148" s="23" t="str">
        <f>IF('11_프로젝트활동'!E148&gt;0,"O","X")</f>
        <v>X</v>
      </c>
    </row>
    <row r="149" spans="1:16">
      <c r="A149" s="9" t="str">
        <f>IF(학생명렬표!A148="","",학생명렬표!A148)</f>
        <v/>
      </c>
      <c r="B149" s="23" t="str">
        <f>IF(학생명렬표!B148="","",학생명렬표!B148)</f>
        <v/>
      </c>
      <c r="C149" s="23" t="str">
        <f>IF(학생명렬표!C148="","",학생명렬표!C148)</f>
        <v/>
      </c>
      <c r="D149" s="23" t="str">
        <f>IF(학생명렬표!D148="","",학생명렬표!D148)</f>
        <v/>
      </c>
      <c r="E149" s="21" t="str">
        <f>IF(F149="O",'1_교과이수내용'!F149&amp;$D$1,"")&amp;IF(G149="O",'2_지적성장과정'!F149&amp;$D$1,"")&amp;IF(H149="O",'3_학업성취도'!F149&amp;$D$1,"")&amp;IF(I149="O",'4_태도'!F149&amp;$D$1,"")&amp;IF(J149="O",'5_적극성'!F149&amp;$D$1,"")&amp;IF(K149="O",'6_지적호기심'!F149&amp;$D$1,"")&amp;IF(L149="O",'7_특별한관심'!F149&amp;$D$1,"")&amp;IF(M149="O",'8_탁월한능력'!F149&amp;$D$1,"")&amp;IF(N149="O",'9_탐구활동'!F149&amp;$D$1,"")&amp;IF(O149="O",'10_진로관련사항'!F149&amp;$D$1,"")&amp;IF(P149="O",'11_프로젝트활동'!F149&amp;$D$1,"")</f>
        <v/>
      </c>
      <c r="F149" s="23" t="str">
        <f>IF('1_교과이수내용'!E149&gt;0,"O","X")</f>
        <v>X</v>
      </c>
      <c r="G149" s="23" t="str">
        <f>IF('2_지적성장과정'!E149&gt;0,"O","X")</f>
        <v>X</v>
      </c>
      <c r="H149" s="23" t="str">
        <f>IF('3_학업성취도'!E149&gt;0,"O","X")</f>
        <v>X</v>
      </c>
      <c r="I149" s="23" t="str">
        <f>IF('4_태도'!E149&gt;0,"O","X")</f>
        <v>X</v>
      </c>
      <c r="J149" s="23" t="str">
        <f>IF('5_적극성'!E149&gt;0,"O","X")</f>
        <v>X</v>
      </c>
      <c r="K149" s="23" t="str">
        <f>IF('6_지적호기심'!E149&gt;0,"O","X")</f>
        <v>X</v>
      </c>
      <c r="L149" s="23" t="str">
        <f>IF('7_특별한관심'!E149&gt;0,"O","X")</f>
        <v>X</v>
      </c>
      <c r="M149" s="23" t="str">
        <f>IF('8_탁월한능력'!E149&gt;0,"O","X")</f>
        <v>X</v>
      </c>
      <c r="N149" s="23" t="str">
        <f>IF('9_탐구활동'!E149&gt;0,"O","X")</f>
        <v>X</v>
      </c>
      <c r="O149" s="41" t="str">
        <f>IF('10_진로관련사항'!E149&gt;0,"O","X")</f>
        <v>X</v>
      </c>
      <c r="P149" s="23" t="str">
        <f>IF('11_프로젝트활동'!E149&gt;0,"O","X")</f>
        <v>X</v>
      </c>
    </row>
    <row r="150" spans="1:16">
      <c r="A150" s="9" t="str">
        <f>IF(학생명렬표!A149="","",학생명렬표!A149)</f>
        <v/>
      </c>
      <c r="B150" s="23" t="str">
        <f>IF(학생명렬표!B149="","",학생명렬표!B149)</f>
        <v/>
      </c>
      <c r="C150" s="23" t="str">
        <f>IF(학생명렬표!C149="","",학생명렬표!C149)</f>
        <v/>
      </c>
      <c r="D150" s="23" t="str">
        <f>IF(학생명렬표!D149="","",학생명렬표!D149)</f>
        <v/>
      </c>
      <c r="E150" s="21" t="str">
        <f>IF(F150="O",'1_교과이수내용'!F150&amp;$D$1,"")&amp;IF(G150="O",'2_지적성장과정'!F150&amp;$D$1,"")&amp;IF(H150="O",'3_학업성취도'!F150&amp;$D$1,"")&amp;IF(I150="O",'4_태도'!F150&amp;$D$1,"")&amp;IF(J150="O",'5_적극성'!F150&amp;$D$1,"")&amp;IF(K150="O",'6_지적호기심'!F150&amp;$D$1,"")&amp;IF(L150="O",'7_특별한관심'!F150&amp;$D$1,"")&amp;IF(M150="O",'8_탁월한능력'!F150&amp;$D$1,"")&amp;IF(N150="O",'9_탐구활동'!F150&amp;$D$1,"")&amp;IF(O150="O",'10_진로관련사항'!F150&amp;$D$1,"")&amp;IF(P150="O",'11_프로젝트활동'!F150&amp;$D$1,"")</f>
        <v/>
      </c>
      <c r="F150" s="23" t="str">
        <f>IF('1_교과이수내용'!E150&gt;0,"O","X")</f>
        <v>X</v>
      </c>
      <c r="G150" s="23" t="str">
        <f>IF('2_지적성장과정'!E150&gt;0,"O","X")</f>
        <v>X</v>
      </c>
      <c r="H150" s="23" t="str">
        <f>IF('3_학업성취도'!E150&gt;0,"O","X")</f>
        <v>X</v>
      </c>
      <c r="I150" s="23" t="str">
        <f>IF('4_태도'!E150&gt;0,"O","X")</f>
        <v>X</v>
      </c>
      <c r="J150" s="23" t="str">
        <f>IF('5_적극성'!E150&gt;0,"O","X")</f>
        <v>X</v>
      </c>
      <c r="K150" s="23" t="str">
        <f>IF('6_지적호기심'!E150&gt;0,"O","X")</f>
        <v>X</v>
      </c>
      <c r="L150" s="23" t="str">
        <f>IF('7_특별한관심'!E150&gt;0,"O","X")</f>
        <v>X</v>
      </c>
      <c r="M150" s="23" t="str">
        <f>IF('8_탁월한능력'!E150&gt;0,"O","X")</f>
        <v>X</v>
      </c>
      <c r="N150" s="23" t="str">
        <f>IF('9_탐구활동'!E150&gt;0,"O","X")</f>
        <v>X</v>
      </c>
      <c r="O150" s="41" t="str">
        <f>IF('10_진로관련사항'!E150&gt;0,"O","X")</f>
        <v>X</v>
      </c>
      <c r="P150" s="23" t="str">
        <f>IF('11_프로젝트활동'!E150&gt;0,"O","X")</f>
        <v>X</v>
      </c>
    </row>
    <row r="151" spans="1:16">
      <c r="A151" s="9" t="str">
        <f>IF(학생명렬표!A150="","",학생명렬표!A150)</f>
        <v/>
      </c>
      <c r="B151" s="23" t="str">
        <f>IF(학생명렬표!B150="","",학생명렬표!B150)</f>
        <v/>
      </c>
      <c r="C151" s="23" t="str">
        <f>IF(학생명렬표!C150="","",학생명렬표!C150)</f>
        <v/>
      </c>
      <c r="D151" s="23" t="str">
        <f>IF(학생명렬표!D150="","",학생명렬표!D150)</f>
        <v/>
      </c>
      <c r="E151" s="21" t="str">
        <f>IF(F151="O",'1_교과이수내용'!F151&amp;$D$1,"")&amp;IF(G151="O",'2_지적성장과정'!F151&amp;$D$1,"")&amp;IF(H151="O",'3_학업성취도'!F151&amp;$D$1,"")&amp;IF(I151="O",'4_태도'!F151&amp;$D$1,"")&amp;IF(J151="O",'5_적극성'!F151&amp;$D$1,"")&amp;IF(K151="O",'6_지적호기심'!F151&amp;$D$1,"")&amp;IF(L151="O",'7_특별한관심'!F151&amp;$D$1,"")&amp;IF(M151="O",'8_탁월한능력'!F151&amp;$D$1,"")&amp;IF(N151="O",'9_탐구활동'!F151&amp;$D$1,"")&amp;IF(O151="O",'10_진로관련사항'!F151&amp;$D$1,"")&amp;IF(P151="O",'11_프로젝트활동'!F151&amp;$D$1,"")</f>
        <v/>
      </c>
      <c r="F151" s="23" t="str">
        <f>IF('1_교과이수내용'!E151&gt;0,"O","X")</f>
        <v>X</v>
      </c>
      <c r="G151" s="23" t="str">
        <f>IF('2_지적성장과정'!E151&gt;0,"O","X")</f>
        <v>X</v>
      </c>
      <c r="H151" s="23" t="str">
        <f>IF('3_학업성취도'!E151&gt;0,"O","X")</f>
        <v>X</v>
      </c>
      <c r="I151" s="23" t="str">
        <f>IF('4_태도'!E151&gt;0,"O","X")</f>
        <v>X</v>
      </c>
      <c r="J151" s="23" t="str">
        <f>IF('5_적극성'!E151&gt;0,"O","X")</f>
        <v>X</v>
      </c>
      <c r="K151" s="23" t="str">
        <f>IF('6_지적호기심'!E151&gt;0,"O","X")</f>
        <v>X</v>
      </c>
      <c r="L151" s="23" t="str">
        <f>IF('7_특별한관심'!E151&gt;0,"O","X")</f>
        <v>X</v>
      </c>
      <c r="M151" s="23" t="str">
        <f>IF('8_탁월한능력'!E151&gt;0,"O","X")</f>
        <v>X</v>
      </c>
      <c r="N151" s="23" t="str">
        <f>IF('9_탐구활동'!E151&gt;0,"O","X")</f>
        <v>X</v>
      </c>
      <c r="O151" s="41" t="str">
        <f>IF('10_진로관련사항'!E151&gt;0,"O","X")</f>
        <v>X</v>
      </c>
      <c r="P151" s="23" t="str">
        <f>IF('11_프로젝트활동'!E151&gt;0,"O","X")</f>
        <v>X</v>
      </c>
    </row>
    <row r="152" spans="1:16">
      <c r="A152" s="9" t="str">
        <f>IF(학생명렬표!A151="","",학생명렬표!A151)</f>
        <v/>
      </c>
      <c r="B152" s="23" t="str">
        <f>IF(학생명렬표!B151="","",학생명렬표!B151)</f>
        <v/>
      </c>
      <c r="C152" s="23" t="str">
        <f>IF(학생명렬표!C151="","",학생명렬표!C151)</f>
        <v/>
      </c>
      <c r="D152" s="23" t="str">
        <f>IF(학생명렬표!D151="","",학생명렬표!D151)</f>
        <v/>
      </c>
      <c r="E152" s="21" t="str">
        <f>IF(F152="O",'1_교과이수내용'!F152&amp;$D$1,"")&amp;IF(G152="O",'2_지적성장과정'!F152&amp;$D$1,"")&amp;IF(H152="O",'3_학업성취도'!F152&amp;$D$1,"")&amp;IF(I152="O",'4_태도'!F152&amp;$D$1,"")&amp;IF(J152="O",'5_적극성'!F152&amp;$D$1,"")&amp;IF(K152="O",'6_지적호기심'!F152&amp;$D$1,"")&amp;IF(L152="O",'7_특별한관심'!F152&amp;$D$1,"")&amp;IF(M152="O",'8_탁월한능력'!F152&amp;$D$1,"")&amp;IF(N152="O",'9_탐구활동'!F152&amp;$D$1,"")&amp;IF(O152="O",'10_진로관련사항'!F152&amp;$D$1,"")&amp;IF(P152="O",'11_프로젝트활동'!F152&amp;$D$1,"")</f>
        <v/>
      </c>
      <c r="F152" s="23" t="str">
        <f>IF('1_교과이수내용'!E152&gt;0,"O","X")</f>
        <v>X</v>
      </c>
      <c r="G152" s="23" t="str">
        <f>IF('2_지적성장과정'!E152&gt;0,"O","X")</f>
        <v>X</v>
      </c>
      <c r="H152" s="23" t="str">
        <f>IF('3_학업성취도'!E152&gt;0,"O","X")</f>
        <v>X</v>
      </c>
      <c r="I152" s="23" t="str">
        <f>IF('4_태도'!E152&gt;0,"O","X")</f>
        <v>X</v>
      </c>
      <c r="J152" s="23" t="str">
        <f>IF('5_적극성'!E152&gt;0,"O","X")</f>
        <v>X</v>
      </c>
      <c r="K152" s="23" t="str">
        <f>IF('6_지적호기심'!E152&gt;0,"O","X")</f>
        <v>X</v>
      </c>
      <c r="L152" s="23" t="str">
        <f>IF('7_특별한관심'!E152&gt;0,"O","X")</f>
        <v>X</v>
      </c>
      <c r="M152" s="23" t="str">
        <f>IF('8_탁월한능력'!E152&gt;0,"O","X")</f>
        <v>X</v>
      </c>
      <c r="N152" s="23" t="str">
        <f>IF('9_탐구활동'!E152&gt;0,"O","X")</f>
        <v>X</v>
      </c>
      <c r="O152" s="41" t="str">
        <f>IF('10_진로관련사항'!E152&gt;0,"O","X")</f>
        <v>X</v>
      </c>
      <c r="P152" s="23" t="str">
        <f>IF('11_프로젝트활동'!E152&gt;0,"O","X")</f>
        <v>X</v>
      </c>
    </row>
    <row r="153" spans="1:16">
      <c r="A153" s="9" t="str">
        <f>IF(학생명렬표!A152="","",학생명렬표!A152)</f>
        <v/>
      </c>
      <c r="B153" s="23" t="str">
        <f>IF(학생명렬표!B152="","",학생명렬표!B152)</f>
        <v/>
      </c>
      <c r="C153" s="23" t="str">
        <f>IF(학생명렬표!C152="","",학생명렬표!C152)</f>
        <v/>
      </c>
      <c r="D153" s="23" t="str">
        <f>IF(학생명렬표!D152="","",학생명렬표!D152)</f>
        <v/>
      </c>
      <c r="E153" s="21" t="str">
        <f>IF(F153="O",'1_교과이수내용'!F153&amp;$D$1,"")&amp;IF(G153="O",'2_지적성장과정'!F153&amp;$D$1,"")&amp;IF(H153="O",'3_학업성취도'!F153&amp;$D$1,"")&amp;IF(I153="O",'4_태도'!F153&amp;$D$1,"")&amp;IF(J153="O",'5_적극성'!F153&amp;$D$1,"")&amp;IF(K153="O",'6_지적호기심'!F153&amp;$D$1,"")&amp;IF(L153="O",'7_특별한관심'!F153&amp;$D$1,"")&amp;IF(M153="O",'8_탁월한능력'!F153&amp;$D$1,"")&amp;IF(N153="O",'9_탐구활동'!F153&amp;$D$1,"")&amp;IF(O153="O",'10_진로관련사항'!F153&amp;$D$1,"")&amp;IF(P153="O",'11_프로젝트활동'!F153&amp;$D$1,"")</f>
        <v/>
      </c>
      <c r="F153" s="23" t="str">
        <f>IF('1_교과이수내용'!E153&gt;0,"O","X")</f>
        <v>X</v>
      </c>
      <c r="G153" s="23" t="str">
        <f>IF('2_지적성장과정'!E153&gt;0,"O","X")</f>
        <v>X</v>
      </c>
      <c r="H153" s="23" t="str">
        <f>IF('3_학업성취도'!E153&gt;0,"O","X")</f>
        <v>X</v>
      </c>
      <c r="I153" s="23" t="str">
        <f>IF('4_태도'!E153&gt;0,"O","X")</f>
        <v>X</v>
      </c>
      <c r="J153" s="23" t="str">
        <f>IF('5_적극성'!E153&gt;0,"O","X")</f>
        <v>X</v>
      </c>
      <c r="K153" s="23" t="str">
        <f>IF('6_지적호기심'!E153&gt;0,"O","X")</f>
        <v>X</v>
      </c>
      <c r="L153" s="23" t="str">
        <f>IF('7_특별한관심'!E153&gt;0,"O","X")</f>
        <v>X</v>
      </c>
      <c r="M153" s="23" t="str">
        <f>IF('8_탁월한능력'!E153&gt;0,"O","X")</f>
        <v>X</v>
      </c>
      <c r="N153" s="23" t="str">
        <f>IF('9_탐구활동'!E153&gt;0,"O","X")</f>
        <v>X</v>
      </c>
      <c r="O153" s="41" t="str">
        <f>IF('10_진로관련사항'!E153&gt;0,"O","X")</f>
        <v>X</v>
      </c>
      <c r="P153" s="23" t="str">
        <f>IF('11_프로젝트활동'!E153&gt;0,"O","X")</f>
        <v>X</v>
      </c>
    </row>
    <row r="154" spans="1:16">
      <c r="A154" s="9" t="str">
        <f>IF(학생명렬표!A153="","",학생명렬표!A153)</f>
        <v/>
      </c>
      <c r="B154" s="23" t="str">
        <f>IF(학생명렬표!B153="","",학생명렬표!B153)</f>
        <v/>
      </c>
      <c r="C154" s="23" t="str">
        <f>IF(학생명렬표!C153="","",학생명렬표!C153)</f>
        <v/>
      </c>
      <c r="D154" s="23" t="str">
        <f>IF(학생명렬표!D153="","",학생명렬표!D153)</f>
        <v/>
      </c>
      <c r="E154" s="21" t="str">
        <f>IF(F154="O",'1_교과이수내용'!F154&amp;$D$1,"")&amp;IF(G154="O",'2_지적성장과정'!F154&amp;$D$1,"")&amp;IF(H154="O",'3_학업성취도'!F154&amp;$D$1,"")&amp;IF(I154="O",'4_태도'!F154&amp;$D$1,"")&amp;IF(J154="O",'5_적극성'!F154&amp;$D$1,"")&amp;IF(K154="O",'6_지적호기심'!F154&amp;$D$1,"")&amp;IF(L154="O",'7_특별한관심'!F154&amp;$D$1,"")&amp;IF(M154="O",'8_탁월한능력'!F154&amp;$D$1,"")&amp;IF(N154="O",'9_탐구활동'!F154&amp;$D$1,"")&amp;IF(O154="O",'10_진로관련사항'!F154&amp;$D$1,"")&amp;IF(P154="O",'11_프로젝트활동'!F154&amp;$D$1,"")</f>
        <v/>
      </c>
      <c r="F154" s="23" t="str">
        <f>IF('1_교과이수내용'!E154&gt;0,"O","X")</f>
        <v>X</v>
      </c>
      <c r="G154" s="23" t="str">
        <f>IF('2_지적성장과정'!E154&gt;0,"O","X")</f>
        <v>X</v>
      </c>
      <c r="H154" s="23" t="str">
        <f>IF('3_학업성취도'!E154&gt;0,"O","X")</f>
        <v>X</v>
      </c>
      <c r="I154" s="23" t="str">
        <f>IF('4_태도'!E154&gt;0,"O","X")</f>
        <v>X</v>
      </c>
      <c r="J154" s="23" t="str">
        <f>IF('5_적극성'!E154&gt;0,"O","X")</f>
        <v>X</v>
      </c>
      <c r="K154" s="23" t="str">
        <f>IF('6_지적호기심'!E154&gt;0,"O","X")</f>
        <v>X</v>
      </c>
      <c r="L154" s="23" t="str">
        <f>IF('7_특별한관심'!E154&gt;0,"O","X")</f>
        <v>X</v>
      </c>
      <c r="M154" s="23" t="str">
        <f>IF('8_탁월한능력'!E154&gt;0,"O","X")</f>
        <v>X</v>
      </c>
      <c r="N154" s="23" t="str">
        <f>IF('9_탐구활동'!E154&gt;0,"O","X")</f>
        <v>X</v>
      </c>
      <c r="O154" s="41" t="str">
        <f>IF('10_진로관련사항'!E154&gt;0,"O","X")</f>
        <v>X</v>
      </c>
      <c r="P154" s="23" t="str">
        <f>IF('11_프로젝트활동'!E154&gt;0,"O","X")</f>
        <v>X</v>
      </c>
    </row>
    <row r="155" spans="1:16">
      <c r="A155" s="9" t="str">
        <f>IF(학생명렬표!A154="","",학생명렬표!A154)</f>
        <v/>
      </c>
      <c r="B155" s="23" t="str">
        <f>IF(학생명렬표!B154="","",학생명렬표!B154)</f>
        <v/>
      </c>
      <c r="C155" s="23" t="str">
        <f>IF(학생명렬표!C154="","",학생명렬표!C154)</f>
        <v/>
      </c>
      <c r="D155" s="23" t="str">
        <f>IF(학생명렬표!D154="","",학생명렬표!D154)</f>
        <v/>
      </c>
      <c r="E155" s="21" t="str">
        <f>IF(F155="O",'1_교과이수내용'!F155&amp;$D$1,"")&amp;IF(G155="O",'2_지적성장과정'!F155&amp;$D$1,"")&amp;IF(H155="O",'3_학업성취도'!F155&amp;$D$1,"")&amp;IF(I155="O",'4_태도'!F155&amp;$D$1,"")&amp;IF(J155="O",'5_적극성'!F155&amp;$D$1,"")&amp;IF(K155="O",'6_지적호기심'!F155&amp;$D$1,"")&amp;IF(L155="O",'7_특별한관심'!F155&amp;$D$1,"")&amp;IF(M155="O",'8_탁월한능력'!F155&amp;$D$1,"")&amp;IF(N155="O",'9_탐구활동'!F155&amp;$D$1,"")&amp;IF(O155="O",'10_진로관련사항'!F155&amp;$D$1,"")&amp;IF(P155="O",'11_프로젝트활동'!F155&amp;$D$1,"")</f>
        <v/>
      </c>
      <c r="F155" s="23" t="str">
        <f>IF('1_교과이수내용'!E155&gt;0,"O","X")</f>
        <v>X</v>
      </c>
      <c r="G155" s="23" t="str">
        <f>IF('2_지적성장과정'!E155&gt;0,"O","X")</f>
        <v>X</v>
      </c>
      <c r="H155" s="23" t="str">
        <f>IF('3_학업성취도'!E155&gt;0,"O","X")</f>
        <v>X</v>
      </c>
      <c r="I155" s="23" t="str">
        <f>IF('4_태도'!E155&gt;0,"O","X")</f>
        <v>X</v>
      </c>
      <c r="J155" s="23" t="str">
        <f>IF('5_적극성'!E155&gt;0,"O","X")</f>
        <v>X</v>
      </c>
      <c r="K155" s="23" t="str">
        <f>IF('6_지적호기심'!E155&gt;0,"O","X")</f>
        <v>X</v>
      </c>
      <c r="L155" s="23" t="str">
        <f>IF('7_특별한관심'!E155&gt;0,"O","X")</f>
        <v>X</v>
      </c>
      <c r="M155" s="23" t="str">
        <f>IF('8_탁월한능력'!E155&gt;0,"O","X")</f>
        <v>X</v>
      </c>
      <c r="N155" s="23" t="str">
        <f>IF('9_탐구활동'!E155&gt;0,"O","X")</f>
        <v>X</v>
      </c>
      <c r="O155" s="41" t="str">
        <f>IF('10_진로관련사항'!E155&gt;0,"O","X")</f>
        <v>X</v>
      </c>
      <c r="P155" s="23" t="str">
        <f>IF('11_프로젝트활동'!E155&gt;0,"O","X")</f>
        <v>X</v>
      </c>
    </row>
    <row r="156" spans="1:16">
      <c r="A156" s="9" t="str">
        <f>IF(학생명렬표!A155="","",학생명렬표!A155)</f>
        <v/>
      </c>
      <c r="B156" s="23" t="str">
        <f>IF(학생명렬표!B155="","",학생명렬표!B155)</f>
        <v/>
      </c>
      <c r="C156" s="23" t="str">
        <f>IF(학생명렬표!C155="","",학생명렬표!C155)</f>
        <v/>
      </c>
      <c r="D156" s="23" t="str">
        <f>IF(학생명렬표!D155="","",학생명렬표!D155)</f>
        <v/>
      </c>
      <c r="E156" s="21" t="str">
        <f>IF(F156="O",'1_교과이수내용'!F156&amp;$D$1,"")&amp;IF(G156="O",'2_지적성장과정'!F156&amp;$D$1,"")&amp;IF(H156="O",'3_학업성취도'!F156&amp;$D$1,"")&amp;IF(I156="O",'4_태도'!F156&amp;$D$1,"")&amp;IF(J156="O",'5_적극성'!F156&amp;$D$1,"")&amp;IF(K156="O",'6_지적호기심'!F156&amp;$D$1,"")&amp;IF(L156="O",'7_특별한관심'!F156&amp;$D$1,"")&amp;IF(M156="O",'8_탁월한능력'!F156&amp;$D$1,"")&amp;IF(N156="O",'9_탐구활동'!F156&amp;$D$1,"")&amp;IF(O156="O",'10_진로관련사항'!F156&amp;$D$1,"")&amp;IF(P156="O",'11_프로젝트활동'!F156&amp;$D$1,"")</f>
        <v/>
      </c>
      <c r="F156" s="23" t="str">
        <f>IF('1_교과이수내용'!E156&gt;0,"O","X")</f>
        <v>X</v>
      </c>
      <c r="G156" s="23" t="str">
        <f>IF('2_지적성장과정'!E156&gt;0,"O","X")</f>
        <v>X</v>
      </c>
      <c r="H156" s="23" t="str">
        <f>IF('3_학업성취도'!E156&gt;0,"O","X")</f>
        <v>X</v>
      </c>
      <c r="I156" s="23" t="str">
        <f>IF('4_태도'!E156&gt;0,"O","X")</f>
        <v>X</v>
      </c>
      <c r="J156" s="23" t="str">
        <f>IF('5_적극성'!E156&gt;0,"O","X")</f>
        <v>X</v>
      </c>
      <c r="K156" s="23" t="str">
        <f>IF('6_지적호기심'!E156&gt;0,"O","X")</f>
        <v>X</v>
      </c>
      <c r="L156" s="23" t="str">
        <f>IF('7_특별한관심'!E156&gt;0,"O","X")</f>
        <v>X</v>
      </c>
      <c r="M156" s="23" t="str">
        <f>IF('8_탁월한능력'!E156&gt;0,"O","X")</f>
        <v>X</v>
      </c>
      <c r="N156" s="23" t="str">
        <f>IF('9_탐구활동'!E156&gt;0,"O","X")</f>
        <v>X</v>
      </c>
      <c r="O156" s="41" t="str">
        <f>IF('10_진로관련사항'!E156&gt;0,"O","X")</f>
        <v>X</v>
      </c>
      <c r="P156" s="23" t="str">
        <f>IF('11_프로젝트활동'!E156&gt;0,"O","X")</f>
        <v>X</v>
      </c>
    </row>
    <row r="157" spans="1:16">
      <c r="A157" s="9" t="str">
        <f>IF(학생명렬표!A156="","",학생명렬표!A156)</f>
        <v/>
      </c>
      <c r="B157" s="23" t="str">
        <f>IF(학생명렬표!B156="","",학생명렬표!B156)</f>
        <v/>
      </c>
      <c r="C157" s="23" t="str">
        <f>IF(학생명렬표!C156="","",학생명렬표!C156)</f>
        <v/>
      </c>
      <c r="D157" s="23" t="str">
        <f>IF(학생명렬표!D156="","",학생명렬표!D156)</f>
        <v/>
      </c>
      <c r="E157" s="21" t="str">
        <f>IF(F157="O",'1_교과이수내용'!F157&amp;$D$1,"")&amp;IF(G157="O",'2_지적성장과정'!F157&amp;$D$1,"")&amp;IF(H157="O",'3_학업성취도'!F157&amp;$D$1,"")&amp;IF(I157="O",'4_태도'!F157&amp;$D$1,"")&amp;IF(J157="O",'5_적극성'!F157&amp;$D$1,"")&amp;IF(K157="O",'6_지적호기심'!F157&amp;$D$1,"")&amp;IF(L157="O",'7_특별한관심'!F157&amp;$D$1,"")&amp;IF(M157="O",'8_탁월한능력'!F157&amp;$D$1,"")&amp;IF(N157="O",'9_탐구활동'!F157&amp;$D$1,"")&amp;IF(O157="O",'10_진로관련사항'!F157&amp;$D$1,"")&amp;IF(P157="O",'11_프로젝트활동'!F157&amp;$D$1,"")</f>
        <v/>
      </c>
      <c r="F157" s="23" t="str">
        <f>IF('1_교과이수내용'!E157&gt;0,"O","X")</f>
        <v>X</v>
      </c>
      <c r="G157" s="23" t="str">
        <f>IF('2_지적성장과정'!E157&gt;0,"O","X")</f>
        <v>X</v>
      </c>
      <c r="H157" s="23" t="str">
        <f>IF('3_학업성취도'!E157&gt;0,"O","X")</f>
        <v>X</v>
      </c>
      <c r="I157" s="23" t="str">
        <f>IF('4_태도'!E157&gt;0,"O","X")</f>
        <v>X</v>
      </c>
      <c r="J157" s="23" t="str">
        <f>IF('5_적극성'!E157&gt;0,"O","X")</f>
        <v>X</v>
      </c>
      <c r="K157" s="23" t="str">
        <f>IF('6_지적호기심'!E157&gt;0,"O","X")</f>
        <v>X</v>
      </c>
      <c r="L157" s="23" t="str">
        <f>IF('7_특별한관심'!E157&gt;0,"O","X")</f>
        <v>X</v>
      </c>
      <c r="M157" s="23" t="str">
        <f>IF('8_탁월한능력'!E157&gt;0,"O","X")</f>
        <v>X</v>
      </c>
      <c r="N157" s="23" t="str">
        <f>IF('9_탐구활동'!E157&gt;0,"O","X")</f>
        <v>X</v>
      </c>
      <c r="O157" s="41" t="str">
        <f>IF('10_진로관련사항'!E157&gt;0,"O","X")</f>
        <v>X</v>
      </c>
      <c r="P157" s="23" t="str">
        <f>IF('11_프로젝트활동'!E157&gt;0,"O","X")</f>
        <v>X</v>
      </c>
    </row>
    <row r="158" spans="1:16">
      <c r="A158" s="9" t="str">
        <f>IF(학생명렬표!A157="","",학생명렬표!A157)</f>
        <v/>
      </c>
      <c r="B158" s="23" t="str">
        <f>IF(학생명렬표!B157="","",학생명렬표!B157)</f>
        <v/>
      </c>
      <c r="C158" s="23" t="str">
        <f>IF(학생명렬표!C157="","",학생명렬표!C157)</f>
        <v/>
      </c>
      <c r="D158" s="23" t="str">
        <f>IF(학생명렬표!D157="","",학생명렬표!D157)</f>
        <v/>
      </c>
      <c r="E158" s="21" t="str">
        <f>IF(F158="O",'1_교과이수내용'!F158&amp;$D$1,"")&amp;IF(G158="O",'2_지적성장과정'!F158&amp;$D$1,"")&amp;IF(H158="O",'3_학업성취도'!F158&amp;$D$1,"")&amp;IF(I158="O",'4_태도'!F158&amp;$D$1,"")&amp;IF(J158="O",'5_적극성'!F158&amp;$D$1,"")&amp;IF(K158="O",'6_지적호기심'!F158&amp;$D$1,"")&amp;IF(L158="O",'7_특별한관심'!F158&amp;$D$1,"")&amp;IF(M158="O",'8_탁월한능력'!F158&amp;$D$1,"")&amp;IF(N158="O",'9_탐구활동'!F158&amp;$D$1,"")&amp;IF(O158="O",'10_진로관련사항'!F158&amp;$D$1,"")&amp;IF(P158="O",'11_프로젝트활동'!F158&amp;$D$1,"")</f>
        <v/>
      </c>
      <c r="F158" s="23" t="str">
        <f>IF('1_교과이수내용'!E158&gt;0,"O","X")</f>
        <v>X</v>
      </c>
      <c r="G158" s="23" t="str">
        <f>IF('2_지적성장과정'!E158&gt;0,"O","X")</f>
        <v>X</v>
      </c>
      <c r="H158" s="23" t="str">
        <f>IF('3_학업성취도'!E158&gt;0,"O","X")</f>
        <v>X</v>
      </c>
      <c r="I158" s="23" t="str">
        <f>IF('4_태도'!E158&gt;0,"O","X")</f>
        <v>X</v>
      </c>
      <c r="J158" s="23" t="str">
        <f>IF('5_적극성'!E158&gt;0,"O","X")</f>
        <v>X</v>
      </c>
      <c r="K158" s="23" t="str">
        <f>IF('6_지적호기심'!E158&gt;0,"O","X")</f>
        <v>X</v>
      </c>
      <c r="L158" s="23" t="str">
        <f>IF('7_특별한관심'!E158&gt;0,"O","X")</f>
        <v>X</v>
      </c>
      <c r="M158" s="23" t="str">
        <f>IF('8_탁월한능력'!E158&gt;0,"O","X")</f>
        <v>X</v>
      </c>
      <c r="N158" s="23" t="str">
        <f>IF('9_탐구활동'!E158&gt;0,"O","X")</f>
        <v>X</v>
      </c>
      <c r="O158" s="41" t="str">
        <f>IF('10_진로관련사항'!E158&gt;0,"O","X")</f>
        <v>X</v>
      </c>
      <c r="P158" s="23" t="str">
        <f>IF('11_프로젝트활동'!E158&gt;0,"O","X")</f>
        <v>X</v>
      </c>
    </row>
    <row r="159" spans="1:16">
      <c r="A159" s="9" t="str">
        <f>IF(학생명렬표!A158="","",학생명렬표!A158)</f>
        <v/>
      </c>
      <c r="B159" s="23" t="str">
        <f>IF(학생명렬표!B158="","",학생명렬표!B158)</f>
        <v/>
      </c>
      <c r="C159" s="23" t="str">
        <f>IF(학생명렬표!C158="","",학생명렬표!C158)</f>
        <v/>
      </c>
      <c r="D159" s="23" t="str">
        <f>IF(학생명렬표!D158="","",학생명렬표!D158)</f>
        <v/>
      </c>
      <c r="E159" s="21" t="str">
        <f>IF(F159="O",'1_교과이수내용'!F159&amp;$D$1,"")&amp;IF(G159="O",'2_지적성장과정'!F159&amp;$D$1,"")&amp;IF(H159="O",'3_학업성취도'!F159&amp;$D$1,"")&amp;IF(I159="O",'4_태도'!F159&amp;$D$1,"")&amp;IF(J159="O",'5_적극성'!F159&amp;$D$1,"")&amp;IF(K159="O",'6_지적호기심'!F159&amp;$D$1,"")&amp;IF(L159="O",'7_특별한관심'!F159&amp;$D$1,"")&amp;IF(M159="O",'8_탁월한능력'!F159&amp;$D$1,"")&amp;IF(N159="O",'9_탐구활동'!F159&amp;$D$1,"")&amp;IF(O159="O",'10_진로관련사항'!F159&amp;$D$1,"")&amp;IF(P159="O",'11_프로젝트활동'!F159&amp;$D$1,"")</f>
        <v/>
      </c>
      <c r="F159" s="23" t="str">
        <f>IF('1_교과이수내용'!E159&gt;0,"O","X")</f>
        <v>X</v>
      </c>
      <c r="G159" s="23" t="str">
        <f>IF('2_지적성장과정'!E159&gt;0,"O","X")</f>
        <v>X</v>
      </c>
      <c r="H159" s="23" t="str">
        <f>IF('3_학업성취도'!E159&gt;0,"O","X")</f>
        <v>X</v>
      </c>
      <c r="I159" s="23" t="str">
        <f>IF('4_태도'!E159&gt;0,"O","X")</f>
        <v>X</v>
      </c>
      <c r="J159" s="23" t="str">
        <f>IF('5_적극성'!E159&gt;0,"O","X")</f>
        <v>X</v>
      </c>
      <c r="K159" s="23" t="str">
        <f>IF('6_지적호기심'!E159&gt;0,"O","X")</f>
        <v>X</v>
      </c>
      <c r="L159" s="23" t="str">
        <f>IF('7_특별한관심'!E159&gt;0,"O","X")</f>
        <v>X</v>
      </c>
      <c r="M159" s="23" t="str">
        <f>IF('8_탁월한능력'!E159&gt;0,"O","X")</f>
        <v>X</v>
      </c>
      <c r="N159" s="23" t="str">
        <f>IF('9_탐구활동'!E159&gt;0,"O","X")</f>
        <v>X</v>
      </c>
      <c r="O159" s="41" t="str">
        <f>IF('10_진로관련사항'!E159&gt;0,"O","X")</f>
        <v>X</v>
      </c>
      <c r="P159" s="23" t="str">
        <f>IF('11_프로젝트활동'!E159&gt;0,"O","X")</f>
        <v>X</v>
      </c>
    </row>
    <row r="160" spans="1:16">
      <c r="A160" s="9" t="str">
        <f>IF(학생명렬표!A159="","",학생명렬표!A159)</f>
        <v/>
      </c>
      <c r="B160" s="23" t="str">
        <f>IF(학생명렬표!B159="","",학생명렬표!B159)</f>
        <v/>
      </c>
      <c r="C160" s="23" t="str">
        <f>IF(학생명렬표!C159="","",학생명렬표!C159)</f>
        <v/>
      </c>
      <c r="D160" s="23" t="str">
        <f>IF(학생명렬표!D159="","",학생명렬표!D159)</f>
        <v/>
      </c>
      <c r="E160" s="21" t="str">
        <f>IF(F160="O",'1_교과이수내용'!F160&amp;$D$1,"")&amp;IF(G160="O",'2_지적성장과정'!F160&amp;$D$1,"")&amp;IF(H160="O",'3_학업성취도'!F160&amp;$D$1,"")&amp;IF(I160="O",'4_태도'!F160&amp;$D$1,"")&amp;IF(J160="O",'5_적극성'!F160&amp;$D$1,"")&amp;IF(K160="O",'6_지적호기심'!F160&amp;$D$1,"")&amp;IF(L160="O",'7_특별한관심'!F160&amp;$D$1,"")&amp;IF(M160="O",'8_탁월한능력'!F160&amp;$D$1,"")&amp;IF(N160="O",'9_탐구활동'!F160&amp;$D$1,"")&amp;IF(O160="O",'10_진로관련사항'!F160&amp;$D$1,"")&amp;IF(P160="O",'11_프로젝트활동'!F160&amp;$D$1,"")</f>
        <v/>
      </c>
      <c r="F160" s="23" t="str">
        <f>IF('1_교과이수내용'!E160&gt;0,"O","X")</f>
        <v>X</v>
      </c>
      <c r="G160" s="23" t="str">
        <f>IF('2_지적성장과정'!E160&gt;0,"O","X")</f>
        <v>X</v>
      </c>
      <c r="H160" s="23" t="str">
        <f>IF('3_학업성취도'!E160&gt;0,"O","X")</f>
        <v>X</v>
      </c>
      <c r="I160" s="23" t="str">
        <f>IF('4_태도'!E160&gt;0,"O","X")</f>
        <v>X</v>
      </c>
      <c r="J160" s="23" t="str">
        <f>IF('5_적극성'!E160&gt;0,"O","X")</f>
        <v>X</v>
      </c>
      <c r="K160" s="23" t="str">
        <f>IF('6_지적호기심'!E160&gt;0,"O","X")</f>
        <v>X</v>
      </c>
      <c r="L160" s="23" t="str">
        <f>IF('7_특별한관심'!E160&gt;0,"O","X")</f>
        <v>X</v>
      </c>
      <c r="M160" s="23" t="str">
        <f>IF('8_탁월한능력'!E160&gt;0,"O","X")</f>
        <v>X</v>
      </c>
      <c r="N160" s="23" t="str">
        <f>IF('9_탐구활동'!E160&gt;0,"O","X")</f>
        <v>X</v>
      </c>
      <c r="O160" s="41" t="str">
        <f>IF('10_진로관련사항'!E160&gt;0,"O","X")</f>
        <v>X</v>
      </c>
      <c r="P160" s="23" t="str">
        <f>IF('11_프로젝트활동'!E160&gt;0,"O","X")</f>
        <v>X</v>
      </c>
    </row>
    <row r="161" spans="1:16">
      <c r="A161" s="9" t="str">
        <f>IF(학생명렬표!A160="","",학생명렬표!A160)</f>
        <v/>
      </c>
      <c r="B161" s="23" t="str">
        <f>IF(학생명렬표!B160="","",학생명렬표!B160)</f>
        <v/>
      </c>
      <c r="C161" s="23" t="str">
        <f>IF(학생명렬표!C160="","",학생명렬표!C160)</f>
        <v/>
      </c>
      <c r="D161" s="23" t="str">
        <f>IF(학생명렬표!D160="","",학생명렬표!D160)</f>
        <v/>
      </c>
      <c r="E161" s="21" t="str">
        <f>IF(F161="O",'1_교과이수내용'!F161&amp;$D$1,"")&amp;IF(G161="O",'2_지적성장과정'!F161&amp;$D$1,"")&amp;IF(H161="O",'3_학업성취도'!F161&amp;$D$1,"")&amp;IF(I161="O",'4_태도'!F161&amp;$D$1,"")&amp;IF(J161="O",'5_적극성'!F161&amp;$D$1,"")&amp;IF(K161="O",'6_지적호기심'!F161&amp;$D$1,"")&amp;IF(L161="O",'7_특별한관심'!F161&amp;$D$1,"")&amp;IF(M161="O",'8_탁월한능력'!F161&amp;$D$1,"")&amp;IF(N161="O",'9_탐구활동'!F161&amp;$D$1,"")&amp;IF(O161="O",'10_진로관련사항'!F161&amp;$D$1,"")&amp;IF(P161="O",'11_프로젝트활동'!F161&amp;$D$1,"")</f>
        <v/>
      </c>
      <c r="F161" s="23" t="str">
        <f>IF('1_교과이수내용'!E161&gt;0,"O","X")</f>
        <v>X</v>
      </c>
      <c r="G161" s="23" t="str">
        <f>IF('2_지적성장과정'!E161&gt;0,"O","X")</f>
        <v>X</v>
      </c>
      <c r="H161" s="23" t="str">
        <f>IF('3_학업성취도'!E161&gt;0,"O","X")</f>
        <v>X</v>
      </c>
      <c r="I161" s="23" t="str">
        <f>IF('4_태도'!E161&gt;0,"O","X")</f>
        <v>X</v>
      </c>
      <c r="J161" s="23" t="str">
        <f>IF('5_적극성'!E161&gt;0,"O","X")</f>
        <v>X</v>
      </c>
      <c r="K161" s="23" t="str">
        <f>IF('6_지적호기심'!E161&gt;0,"O","X")</f>
        <v>X</v>
      </c>
      <c r="L161" s="23" t="str">
        <f>IF('7_특별한관심'!E161&gt;0,"O","X")</f>
        <v>X</v>
      </c>
      <c r="M161" s="23" t="str">
        <f>IF('8_탁월한능력'!E161&gt;0,"O","X")</f>
        <v>X</v>
      </c>
      <c r="N161" s="23" t="str">
        <f>IF('9_탐구활동'!E161&gt;0,"O","X")</f>
        <v>X</v>
      </c>
      <c r="O161" s="41" t="str">
        <f>IF('10_진로관련사항'!E161&gt;0,"O","X")</f>
        <v>X</v>
      </c>
      <c r="P161" s="23" t="str">
        <f>IF('11_프로젝트활동'!E161&gt;0,"O","X")</f>
        <v>X</v>
      </c>
    </row>
    <row r="162" spans="1:16">
      <c r="A162" s="9" t="str">
        <f>IF(학생명렬표!A161="","",학생명렬표!A161)</f>
        <v/>
      </c>
      <c r="B162" s="23" t="str">
        <f>IF(학생명렬표!B161="","",학생명렬표!B161)</f>
        <v/>
      </c>
      <c r="C162" s="23" t="str">
        <f>IF(학생명렬표!C161="","",학생명렬표!C161)</f>
        <v/>
      </c>
      <c r="D162" s="23" t="str">
        <f>IF(학생명렬표!D161="","",학생명렬표!D161)</f>
        <v/>
      </c>
      <c r="E162" s="21" t="str">
        <f>IF(F162="O",'1_교과이수내용'!F162&amp;$D$1,"")&amp;IF(G162="O",'2_지적성장과정'!F162&amp;$D$1,"")&amp;IF(H162="O",'3_학업성취도'!F162&amp;$D$1,"")&amp;IF(I162="O",'4_태도'!F162&amp;$D$1,"")&amp;IF(J162="O",'5_적극성'!F162&amp;$D$1,"")&amp;IF(K162="O",'6_지적호기심'!F162&amp;$D$1,"")&amp;IF(L162="O",'7_특별한관심'!F162&amp;$D$1,"")&amp;IF(M162="O",'8_탁월한능력'!F162&amp;$D$1,"")&amp;IF(N162="O",'9_탐구활동'!F162&amp;$D$1,"")&amp;IF(O162="O",'10_진로관련사항'!F162&amp;$D$1,"")&amp;IF(P162="O",'11_프로젝트활동'!F162&amp;$D$1,"")</f>
        <v/>
      </c>
      <c r="F162" s="23" t="str">
        <f>IF('1_교과이수내용'!E162&gt;0,"O","X")</f>
        <v>X</v>
      </c>
      <c r="G162" s="23" t="str">
        <f>IF('2_지적성장과정'!E162&gt;0,"O","X")</f>
        <v>X</v>
      </c>
      <c r="H162" s="23" t="str">
        <f>IF('3_학업성취도'!E162&gt;0,"O","X")</f>
        <v>X</v>
      </c>
      <c r="I162" s="23" t="str">
        <f>IF('4_태도'!E162&gt;0,"O","X")</f>
        <v>X</v>
      </c>
      <c r="J162" s="23" t="str">
        <f>IF('5_적극성'!E162&gt;0,"O","X")</f>
        <v>X</v>
      </c>
      <c r="K162" s="23" t="str">
        <f>IF('6_지적호기심'!E162&gt;0,"O","X")</f>
        <v>X</v>
      </c>
      <c r="L162" s="23" t="str">
        <f>IF('7_특별한관심'!E162&gt;0,"O","X")</f>
        <v>X</v>
      </c>
      <c r="M162" s="23" t="str">
        <f>IF('8_탁월한능력'!E162&gt;0,"O","X")</f>
        <v>X</v>
      </c>
      <c r="N162" s="23" t="str">
        <f>IF('9_탐구활동'!E162&gt;0,"O","X")</f>
        <v>X</v>
      </c>
      <c r="O162" s="41" t="str">
        <f>IF('10_진로관련사항'!E162&gt;0,"O","X")</f>
        <v>X</v>
      </c>
      <c r="P162" s="23" t="str">
        <f>IF('11_프로젝트활동'!E162&gt;0,"O","X")</f>
        <v>X</v>
      </c>
    </row>
    <row r="163" spans="1:16">
      <c r="A163" s="9" t="str">
        <f>IF(학생명렬표!A162="","",학생명렬표!A162)</f>
        <v/>
      </c>
      <c r="B163" s="23" t="str">
        <f>IF(학생명렬표!B162="","",학생명렬표!B162)</f>
        <v/>
      </c>
      <c r="C163" s="23" t="str">
        <f>IF(학생명렬표!C162="","",학생명렬표!C162)</f>
        <v/>
      </c>
      <c r="D163" s="23" t="str">
        <f>IF(학생명렬표!D162="","",학생명렬표!D162)</f>
        <v/>
      </c>
      <c r="E163" s="21" t="str">
        <f>IF(F163="O",'1_교과이수내용'!F163&amp;$D$1,"")&amp;IF(G163="O",'2_지적성장과정'!F163&amp;$D$1,"")&amp;IF(H163="O",'3_학업성취도'!F163&amp;$D$1,"")&amp;IF(I163="O",'4_태도'!F163&amp;$D$1,"")&amp;IF(J163="O",'5_적극성'!F163&amp;$D$1,"")&amp;IF(K163="O",'6_지적호기심'!F163&amp;$D$1,"")&amp;IF(L163="O",'7_특별한관심'!F163&amp;$D$1,"")&amp;IF(M163="O",'8_탁월한능력'!F163&amp;$D$1,"")&amp;IF(N163="O",'9_탐구활동'!F163&amp;$D$1,"")&amp;IF(O163="O",'10_진로관련사항'!F163&amp;$D$1,"")&amp;IF(P163="O",'11_프로젝트활동'!F163&amp;$D$1,"")</f>
        <v/>
      </c>
      <c r="F163" s="23" t="str">
        <f>IF('1_교과이수내용'!E163&gt;0,"O","X")</f>
        <v>X</v>
      </c>
      <c r="G163" s="23" t="str">
        <f>IF('2_지적성장과정'!E163&gt;0,"O","X")</f>
        <v>X</v>
      </c>
      <c r="H163" s="23" t="str">
        <f>IF('3_학업성취도'!E163&gt;0,"O","X")</f>
        <v>X</v>
      </c>
      <c r="I163" s="23" t="str">
        <f>IF('4_태도'!E163&gt;0,"O","X")</f>
        <v>X</v>
      </c>
      <c r="J163" s="23" t="str">
        <f>IF('5_적극성'!E163&gt;0,"O","X")</f>
        <v>X</v>
      </c>
      <c r="K163" s="23" t="str">
        <f>IF('6_지적호기심'!E163&gt;0,"O","X")</f>
        <v>X</v>
      </c>
      <c r="L163" s="23" t="str">
        <f>IF('7_특별한관심'!E163&gt;0,"O","X")</f>
        <v>X</v>
      </c>
      <c r="M163" s="23" t="str">
        <f>IF('8_탁월한능력'!E163&gt;0,"O","X")</f>
        <v>X</v>
      </c>
      <c r="N163" s="23" t="str">
        <f>IF('9_탐구활동'!E163&gt;0,"O","X")</f>
        <v>X</v>
      </c>
      <c r="O163" s="41" t="str">
        <f>IF('10_진로관련사항'!E163&gt;0,"O","X")</f>
        <v>X</v>
      </c>
      <c r="P163" s="23" t="str">
        <f>IF('11_프로젝트활동'!E163&gt;0,"O","X")</f>
        <v>X</v>
      </c>
    </row>
    <row r="164" spans="1:16">
      <c r="A164" s="9" t="str">
        <f>IF(학생명렬표!A163="","",학생명렬표!A163)</f>
        <v/>
      </c>
      <c r="B164" s="23" t="str">
        <f>IF(학생명렬표!B163="","",학생명렬표!B163)</f>
        <v/>
      </c>
      <c r="C164" s="23" t="str">
        <f>IF(학생명렬표!C163="","",학생명렬표!C163)</f>
        <v/>
      </c>
      <c r="D164" s="23" t="str">
        <f>IF(학생명렬표!D163="","",학생명렬표!D163)</f>
        <v/>
      </c>
      <c r="E164" s="21" t="str">
        <f>IF(F164="O",'1_교과이수내용'!F164&amp;$D$1,"")&amp;IF(G164="O",'2_지적성장과정'!F164&amp;$D$1,"")&amp;IF(H164="O",'3_학업성취도'!F164&amp;$D$1,"")&amp;IF(I164="O",'4_태도'!F164&amp;$D$1,"")&amp;IF(J164="O",'5_적극성'!F164&amp;$D$1,"")&amp;IF(K164="O",'6_지적호기심'!F164&amp;$D$1,"")&amp;IF(L164="O",'7_특별한관심'!F164&amp;$D$1,"")&amp;IF(M164="O",'8_탁월한능력'!F164&amp;$D$1,"")&amp;IF(N164="O",'9_탐구활동'!F164&amp;$D$1,"")&amp;IF(O164="O",'10_진로관련사항'!F164&amp;$D$1,"")&amp;IF(P164="O",'11_프로젝트활동'!F164&amp;$D$1,"")</f>
        <v/>
      </c>
      <c r="F164" s="23" t="str">
        <f>IF('1_교과이수내용'!E164&gt;0,"O","X")</f>
        <v>X</v>
      </c>
      <c r="G164" s="23" t="str">
        <f>IF('2_지적성장과정'!E164&gt;0,"O","X")</f>
        <v>X</v>
      </c>
      <c r="H164" s="23" t="str">
        <f>IF('3_학업성취도'!E164&gt;0,"O","X")</f>
        <v>X</v>
      </c>
      <c r="I164" s="23" t="str">
        <f>IF('4_태도'!E164&gt;0,"O","X")</f>
        <v>X</v>
      </c>
      <c r="J164" s="23" t="str">
        <f>IF('5_적극성'!E164&gt;0,"O","X")</f>
        <v>X</v>
      </c>
      <c r="K164" s="23" t="str">
        <f>IF('6_지적호기심'!E164&gt;0,"O","X")</f>
        <v>X</v>
      </c>
      <c r="L164" s="23" t="str">
        <f>IF('7_특별한관심'!E164&gt;0,"O","X")</f>
        <v>X</v>
      </c>
      <c r="M164" s="23" t="str">
        <f>IF('8_탁월한능력'!E164&gt;0,"O","X")</f>
        <v>X</v>
      </c>
      <c r="N164" s="23" t="str">
        <f>IF('9_탐구활동'!E164&gt;0,"O","X")</f>
        <v>X</v>
      </c>
      <c r="O164" s="41" t="str">
        <f>IF('10_진로관련사항'!E164&gt;0,"O","X")</f>
        <v>X</v>
      </c>
      <c r="P164" s="23" t="str">
        <f>IF('11_프로젝트활동'!E164&gt;0,"O","X")</f>
        <v>X</v>
      </c>
    </row>
    <row r="165" spans="1:16">
      <c r="A165" s="9" t="str">
        <f>IF(학생명렬표!A164="","",학생명렬표!A164)</f>
        <v/>
      </c>
      <c r="B165" s="23" t="str">
        <f>IF(학생명렬표!B164="","",학생명렬표!B164)</f>
        <v/>
      </c>
      <c r="C165" s="23" t="str">
        <f>IF(학생명렬표!C164="","",학생명렬표!C164)</f>
        <v/>
      </c>
      <c r="D165" s="23" t="str">
        <f>IF(학생명렬표!D164="","",학생명렬표!D164)</f>
        <v/>
      </c>
      <c r="E165" s="21" t="str">
        <f>IF(F165="O",'1_교과이수내용'!F165&amp;$D$1,"")&amp;IF(G165="O",'2_지적성장과정'!F165&amp;$D$1,"")&amp;IF(H165="O",'3_학업성취도'!F165&amp;$D$1,"")&amp;IF(I165="O",'4_태도'!F165&amp;$D$1,"")&amp;IF(J165="O",'5_적극성'!F165&amp;$D$1,"")&amp;IF(K165="O",'6_지적호기심'!F165&amp;$D$1,"")&amp;IF(L165="O",'7_특별한관심'!F165&amp;$D$1,"")&amp;IF(M165="O",'8_탁월한능력'!F165&amp;$D$1,"")&amp;IF(N165="O",'9_탐구활동'!F165&amp;$D$1,"")&amp;IF(O165="O",'10_진로관련사항'!F165&amp;$D$1,"")&amp;IF(P165="O",'11_프로젝트활동'!F165&amp;$D$1,"")</f>
        <v/>
      </c>
      <c r="F165" s="23" t="str">
        <f>IF('1_교과이수내용'!E165&gt;0,"O","X")</f>
        <v>X</v>
      </c>
      <c r="G165" s="23" t="str">
        <f>IF('2_지적성장과정'!E165&gt;0,"O","X")</f>
        <v>X</v>
      </c>
      <c r="H165" s="23" t="str">
        <f>IF('3_학업성취도'!E165&gt;0,"O","X")</f>
        <v>X</v>
      </c>
      <c r="I165" s="23" t="str">
        <f>IF('4_태도'!E165&gt;0,"O","X")</f>
        <v>X</v>
      </c>
      <c r="J165" s="23" t="str">
        <f>IF('5_적극성'!E165&gt;0,"O","X")</f>
        <v>X</v>
      </c>
      <c r="K165" s="23" t="str">
        <f>IF('6_지적호기심'!E165&gt;0,"O","X")</f>
        <v>X</v>
      </c>
      <c r="L165" s="23" t="str">
        <f>IF('7_특별한관심'!E165&gt;0,"O","X")</f>
        <v>X</v>
      </c>
      <c r="M165" s="23" t="str">
        <f>IF('8_탁월한능력'!E165&gt;0,"O","X")</f>
        <v>X</v>
      </c>
      <c r="N165" s="23" t="str">
        <f>IF('9_탐구활동'!E165&gt;0,"O","X")</f>
        <v>X</v>
      </c>
      <c r="O165" s="41" t="str">
        <f>IF('10_진로관련사항'!E165&gt;0,"O","X")</f>
        <v>X</v>
      </c>
      <c r="P165" s="23" t="str">
        <f>IF('11_프로젝트활동'!E165&gt;0,"O","X")</f>
        <v>X</v>
      </c>
    </row>
    <row r="166" spans="1:16">
      <c r="A166" s="9" t="str">
        <f>IF(학생명렬표!A165="","",학생명렬표!A165)</f>
        <v/>
      </c>
      <c r="B166" s="23" t="str">
        <f>IF(학생명렬표!B165="","",학생명렬표!B165)</f>
        <v/>
      </c>
      <c r="C166" s="23" t="str">
        <f>IF(학생명렬표!C165="","",학생명렬표!C165)</f>
        <v/>
      </c>
      <c r="D166" s="23" t="str">
        <f>IF(학생명렬표!D165="","",학생명렬표!D165)</f>
        <v/>
      </c>
      <c r="E166" s="21" t="str">
        <f>IF(F166="O",'1_교과이수내용'!F166&amp;$D$1,"")&amp;IF(G166="O",'2_지적성장과정'!F166&amp;$D$1,"")&amp;IF(H166="O",'3_학업성취도'!F166&amp;$D$1,"")&amp;IF(I166="O",'4_태도'!F166&amp;$D$1,"")&amp;IF(J166="O",'5_적극성'!F166&amp;$D$1,"")&amp;IF(K166="O",'6_지적호기심'!F166&amp;$D$1,"")&amp;IF(L166="O",'7_특별한관심'!F166&amp;$D$1,"")&amp;IF(M166="O",'8_탁월한능력'!F166&amp;$D$1,"")&amp;IF(N166="O",'9_탐구활동'!F166&amp;$D$1,"")&amp;IF(O166="O",'10_진로관련사항'!F166&amp;$D$1,"")&amp;IF(P166="O",'11_프로젝트활동'!F166&amp;$D$1,"")</f>
        <v/>
      </c>
      <c r="F166" s="23" t="str">
        <f>IF('1_교과이수내용'!E166&gt;0,"O","X")</f>
        <v>X</v>
      </c>
      <c r="G166" s="23" t="str">
        <f>IF('2_지적성장과정'!E166&gt;0,"O","X")</f>
        <v>X</v>
      </c>
      <c r="H166" s="23" t="str">
        <f>IF('3_학업성취도'!E166&gt;0,"O","X")</f>
        <v>X</v>
      </c>
      <c r="I166" s="23" t="str">
        <f>IF('4_태도'!E166&gt;0,"O","X")</f>
        <v>X</v>
      </c>
      <c r="J166" s="23" t="str">
        <f>IF('5_적극성'!E166&gt;0,"O","X")</f>
        <v>X</v>
      </c>
      <c r="K166" s="23" t="str">
        <f>IF('6_지적호기심'!E166&gt;0,"O","X")</f>
        <v>X</v>
      </c>
      <c r="L166" s="23" t="str">
        <f>IF('7_특별한관심'!E166&gt;0,"O","X")</f>
        <v>X</v>
      </c>
      <c r="M166" s="23" t="str">
        <f>IF('8_탁월한능력'!E166&gt;0,"O","X")</f>
        <v>X</v>
      </c>
      <c r="N166" s="23" t="str">
        <f>IF('9_탐구활동'!E166&gt;0,"O","X")</f>
        <v>X</v>
      </c>
      <c r="O166" s="41" t="str">
        <f>IF('10_진로관련사항'!E166&gt;0,"O","X")</f>
        <v>X</v>
      </c>
      <c r="P166" s="23" t="str">
        <f>IF('11_프로젝트활동'!E166&gt;0,"O","X")</f>
        <v>X</v>
      </c>
    </row>
    <row r="167" spans="1:16">
      <c r="A167" s="9" t="str">
        <f>IF(학생명렬표!A166="","",학생명렬표!A166)</f>
        <v/>
      </c>
      <c r="B167" s="23" t="str">
        <f>IF(학생명렬표!B166="","",학생명렬표!B166)</f>
        <v/>
      </c>
      <c r="C167" s="23" t="str">
        <f>IF(학생명렬표!C166="","",학생명렬표!C166)</f>
        <v/>
      </c>
      <c r="D167" s="23" t="str">
        <f>IF(학생명렬표!D166="","",학생명렬표!D166)</f>
        <v/>
      </c>
      <c r="E167" s="21" t="str">
        <f>IF(F167="O",'1_교과이수내용'!F167&amp;$D$1,"")&amp;IF(G167="O",'2_지적성장과정'!F167&amp;$D$1,"")&amp;IF(H167="O",'3_학업성취도'!F167&amp;$D$1,"")&amp;IF(I167="O",'4_태도'!F167&amp;$D$1,"")&amp;IF(J167="O",'5_적극성'!F167&amp;$D$1,"")&amp;IF(K167="O",'6_지적호기심'!F167&amp;$D$1,"")&amp;IF(L167="O",'7_특별한관심'!F167&amp;$D$1,"")&amp;IF(M167="O",'8_탁월한능력'!F167&amp;$D$1,"")&amp;IF(N167="O",'9_탐구활동'!F167&amp;$D$1,"")&amp;IF(O167="O",'10_진로관련사항'!F167&amp;$D$1,"")&amp;IF(P167="O",'11_프로젝트활동'!F167&amp;$D$1,"")</f>
        <v/>
      </c>
      <c r="F167" s="23" t="str">
        <f>IF('1_교과이수내용'!E167&gt;0,"O","X")</f>
        <v>X</v>
      </c>
      <c r="G167" s="23" t="str">
        <f>IF('2_지적성장과정'!E167&gt;0,"O","X")</f>
        <v>X</v>
      </c>
      <c r="H167" s="23" t="str">
        <f>IF('3_학업성취도'!E167&gt;0,"O","X")</f>
        <v>X</v>
      </c>
      <c r="I167" s="23" t="str">
        <f>IF('4_태도'!E167&gt;0,"O","X")</f>
        <v>X</v>
      </c>
      <c r="J167" s="23" t="str">
        <f>IF('5_적극성'!E167&gt;0,"O","X")</f>
        <v>X</v>
      </c>
      <c r="K167" s="23" t="str">
        <f>IF('6_지적호기심'!E167&gt;0,"O","X")</f>
        <v>X</v>
      </c>
      <c r="L167" s="23" t="str">
        <f>IF('7_특별한관심'!E167&gt;0,"O","X")</f>
        <v>X</v>
      </c>
      <c r="M167" s="23" t="str">
        <f>IF('8_탁월한능력'!E167&gt;0,"O","X")</f>
        <v>X</v>
      </c>
      <c r="N167" s="23" t="str">
        <f>IF('9_탐구활동'!E167&gt;0,"O","X")</f>
        <v>X</v>
      </c>
      <c r="O167" s="41" t="str">
        <f>IF('10_진로관련사항'!E167&gt;0,"O","X")</f>
        <v>X</v>
      </c>
      <c r="P167" s="23" t="str">
        <f>IF('11_프로젝트활동'!E167&gt;0,"O","X")</f>
        <v>X</v>
      </c>
    </row>
    <row r="168" spans="1:16">
      <c r="A168" s="9" t="str">
        <f>IF(학생명렬표!A167="","",학생명렬표!A167)</f>
        <v/>
      </c>
      <c r="B168" s="23" t="str">
        <f>IF(학생명렬표!B167="","",학생명렬표!B167)</f>
        <v/>
      </c>
      <c r="C168" s="23" t="str">
        <f>IF(학생명렬표!C167="","",학생명렬표!C167)</f>
        <v/>
      </c>
      <c r="D168" s="23" t="str">
        <f>IF(학생명렬표!D167="","",학생명렬표!D167)</f>
        <v/>
      </c>
      <c r="E168" s="21" t="str">
        <f>IF(F168="O",'1_교과이수내용'!F168&amp;$D$1,"")&amp;IF(G168="O",'2_지적성장과정'!F168&amp;$D$1,"")&amp;IF(H168="O",'3_학업성취도'!F168&amp;$D$1,"")&amp;IF(I168="O",'4_태도'!F168&amp;$D$1,"")&amp;IF(J168="O",'5_적극성'!F168&amp;$D$1,"")&amp;IF(K168="O",'6_지적호기심'!F168&amp;$D$1,"")&amp;IF(L168="O",'7_특별한관심'!F168&amp;$D$1,"")&amp;IF(M168="O",'8_탁월한능력'!F168&amp;$D$1,"")&amp;IF(N168="O",'9_탐구활동'!F168&amp;$D$1,"")&amp;IF(O168="O",'10_진로관련사항'!F168&amp;$D$1,"")&amp;IF(P168="O",'11_프로젝트활동'!F168&amp;$D$1,"")</f>
        <v/>
      </c>
      <c r="F168" s="23" t="str">
        <f>IF('1_교과이수내용'!E168&gt;0,"O","X")</f>
        <v>X</v>
      </c>
      <c r="G168" s="23" t="str">
        <f>IF('2_지적성장과정'!E168&gt;0,"O","X")</f>
        <v>X</v>
      </c>
      <c r="H168" s="23" t="str">
        <f>IF('3_학업성취도'!E168&gt;0,"O","X")</f>
        <v>X</v>
      </c>
      <c r="I168" s="23" t="str">
        <f>IF('4_태도'!E168&gt;0,"O","X")</f>
        <v>X</v>
      </c>
      <c r="J168" s="23" t="str">
        <f>IF('5_적극성'!E168&gt;0,"O","X")</f>
        <v>X</v>
      </c>
      <c r="K168" s="23" t="str">
        <f>IF('6_지적호기심'!E168&gt;0,"O","X")</f>
        <v>X</v>
      </c>
      <c r="L168" s="23" t="str">
        <f>IF('7_특별한관심'!E168&gt;0,"O","X")</f>
        <v>X</v>
      </c>
      <c r="M168" s="23" t="str">
        <f>IF('8_탁월한능력'!E168&gt;0,"O","X")</f>
        <v>X</v>
      </c>
      <c r="N168" s="23" t="str">
        <f>IF('9_탐구활동'!E168&gt;0,"O","X")</f>
        <v>X</v>
      </c>
      <c r="O168" s="41" t="str">
        <f>IF('10_진로관련사항'!E168&gt;0,"O","X")</f>
        <v>X</v>
      </c>
      <c r="P168" s="23" t="str">
        <f>IF('11_프로젝트활동'!E168&gt;0,"O","X")</f>
        <v>X</v>
      </c>
    </row>
    <row r="169" spans="1:16">
      <c r="A169" s="9" t="str">
        <f>IF(학생명렬표!A168="","",학생명렬표!A168)</f>
        <v/>
      </c>
      <c r="B169" s="23" t="str">
        <f>IF(학생명렬표!B168="","",학생명렬표!B168)</f>
        <v/>
      </c>
      <c r="C169" s="23" t="str">
        <f>IF(학생명렬표!C168="","",학생명렬표!C168)</f>
        <v/>
      </c>
      <c r="D169" s="23" t="str">
        <f>IF(학생명렬표!D168="","",학생명렬표!D168)</f>
        <v/>
      </c>
      <c r="E169" s="21" t="str">
        <f>IF(F169="O",'1_교과이수내용'!F169&amp;$D$1,"")&amp;IF(G169="O",'2_지적성장과정'!F169&amp;$D$1,"")&amp;IF(H169="O",'3_학업성취도'!F169&amp;$D$1,"")&amp;IF(I169="O",'4_태도'!F169&amp;$D$1,"")&amp;IF(J169="O",'5_적극성'!F169&amp;$D$1,"")&amp;IF(K169="O",'6_지적호기심'!F169&amp;$D$1,"")&amp;IF(L169="O",'7_특별한관심'!F169&amp;$D$1,"")&amp;IF(M169="O",'8_탁월한능력'!F169&amp;$D$1,"")&amp;IF(N169="O",'9_탐구활동'!F169&amp;$D$1,"")&amp;IF(O169="O",'10_진로관련사항'!F169&amp;$D$1,"")&amp;IF(P169="O",'11_프로젝트활동'!F169&amp;$D$1,"")</f>
        <v/>
      </c>
      <c r="F169" s="23" t="str">
        <f>IF('1_교과이수내용'!E169&gt;0,"O","X")</f>
        <v>X</v>
      </c>
      <c r="G169" s="23" t="str">
        <f>IF('2_지적성장과정'!E169&gt;0,"O","X")</f>
        <v>X</v>
      </c>
      <c r="H169" s="23" t="str">
        <f>IF('3_학업성취도'!E169&gt;0,"O","X")</f>
        <v>X</v>
      </c>
      <c r="I169" s="23" t="str">
        <f>IF('4_태도'!E169&gt;0,"O","X")</f>
        <v>X</v>
      </c>
      <c r="J169" s="23" t="str">
        <f>IF('5_적극성'!E169&gt;0,"O","X")</f>
        <v>X</v>
      </c>
      <c r="K169" s="23" t="str">
        <f>IF('6_지적호기심'!E169&gt;0,"O","X")</f>
        <v>X</v>
      </c>
      <c r="L169" s="23" t="str">
        <f>IF('7_특별한관심'!E169&gt;0,"O","X")</f>
        <v>X</v>
      </c>
      <c r="M169" s="23" t="str">
        <f>IF('8_탁월한능력'!E169&gt;0,"O","X")</f>
        <v>X</v>
      </c>
      <c r="N169" s="23" t="str">
        <f>IF('9_탐구활동'!E169&gt;0,"O","X")</f>
        <v>X</v>
      </c>
      <c r="O169" s="41" t="str">
        <f>IF('10_진로관련사항'!E169&gt;0,"O","X")</f>
        <v>X</v>
      </c>
      <c r="P169" s="23" t="str">
        <f>IF('11_프로젝트활동'!E169&gt;0,"O","X")</f>
        <v>X</v>
      </c>
    </row>
    <row r="170" spans="1:16">
      <c r="A170" s="9" t="str">
        <f>IF(학생명렬표!A169="","",학생명렬표!A169)</f>
        <v/>
      </c>
      <c r="B170" s="23" t="str">
        <f>IF(학생명렬표!B169="","",학생명렬표!B169)</f>
        <v/>
      </c>
      <c r="C170" s="23" t="str">
        <f>IF(학생명렬표!C169="","",학생명렬표!C169)</f>
        <v/>
      </c>
      <c r="D170" s="23" t="str">
        <f>IF(학생명렬표!D169="","",학생명렬표!D169)</f>
        <v/>
      </c>
      <c r="E170" s="21" t="str">
        <f>IF(F170="O",'1_교과이수내용'!F170&amp;$D$1,"")&amp;IF(G170="O",'2_지적성장과정'!F170&amp;$D$1,"")&amp;IF(H170="O",'3_학업성취도'!F170&amp;$D$1,"")&amp;IF(I170="O",'4_태도'!F170&amp;$D$1,"")&amp;IF(J170="O",'5_적극성'!F170&amp;$D$1,"")&amp;IF(K170="O",'6_지적호기심'!F170&amp;$D$1,"")&amp;IF(L170="O",'7_특별한관심'!F170&amp;$D$1,"")&amp;IF(M170="O",'8_탁월한능력'!F170&amp;$D$1,"")&amp;IF(N170="O",'9_탐구활동'!F170&amp;$D$1,"")&amp;IF(O170="O",'10_진로관련사항'!F170&amp;$D$1,"")&amp;IF(P170="O",'11_프로젝트활동'!F170&amp;$D$1,"")</f>
        <v/>
      </c>
      <c r="F170" s="23" t="str">
        <f>IF('1_교과이수내용'!E170&gt;0,"O","X")</f>
        <v>X</v>
      </c>
      <c r="G170" s="23" t="str">
        <f>IF('2_지적성장과정'!E170&gt;0,"O","X")</f>
        <v>X</v>
      </c>
      <c r="H170" s="23" t="str">
        <f>IF('3_학업성취도'!E170&gt;0,"O","X")</f>
        <v>X</v>
      </c>
      <c r="I170" s="23" t="str">
        <f>IF('4_태도'!E170&gt;0,"O","X")</f>
        <v>X</v>
      </c>
      <c r="J170" s="23" t="str">
        <f>IF('5_적극성'!E170&gt;0,"O","X")</f>
        <v>X</v>
      </c>
      <c r="K170" s="23" t="str">
        <f>IF('6_지적호기심'!E170&gt;0,"O","X")</f>
        <v>X</v>
      </c>
      <c r="L170" s="23" t="str">
        <f>IF('7_특별한관심'!E170&gt;0,"O","X")</f>
        <v>X</v>
      </c>
      <c r="M170" s="23" t="str">
        <f>IF('8_탁월한능력'!E170&gt;0,"O","X")</f>
        <v>X</v>
      </c>
      <c r="N170" s="23" t="str">
        <f>IF('9_탐구활동'!E170&gt;0,"O","X")</f>
        <v>X</v>
      </c>
      <c r="O170" s="41" t="str">
        <f>IF('10_진로관련사항'!E170&gt;0,"O","X")</f>
        <v>X</v>
      </c>
      <c r="P170" s="23" t="str">
        <f>IF('11_프로젝트활동'!E170&gt;0,"O","X")</f>
        <v>X</v>
      </c>
    </row>
    <row r="171" spans="1:16">
      <c r="A171" s="9" t="str">
        <f>IF(학생명렬표!A170="","",학생명렬표!A170)</f>
        <v/>
      </c>
      <c r="B171" s="23" t="str">
        <f>IF(학생명렬표!B170="","",학생명렬표!B170)</f>
        <v/>
      </c>
      <c r="C171" s="23" t="str">
        <f>IF(학생명렬표!C170="","",학생명렬표!C170)</f>
        <v/>
      </c>
      <c r="D171" s="23" t="str">
        <f>IF(학생명렬표!D170="","",학생명렬표!D170)</f>
        <v/>
      </c>
      <c r="E171" s="21" t="str">
        <f>IF(F171="O",'1_교과이수내용'!F171&amp;$D$1,"")&amp;IF(G171="O",'2_지적성장과정'!F171&amp;$D$1,"")&amp;IF(H171="O",'3_학업성취도'!F171&amp;$D$1,"")&amp;IF(I171="O",'4_태도'!F171&amp;$D$1,"")&amp;IF(J171="O",'5_적극성'!F171&amp;$D$1,"")&amp;IF(K171="O",'6_지적호기심'!F171&amp;$D$1,"")&amp;IF(L171="O",'7_특별한관심'!F171&amp;$D$1,"")&amp;IF(M171="O",'8_탁월한능력'!F171&amp;$D$1,"")&amp;IF(N171="O",'9_탐구활동'!F171&amp;$D$1,"")&amp;IF(O171="O",'10_진로관련사항'!F171&amp;$D$1,"")&amp;IF(P171="O",'11_프로젝트활동'!F171&amp;$D$1,"")</f>
        <v/>
      </c>
      <c r="F171" s="23" t="str">
        <f>IF('1_교과이수내용'!E171&gt;0,"O","X")</f>
        <v>X</v>
      </c>
      <c r="G171" s="23" t="str">
        <f>IF('2_지적성장과정'!E171&gt;0,"O","X")</f>
        <v>X</v>
      </c>
      <c r="H171" s="23" t="str">
        <f>IF('3_학업성취도'!E171&gt;0,"O","X")</f>
        <v>X</v>
      </c>
      <c r="I171" s="23" t="str">
        <f>IF('4_태도'!E171&gt;0,"O","X")</f>
        <v>X</v>
      </c>
      <c r="J171" s="23" t="str">
        <f>IF('5_적극성'!E171&gt;0,"O","X")</f>
        <v>X</v>
      </c>
      <c r="K171" s="23" t="str">
        <f>IF('6_지적호기심'!E171&gt;0,"O","X")</f>
        <v>X</v>
      </c>
      <c r="L171" s="23" t="str">
        <f>IF('7_특별한관심'!E171&gt;0,"O","X")</f>
        <v>X</v>
      </c>
      <c r="M171" s="23" t="str">
        <f>IF('8_탁월한능력'!E171&gt;0,"O","X")</f>
        <v>X</v>
      </c>
      <c r="N171" s="23" t="str">
        <f>IF('9_탐구활동'!E171&gt;0,"O","X")</f>
        <v>X</v>
      </c>
      <c r="O171" s="41" t="str">
        <f>IF('10_진로관련사항'!E171&gt;0,"O","X")</f>
        <v>X</v>
      </c>
      <c r="P171" s="23" t="str">
        <f>IF('11_프로젝트활동'!E171&gt;0,"O","X")</f>
        <v>X</v>
      </c>
    </row>
    <row r="172" spans="1:16">
      <c r="A172" s="9" t="str">
        <f>IF(학생명렬표!A171="","",학생명렬표!A171)</f>
        <v/>
      </c>
      <c r="B172" s="23" t="str">
        <f>IF(학생명렬표!B171="","",학생명렬표!B171)</f>
        <v/>
      </c>
      <c r="C172" s="23" t="str">
        <f>IF(학생명렬표!C171="","",학생명렬표!C171)</f>
        <v/>
      </c>
      <c r="D172" s="23" t="str">
        <f>IF(학생명렬표!D171="","",학생명렬표!D171)</f>
        <v/>
      </c>
      <c r="E172" s="21" t="str">
        <f>IF(F172="O",'1_교과이수내용'!F172&amp;$D$1,"")&amp;IF(G172="O",'2_지적성장과정'!F172&amp;$D$1,"")&amp;IF(H172="O",'3_학업성취도'!F172&amp;$D$1,"")&amp;IF(I172="O",'4_태도'!F172&amp;$D$1,"")&amp;IF(J172="O",'5_적극성'!F172&amp;$D$1,"")&amp;IF(K172="O",'6_지적호기심'!F172&amp;$D$1,"")&amp;IF(L172="O",'7_특별한관심'!F172&amp;$D$1,"")&amp;IF(M172="O",'8_탁월한능력'!F172&amp;$D$1,"")&amp;IF(N172="O",'9_탐구활동'!F172&amp;$D$1,"")&amp;IF(O172="O",'10_진로관련사항'!F172&amp;$D$1,"")&amp;IF(P172="O",'11_프로젝트활동'!F172&amp;$D$1,"")</f>
        <v/>
      </c>
      <c r="F172" s="23" t="str">
        <f>IF('1_교과이수내용'!E172&gt;0,"O","X")</f>
        <v>X</v>
      </c>
      <c r="G172" s="23" t="str">
        <f>IF('2_지적성장과정'!E172&gt;0,"O","X")</f>
        <v>X</v>
      </c>
      <c r="H172" s="23" t="str">
        <f>IF('3_학업성취도'!E172&gt;0,"O","X")</f>
        <v>X</v>
      </c>
      <c r="I172" s="23" t="str">
        <f>IF('4_태도'!E172&gt;0,"O","X")</f>
        <v>X</v>
      </c>
      <c r="J172" s="23" t="str">
        <f>IF('5_적극성'!E172&gt;0,"O","X")</f>
        <v>X</v>
      </c>
      <c r="K172" s="23" t="str">
        <f>IF('6_지적호기심'!E172&gt;0,"O","X")</f>
        <v>X</v>
      </c>
      <c r="L172" s="23" t="str">
        <f>IF('7_특별한관심'!E172&gt;0,"O","X")</f>
        <v>X</v>
      </c>
      <c r="M172" s="23" t="str">
        <f>IF('8_탁월한능력'!E172&gt;0,"O","X")</f>
        <v>X</v>
      </c>
      <c r="N172" s="23" t="str">
        <f>IF('9_탐구활동'!E172&gt;0,"O","X")</f>
        <v>X</v>
      </c>
      <c r="O172" s="41" t="str">
        <f>IF('10_진로관련사항'!E172&gt;0,"O","X")</f>
        <v>X</v>
      </c>
      <c r="P172" s="23" t="str">
        <f>IF('11_프로젝트활동'!E172&gt;0,"O","X")</f>
        <v>X</v>
      </c>
    </row>
    <row r="173" spans="1:16">
      <c r="A173" s="9" t="str">
        <f>IF(학생명렬표!A172="","",학생명렬표!A172)</f>
        <v/>
      </c>
      <c r="B173" s="23" t="str">
        <f>IF(학생명렬표!B172="","",학생명렬표!B172)</f>
        <v/>
      </c>
      <c r="C173" s="23" t="str">
        <f>IF(학생명렬표!C172="","",학생명렬표!C172)</f>
        <v/>
      </c>
      <c r="D173" s="23" t="str">
        <f>IF(학생명렬표!D172="","",학생명렬표!D172)</f>
        <v/>
      </c>
      <c r="E173" s="21" t="str">
        <f>IF(F173="O",'1_교과이수내용'!F173&amp;$D$1,"")&amp;IF(G173="O",'2_지적성장과정'!F173&amp;$D$1,"")&amp;IF(H173="O",'3_학업성취도'!F173&amp;$D$1,"")&amp;IF(I173="O",'4_태도'!F173&amp;$D$1,"")&amp;IF(J173="O",'5_적극성'!F173&amp;$D$1,"")&amp;IF(K173="O",'6_지적호기심'!F173&amp;$D$1,"")&amp;IF(L173="O",'7_특별한관심'!F173&amp;$D$1,"")&amp;IF(M173="O",'8_탁월한능력'!F173&amp;$D$1,"")&amp;IF(N173="O",'9_탐구활동'!F173&amp;$D$1,"")&amp;IF(O173="O",'10_진로관련사항'!F173&amp;$D$1,"")&amp;IF(P173="O",'11_프로젝트활동'!F173&amp;$D$1,"")</f>
        <v/>
      </c>
      <c r="F173" s="23" t="str">
        <f>IF('1_교과이수내용'!E173&gt;0,"O","X")</f>
        <v>X</v>
      </c>
      <c r="G173" s="23" t="str">
        <f>IF('2_지적성장과정'!E173&gt;0,"O","X")</f>
        <v>X</v>
      </c>
      <c r="H173" s="23" t="str">
        <f>IF('3_학업성취도'!E173&gt;0,"O","X")</f>
        <v>X</v>
      </c>
      <c r="I173" s="23" t="str">
        <f>IF('4_태도'!E173&gt;0,"O","X")</f>
        <v>X</v>
      </c>
      <c r="J173" s="23" t="str">
        <f>IF('5_적극성'!E173&gt;0,"O","X")</f>
        <v>X</v>
      </c>
      <c r="K173" s="23" t="str">
        <f>IF('6_지적호기심'!E173&gt;0,"O","X")</f>
        <v>X</v>
      </c>
      <c r="L173" s="23" t="str">
        <f>IF('7_특별한관심'!E173&gt;0,"O","X")</f>
        <v>X</v>
      </c>
      <c r="M173" s="23" t="str">
        <f>IF('8_탁월한능력'!E173&gt;0,"O","X")</f>
        <v>X</v>
      </c>
      <c r="N173" s="23" t="str">
        <f>IF('9_탐구활동'!E173&gt;0,"O","X")</f>
        <v>X</v>
      </c>
      <c r="O173" s="41" t="str">
        <f>IF('10_진로관련사항'!E173&gt;0,"O","X")</f>
        <v>X</v>
      </c>
      <c r="P173" s="23" t="str">
        <f>IF('11_프로젝트활동'!E173&gt;0,"O","X")</f>
        <v>X</v>
      </c>
    </row>
    <row r="174" spans="1:16">
      <c r="A174" s="9" t="str">
        <f>IF(학생명렬표!A173="","",학생명렬표!A173)</f>
        <v/>
      </c>
      <c r="B174" s="23" t="str">
        <f>IF(학생명렬표!B173="","",학생명렬표!B173)</f>
        <v/>
      </c>
      <c r="C174" s="23" t="str">
        <f>IF(학생명렬표!C173="","",학생명렬표!C173)</f>
        <v/>
      </c>
      <c r="D174" s="23" t="str">
        <f>IF(학생명렬표!D173="","",학생명렬표!D173)</f>
        <v/>
      </c>
      <c r="E174" s="21" t="str">
        <f>IF(F174="O",'1_교과이수내용'!F174&amp;$D$1,"")&amp;IF(G174="O",'2_지적성장과정'!F174&amp;$D$1,"")&amp;IF(H174="O",'3_학업성취도'!F174&amp;$D$1,"")&amp;IF(I174="O",'4_태도'!F174&amp;$D$1,"")&amp;IF(J174="O",'5_적극성'!F174&amp;$D$1,"")&amp;IF(K174="O",'6_지적호기심'!F174&amp;$D$1,"")&amp;IF(L174="O",'7_특별한관심'!F174&amp;$D$1,"")&amp;IF(M174="O",'8_탁월한능력'!F174&amp;$D$1,"")&amp;IF(N174="O",'9_탐구활동'!F174&amp;$D$1,"")&amp;IF(O174="O",'10_진로관련사항'!F174&amp;$D$1,"")&amp;IF(P174="O",'11_프로젝트활동'!F174&amp;$D$1,"")</f>
        <v/>
      </c>
      <c r="F174" s="23" t="str">
        <f>IF('1_교과이수내용'!E174&gt;0,"O","X")</f>
        <v>X</v>
      </c>
      <c r="G174" s="23" t="str">
        <f>IF('2_지적성장과정'!E174&gt;0,"O","X")</f>
        <v>X</v>
      </c>
      <c r="H174" s="23" t="str">
        <f>IF('3_학업성취도'!E174&gt;0,"O","X")</f>
        <v>X</v>
      </c>
      <c r="I174" s="23" t="str">
        <f>IF('4_태도'!E174&gt;0,"O","X")</f>
        <v>X</v>
      </c>
      <c r="J174" s="23" t="str">
        <f>IF('5_적극성'!E174&gt;0,"O","X")</f>
        <v>X</v>
      </c>
      <c r="K174" s="23" t="str">
        <f>IF('6_지적호기심'!E174&gt;0,"O","X")</f>
        <v>X</v>
      </c>
      <c r="L174" s="23" t="str">
        <f>IF('7_특별한관심'!E174&gt;0,"O","X")</f>
        <v>X</v>
      </c>
      <c r="M174" s="23" t="str">
        <f>IF('8_탁월한능력'!E174&gt;0,"O","X")</f>
        <v>X</v>
      </c>
      <c r="N174" s="23" t="str">
        <f>IF('9_탐구활동'!E174&gt;0,"O","X")</f>
        <v>X</v>
      </c>
      <c r="O174" s="41" t="str">
        <f>IF('10_진로관련사항'!E174&gt;0,"O","X")</f>
        <v>X</v>
      </c>
      <c r="P174" s="23" t="str">
        <f>IF('11_프로젝트활동'!E174&gt;0,"O","X")</f>
        <v>X</v>
      </c>
    </row>
    <row r="175" spans="1:16">
      <c r="A175" s="9" t="str">
        <f>IF(학생명렬표!A174="","",학생명렬표!A174)</f>
        <v/>
      </c>
      <c r="B175" s="23" t="str">
        <f>IF(학생명렬표!B174="","",학생명렬표!B174)</f>
        <v/>
      </c>
      <c r="C175" s="23" t="str">
        <f>IF(학생명렬표!C174="","",학생명렬표!C174)</f>
        <v/>
      </c>
      <c r="D175" s="23" t="str">
        <f>IF(학생명렬표!D174="","",학생명렬표!D174)</f>
        <v/>
      </c>
      <c r="E175" s="21" t="str">
        <f>IF(F175="O",'1_교과이수내용'!F175&amp;$D$1,"")&amp;IF(G175="O",'2_지적성장과정'!F175&amp;$D$1,"")&amp;IF(H175="O",'3_학업성취도'!F175&amp;$D$1,"")&amp;IF(I175="O",'4_태도'!F175&amp;$D$1,"")&amp;IF(J175="O",'5_적극성'!F175&amp;$D$1,"")&amp;IF(K175="O",'6_지적호기심'!F175&amp;$D$1,"")&amp;IF(L175="O",'7_특별한관심'!F175&amp;$D$1,"")&amp;IF(M175="O",'8_탁월한능력'!F175&amp;$D$1,"")&amp;IF(N175="O",'9_탐구활동'!F175&amp;$D$1,"")&amp;IF(O175="O",'10_진로관련사항'!F175&amp;$D$1,"")&amp;IF(P175="O",'11_프로젝트활동'!F175&amp;$D$1,"")</f>
        <v/>
      </c>
      <c r="F175" s="23" t="str">
        <f>IF('1_교과이수내용'!E175&gt;0,"O","X")</f>
        <v>X</v>
      </c>
      <c r="G175" s="23" t="str">
        <f>IF('2_지적성장과정'!E175&gt;0,"O","X")</f>
        <v>X</v>
      </c>
      <c r="H175" s="23" t="str">
        <f>IF('3_학업성취도'!E175&gt;0,"O","X")</f>
        <v>X</v>
      </c>
      <c r="I175" s="23" t="str">
        <f>IF('4_태도'!E175&gt;0,"O","X")</f>
        <v>X</v>
      </c>
      <c r="J175" s="23" t="str">
        <f>IF('5_적극성'!E175&gt;0,"O","X")</f>
        <v>X</v>
      </c>
      <c r="K175" s="23" t="str">
        <f>IF('6_지적호기심'!E175&gt;0,"O","X")</f>
        <v>X</v>
      </c>
      <c r="L175" s="23" t="str">
        <f>IF('7_특별한관심'!E175&gt;0,"O","X")</f>
        <v>X</v>
      </c>
      <c r="M175" s="23" t="str">
        <f>IF('8_탁월한능력'!E175&gt;0,"O","X")</f>
        <v>X</v>
      </c>
      <c r="N175" s="23" t="str">
        <f>IF('9_탐구활동'!E175&gt;0,"O","X")</f>
        <v>X</v>
      </c>
      <c r="O175" s="41" t="str">
        <f>IF('10_진로관련사항'!E175&gt;0,"O","X")</f>
        <v>X</v>
      </c>
      <c r="P175" s="23" t="str">
        <f>IF('11_프로젝트활동'!E175&gt;0,"O","X")</f>
        <v>X</v>
      </c>
    </row>
    <row r="176" spans="1:16">
      <c r="A176" s="9" t="str">
        <f>IF(학생명렬표!A175="","",학생명렬표!A175)</f>
        <v/>
      </c>
      <c r="B176" s="23" t="str">
        <f>IF(학생명렬표!B175="","",학생명렬표!B175)</f>
        <v/>
      </c>
      <c r="C176" s="23" t="str">
        <f>IF(학생명렬표!C175="","",학생명렬표!C175)</f>
        <v/>
      </c>
      <c r="D176" s="23" t="str">
        <f>IF(학생명렬표!D175="","",학생명렬표!D175)</f>
        <v/>
      </c>
      <c r="E176" s="21" t="str">
        <f>IF(F176="O",'1_교과이수내용'!F176&amp;$D$1,"")&amp;IF(G176="O",'2_지적성장과정'!F176&amp;$D$1,"")&amp;IF(H176="O",'3_학업성취도'!F176&amp;$D$1,"")&amp;IF(I176="O",'4_태도'!F176&amp;$D$1,"")&amp;IF(J176="O",'5_적극성'!F176&amp;$D$1,"")&amp;IF(K176="O",'6_지적호기심'!F176&amp;$D$1,"")&amp;IF(L176="O",'7_특별한관심'!F176&amp;$D$1,"")&amp;IF(M176="O",'8_탁월한능력'!F176&amp;$D$1,"")&amp;IF(N176="O",'9_탐구활동'!F176&amp;$D$1,"")&amp;IF(O176="O",'10_진로관련사항'!F176&amp;$D$1,"")&amp;IF(P176="O",'11_프로젝트활동'!F176&amp;$D$1,"")</f>
        <v/>
      </c>
      <c r="F176" s="23" t="str">
        <f>IF('1_교과이수내용'!E176&gt;0,"O","X")</f>
        <v>X</v>
      </c>
      <c r="G176" s="23" t="str">
        <f>IF('2_지적성장과정'!E176&gt;0,"O","X")</f>
        <v>X</v>
      </c>
      <c r="H176" s="23" t="str">
        <f>IF('3_학업성취도'!E176&gt;0,"O","X")</f>
        <v>X</v>
      </c>
      <c r="I176" s="23" t="str">
        <f>IF('4_태도'!E176&gt;0,"O","X")</f>
        <v>X</v>
      </c>
      <c r="J176" s="23" t="str">
        <f>IF('5_적극성'!E176&gt;0,"O","X")</f>
        <v>X</v>
      </c>
      <c r="K176" s="23" t="str">
        <f>IF('6_지적호기심'!E176&gt;0,"O","X")</f>
        <v>X</v>
      </c>
      <c r="L176" s="23" t="str">
        <f>IF('7_특별한관심'!E176&gt;0,"O","X")</f>
        <v>X</v>
      </c>
      <c r="M176" s="23" t="str">
        <f>IF('8_탁월한능력'!E176&gt;0,"O","X")</f>
        <v>X</v>
      </c>
      <c r="N176" s="23" t="str">
        <f>IF('9_탐구활동'!E176&gt;0,"O","X")</f>
        <v>X</v>
      </c>
      <c r="O176" s="41" t="str">
        <f>IF('10_진로관련사항'!E176&gt;0,"O","X")</f>
        <v>X</v>
      </c>
      <c r="P176" s="23" t="str">
        <f>IF('11_프로젝트활동'!E176&gt;0,"O","X")</f>
        <v>X</v>
      </c>
    </row>
    <row r="177" spans="1:16">
      <c r="A177" s="9" t="str">
        <f>IF(학생명렬표!A176="","",학생명렬표!A176)</f>
        <v/>
      </c>
      <c r="B177" s="23" t="str">
        <f>IF(학생명렬표!B176="","",학생명렬표!B176)</f>
        <v/>
      </c>
      <c r="C177" s="23" t="str">
        <f>IF(학생명렬표!C176="","",학생명렬표!C176)</f>
        <v/>
      </c>
      <c r="D177" s="23" t="str">
        <f>IF(학생명렬표!D176="","",학생명렬표!D176)</f>
        <v/>
      </c>
      <c r="E177" s="21" t="str">
        <f>IF(F177="O",'1_교과이수내용'!F177&amp;$D$1,"")&amp;IF(G177="O",'2_지적성장과정'!F177&amp;$D$1,"")&amp;IF(H177="O",'3_학업성취도'!F177&amp;$D$1,"")&amp;IF(I177="O",'4_태도'!F177&amp;$D$1,"")&amp;IF(J177="O",'5_적극성'!F177&amp;$D$1,"")&amp;IF(K177="O",'6_지적호기심'!F177&amp;$D$1,"")&amp;IF(L177="O",'7_특별한관심'!F177&amp;$D$1,"")&amp;IF(M177="O",'8_탁월한능력'!F177&amp;$D$1,"")&amp;IF(N177="O",'9_탐구활동'!F177&amp;$D$1,"")&amp;IF(O177="O",'10_진로관련사항'!F177&amp;$D$1,"")&amp;IF(P177="O",'11_프로젝트활동'!F177&amp;$D$1,"")</f>
        <v/>
      </c>
      <c r="F177" s="23" t="str">
        <f>IF('1_교과이수내용'!E177&gt;0,"O","X")</f>
        <v>X</v>
      </c>
      <c r="G177" s="23" t="str">
        <f>IF('2_지적성장과정'!E177&gt;0,"O","X")</f>
        <v>X</v>
      </c>
      <c r="H177" s="23" t="str">
        <f>IF('3_학업성취도'!E177&gt;0,"O","X")</f>
        <v>X</v>
      </c>
      <c r="I177" s="23" t="str">
        <f>IF('4_태도'!E177&gt;0,"O","X")</f>
        <v>X</v>
      </c>
      <c r="J177" s="23" t="str">
        <f>IF('5_적극성'!E177&gt;0,"O","X")</f>
        <v>X</v>
      </c>
      <c r="K177" s="23" t="str">
        <f>IF('6_지적호기심'!E177&gt;0,"O","X")</f>
        <v>X</v>
      </c>
      <c r="L177" s="23" t="str">
        <f>IF('7_특별한관심'!E177&gt;0,"O","X")</f>
        <v>X</v>
      </c>
      <c r="M177" s="23" t="str">
        <f>IF('8_탁월한능력'!E177&gt;0,"O","X")</f>
        <v>X</v>
      </c>
      <c r="N177" s="23" t="str">
        <f>IF('9_탐구활동'!E177&gt;0,"O","X")</f>
        <v>X</v>
      </c>
      <c r="O177" s="41" t="str">
        <f>IF('10_진로관련사항'!E177&gt;0,"O","X")</f>
        <v>X</v>
      </c>
      <c r="P177" s="23" t="str">
        <f>IF('11_프로젝트활동'!E177&gt;0,"O","X")</f>
        <v>X</v>
      </c>
    </row>
    <row r="178" spans="1:16">
      <c r="A178" s="9" t="str">
        <f>IF(학생명렬표!A177="","",학생명렬표!A177)</f>
        <v/>
      </c>
      <c r="B178" s="23" t="str">
        <f>IF(학생명렬표!B177="","",학생명렬표!B177)</f>
        <v/>
      </c>
      <c r="C178" s="23" t="str">
        <f>IF(학생명렬표!C177="","",학생명렬표!C177)</f>
        <v/>
      </c>
      <c r="D178" s="23" t="str">
        <f>IF(학생명렬표!D177="","",학생명렬표!D177)</f>
        <v/>
      </c>
      <c r="E178" s="21" t="str">
        <f>IF(F178="O",'1_교과이수내용'!F178&amp;$D$1,"")&amp;IF(G178="O",'2_지적성장과정'!F178&amp;$D$1,"")&amp;IF(H178="O",'3_학업성취도'!F178&amp;$D$1,"")&amp;IF(I178="O",'4_태도'!F178&amp;$D$1,"")&amp;IF(J178="O",'5_적극성'!F178&amp;$D$1,"")&amp;IF(K178="O",'6_지적호기심'!F178&amp;$D$1,"")&amp;IF(L178="O",'7_특별한관심'!F178&amp;$D$1,"")&amp;IF(M178="O",'8_탁월한능력'!F178&amp;$D$1,"")&amp;IF(N178="O",'9_탐구활동'!F178&amp;$D$1,"")&amp;IF(O178="O",'10_진로관련사항'!F178&amp;$D$1,"")&amp;IF(P178="O",'11_프로젝트활동'!F178&amp;$D$1,"")</f>
        <v/>
      </c>
      <c r="F178" s="23" t="str">
        <f>IF('1_교과이수내용'!E178&gt;0,"O","X")</f>
        <v>X</v>
      </c>
      <c r="G178" s="23" t="str">
        <f>IF('2_지적성장과정'!E178&gt;0,"O","X")</f>
        <v>X</v>
      </c>
      <c r="H178" s="23" t="str">
        <f>IF('3_학업성취도'!E178&gt;0,"O","X")</f>
        <v>X</v>
      </c>
      <c r="I178" s="23" t="str">
        <f>IF('4_태도'!E178&gt;0,"O","X")</f>
        <v>X</v>
      </c>
      <c r="J178" s="23" t="str">
        <f>IF('5_적극성'!E178&gt;0,"O","X")</f>
        <v>X</v>
      </c>
      <c r="K178" s="23" t="str">
        <f>IF('6_지적호기심'!E178&gt;0,"O","X")</f>
        <v>X</v>
      </c>
      <c r="L178" s="23" t="str">
        <f>IF('7_특별한관심'!E178&gt;0,"O","X")</f>
        <v>X</v>
      </c>
      <c r="M178" s="23" t="str">
        <f>IF('8_탁월한능력'!E178&gt;0,"O","X")</f>
        <v>X</v>
      </c>
      <c r="N178" s="23" t="str">
        <f>IF('9_탐구활동'!E178&gt;0,"O","X")</f>
        <v>X</v>
      </c>
      <c r="O178" s="41" t="str">
        <f>IF('10_진로관련사항'!E178&gt;0,"O","X")</f>
        <v>X</v>
      </c>
      <c r="P178" s="23" t="str">
        <f>IF('11_프로젝트활동'!E178&gt;0,"O","X")</f>
        <v>X</v>
      </c>
    </row>
    <row r="179" spans="1:16">
      <c r="A179" s="9" t="str">
        <f>IF(학생명렬표!A178="","",학생명렬표!A178)</f>
        <v/>
      </c>
      <c r="B179" s="23" t="str">
        <f>IF(학생명렬표!B178="","",학생명렬표!B178)</f>
        <v/>
      </c>
      <c r="C179" s="23" t="str">
        <f>IF(학생명렬표!C178="","",학생명렬표!C178)</f>
        <v/>
      </c>
      <c r="D179" s="23" t="str">
        <f>IF(학생명렬표!D178="","",학생명렬표!D178)</f>
        <v/>
      </c>
      <c r="E179" s="21" t="str">
        <f>IF(F179="O",'1_교과이수내용'!F179&amp;$D$1,"")&amp;IF(G179="O",'2_지적성장과정'!F179&amp;$D$1,"")&amp;IF(H179="O",'3_학업성취도'!F179&amp;$D$1,"")&amp;IF(I179="O",'4_태도'!F179&amp;$D$1,"")&amp;IF(J179="O",'5_적극성'!F179&amp;$D$1,"")&amp;IF(K179="O",'6_지적호기심'!F179&amp;$D$1,"")&amp;IF(L179="O",'7_특별한관심'!F179&amp;$D$1,"")&amp;IF(M179="O",'8_탁월한능력'!F179&amp;$D$1,"")&amp;IF(N179="O",'9_탐구활동'!F179&amp;$D$1,"")&amp;IF(O179="O",'10_진로관련사항'!F179&amp;$D$1,"")&amp;IF(P179="O",'11_프로젝트활동'!F179&amp;$D$1,"")</f>
        <v/>
      </c>
      <c r="F179" s="23" t="str">
        <f>IF('1_교과이수내용'!E179&gt;0,"O","X")</f>
        <v>X</v>
      </c>
      <c r="G179" s="23" t="str">
        <f>IF('2_지적성장과정'!E179&gt;0,"O","X")</f>
        <v>X</v>
      </c>
      <c r="H179" s="23" t="str">
        <f>IF('3_학업성취도'!E179&gt;0,"O","X")</f>
        <v>X</v>
      </c>
      <c r="I179" s="23" t="str">
        <f>IF('4_태도'!E179&gt;0,"O","X")</f>
        <v>X</v>
      </c>
      <c r="J179" s="23" t="str">
        <f>IF('5_적극성'!E179&gt;0,"O","X")</f>
        <v>X</v>
      </c>
      <c r="K179" s="23" t="str">
        <f>IF('6_지적호기심'!E179&gt;0,"O","X")</f>
        <v>X</v>
      </c>
      <c r="L179" s="23" t="str">
        <f>IF('7_특별한관심'!E179&gt;0,"O","X")</f>
        <v>X</v>
      </c>
      <c r="M179" s="23" t="str">
        <f>IF('8_탁월한능력'!E179&gt;0,"O","X")</f>
        <v>X</v>
      </c>
      <c r="N179" s="23" t="str">
        <f>IF('9_탐구활동'!E179&gt;0,"O","X")</f>
        <v>X</v>
      </c>
      <c r="O179" s="41" t="str">
        <f>IF('10_진로관련사항'!E179&gt;0,"O","X")</f>
        <v>X</v>
      </c>
      <c r="P179" s="23" t="str">
        <f>IF('11_프로젝트활동'!E179&gt;0,"O","X")</f>
        <v>X</v>
      </c>
    </row>
    <row r="180" spans="1:16">
      <c r="A180" s="9" t="str">
        <f>IF(학생명렬표!A179="","",학생명렬표!A179)</f>
        <v/>
      </c>
      <c r="B180" s="23" t="str">
        <f>IF(학생명렬표!B179="","",학생명렬표!B179)</f>
        <v/>
      </c>
      <c r="C180" s="23" t="str">
        <f>IF(학생명렬표!C179="","",학생명렬표!C179)</f>
        <v/>
      </c>
      <c r="D180" s="23" t="str">
        <f>IF(학생명렬표!D179="","",학생명렬표!D179)</f>
        <v/>
      </c>
      <c r="E180" s="21" t="str">
        <f>IF(F180="O",'1_교과이수내용'!F180&amp;$D$1,"")&amp;IF(G180="O",'2_지적성장과정'!F180&amp;$D$1,"")&amp;IF(H180="O",'3_학업성취도'!F180&amp;$D$1,"")&amp;IF(I180="O",'4_태도'!F180&amp;$D$1,"")&amp;IF(J180="O",'5_적극성'!F180&amp;$D$1,"")&amp;IF(K180="O",'6_지적호기심'!F180&amp;$D$1,"")&amp;IF(L180="O",'7_특별한관심'!F180&amp;$D$1,"")&amp;IF(M180="O",'8_탁월한능력'!F180&amp;$D$1,"")&amp;IF(N180="O",'9_탐구활동'!F180&amp;$D$1,"")&amp;IF(O180="O",'10_진로관련사항'!F180&amp;$D$1,"")&amp;IF(P180="O",'11_프로젝트활동'!F180&amp;$D$1,"")</f>
        <v/>
      </c>
      <c r="F180" s="23" t="str">
        <f>IF('1_교과이수내용'!E180&gt;0,"O","X")</f>
        <v>X</v>
      </c>
      <c r="G180" s="23" t="str">
        <f>IF('2_지적성장과정'!E180&gt;0,"O","X")</f>
        <v>X</v>
      </c>
      <c r="H180" s="23" t="str">
        <f>IF('3_학업성취도'!E180&gt;0,"O","X")</f>
        <v>X</v>
      </c>
      <c r="I180" s="23" t="str">
        <f>IF('4_태도'!E180&gt;0,"O","X")</f>
        <v>X</v>
      </c>
      <c r="J180" s="23" t="str">
        <f>IF('5_적극성'!E180&gt;0,"O","X")</f>
        <v>X</v>
      </c>
      <c r="K180" s="23" t="str">
        <f>IF('6_지적호기심'!E180&gt;0,"O","X")</f>
        <v>X</v>
      </c>
      <c r="L180" s="23" t="str">
        <f>IF('7_특별한관심'!E180&gt;0,"O","X")</f>
        <v>X</v>
      </c>
      <c r="M180" s="23" t="str">
        <f>IF('8_탁월한능력'!E180&gt;0,"O","X")</f>
        <v>X</v>
      </c>
      <c r="N180" s="23" t="str">
        <f>IF('9_탐구활동'!E180&gt;0,"O","X")</f>
        <v>X</v>
      </c>
      <c r="O180" s="41" t="str">
        <f>IF('10_진로관련사항'!E180&gt;0,"O","X")</f>
        <v>X</v>
      </c>
      <c r="P180" s="23" t="str">
        <f>IF('11_프로젝트활동'!E180&gt;0,"O","X")</f>
        <v>X</v>
      </c>
    </row>
    <row r="181" spans="1:16">
      <c r="A181" s="9" t="str">
        <f>IF(학생명렬표!A180="","",학생명렬표!A180)</f>
        <v/>
      </c>
      <c r="B181" s="23" t="str">
        <f>IF(학생명렬표!B180="","",학생명렬표!B180)</f>
        <v/>
      </c>
      <c r="C181" s="23" t="str">
        <f>IF(학생명렬표!C180="","",학생명렬표!C180)</f>
        <v/>
      </c>
      <c r="D181" s="23" t="str">
        <f>IF(학생명렬표!D180="","",학생명렬표!D180)</f>
        <v/>
      </c>
      <c r="E181" s="21" t="str">
        <f>IF(F181="O",'1_교과이수내용'!F181&amp;$D$1,"")&amp;IF(G181="O",'2_지적성장과정'!F181&amp;$D$1,"")&amp;IF(H181="O",'3_학업성취도'!F181&amp;$D$1,"")&amp;IF(I181="O",'4_태도'!F181&amp;$D$1,"")&amp;IF(J181="O",'5_적극성'!F181&amp;$D$1,"")&amp;IF(K181="O",'6_지적호기심'!F181&amp;$D$1,"")&amp;IF(L181="O",'7_특별한관심'!F181&amp;$D$1,"")&amp;IF(M181="O",'8_탁월한능력'!F181&amp;$D$1,"")&amp;IF(N181="O",'9_탐구활동'!F181&amp;$D$1,"")&amp;IF(O181="O",'10_진로관련사항'!F181&amp;$D$1,"")&amp;IF(P181="O",'11_프로젝트활동'!F181&amp;$D$1,"")</f>
        <v/>
      </c>
      <c r="F181" s="23" t="str">
        <f>IF('1_교과이수내용'!E181&gt;0,"O","X")</f>
        <v>X</v>
      </c>
      <c r="G181" s="23" t="str">
        <f>IF('2_지적성장과정'!E181&gt;0,"O","X")</f>
        <v>X</v>
      </c>
      <c r="H181" s="23" t="str">
        <f>IF('3_학업성취도'!E181&gt;0,"O","X")</f>
        <v>X</v>
      </c>
      <c r="I181" s="23" t="str">
        <f>IF('4_태도'!E181&gt;0,"O","X")</f>
        <v>X</v>
      </c>
      <c r="J181" s="23" t="str">
        <f>IF('5_적극성'!E181&gt;0,"O","X")</f>
        <v>X</v>
      </c>
      <c r="K181" s="23" t="str">
        <f>IF('6_지적호기심'!E181&gt;0,"O","X")</f>
        <v>X</v>
      </c>
      <c r="L181" s="23" t="str">
        <f>IF('7_특별한관심'!E181&gt;0,"O","X")</f>
        <v>X</v>
      </c>
      <c r="M181" s="23" t="str">
        <f>IF('8_탁월한능력'!E181&gt;0,"O","X")</f>
        <v>X</v>
      </c>
      <c r="N181" s="23" t="str">
        <f>IF('9_탐구활동'!E181&gt;0,"O","X")</f>
        <v>X</v>
      </c>
      <c r="O181" s="41" t="str">
        <f>IF('10_진로관련사항'!E181&gt;0,"O","X")</f>
        <v>X</v>
      </c>
      <c r="P181" s="23" t="str">
        <f>IF('11_프로젝트활동'!E181&gt;0,"O","X")</f>
        <v>X</v>
      </c>
    </row>
    <row r="182" spans="1:16">
      <c r="A182" s="9" t="str">
        <f>IF(학생명렬표!A181="","",학생명렬표!A181)</f>
        <v/>
      </c>
      <c r="B182" s="23" t="str">
        <f>IF(학생명렬표!B181="","",학생명렬표!B181)</f>
        <v/>
      </c>
      <c r="C182" s="23" t="str">
        <f>IF(학생명렬표!C181="","",학생명렬표!C181)</f>
        <v/>
      </c>
      <c r="D182" s="23" t="str">
        <f>IF(학생명렬표!D181="","",학생명렬표!D181)</f>
        <v/>
      </c>
      <c r="E182" s="21" t="str">
        <f>IF(F182="O",'1_교과이수내용'!F182&amp;$D$1,"")&amp;IF(G182="O",'2_지적성장과정'!F182&amp;$D$1,"")&amp;IF(H182="O",'3_학업성취도'!F182&amp;$D$1,"")&amp;IF(I182="O",'4_태도'!F182&amp;$D$1,"")&amp;IF(J182="O",'5_적극성'!F182&amp;$D$1,"")&amp;IF(K182="O",'6_지적호기심'!F182&amp;$D$1,"")&amp;IF(L182="O",'7_특별한관심'!F182&amp;$D$1,"")&amp;IF(M182="O",'8_탁월한능력'!F182&amp;$D$1,"")&amp;IF(N182="O",'9_탐구활동'!F182&amp;$D$1,"")&amp;IF(O182="O",'10_진로관련사항'!F182&amp;$D$1,"")&amp;IF(P182="O",'11_프로젝트활동'!F182&amp;$D$1,"")</f>
        <v/>
      </c>
      <c r="F182" s="23" t="str">
        <f>IF('1_교과이수내용'!E182&gt;0,"O","X")</f>
        <v>X</v>
      </c>
      <c r="G182" s="23" t="str">
        <f>IF('2_지적성장과정'!E182&gt;0,"O","X")</f>
        <v>X</v>
      </c>
      <c r="H182" s="23" t="str">
        <f>IF('3_학업성취도'!E182&gt;0,"O","X")</f>
        <v>X</v>
      </c>
      <c r="I182" s="23" t="str">
        <f>IF('4_태도'!E182&gt;0,"O","X")</f>
        <v>X</v>
      </c>
      <c r="J182" s="23" t="str">
        <f>IF('5_적극성'!E182&gt;0,"O","X")</f>
        <v>X</v>
      </c>
      <c r="K182" s="23" t="str">
        <f>IF('6_지적호기심'!E182&gt;0,"O","X")</f>
        <v>X</v>
      </c>
      <c r="L182" s="23" t="str">
        <f>IF('7_특별한관심'!E182&gt;0,"O","X")</f>
        <v>X</v>
      </c>
      <c r="M182" s="23" t="str">
        <f>IF('8_탁월한능력'!E182&gt;0,"O","X")</f>
        <v>X</v>
      </c>
      <c r="N182" s="23" t="str">
        <f>IF('9_탐구활동'!E182&gt;0,"O","X")</f>
        <v>X</v>
      </c>
      <c r="O182" s="41" t="str">
        <f>IF('10_진로관련사항'!E182&gt;0,"O","X")</f>
        <v>X</v>
      </c>
      <c r="P182" s="23" t="str">
        <f>IF('11_프로젝트활동'!E182&gt;0,"O","X")</f>
        <v>X</v>
      </c>
    </row>
    <row r="183" spans="1:16">
      <c r="A183" s="9" t="str">
        <f>IF(학생명렬표!A182="","",학생명렬표!A182)</f>
        <v/>
      </c>
      <c r="B183" s="23" t="str">
        <f>IF(학생명렬표!B182="","",학생명렬표!B182)</f>
        <v/>
      </c>
      <c r="C183" s="23" t="str">
        <f>IF(학생명렬표!C182="","",학생명렬표!C182)</f>
        <v/>
      </c>
      <c r="D183" s="23" t="str">
        <f>IF(학생명렬표!D182="","",학생명렬표!D182)</f>
        <v/>
      </c>
      <c r="E183" s="21" t="str">
        <f>IF(F183="O",'1_교과이수내용'!F183&amp;$D$1,"")&amp;IF(G183="O",'2_지적성장과정'!F183&amp;$D$1,"")&amp;IF(H183="O",'3_학업성취도'!F183&amp;$D$1,"")&amp;IF(I183="O",'4_태도'!F183&amp;$D$1,"")&amp;IF(J183="O",'5_적극성'!F183&amp;$D$1,"")&amp;IF(K183="O",'6_지적호기심'!F183&amp;$D$1,"")&amp;IF(L183="O",'7_특별한관심'!F183&amp;$D$1,"")&amp;IF(M183="O",'8_탁월한능력'!F183&amp;$D$1,"")&amp;IF(N183="O",'9_탐구활동'!F183&amp;$D$1,"")&amp;IF(O183="O",'10_진로관련사항'!F183&amp;$D$1,"")&amp;IF(P183="O",'11_프로젝트활동'!F183&amp;$D$1,"")</f>
        <v/>
      </c>
      <c r="F183" s="23" t="str">
        <f>IF('1_교과이수내용'!E183&gt;0,"O","X")</f>
        <v>X</v>
      </c>
      <c r="G183" s="23" t="str">
        <f>IF('2_지적성장과정'!E183&gt;0,"O","X")</f>
        <v>X</v>
      </c>
      <c r="H183" s="23" t="str">
        <f>IF('3_학업성취도'!E183&gt;0,"O","X")</f>
        <v>X</v>
      </c>
      <c r="I183" s="23" t="str">
        <f>IF('4_태도'!E183&gt;0,"O","X")</f>
        <v>X</v>
      </c>
      <c r="J183" s="23" t="str">
        <f>IF('5_적극성'!E183&gt;0,"O","X")</f>
        <v>X</v>
      </c>
      <c r="K183" s="23" t="str">
        <f>IF('6_지적호기심'!E183&gt;0,"O","X")</f>
        <v>X</v>
      </c>
      <c r="L183" s="23" t="str">
        <f>IF('7_특별한관심'!E183&gt;0,"O","X")</f>
        <v>X</v>
      </c>
      <c r="M183" s="23" t="str">
        <f>IF('8_탁월한능력'!E183&gt;0,"O","X")</f>
        <v>X</v>
      </c>
      <c r="N183" s="23" t="str">
        <f>IF('9_탐구활동'!E183&gt;0,"O","X")</f>
        <v>X</v>
      </c>
      <c r="O183" s="41" t="str">
        <f>IF('10_진로관련사항'!E183&gt;0,"O","X")</f>
        <v>X</v>
      </c>
      <c r="P183" s="23" t="str">
        <f>IF('11_프로젝트활동'!E183&gt;0,"O","X")</f>
        <v>X</v>
      </c>
    </row>
    <row r="184" spans="1:16">
      <c r="A184" s="9" t="str">
        <f>IF(학생명렬표!A183="","",학생명렬표!A183)</f>
        <v/>
      </c>
      <c r="B184" s="23" t="str">
        <f>IF(학생명렬표!B183="","",학생명렬표!B183)</f>
        <v/>
      </c>
      <c r="C184" s="23" t="str">
        <f>IF(학생명렬표!C183="","",학생명렬표!C183)</f>
        <v/>
      </c>
      <c r="D184" s="23" t="str">
        <f>IF(학생명렬표!D183="","",학생명렬표!D183)</f>
        <v/>
      </c>
      <c r="E184" s="21" t="str">
        <f>IF(F184="O",'1_교과이수내용'!F184&amp;$D$1,"")&amp;IF(G184="O",'2_지적성장과정'!F184&amp;$D$1,"")&amp;IF(H184="O",'3_학업성취도'!F184&amp;$D$1,"")&amp;IF(I184="O",'4_태도'!F184&amp;$D$1,"")&amp;IF(J184="O",'5_적극성'!F184&amp;$D$1,"")&amp;IF(K184="O",'6_지적호기심'!F184&amp;$D$1,"")&amp;IF(L184="O",'7_특별한관심'!F184&amp;$D$1,"")&amp;IF(M184="O",'8_탁월한능력'!F184&amp;$D$1,"")&amp;IF(N184="O",'9_탐구활동'!F184&amp;$D$1,"")&amp;IF(O184="O",'10_진로관련사항'!F184&amp;$D$1,"")&amp;IF(P184="O",'11_프로젝트활동'!F184&amp;$D$1,"")</f>
        <v/>
      </c>
      <c r="F184" s="23" t="str">
        <f>IF('1_교과이수내용'!E184&gt;0,"O","X")</f>
        <v>X</v>
      </c>
      <c r="G184" s="23" t="str">
        <f>IF('2_지적성장과정'!E184&gt;0,"O","X")</f>
        <v>X</v>
      </c>
      <c r="H184" s="23" t="str">
        <f>IF('3_학업성취도'!E184&gt;0,"O","X")</f>
        <v>X</v>
      </c>
      <c r="I184" s="23" t="str">
        <f>IF('4_태도'!E184&gt;0,"O","X")</f>
        <v>X</v>
      </c>
      <c r="J184" s="23" t="str">
        <f>IF('5_적극성'!E184&gt;0,"O","X")</f>
        <v>X</v>
      </c>
      <c r="K184" s="23" t="str">
        <f>IF('6_지적호기심'!E184&gt;0,"O","X")</f>
        <v>X</v>
      </c>
      <c r="L184" s="23" t="str">
        <f>IF('7_특별한관심'!E184&gt;0,"O","X")</f>
        <v>X</v>
      </c>
      <c r="M184" s="23" t="str">
        <f>IF('8_탁월한능력'!E184&gt;0,"O","X")</f>
        <v>X</v>
      </c>
      <c r="N184" s="23" t="str">
        <f>IF('9_탐구활동'!E184&gt;0,"O","X")</f>
        <v>X</v>
      </c>
      <c r="O184" s="41" t="str">
        <f>IF('10_진로관련사항'!E184&gt;0,"O","X")</f>
        <v>X</v>
      </c>
      <c r="P184" s="23" t="str">
        <f>IF('11_프로젝트활동'!E184&gt;0,"O","X")</f>
        <v>X</v>
      </c>
    </row>
    <row r="185" spans="1:16">
      <c r="A185" s="9" t="str">
        <f>IF(학생명렬표!A184="","",학생명렬표!A184)</f>
        <v/>
      </c>
      <c r="B185" s="23" t="str">
        <f>IF(학생명렬표!B184="","",학생명렬표!B184)</f>
        <v/>
      </c>
      <c r="C185" s="23" t="str">
        <f>IF(학생명렬표!C184="","",학생명렬표!C184)</f>
        <v/>
      </c>
      <c r="D185" s="23" t="str">
        <f>IF(학생명렬표!D184="","",학생명렬표!D184)</f>
        <v/>
      </c>
      <c r="E185" s="21" t="str">
        <f>IF(F185="O",'1_교과이수내용'!F185&amp;$D$1,"")&amp;IF(G185="O",'2_지적성장과정'!F185&amp;$D$1,"")&amp;IF(H185="O",'3_학업성취도'!F185&amp;$D$1,"")&amp;IF(I185="O",'4_태도'!F185&amp;$D$1,"")&amp;IF(J185="O",'5_적극성'!F185&amp;$D$1,"")&amp;IF(K185="O",'6_지적호기심'!F185&amp;$D$1,"")&amp;IF(L185="O",'7_특별한관심'!F185&amp;$D$1,"")&amp;IF(M185="O",'8_탁월한능력'!F185&amp;$D$1,"")&amp;IF(N185="O",'9_탐구활동'!F185&amp;$D$1,"")&amp;IF(O185="O",'10_진로관련사항'!F185&amp;$D$1,"")&amp;IF(P185="O",'11_프로젝트활동'!F185&amp;$D$1,"")</f>
        <v/>
      </c>
      <c r="F185" s="23" t="str">
        <f>IF('1_교과이수내용'!E185&gt;0,"O","X")</f>
        <v>X</v>
      </c>
      <c r="G185" s="23" t="str">
        <f>IF('2_지적성장과정'!E185&gt;0,"O","X")</f>
        <v>X</v>
      </c>
      <c r="H185" s="23" t="str">
        <f>IF('3_학업성취도'!E185&gt;0,"O","X")</f>
        <v>X</v>
      </c>
      <c r="I185" s="23" t="str">
        <f>IF('4_태도'!E185&gt;0,"O","X")</f>
        <v>X</v>
      </c>
      <c r="J185" s="23" t="str">
        <f>IF('5_적극성'!E185&gt;0,"O","X")</f>
        <v>X</v>
      </c>
      <c r="K185" s="23" t="str">
        <f>IF('6_지적호기심'!E185&gt;0,"O","X")</f>
        <v>X</v>
      </c>
      <c r="L185" s="23" t="str">
        <f>IF('7_특별한관심'!E185&gt;0,"O","X")</f>
        <v>X</v>
      </c>
      <c r="M185" s="23" t="str">
        <f>IF('8_탁월한능력'!E185&gt;0,"O","X")</f>
        <v>X</v>
      </c>
      <c r="N185" s="23" t="str">
        <f>IF('9_탐구활동'!E185&gt;0,"O","X")</f>
        <v>X</v>
      </c>
      <c r="O185" s="41" t="str">
        <f>IF('10_진로관련사항'!E185&gt;0,"O","X")</f>
        <v>X</v>
      </c>
      <c r="P185" s="23" t="str">
        <f>IF('11_프로젝트활동'!E185&gt;0,"O","X")</f>
        <v>X</v>
      </c>
    </row>
    <row r="186" spans="1:16">
      <c r="A186" s="9" t="str">
        <f>IF(학생명렬표!A185="","",학생명렬표!A185)</f>
        <v/>
      </c>
      <c r="B186" s="23" t="str">
        <f>IF(학생명렬표!B185="","",학생명렬표!B185)</f>
        <v/>
      </c>
      <c r="C186" s="23" t="str">
        <f>IF(학생명렬표!C185="","",학생명렬표!C185)</f>
        <v/>
      </c>
      <c r="D186" s="23" t="str">
        <f>IF(학생명렬표!D185="","",학생명렬표!D185)</f>
        <v/>
      </c>
      <c r="E186" s="21" t="str">
        <f>IF(F186="O",'1_교과이수내용'!F186&amp;$D$1,"")&amp;IF(G186="O",'2_지적성장과정'!F186&amp;$D$1,"")&amp;IF(H186="O",'3_학업성취도'!F186&amp;$D$1,"")&amp;IF(I186="O",'4_태도'!F186&amp;$D$1,"")&amp;IF(J186="O",'5_적극성'!F186&amp;$D$1,"")&amp;IF(K186="O",'6_지적호기심'!F186&amp;$D$1,"")&amp;IF(L186="O",'7_특별한관심'!F186&amp;$D$1,"")&amp;IF(M186="O",'8_탁월한능력'!F186&amp;$D$1,"")&amp;IF(N186="O",'9_탐구활동'!F186&amp;$D$1,"")&amp;IF(O186="O",'10_진로관련사항'!F186&amp;$D$1,"")&amp;IF(P186="O",'11_프로젝트활동'!F186&amp;$D$1,"")</f>
        <v/>
      </c>
      <c r="F186" s="23" t="str">
        <f>IF('1_교과이수내용'!E186&gt;0,"O","X")</f>
        <v>X</v>
      </c>
      <c r="G186" s="23" t="str">
        <f>IF('2_지적성장과정'!E186&gt;0,"O","X")</f>
        <v>X</v>
      </c>
      <c r="H186" s="23" t="str">
        <f>IF('3_학업성취도'!E186&gt;0,"O","X")</f>
        <v>X</v>
      </c>
      <c r="I186" s="23" t="str">
        <f>IF('4_태도'!E186&gt;0,"O","X")</f>
        <v>X</v>
      </c>
      <c r="J186" s="23" t="str">
        <f>IF('5_적극성'!E186&gt;0,"O","X")</f>
        <v>X</v>
      </c>
      <c r="K186" s="23" t="str">
        <f>IF('6_지적호기심'!E186&gt;0,"O","X")</f>
        <v>X</v>
      </c>
      <c r="L186" s="23" t="str">
        <f>IF('7_특별한관심'!E186&gt;0,"O","X")</f>
        <v>X</v>
      </c>
      <c r="M186" s="23" t="str">
        <f>IF('8_탁월한능력'!E186&gt;0,"O","X")</f>
        <v>X</v>
      </c>
      <c r="N186" s="23" t="str">
        <f>IF('9_탐구활동'!E186&gt;0,"O","X")</f>
        <v>X</v>
      </c>
      <c r="O186" s="41" t="str">
        <f>IF('10_진로관련사항'!E186&gt;0,"O","X")</f>
        <v>X</v>
      </c>
      <c r="P186" s="23" t="str">
        <f>IF('11_프로젝트활동'!E186&gt;0,"O","X")</f>
        <v>X</v>
      </c>
    </row>
    <row r="187" spans="1:16">
      <c r="A187" s="9" t="str">
        <f>IF(학생명렬표!A186="","",학생명렬표!A186)</f>
        <v/>
      </c>
      <c r="B187" s="23" t="str">
        <f>IF(학생명렬표!B186="","",학생명렬표!B186)</f>
        <v/>
      </c>
      <c r="C187" s="23" t="str">
        <f>IF(학생명렬표!C186="","",학생명렬표!C186)</f>
        <v/>
      </c>
      <c r="D187" s="23" t="str">
        <f>IF(학생명렬표!D186="","",학생명렬표!D186)</f>
        <v/>
      </c>
      <c r="E187" s="21" t="str">
        <f>IF(F187="O",'1_교과이수내용'!F187&amp;$D$1,"")&amp;IF(G187="O",'2_지적성장과정'!F187&amp;$D$1,"")&amp;IF(H187="O",'3_학업성취도'!F187&amp;$D$1,"")&amp;IF(I187="O",'4_태도'!F187&amp;$D$1,"")&amp;IF(J187="O",'5_적극성'!F187&amp;$D$1,"")&amp;IF(K187="O",'6_지적호기심'!F187&amp;$D$1,"")&amp;IF(L187="O",'7_특별한관심'!F187&amp;$D$1,"")&amp;IF(M187="O",'8_탁월한능력'!F187&amp;$D$1,"")&amp;IF(N187="O",'9_탐구활동'!F187&amp;$D$1,"")&amp;IF(O187="O",'10_진로관련사항'!F187&amp;$D$1,"")&amp;IF(P187="O",'11_프로젝트활동'!F187&amp;$D$1,"")</f>
        <v/>
      </c>
      <c r="F187" s="23" t="str">
        <f>IF('1_교과이수내용'!E187&gt;0,"O","X")</f>
        <v>X</v>
      </c>
      <c r="G187" s="23" t="str">
        <f>IF('2_지적성장과정'!E187&gt;0,"O","X")</f>
        <v>X</v>
      </c>
      <c r="H187" s="23" t="str">
        <f>IF('3_학업성취도'!E187&gt;0,"O","X")</f>
        <v>X</v>
      </c>
      <c r="I187" s="23" t="str">
        <f>IF('4_태도'!E187&gt;0,"O","X")</f>
        <v>X</v>
      </c>
      <c r="J187" s="23" t="str">
        <f>IF('5_적극성'!E187&gt;0,"O","X")</f>
        <v>X</v>
      </c>
      <c r="K187" s="23" t="str">
        <f>IF('6_지적호기심'!E187&gt;0,"O","X")</f>
        <v>X</v>
      </c>
      <c r="L187" s="23" t="str">
        <f>IF('7_특별한관심'!E187&gt;0,"O","X")</f>
        <v>X</v>
      </c>
      <c r="M187" s="23" t="str">
        <f>IF('8_탁월한능력'!E187&gt;0,"O","X")</f>
        <v>X</v>
      </c>
      <c r="N187" s="23" t="str">
        <f>IF('9_탐구활동'!E187&gt;0,"O","X")</f>
        <v>X</v>
      </c>
      <c r="O187" s="41" t="str">
        <f>IF('10_진로관련사항'!E187&gt;0,"O","X")</f>
        <v>X</v>
      </c>
      <c r="P187" s="23" t="str">
        <f>IF('11_프로젝트활동'!E187&gt;0,"O","X")</f>
        <v>X</v>
      </c>
    </row>
    <row r="188" spans="1:16">
      <c r="A188" s="9" t="str">
        <f>IF(학생명렬표!A187="","",학생명렬표!A187)</f>
        <v/>
      </c>
      <c r="B188" s="23" t="str">
        <f>IF(학생명렬표!B187="","",학생명렬표!B187)</f>
        <v/>
      </c>
      <c r="C188" s="23" t="str">
        <f>IF(학생명렬표!C187="","",학생명렬표!C187)</f>
        <v/>
      </c>
      <c r="D188" s="23" t="str">
        <f>IF(학생명렬표!D187="","",학생명렬표!D187)</f>
        <v/>
      </c>
      <c r="E188" s="21" t="str">
        <f>IF(F188="O",'1_교과이수내용'!F188&amp;$D$1,"")&amp;IF(G188="O",'2_지적성장과정'!F188&amp;$D$1,"")&amp;IF(H188="O",'3_학업성취도'!F188&amp;$D$1,"")&amp;IF(I188="O",'4_태도'!F188&amp;$D$1,"")&amp;IF(J188="O",'5_적극성'!F188&amp;$D$1,"")&amp;IF(K188="O",'6_지적호기심'!F188&amp;$D$1,"")&amp;IF(L188="O",'7_특별한관심'!F188&amp;$D$1,"")&amp;IF(M188="O",'8_탁월한능력'!F188&amp;$D$1,"")&amp;IF(N188="O",'9_탐구활동'!F188&amp;$D$1,"")&amp;IF(O188="O",'10_진로관련사항'!F188&amp;$D$1,"")&amp;IF(P188="O",'11_프로젝트활동'!F188&amp;$D$1,"")</f>
        <v/>
      </c>
      <c r="F188" s="23" t="str">
        <f>IF('1_교과이수내용'!E188&gt;0,"O","X")</f>
        <v>X</v>
      </c>
      <c r="G188" s="23" t="str">
        <f>IF('2_지적성장과정'!E188&gt;0,"O","X")</f>
        <v>X</v>
      </c>
      <c r="H188" s="23" t="str">
        <f>IF('3_학업성취도'!E188&gt;0,"O","X")</f>
        <v>X</v>
      </c>
      <c r="I188" s="23" t="str">
        <f>IF('4_태도'!E188&gt;0,"O","X")</f>
        <v>X</v>
      </c>
      <c r="J188" s="23" t="str">
        <f>IF('5_적극성'!E188&gt;0,"O","X")</f>
        <v>X</v>
      </c>
      <c r="K188" s="23" t="str">
        <f>IF('6_지적호기심'!E188&gt;0,"O","X")</f>
        <v>X</v>
      </c>
      <c r="L188" s="23" t="str">
        <f>IF('7_특별한관심'!E188&gt;0,"O","X")</f>
        <v>X</v>
      </c>
      <c r="M188" s="23" t="str">
        <f>IF('8_탁월한능력'!E188&gt;0,"O","X")</f>
        <v>X</v>
      </c>
      <c r="N188" s="23" t="str">
        <f>IF('9_탐구활동'!E188&gt;0,"O","X")</f>
        <v>X</v>
      </c>
      <c r="O188" s="41" t="str">
        <f>IF('10_진로관련사항'!E188&gt;0,"O","X")</f>
        <v>X</v>
      </c>
      <c r="P188" s="23" t="str">
        <f>IF('11_프로젝트활동'!E188&gt;0,"O","X")</f>
        <v>X</v>
      </c>
    </row>
    <row r="189" spans="1:16">
      <c r="A189" s="9" t="str">
        <f>IF(학생명렬표!A188="","",학생명렬표!A188)</f>
        <v/>
      </c>
      <c r="B189" s="23" t="str">
        <f>IF(학생명렬표!B188="","",학생명렬표!B188)</f>
        <v/>
      </c>
      <c r="C189" s="23" t="str">
        <f>IF(학생명렬표!C188="","",학생명렬표!C188)</f>
        <v/>
      </c>
      <c r="D189" s="23" t="str">
        <f>IF(학생명렬표!D188="","",학생명렬표!D188)</f>
        <v/>
      </c>
      <c r="E189" s="21" t="str">
        <f>IF(F189="O",'1_교과이수내용'!F189&amp;$D$1,"")&amp;IF(G189="O",'2_지적성장과정'!F189&amp;$D$1,"")&amp;IF(H189="O",'3_학업성취도'!F189&amp;$D$1,"")&amp;IF(I189="O",'4_태도'!F189&amp;$D$1,"")&amp;IF(J189="O",'5_적극성'!F189&amp;$D$1,"")&amp;IF(K189="O",'6_지적호기심'!F189&amp;$D$1,"")&amp;IF(L189="O",'7_특별한관심'!F189&amp;$D$1,"")&amp;IF(M189="O",'8_탁월한능력'!F189&amp;$D$1,"")&amp;IF(N189="O",'9_탐구활동'!F189&amp;$D$1,"")&amp;IF(O189="O",'10_진로관련사항'!F189&amp;$D$1,"")&amp;IF(P189="O",'11_프로젝트활동'!F189&amp;$D$1,"")</f>
        <v/>
      </c>
      <c r="F189" s="23" t="str">
        <f>IF('1_교과이수내용'!E189&gt;0,"O","X")</f>
        <v>X</v>
      </c>
      <c r="G189" s="23" t="str">
        <f>IF('2_지적성장과정'!E189&gt;0,"O","X")</f>
        <v>X</v>
      </c>
      <c r="H189" s="23" t="str">
        <f>IF('3_학업성취도'!E189&gt;0,"O","X")</f>
        <v>X</v>
      </c>
      <c r="I189" s="23" t="str">
        <f>IF('4_태도'!E189&gt;0,"O","X")</f>
        <v>X</v>
      </c>
      <c r="J189" s="23" t="str">
        <f>IF('5_적극성'!E189&gt;0,"O","X")</f>
        <v>X</v>
      </c>
      <c r="K189" s="23" t="str">
        <f>IF('6_지적호기심'!E189&gt;0,"O","X")</f>
        <v>X</v>
      </c>
      <c r="L189" s="23" t="str">
        <f>IF('7_특별한관심'!E189&gt;0,"O","X")</f>
        <v>X</v>
      </c>
      <c r="M189" s="23" t="str">
        <f>IF('8_탁월한능력'!E189&gt;0,"O","X")</f>
        <v>X</v>
      </c>
      <c r="N189" s="23" t="str">
        <f>IF('9_탐구활동'!E189&gt;0,"O","X")</f>
        <v>X</v>
      </c>
      <c r="O189" s="41" t="str">
        <f>IF('10_진로관련사항'!E189&gt;0,"O","X")</f>
        <v>X</v>
      </c>
      <c r="P189" s="23" t="str">
        <f>IF('11_프로젝트활동'!E189&gt;0,"O","X")</f>
        <v>X</v>
      </c>
    </row>
    <row r="190" spans="1:16">
      <c r="A190" s="9" t="str">
        <f>IF(학생명렬표!A189="","",학생명렬표!A189)</f>
        <v/>
      </c>
      <c r="B190" s="23" t="str">
        <f>IF(학생명렬표!B189="","",학생명렬표!B189)</f>
        <v/>
      </c>
      <c r="C190" s="23" t="str">
        <f>IF(학생명렬표!C189="","",학생명렬표!C189)</f>
        <v/>
      </c>
      <c r="D190" s="23" t="str">
        <f>IF(학생명렬표!D189="","",학생명렬표!D189)</f>
        <v/>
      </c>
      <c r="E190" s="21" t="str">
        <f>IF(F190="O",'1_교과이수내용'!F190&amp;$D$1,"")&amp;IF(G190="O",'2_지적성장과정'!F190&amp;$D$1,"")&amp;IF(H190="O",'3_학업성취도'!F190&amp;$D$1,"")&amp;IF(I190="O",'4_태도'!F190&amp;$D$1,"")&amp;IF(J190="O",'5_적극성'!F190&amp;$D$1,"")&amp;IF(K190="O",'6_지적호기심'!F190&amp;$D$1,"")&amp;IF(L190="O",'7_특별한관심'!F190&amp;$D$1,"")&amp;IF(M190="O",'8_탁월한능력'!F190&amp;$D$1,"")&amp;IF(N190="O",'9_탐구활동'!F190&amp;$D$1,"")&amp;IF(O190="O",'10_진로관련사항'!F190&amp;$D$1,"")&amp;IF(P190="O",'11_프로젝트활동'!F190&amp;$D$1,"")</f>
        <v/>
      </c>
      <c r="F190" s="23" t="str">
        <f>IF('1_교과이수내용'!E190&gt;0,"O","X")</f>
        <v>X</v>
      </c>
      <c r="G190" s="23" t="str">
        <f>IF('2_지적성장과정'!E190&gt;0,"O","X")</f>
        <v>X</v>
      </c>
      <c r="H190" s="23" t="str">
        <f>IF('3_학업성취도'!E190&gt;0,"O","X")</f>
        <v>X</v>
      </c>
      <c r="I190" s="23" t="str">
        <f>IF('4_태도'!E190&gt;0,"O","X")</f>
        <v>X</v>
      </c>
      <c r="J190" s="23" t="str">
        <f>IF('5_적극성'!E190&gt;0,"O","X")</f>
        <v>X</v>
      </c>
      <c r="K190" s="23" t="str">
        <f>IF('6_지적호기심'!E190&gt;0,"O","X")</f>
        <v>X</v>
      </c>
      <c r="L190" s="23" t="str">
        <f>IF('7_특별한관심'!E190&gt;0,"O","X")</f>
        <v>X</v>
      </c>
      <c r="M190" s="23" t="str">
        <f>IF('8_탁월한능력'!E190&gt;0,"O","X")</f>
        <v>X</v>
      </c>
      <c r="N190" s="23" t="str">
        <f>IF('9_탐구활동'!E190&gt;0,"O","X")</f>
        <v>X</v>
      </c>
      <c r="O190" s="41" t="str">
        <f>IF('10_진로관련사항'!E190&gt;0,"O","X")</f>
        <v>X</v>
      </c>
      <c r="P190" s="23" t="str">
        <f>IF('11_프로젝트활동'!E190&gt;0,"O","X")</f>
        <v>X</v>
      </c>
    </row>
    <row r="191" spans="1:16">
      <c r="A191" s="9" t="str">
        <f>IF(학생명렬표!A190="","",학생명렬표!A190)</f>
        <v/>
      </c>
      <c r="B191" s="23" t="str">
        <f>IF(학생명렬표!B190="","",학생명렬표!B190)</f>
        <v/>
      </c>
      <c r="C191" s="23" t="str">
        <f>IF(학생명렬표!C190="","",학생명렬표!C190)</f>
        <v/>
      </c>
      <c r="D191" s="23" t="str">
        <f>IF(학생명렬표!D190="","",학생명렬표!D190)</f>
        <v/>
      </c>
      <c r="E191" s="21" t="str">
        <f>IF(F191="O",'1_교과이수내용'!F191&amp;$D$1,"")&amp;IF(G191="O",'2_지적성장과정'!F191&amp;$D$1,"")&amp;IF(H191="O",'3_학업성취도'!F191&amp;$D$1,"")&amp;IF(I191="O",'4_태도'!F191&amp;$D$1,"")&amp;IF(J191="O",'5_적극성'!F191&amp;$D$1,"")&amp;IF(K191="O",'6_지적호기심'!F191&amp;$D$1,"")&amp;IF(L191="O",'7_특별한관심'!F191&amp;$D$1,"")&amp;IF(M191="O",'8_탁월한능력'!F191&amp;$D$1,"")&amp;IF(N191="O",'9_탐구활동'!F191&amp;$D$1,"")&amp;IF(O191="O",'10_진로관련사항'!F191&amp;$D$1,"")&amp;IF(P191="O",'11_프로젝트활동'!F191&amp;$D$1,"")</f>
        <v/>
      </c>
      <c r="F191" s="23" t="str">
        <f>IF('1_교과이수내용'!E191&gt;0,"O","X")</f>
        <v>X</v>
      </c>
      <c r="G191" s="23" t="str">
        <f>IF('2_지적성장과정'!E191&gt;0,"O","X")</f>
        <v>X</v>
      </c>
      <c r="H191" s="23" t="str">
        <f>IF('3_학업성취도'!E191&gt;0,"O","X")</f>
        <v>X</v>
      </c>
      <c r="I191" s="23" t="str">
        <f>IF('4_태도'!E191&gt;0,"O","X")</f>
        <v>X</v>
      </c>
      <c r="J191" s="23" t="str">
        <f>IF('5_적극성'!E191&gt;0,"O","X")</f>
        <v>X</v>
      </c>
      <c r="K191" s="23" t="str">
        <f>IF('6_지적호기심'!E191&gt;0,"O","X")</f>
        <v>X</v>
      </c>
      <c r="L191" s="23" t="str">
        <f>IF('7_특별한관심'!E191&gt;0,"O","X")</f>
        <v>X</v>
      </c>
      <c r="M191" s="23" t="str">
        <f>IF('8_탁월한능력'!E191&gt;0,"O","X")</f>
        <v>X</v>
      </c>
      <c r="N191" s="23" t="str">
        <f>IF('9_탐구활동'!E191&gt;0,"O","X")</f>
        <v>X</v>
      </c>
      <c r="O191" s="41" t="str">
        <f>IF('10_진로관련사항'!E191&gt;0,"O","X")</f>
        <v>X</v>
      </c>
      <c r="P191" s="23" t="str">
        <f>IF('11_프로젝트활동'!E191&gt;0,"O","X")</f>
        <v>X</v>
      </c>
    </row>
    <row r="192" spans="1:16">
      <c r="A192" s="9" t="str">
        <f>IF(학생명렬표!A191="","",학생명렬표!A191)</f>
        <v/>
      </c>
      <c r="B192" s="23" t="str">
        <f>IF(학생명렬표!B191="","",학생명렬표!B191)</f>
        <v/>
      </c>
      <c r="C192" s="23" t="str">
        <f>IF(학생명렬표!C191="","",학생명렬표!C191)</f>
        <v/>
      </c>
      <c r="D192" s="23" t="str">
        <f>IF(학생명렬표!D191="","",학생명렬표!D191)</f>
        <v/>
      </c>
      <c r="E192" s="21" t="str">
        <f>IF(F192="O",'1_교과이수내용'!F192&amp;$D$1,"")&amp;IF(G192="O",'2_지적성장과정'!F192&amp;$D$1,"")&amp;IF(H192="O",'3_학업성취도'!F192&amp;$D$1,"")&amp;IF(I192="O",'4_태도'!F192&amp;$D$1,"")&amp;IF(J192="O",'5_적극성'!F192&amp;$D$1,"")&amp;IF(K192="O",'6_지적호기심'!F192&amp;$D$1,"")&amp;IF(L192="O",'7_특별한관심'!F192&amp;$D$1,"")&amp;IF(M192="O",'8_탁월한능력'!F192&amp;$D$1,"")&amp;IF(N192="O",'9_탐구활동'!F192&amp;$D$1,"")&amp;IF(O192="O",'10_진로관련사항'!F192&amp;$D$1,"")&amp;IF(P192="O",'11_프로젝트활동'!F192&amp;$D$1,"")</f>
        <v/>
      </c>
      <c r="F192" s="23" t="str">
        <f>IF('1_교과이수내용'!E192&gt;0,"O","X")</f>
        <v>X</v>
      </c>
      <c r="G192" s="23" t="str">
        <f>IF('2_지적성장과정'!E192&gt;0,"O","X")</f>
        <v>X</v>
      </c>
      <c r="H192" s="23" t="str">
        <f>IF('3_학업성취도'!E192&gt;0,"O","X")</f>
        <v>X</v>
      </c>
      <c r="I192" s="23" t="str">
        <f>IF('4_태도'!E192&gt;0,"O","X")</f>
        <v>X</v>
      </c>
      <c r="J192" s="23" t="str">
        <f>IF('5_적극성'!E192&gt;0,"O","X")</f>
        <v>X</v>
      </c>
      <c r="K192" s="23" t="str">
        <f>IF('6_지적호기심'!E192&gt;0,"O","X")</f>
        <v>X</v>
      </c>
      <c r="L192" s="23" t="str">
        <f>IF('7_특별한관심'!E192&gt;0,"O","X")</f>
        <v>X</v>
      </c>
      <c r="M192" s="23" t="str">
        <f>IF('8_탁월한능력'!E192&gt;0,"O","X")</f>
        <v>X</v>
      </c>
      <c r="N192" s="23" t="str">
        <f>IF('9_탐구활동'!E192&gt;0,"O","X")</f>
        <v>X</v>
      </c>
      <c r="O192" s="41" t="str">
        <f>IF('10_진로관련사항'!E192&gt;0,"O","X")</f>
        <v>X</v>
      </c>
      <c r="P192" s="23" t="str">
        <f>IF('11_프로젝트활동'!E192&gt;0,"O","X")</f>
        <v>X</v>
      </c>
    </row>
    <row r="193" spans="1:16">
      <c r="A193" s="9" t="str">
        <f>IF(학생명렬표!A192="","",학생명렬표!A192)</f>
        <v/>
      </c>
      <c r="B193" s="23" t="str">
        <f>IF(학생명렬표!B192="","",학생명렬표!B192)</f>
        <v/>
      </c>
      <c r="C193" s="23" t="str">
        <f>IF(학생명렬표!C192="","",학생명렬표!C192)</f>
        <v/>
      </c>
      <c r="D193" s="23" t="str">
        <f>IF(학생명렬표!D192="","",학생명렬표!D192)</f>
        <v/>
      </c>
      <c r="E193" s="21" t="str">
        <f>IF(F193="O",'1_교과이수내용'!F193&amp;$D$1,"")&amp;IF(G193="O",'2_지적성장과정'!F193&amp;$D$1,"")&amp;IF(H193="O",'3_학업성취도'!F193&amp;$D$1,"")&amp;IF(I193="O",'4_태도'!F193&amp;$D$1,"")&amp;IF(J193="O",'5_적극성'!F193&amp;$D$1,"")&amp;IF(K193="O",'6_지적호기심'!F193&amp;$D$1,"")&amp;IF(L193="O",'7_특별한관심'!F193&amp;$D$1,"")&amp;IF(M193="O",'8_탁월한능력'!F193&amp;$D$1,"")&amp;IF(N193="O",'9_탐구활동'!F193&amp;$D$1,"")&amp;IF(O193="O",'10_진로관련사항'!F193&amp;$D$1,"")&amp;IF(P193="O",'11_프로젝트활동'!F193&amp;$D$1,"")</f>
        <v/>
      </c>
      <c r="F193" s="23" t="str">
        <f>IF('1_교과이수내용'!E193&gt;0,"O","X")</f>
        <v>X</v>
      </c>
      <c r="G193" s="23" t="str">
        <f>IF('2_지적성장과정'!E193&gt;0,"O","X")</f>
        <v>X</v>
      </c>
      <c r="H193" s="23" t="str">
        <f>IF('3_학업성취도'!E193&gt;0,"O","X")</f>
        <v>X</v>
      </c>
      <c r="I193" s="23" t="str">
        <f>IF('4_태도'!E193&gt;0,"O","X")</f>
        <v>X</v>
      </c>
      <c r="J193" s="23" t="str">
        <f>IF('5_적극성'!E193&gt;0,"O","X")</f>
        <v>X</v>
      </c>
      <c r="K193" s="23" t="str">
        <f>IF('6_지적호기심'!E193&gt;0,"O","X")</f>
        <v>X</v>
      </c>
      <c r="L193" s="23" t="str">
        <f>IF('7_특별한관심'!E193&gt;0,"O","X")</f>
        <v>X</v>
      </c>
      <c r="M193" s="23" t="str">
        <f>IF('8_탁월한능력'!E193&gt;0,"O","X")</f>
        <v>X</v>
      </c>
      <c r="N193" s="23" t="str">
        <f>IF('9_탐구활동'!E193&gt;0,"O","X")</f>
        <v>X</v>
      </c>
      <c r="O193" s="41" t="str">
        <f>IF('10_진로관련사항'!E193&gt;0,"O","X")</f>
        <v>X</v>
      </c>
      <c r="P193" s="23" t="str">
        <f>IF('11_프로젝트활동'!E193&gt;0,"O","X")</f>
        <v>X</v>
      </c>
    </row>
    <row r="194" spans="1:16">
      <c r="A194" s="9" t="str">
        <f>IF(학생명렬표!A193="","",학생명렬표!A193)</f>
        <v/>
      </c>
      <c r="B194" s="23" t="str">
        <f>IF(학생명렬표!B193="","",학생명렬표!B193)</f>
        <v/>
      </c>
      <c r="C194" s="23" t="str">
        <f>IF(학생명렬표!C193="","",학생명렬표!C193)</f>
        <v/>
      </c>
      <c r="D194" s="23" t="str">
        <f>IF(학생명렬표!D193="","",학생명렬표!D193)</f>
        <v/>
      </c>
      <c r="E194" s="21" t="str">
        <f>IF(F194="O",'1_교과이수내용'!F194&amp;$D$1,"")&amp;IF(G194="O",'2_지적성장과정'!F194&amp;$D$1,"")&amp;IF(H194="O",'3_학업성취도'!F194&amp;$D$1,"")&amp;IF(I194="O",'4_태도'!F194&amp;$D$1,"")&amp;IF(J194="O",'5_적극성'!F194&amp;$D$1,"")&amp;IF(K194="O",'6_지적호기심'!F194&amp;$D$1,"")&amp;IF(L194="O",'7_특별한관심'!F194&amp;$D$1,"")&amp;IF(M194="O",'8_탁월한능력'!F194&amp;$D$1,"")&amp;IF(N194="O",'9_탐구활동'!F194&amp;$D$1,"")&amp;IF(O194="O",'10_진로관련사항'!F194&amp;$D$1,"")&amp;IF(P194="O",'11_프로젝트활동'!F194&amp;$D$1,"")</f>
        <v/>
      </c>
      <c r="F194" s="23" t="str">
        <f>IF('1_교과이수내용'!E194&gt;0,"O","X")</f>
        <v>X</v>
      </c>
      <c r="G194" s="23" t="str">
        <f>IF('2_지적성장과정'!E194&gt;0,"O","X")</f>
        <v>X</v>
      </c>
      <c r="H194" s="23" t="str">
        <f>IF('3_학업성취도'!E194&gt;0,"O","X")</f>
        <v>X</v>
      </c>
      <c r="I194" s="23" t="str">
        <f>IF('4_태도'!E194&gt;0,"O","X")</f>
        <v>X</v>
      </c>
      <c r="J194" s="23" t="str">
        <f>IF('5_적극성'!E194&gt;0,"O","X")</f>
        <v>X</v>
      </c>
      <c r="K194" s="23" t="str">
        <f>IF('6_지적호기심'!E194&gt;0,"O","X")</f>
        <v>X</v>
      </c>
      <c r="L194" s="23" t="str">
        <f>IF('7_특별한관심'!E194&gt;0,"O","X")</f>
        <v>X</v>
      </c>
      <c r="M194" s="23" t="str">
        <f>IF('8_탁월한능력'!E194&gt;0,"O","X")</f>
        <v>X</v>
      </c>
      <c r="N194" s="23" t="str">
        <f>IF('9_탐구활동'!E194&gt;0,"O","X")</f>
        <v>X</v>
      </c>
      <c r="O194" s="41" t="str">
        <f>IF('10_진로관련사항'!E194&gt;0,"O","X")</f>
        <v>X</v>
      </c>
      <c r="P194" s="23" t="str">
        <f>IF('11_프로젝트활동'!E194&gt;0,"O","X")</f>
        <v>X</v>
      </c>
    </row>
    <row r="195" spans="1:16">
      <c r="A195" s="9" t="str">
        <f>IF(학생명렬표!A194="","",학생명렬표!A194)</f>
        <v/>
      </c>
      <c r="B195" s="23" t="str">
        <f>IF(학생명렬표!B194="","",학생명렬표!B194)</f>
        <v/>
      </c>
      <c r="C195" s="23" t="str">
        <f>IF(학생명렬표!C194="","",학생명렬표!C194)</f>
        <v/>
      </c>
      <c r="D195" s="23" t="str">
        <f>IF(학생명렬표!D194="","",학생명렬표!D194)</f>
        <v/>
      </c>
      <c r="E195" s="21" t="str">
        <f>IF(F195="O",'1_교과이수내용'!F195&amp;$D$1,"")&amp;IF(G195="O",'2_지적성장과정'!F195&amp;$D$1,"")&amp;IF(H195="O",'3_학업성취도'!F195&amp;$D$1,"")&amp;IF(I195="O",'4_태도'!F195&amp;$D$1,"")&amp;IF(J195="O",'5_적극성'!F195&amp;$D$1,"")&amp;IF(K195="O",'6_지적호기심'!F195&amp;$D$1,"")&amp;IF(L195="O",'7_특별한관심'!F195&amp;$D$1,"")&amp;IF(M195="O",'8_탁월한능력'!F195&amp;$D$1,"")&amp;IF(N195="O",'9_탐구활동'!F195&amp;$D$1,"")&amp;IF(O195="O",'10_진로관련사항'!F195&amp;$D$1,"")&amp;IF(P195="O",'11_프로젝트활동'!F195&amp;$D$1,"")</f>
        <v/>
      </c>
      <c r="F195" s="23" t="str">
        <f>IF('1_교과이수내용'!E195&gt;0,"O","X")</f>
        <v>X</v>
      </c>
      <c r="G195" s="23" t="str">
        <f>IF('2_지적성장과정'!E195&gt;0,"O","X")</f>
        <v>X</v>
      </c>
      <c r="H195" s="23" t="str">
        <f>IF('3_학업성취도'!E195&gt;0,"O","X")</f>
        <v>X</v>
      </c>
      <c r="I195" s="23" t="str">
        <f>IF('4_태도'!E195&gt;0,"O","X")</f>
        <v>X</v>
      </c>
      <c r="J195" s="23" t="str">
        <f>IF('5_적극성'!E195&gt;0,"O","X")</f>
        <v>X</v>
      </c>
      <c r="K195" s="23" t="str">
        <f>IF('6_지적호기심'!E195&gt;0,"O","X")</f>
        <v>X</v>
      </c>
      <c r="L195" s="23" t="str">
        <f>IF('7_특별한관심'!E195&gt;0,"O","X")</f>
        <v>X</v>
      </c>
      <c r="M195" s="23" t="str">
        <f>IF('8_탁월한능력'!E195&gt;0,"O","X")</f>
        <v>X</v>
      </c>
      <c r="N195" s="23" t="str">
        <f>IF('9_탐구활동'!E195&gt;0,"O","X")</f>
        <v>X</v>
      </c>
      <c r="O195" s="41" t="str">
        <f>IF('10_진로관련사항'!E195&gt;0,"O","X")</f>
        <v>X</v>
      </c>
      <c r="P195" s="23" t="str">
        <f>IF('11_프로젝트활동'!E195&gt;0,"O","X")</f>
        <v>X</v>
      </c>
    </row>
    <row r="196" spans="1:16">
      <c r="A196" s="9" t="str">
        <f>IF(학생명렬표!A195="","",학생명렬표!A195)</f>
        <v/>
      </c>
      <c r="B196" s="23" t="str">
        <f>IF(학생명렬표!B195="","",학생명렬표!B195)</f>
        <v/>
      </c>
      <c r="C196" s="23" t="str">
        <f>IF(학생명렬표!C195="","",학생명렬표!C195)</f>
        <v/>
      </c>
      <c r="D196" s="23" t="str">
        <f>IF(학생명렬표!D195="","",학생명렬표!D195)</f>
        <v/>
      </c>
      <c r="E196" s="21" t="str">
        <f>IF(F196="O",'1_교과이수내용'!F196&amp;$D$1,"")&amp;IF(G196="O",'2_지적성장과정'!F196&amp;$D$1,"")&amp;IF(H196="O",'3_학업성취도'!F196&amp;$D$1,"")&amp;IF(I196="O",'4_태도'!F196&amp;$D$1,"")&amp;IF(J196="O",'5_적극성'!F196&amp;$D$1,"")&amp;IF(K196="O",'6_지적호기심'!F196&amp;$D$1,"")&amp;IF(L196="O",'7_특별한관심'!F196&amp;$D$1,"")&amp;IF(M196="O",'8_탁월한능력'!F196&amp;$D$1,"")&amp;IF(N196="O",'9_탐구활동'!F196&amp;$D$1,"")&amp;IF(O196="O",'10_진로관련사항'!F196&amp;$D$1,"")&amp;IF(P196="O",'11_프로젝트활동'!F196&amp;$D$1,"")</f>
        <v/>
      </c>
      <c r="F196" s="23" t="str">
        <f>IF('1_교과이수내용'!E196&gt;0,"O","X")</f>
        <v>X</v>
      </c>
      <c r="G196" s="23" t="str">
        <f>IF('2_지적성장과정'!E196&gt;0,"O","X")</f>
        <v>X</v>
      </c>
      <c r="H196" s="23" t="str">
        <f>IF('3_학업성취도'!E196&gt;0,"O","X")</f>
        <v>X</v>
      </c>
      <c r="I196" s="23" t="str">
        <f>IF('4_태도'!E196&gt;0,"O","X")</f>
        <v>X</v>
      </c>
      <c r="J196" s="23" t="str">
        <f>IF('5_적극성'!E196&gt;0,"O","X")</f>
        <v>X</v>
      </c>
      <c r="K196" s="23" t="str">
        <f>IF('6_지적호기심'!E196&gt;0,"O","X")</f>
        <v>X</v>
      </c>
      <c r="L196" s="23" t="str">
        <f>IF('7_특별한관심'!E196&gt;0,"O","X")</f>
        <v>X</v>
      </c>
      <c r="M196" s="23" t="str">
        <f>IF('8_탁월한능력'!E196&gt;0,"O","X")</f>
        <v>X</v>
      </c>
      <c r="N196" s="23" t="str">
        <f>IF('9_탐구활동'!E196&gt;0,"O","X")</f>
        <v>X</v>
      </c>
      <c r="O196" s="41" t="str">
        <f>IF('10_진로관련사항'!E196&gt;0,"O","X")</f>
        <v>X</v>
      </c>
      <c r="P196" s="23" t="str">
        <f>IF('11_프로젝트활동'!E196&gt;0,"O","X")</f>
        <v>X</v>
      </c>
    </row>
    <row r="197" spans="1:16">
      <c r="A197" s="9" t="str">
        <f>IF(학생명렬표!A196="","",학생명렬표!A196)</f>
        <v/>
      </c>
      <c r="B197" s="23" t="str">
        <f>IF(학생명렬표!B196="","",학생명렬표!B196)</f>
        <v/>
      </c>
      <c r="C197" s="23" t="str">
        <f>IF(학생명렬표!C196="","",학생명렬표!C196)</f>
        <v/>
      </c>
      <c r="D197" s="23" t="str">
        <f>IF(학생명렬표!D196="","",학생명렬표!D196)</f>
        <v/>
      </c>
      <c r="E197" s="21" t="str">
        <f>IF(F197="O",'1_교과이수내용'!F197&amp;$D$1,"")&amp;IF(G197="O",'2_지적성장과정'!F197&amp;$D$1,"")&amp;IF(H197="O",'3_학업성취도'!F197&amp;$D$1,"")&amp;IF(I197="O",'4_태도'!F197&amp;$D$1,"")&amp;IF(J197="O",'5_적극성'!F197&amp;$D$1,"")&amp;IF(K197="O",'6_지적호기심'!F197&amp;$D$1,"")&amp;IF(L197="O",'7_특별한관심'!F197&amp;$D$1,"")&amp;IF(M197="O",'8_탁월한능력'!F197&amp;$D$1,"")&amp;IF(N197="O",'9_탐구활동'!F197&amp;$D$1,"")&amp;IF(O197="O",'10_진로관련사항'!F197&amp;$D$1,"")&amp;IF(P197="O",'11_프로젝트활동'!F197&amp;$D$1,"")</f>
        <v/>
      </c>
      <c r="F197" s="23" t="str">
        <f>IF('1_교과이수내용'!E197&gt;0,"O","X")</f>
        <v>X</v>
      </c>
      <c r="G197" s="23" t="str">
        <f>IF('2_지적성장과정'!E197&gt;0,"O","X")</f>
        <v>X</v>
      </c>
      <c r="H197" s="23" t="str">
        <f>IF('3_학업성취도'!E197&gt;0,"O","X")</f>
        <v>X</v>
      </c>
      <c r="I197" s="23" t="str">
        <f>IF('4_태도'!E197&gt;0,"O","X")</f>
        <v>X</v>
      </c>
      <c r="J197" s="23" t="str">
        <f>IF('5_적극성'!E197&gt;0,"O","X")</f>
        <v>X</v>
      </c>
      <c r="K197" s="23" t="str">
        <f>IF('6_지적호기심'!E197&gt;0,"O","X")</f>
        <v>X</v>
      </c>
      <c r="L197" s="23" t="str">
        <f>IF('7_특별한관심'!E197&gt;0,"O","X")</f>
        <v>X</v>
      </c>
      <c r="M197" s="23" t="str">
        <f>IF('8_탁월한능력'!E197&gt;0,"O","X")</f>
        <v>X</v>
      </c>
      <c r="N197" s="23" t="str">
        <f>IF('9_탐구활동'!E197&gt;0,"O","X")</f>
        <v>X</v>
      </c>
      <c r="O197" s="41" t="str">
        <f>IF('10_진로관련사항'!E197&gt;0,"O","X")</f>
        <v>X</v>
      </c>
      <c r="P197" s="23" t="str">
        <f>IF('11_프로젝트활동'!E197&gt;0,"O","X")</f>
        <v>X</v>
      </c>
    </row>
    <row r="198" spans="1:16">
      <c r="A198" s="9" t="str">
        <f>IF(학생명렬표!A197="","",학생명렬표!A197)</f>
        <v/>
      </c>
      <c r="B198" s="23" t="str">
        <f>IF(학생명렬표!B197="","",학생명렬표!B197)</f>
        <v/>
      </c>
      <c r="C198" s="23" t="str">
        <f>IF(학생명렬표!C197="","",학생명렬표!C197)</f>
        <v/>
      </c>
      <c r="D198" s="23" t="str">
        <f>IF(학생명렬표!D197="","",학생명렬표!D197)</f>
        <v/>
      </c>
      <c r="E198" s="21" t="str">
        <f>IF(F198="O",'1_교과이수내용'!F198&amp;$D$1,"")&amp;IF(G198="O",'2_지적성장과정'!F198&amp;$D$1,"")&amp;IF(H198="O",'3_학업성취도'!F198&amp;$D$1,"")&amp;IF(I198="O",'4_태도'!F198&amp;$D$1,"")&amp;IF(J198="O",'5_적극성'!F198&amp;$D$1,"")&amp;IF(K198="O",'6_지적호기심'!F198&amp;$D$1,"")&amp;IF(L198="O",'7_특별한관심'!F198&amp;$D$1,"")&amp;IF(M198="O",'8_탁월한능력'!F198&amp;$D$1,"")&amp;IF(N198="O",'9_탐구활동'!F198&amp;$D$1,"")&amp;IF(O198="O",'10_진로관련사항'!F198&amp;$D$1,"")&amp;IF(P198="O",'11_프로젝트활동'!F198&amp;$D$1,"")</f>
        <v/>
      </c>
      <c r="F198" s="23" t="str">
        <f>IF('1_교과이수내용'!E198&gt;0,"O","X")</f>
        <v>X</v>
      </c>
      <c r="G198" s="23" t="str">
        <f>IF('2_지적성장과정'!E198&gt;0,"O","X")</f>
        <v>X</v>
      </c>
      <c r="H198" s="23" t="str">
        <f>IF('3_학업성취도'!E198&gt;0,"O","X")</f>
        <v>X</v>
      </c>
      <c r="I198" s="23" t="str">
        <f>IF('4_태도'!E198&gt;0,"O","X")</f>
        <v>X</v>
      </c>
      <c r="J198" s="23" t="str">
        <f>IF('5_적극성'!E198&gt;0,"O","X")</f>
        <v>X</v>
      </c>
      <c r="K198" s="23" t="str">
        <f>IF('6_지적호기심'!E198&gt;0,"O","X")</f>
        <v>X</v>
      </c>
      <c r="L198" s="23" t="str">
        <f>IF('7_특별한관심'!E198&gt;0,"O","X")</f>
        <v>X</v>
      </c>
      <c r="M198" s="23" t="str">
        <f>IF('8_탁월한능력'!E198&gt;0,"O","X")</f>
        <v>X</v>
      </c>
      <c r="N198" s="23" t="str">
        <f>IF('9_탐구활동'!E198&gt;0,"O","X")</f>
        <v>X</v>
      </c>
      <c r="O198" s="41" t="str">
        <f>IF('10_진로관련사항'!E198&gt;0,"O","X")</f>
        <v>X</v>
      </c>
      <c r="P198" s="23" t="str">
        <f>IF('11_프로젝트활동'!E198&gt;0,"O","X")</f>
        <v>X</v>
      </c>
    </row>
    <row r="199" spans="1:16">
      <c r="A199" s="9" t="str">
        <f>IF(학생명렬표!A198="","",학생명렬표!A198)</f>
        <v/>
      </c>
      <c r="B199" s="23" t="str">
        <f>IF(학생명렬표!B198="","",학생명렬표!B198)</f>
        <v/>
      </c>
      <c r="C199" s="23" t="str">
        <f>IF(학생명렬표!C198="","",학생명렬표!C198)</f>
        <v/>
      </c>
      <c r="D199" s="23" t="str">
        <f>IF(학생명렬표!D198="","",학생명렬표!D198)</f>
        <v/>
      </c>
      <c r="E199" s="21" t="str">
        <f>IF(F199="O",'1_교과이수내용'!F199&amp;$D$1,"")&amp;IF(G199="O",'2_지적성장과정'!F199&amp;$D$1,"")&amp;IF(H199="O",'3_학업성취도'!F199&amp;$D$1,"")&amp;IF(I199="O",'4_태도'!F199&amp;$D$1,"")&amp;IF(J199="O",'5_적극성'!F199&amp;$D$1,"")&amp;IF(K199="O",'6_지적호기심'!F199&amp;$D$1,"")&amp;IF(L199="O",'7_특별한관심'!F199&amp;$D$1,"")&amp;IF(M199="O",'8_탁월한능력'!F199&amp;$D$1,"")&amp;IF(N199="O",'9_탐구활동'!F199&amp;$D$1,"")&amp;IF(O199="O",'10_진로관련사항'!F199&amp;$D$1,"")&amp;IF(P199="O",'11_프로젝트활동'!F199&amp;$D$1,"")</f>
        <v/>
      </c>
      <c r="F199" s="23" t="str">
        <f>IF('1_교과이수내용'!E199&gt;0,"O","X")</f>
        <v>X</v>
      </c>
      <c r="G199" s="23" t="str">
        <f>IF('2_지적성장과정'!E199&gt;0,"O","X")</f>
        <v>X</v>
      </c>
      <c r="H199" s="23" t="str">
        <f>IF('3_학업성취도'!E199&gt;0,"O","X")</f>
        <v>X</v>
      </c>
      <c r="I199" s="23" t="str">
        <f>IF('4_태도'!E199&gt;0,"O","X")</f>
        <v>X</v>
      </c>
      <c r="J199" s="23" t="str">
        <f>IF('5_적극성'!E199&gt;0,"O","X")</f>
        <v>X</v>
      </c>
      <c r="K199" s="23" t="str">
        <f>IF('6_지적호기심'!E199&gt;0,"O","X")</f>
        <v>X</v>
      </c>
      <c r="L199" s="23" t="str">
        <f>IF('7_특별한관심'!E199&gt;0,"O","X")</f>
        <v>X</v>
      </c>
      <c r="M199" s="23" t="str">
        <f>IF('8_탁월한능력'!E199&gt;0,"O","X")</f>
        <v>X</v>
      </c>
      <c r="N199" s="23" t="str">
        <f>IF('9_탐구활동'!E199&gt;0,"O","X")</f>
        <v>X</v>
      </c>
      <c r="O199" s="41" t="str">
        <f>IF('10_진로관련사항'!E199&gt;0,"O","X")</f>
        <v>X</v>
      </c>
      <c r="P199" s="23" t="str">
        <f>IF('11_프로젝트활동'!E199&gt;0,"O","X")</f>
        <v>X</v>
      </c>
    </row>
    <row r="200" spans="1:16">
      <c r="A200" s="9" t="str">
        <f>IF(학생명렬표!A199="","",학생명렬표!A199)</f>
        <v/>
      </c>
      <c r="B200" s="23" t="str">
        <f>IF(학생명렬표!B199="","",학생명렬표!B199)</f>
        <v/>
      </c>
      <c r="C200" s="23" t="str">
        <f>IF(학생명렬표!C199="","",학생명렬표!C199)</f>
        <v/>
      </c>
      <c r="D200" s="23" t="str">
        <f>IF(학생명렬표!D199="","",학생명렬표!D199)</f>
        <v/>
      </c>
      <c r="E200" s="21" t="str">
        <f>IF(F200="O",'1_교과이수내용'!F200&amp;$D$1,"")&amp;IF(G200="O",'2_지적성장과정'!F200&amp;$D$1,"")&amp;IF(H200="O",'3_학업성취도'!F200&amp;$D$1,"")&amp;IF(I200="O",'4_태도'!F200&amp;$D$1,"")&amp;IF(J200="O",'5_적극성'!F200&amp;$D$1,"")&amp;IF(K200="O",'6_지적호기심'!F200&amp;$D$1,"")&amp;IF(L200="O",'7_특별한관심'!F200&amp;$D$1,"")&amp;IF(M200="O",'8_탁월한능력'!F200&amp;$D$1,"")&amp;IF(N200="O",'9_탐구활동'!F200&amp;$D$1,"")&amp;IF(O200="O",'10_진로관련사항'!F200&amp;$D$1,"")&amp;IF(P200="O",'11_프로젝트활동'!F200&amp;$D$1,"")</f>
        <v/>
      </c>
      <c r="F200" s="23" t="str">
        <f>IF('1_교과이수내용'!E200&gt;0,"O","X")</f>
        <v>X</v>
      </c>
      <c r="G200" s="23" t="str">
        <f>IF('2_지적성장과정'!E200&gt;0,"O","X")</f>
        <v>X</v>
      </c>
      <c r="H200" s="23" t="str">
        <f>IF('3_학업성취도'!E200&gt;0,"O","X")</f>
        <v>X</v>
      </c>
      <c r="I200" s="23" t="str">
        <f>IF('4_태도'!E200&gt;0,"O","X")</f>
        <v>X</v>
      </c>
      <c r="J200" s="23" t="str">
        <f>IF('5_적극성'!E200&gt;0,"O","X")</f>
        <v>X</v>
      </c>
      <c r="K200" s="23" t="str">
        <f>IF('6_지적호기심'!E200&gt;0,"O","X")</f>
        <v>X</v>
      </c>
      <c r="L200" s="23" t="str">
        <f>IF('7_특별한관심'!E200&gt;0,"O","X")</f>
        <v>X</v>
      </c>
      <c r="M200" s="23" t="str">
        <f>IF('8_탁월한능력'!E200&gt;0,"O","X")</f>
        <v>X</v>
      </c>
      <c r="N200" s="23" t="str">
        <f>IF('9_탐구활동'!E200&gt;0,"O","X")</f>
        <v>X</v>
      </c>
      <c r="O200" s="41" t="str">
        <f>IF('10_진로관련사항'!E200&gt;0,"O","X")</f>
        <v>X</v>
      </c>
      <c r="P200" s="23" t="str">
        <f>IF('11_프로젝트활동'!E200&gt;0,"O","X")</f>
        <v>X</v>
      </c>
    </row>
    <row r="201" spans="1:16">
      <c r="A201" s="9" t="str">
        <f>IF(학생명렬표!A200="","",학생명렬표!A200)</f>
        <v/>
      </c>
      <c r="B201" s="23" t="str">
        <f>IF(학생명렬표!B200="","",학생명렬표!B200)</f>
        <v/>
      </c>
      <c r="C201" s="23" t="str">
        <f>IF(학생명렬표!C200="","",학생명렬표!C200)</f>
        <v/>
      </c>
      <c r="D201" s="23" t="str">
        <f>IF(학생명렬표!D200="","",학생명렬표!D200)</f>
        <v/>
      </c>
      <c r="E201" s="21" t="str">
        <f>IF(F201="O",'1_교과이수내용'!F201&amp;$D$1,"")&amp;IF(G201="O",'2_지적성장과정'!F201&amp;$D$1,"")&amp;IF(H201="O",'3_학업성취도'!F201&amp;$D$1,"")&amp;IF(I201="O",'4_태도'!F201&amp;$D$1,"")&amp;IF(J201="O",'5_적극성'!F201&amp;$D$1,"")&amp;IF(K201="O",'6_지적호기심'!F201&amp;$D$1,"")&amp;IF(L201="O",'7_특별한관심'!F201&amp;$D$1,"")&amp;IF(M201="O",'8_탁월한능력'!F201&amp;$D$1,"")&amp;IF(N201="O",'9_탐구활동'!F201&amp;$D$1,"")&amp;IF(O201="O",'10_진로관련사항'!F201&amp;$D$1,"")&amp;IF(P201="O",'11_프로젝트활동'!F201&amp;$D$1,"")</f>
        <v/>
      </c>
      <c r="F201" s="23" t="str">
        <f>IF('1_교과이수내용'!E201&gt;0,"O","X")</f>
        <v>X</v>
      </c>
      <c r="G201" s="23" t="str">
        <f>IF('2_지적성장과정'!E201&gt;0,"O","X")</f>
        <v>X</v>
      </c>
      <c r="H201" s="23" t="str">
        <f>IF('3_학업성취도'!E201&gt;0,"O","X")</f>
        <v>X</v>
      </c>
      <c r="I201" s="23" t="str">
        <f>IF('4_태도'!E201&gt;0,"O","X")</f>
        <v>X</v>
      </c>
      <c r="J201" s="23" t="str">
        <f>IF('5_적극성'!E201&gt;0,"O","X")</f>
        <v>X</v>
      </c>
      <c r="K201" s="23" t="str">
        <f>IF('6_지적호기심'!E201&gt;0,"O","X")</f>
        <v>X</v>
      </c>
      <c r="L201" s="23" t="str">
        <f>IF('7_특별한관심'!E201&gt;0,"O","X")</f>
        <v>X</v>
      </c>
      <c r="M201" s="23" t="str">
        <f>IF('8_탁월한능력'!E201&gt;0,"O","X")</f>
        <v>X</v>
      </c>
      <c r="N201" s="23" t="str">
        <f>IF('9_탐구활동'!E201&gt;0,"O","X")</f>
        <v>X</v>
      </c>
      <c r="O201" s="41" t="str">
        <f>IF('10_진로관련사항'!E201&gt;0,"O","X")</f>
        <v>X</v>
      </c>
      <c r="P201" s="23" t="str">
        <f>IF('11_프로젝트활동'!E201&gt;0,"O","X")</f>
        <v>X</v>
      </c>
    </row>
    <row r="202" spans="1:16">
      <c r="A202" s="9" t="str">
        <f>IF(학생명렬표!A201="","",학생명렬표!A201)</f>
        <v/>
      </c>
      <c r="B202" s="22" t="str">
        <f>IF(학생명렬표!B201="","",학생명렬표!B201)</f>
        <v/>
      </c>
      <c r="C202" s="22" t="str">
        <f>IF(학생명렬표!C201="","",학생명렬표!C201)</f>
        <v/>
      </c>
      <c r="D202" s="22" t="str">
        <f>IF(학생명렬표!D201="","",학생명렬표!D201)</f>
        <v/>
      </c>
      <c r="E202" s="21" t="str">
        <f>IF(F202="O",'1_교과이수내용'!F202&amp;$D$1,"")&amp;IF(G202="O",'2_지적성장과정'!F202&amp;$D$1,"")&amp;IF(H202="O",'3_학업성취도'!F202&amp;$D$1,"")&amp;IF(I202="O",'4_태도'!F202&amp;$D$1,"")&amp;IF(J202="O",'5_적극성'!F202&amp;$D$1,"")&amp;IF(K202="O",'6_지적호기심'!F202&amp;$D$1,"")&amp;IF(L202="O",'7_특별한관심'!F202&amp;$D$1,"")&amp;IF(M202="O",'8_탁월한능력'!F202&amp;$D$1,"")&amp;IF(N202="O",'9_탐구활동'!F202&amp;$D$1,"")&amp;IF(O202="O",'10_진로관련사항'!F202&amp;$D$1,"")&amp;IF(P202="O",'11_프로젝트활동'!F202&amp;$D$1,"")</f>
        <v/>
      </c>
      <c r="F202" s="23" t="str">
        <f>IF('1_교과이수내용'!E202&gt;0,"O","X")</f>
        <v>X</v>
      </c>
      <c r="G202" s="23" t="str">
        <f>IF('2_지적성장과정'!E202&gt;0,"O","X")</f>
        <v>X</v>
      </c>
      <c r="H202" s="23" t="str">
        <f>IF('3_학업성취도'!E202&gt;0,"O","X")</f>
        <v>X</v>
      </c>
      <c r="I202" s="23" t="str">
        <f>IF('4_태도'!E202&gt;0,"O","X")</f>
        <v>X</v>
      </c>
      <c r="J202" s="23" t="str">
        <f>IF('5_적극성'!E202&gt;0,"O","X")</f>
        <v>X</v>
      </c>
      <c r="K202" s="23" t="str">
        <f>IF('6_지적호기심'!E202&gt;0,"O","X")</f>
        <v>X</v>
      </c>
      <c r="L202" s="23" t="str">
        <f>IF('7_특별한관심'!E202&gt;0,"O","X")</f>
        <v>X</v>
      </c>
      <c r="M202" s="23" t="str">
        <f>IF('8_탁월한능력'!E202&gt;0,"O","X")</f>
        <v>X</v>
      </c>
      <c r="N202" s="23" t="str">
        <f>IF('9_탐구활동'!E202&gt;0,"O","X")</f>
        <v>X</v>
      </c>
      <c r="O202" s="41" t="str">
        <f>IF('10_진로관련사항'!E202&gt;0,"O","X")</f>
        <v>X</v>
      </c>
      <c r="P202" s="23" t="str">
        <f>IF('11_프로젝트활동'!E202&gt;0,"O","X")</f>
        <v>X</v>
      </c>
    </row>
    <row r="203" spans="1:16">
      <c r="E203" s="21" t="str">
        <f>IF(F203="O",'1_교과이수내용'!F203&amp;$D$1,"")&amp;IF(G203="O",'2_지적성장과정'!F203&amp;$D$1,"")&amp;IF(H203="O",'3_학업성취도'!F203&amp;$D$1,"")&amp;IF(I203="O",'4_태도'!F203&amp;$D$1,"")&amp;IF(J203="O",'5_적극성'!F203&amp;$D$1,"")&amp;IF(K203="O",'6_지적호기심'!F203&amp;$D$1,"")&amp;IF(L203="O",'7_특별한관심'!F203&amp;$D$1,"")&amp;IF(M203="O",'8_탁월한능력'!F203&amp;$D$1,"")&amp;IF(N203="O",'9_탐구활동'!F203&amp;$D$1,"")&amp;IF(O203="O",'10_진로관련사항'!F203&amp;$D$1,"")&amp;IF(P203="O",'11_프로젝트활동'!F203&amp;$D$1,"")</f>
        <v/>
      </c>
    </row>
  </sheetData>
  <mergeCells count="1">
    <mergeCell ref="F1:P1"/>
  </mergeCells>
  <phoneticPr fontId="1" type="noConversion"/>
  <conditionalFormatting sqref="F3:P202">
    <cfRule type="cellIs" dxfId="0" priority="2" operator="equal">
      <formula>"O"</formula>
    </cfRule>
    <cfRule type="cellIs" dxfId="1" priority="1" operator="equal">
      <formula>"X"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AC044-E38A-4A7B-B6FC-35F96781B405}">
  <sheetPr codeName="Sheet14">
    <tabColor theme="5"/>
  </sheetPr>
  <dimension ref="A1:K509"/>
  <sheetViews>
    <sheetView tabSelected="1" workbookViewId="0">
      <pane ySplit="1" topLeftCell="A2" activePane="bottomLeft" state="frozen"/>
      <selection pane="bottomLeft" activeCell="D10" sqref="D10"/>
    </sheetView>
  </sheetViews>
  <sheetFormatPr defaultRowHeight="16.5"/>
  <cols>
    <col min="1" max="1" width="14.5" style="10" customWidth="1"/>
    <col min="2" max="2" width="5.5" style="10" bestFit="1" customWidth="1"/>
    <col min="3" max="3" width="9" style="10"/>
    <col min="4" max="4" width="150.625" style="16" customWidth="1"/>
    <col min="5" max="5" width="9" style="7"/>
    <col min="6" max="6" width="13" style="37" bestFit="1" customWidth="1"/>
    <col min="7" max="7" width="9" style="29"/>
    <col min="8" max="8" width="9" style="37" hidden="1" customWidth="1"/>
    <col min="9" max="9" width="11" style="37" hidden="1" customWidth="1"/>
    <col min="10" max="10" width="6.625" style="37" hidden="1" customWidth="1"/>
    <col min="11" max="11" width="200.625" style="37" hidden="1" customWidth="1"/>
    <col min="12" max="16384" width="9" style="7"/>
  </cols>
  <sheetData>
    <row r="1" spans="1:11">
      <c r="A1" s="32" t="s">
        <v>24</v>
      </c>
      <c r="B1" s="32" t="s">
        <v>27</v>
      </c>
      <c r="C1" s="32" t="s">
        <v>159</v>
      </c>
      <c r="D1" s="32" t="s">
        <v>25</v>
      </c>
      <c r="F1" s="35" t="s">
        <v>168</v>
      </c>
      <c r="H1" s="39" t="s">
        <v>51</v>
      </c>
      <c r="I1" s="39" t="s">
        <v>24</v>
      </c>
      <c r="J1" s="39" t="s">
        <v>27</v>
      </c>
    </row>
    <row r="2" spans="1:11">
      <c r="A2" s="33" t="s">
        <v>29</v>
      </c>
      <c r="B2" s="33">
        <v>2</v>
      </c>
      <c r="C2" s="33" t="s">
        <v>160</v>
      </c>
      <c r="D2" s="34" t="s">
        <v>173</v>
      </c>
      <c r="F2" s="33" t="s">
        <v>29</v>
      </c>
      <c r="H2" s="33">
        <f>COUNTA(D:D)</f>
        <v>21</v>
      </c>
      <c r="I2" s="33" t="s">
        <v>166</v>
      </c>
      <c r="J2" s="33">
        <v>1</v>
      </c>
    </row>
    <row r="3" spans="1:11">
      <c r="A3" s="33" t="s">
        <v>29</v>
      </c>
      <c r="B3" s="33">
        <v>1</v>
      </c>
      <c r="C3" s="33" t="s">
        <v>161</v>
      </c>
      <c r="D3" s="34" t="s">
        <v>184</v>
      </c>
      <c r="F3" s="33" t="s">
        <v>34</v>
      </c>
    </row>
    <row r="4" spans="1:11">
      <c r="A4" s="33" t="s">
        <v>34</v>
      </c>
      <c r="B4" s="33">
        <v>1</v>
      </c>
      <c r="C4" s="33" t="s">
        <v>162</v>
      </c>
      <c r="D4" s="34" t="s">
        <v>44</v>
      </c>
      <c r="F4" s="33" t="s">
        <v>31</v>
      </c>
      <c r="I4" s="39" t="s">
        <v>24</v>
      </c>
      <c r="J4" s="39" t="s">
        <v>27</v>
      </c>
      <c r="K4" s="40" t="s">
        <v>25</v>
      </c>
    </row>
    <row r="5" spans="1:11">
      <c r="A5" s="33" t="s">
        <v>31</v>
      </c>
      <c r="B5" s="33">
        <v>1</v>
      </c>
      <c r="C5" s="33" t="s">
        <v>163</v>
      </c>
      <c r="D5" s="34" t="s">
        <v>174</v>
      </c>
      <c r="F5" s="33" t="s">
        <v>35</v>
      </c>
      <c r="I5" s="33" t="s">
        <v>29</v>
      </c>
      <c r="J5" s="33">
        <v>1</v>
      </c>
      <c r="K5" s="34" t="s">
        <v>184</v>
      </c>
    </row>
    <row r="6" spans="1:11">
      <c r="A6" s="33" t="s">
        <v>35</v>
      </c>
      <c r="B6" s="33">
        <v>2</v>
      </c>
      <c r="C6" s="33" t="s">
        <v>164</v>
      </c>
      <c r="D6" s="34" t="s">
        <v>45</v>
      </c>
      <c r="F6" s="33" t="s">
        <v>39</v>
      </c>
      <c r="I6"/>
      <c r="J6"/>
      <c r="K6"/>
    </row>
    <row r="7" spans="1:11">
      <c r="A7" s="33" t="s">
        <v>35</v>
      </c>
      <c r="B7" s="33">
        <v>1</v>
      </c>
      <c r="C7" s="33"/>
      <c r="D7" s="34" t="s">
        <v>45</v>
      </c>
      <c r="F7" s="33" t="s">
        <v>153</v>
      </c>
      <c r="I7"/>
      <c r="J7"/>
      <c r="K7"/>
    </row>
    <row r="8" spans="1:11">
      <c r="A8" s="33" t="s">
        <v>39</v>
      </c>
      <c r="B8" s="33">
        <v>2</v>
      </c>
      <c r="C8" s="33"/>
      <c r="D8" s="34" t="s">
        <v>48</v>
      </c>
      <c r="F8" s="33" t="s">
        <v>38</v>
      </c>
      <c r="I8"/>
      <c r="J8"/>
      <c r="K8"/>
    </row>
    <row r="9" spans="1:11">
      <c r="A9" s="33" t="s">
        <v>39</v>
      </c>
      <c r="B9" s="33">
        <v>1</v>
      </c>
      <c r="C9" s="33"/>
      <c r="D9" s="34" t="s">
        <v>48</v>
      </c>
      <c r="F9" s="33" t="s">
        <v>33</v>
      </c>
      <c r="I9"/>
      <c r="J9"/>
      <c r="K9"/>
    </row>
    <row r="10" spans="1:11">
      <c r="A10" s="33" t="s">
        <v>153</v>
      </c>
      <c r="B10" s="33">
        <v>2</v>
      </c>
      <c r="C10" s="33"/>
      <c r="D10" s="34" t="s">
        <v>157</v>
      </c>
      <c r="F10" s="33" t="s">
        <v>37</v>
      </c>
      <c r="I10"/>
      <c r="J10"/>
      <c r="K10"/>
    </row>
    <row r="11" spans="1:11">
      <c r="A11" s="33" t="s">
        <v>153</v>
      </c>
      <c r="B11" s="33">
        <v>1</v>
      </c>
      <c r="C11" s="33"/>
      <c r="D11" s="34" t="s">
        <v>158</v>
      </c>
      <c r="F11" s="33" t="s">
        <v>41</v>
      </c>
      <c r="I11"/>
      <c r="J11"/>
      <c r="K11"/>
    </row>
    <row r="12" spans="1:11">
      <c r="A12" s="33" t="s">
        <v>38</v>
      </c>
      <c r="B12" s="33">
        <v>2</v>
      </c>
      <c r="C12" s="33"/>
      <c r="D12" s="34" t="s">
        <v>47</v>
      </c>
      <c r="F12" s="33" t="s">
        <v>32</v>
      </c>
      <c r="I12"/>
      <c r="J12"/>
      <c r="K12"/>
    </row>
    <row r="13" spans="1:11">
      <c r="A13" s="33" t="s">
        <v>38</v>
      </c>
      <c r="B13" s="33">
        <v>1</v>
      </c>
      <c r="C13" s="33"/>
      <c r="D13" s="34" t="s">
        <v>47</v>
      </c>
      <c r="F13" s="36"/>
      <c r="G13" s="38"/>
      <c r="I13"/>
      <c r="J13"/>
      <c r="K13"/>
    </row>
    <row r="14" spans="1:11">
      <c r="A14" s="33" t="s">
        <v>33</v>
      </c>
      <c r="B14" s="33">
        <v>1</v>
      </c>
      <c r="C14" s="33"/>
      <c r="D14" s="34" t="s">
        <v>43</v>
      </c>
      <c r="F14" s="36"/>
      <c r="G14" s="38"/>
      <c r="I14"/>
      <c r="J14"/>
      <c r="K14"/>
    </row>
    <row r="15" spans="1:11">
      <c r="A15" s="33" t="s">
        <v>37</v>
      </c>
      <c r="B15" s="33">
        <v>1</v>
      </c>
      <c r="C15" s="33"/>
      <c r="D15" s="34" t="s">
        <v>46</v>
      </c>
      <c r="F15" s="36"/>
      <c r="G15" s="38"/>
      <c r="I15"/>
      <c r="J15"/>
      <c r="K15"/>
    </row>
    <row r="16" spans="1:11">
      <c r="A16" s="33" t="s">
        <v>41</v>
      </c>
      <c r="B16" s="33">
        <v>1</v>
      </c>
      <c r="C16" s="33"/>
      <c r="D16" s="34" t="s">
        <v>49</v>
      </c>
      <c r="F16" s="36"/>
      <c r="G16" s="38"/>
      <c r="I16"/>
      <c r="J16"/>
      <c r="K16"/>
    </row>
    <row r="17" spans="1:7">
      <c r="A17" s="33" t="s">
        <v>32</v>
      </c>
      <c r="B17" s="33">
        <v>1</v>
      </c>
      <c r="C17" s="33"/>
      <c r="D17" s="34" t="s">
        <v>42</v>
      </c>
      <c r="F17" s="36"/>
      <c r="G17" s="38"/>
    </row>
    <row r="18" spans="1:7">
      <c r="A18" s="33" t="s">
        <v>29</v>
      </c>
      <c r="B18" s="33">
        <v>3</v>
      </c>
      <c r="C18" s="33" t="s">
        <v>160</v>
      </c>
      <c r="D18" s="34" t="s">
        <v>176</v>
      </c>
    </row>
    <row r="19" spans="1:7">
      <c r="A19" s="33" t="s">
        <v>29</v>
      </c>
      <c r="B19" s="33">
        <v>4</v>
      </c>
      <c r="C19" s="33" t="s">
        <v>160</v>
      </c>
      <c r="D19" s="34" t="s">
        <v>177</v>
      </c>
    </row>
    <row r="20" spans="1:7">
      <c r="A20" s="33" t="s">
        <v>29</v>
      </c>
      <c r="B20" s="33">
        <v>5</v>
      </c>
      <c r="C20" s="33" t="s">
        <v>160</v>
      </c>
      <c r="D20" s="34" t="s">
        <v>178</v>
      </c>
    </row>
    <row r="21" spans="1:7">
      <c r="A21" s="33" t="s">
        <v>31</v>
      </c>
      <c r="B21" s="33">
        <v>2</v>
      </c>
      <c r="C21" s="33" t="s">
        <v>163</v>
      </c>
      <c r="D21" s="34" t="s">
        <v>179</v>
      </c>
    </row>
    <row r="22" spans="1:7">
      <c r="A22" s="33"/>
      <c r="B22" s="33"/>
      <c r="C22" s="33"/>
      <c r="D22" s="34"/>
    </row>
    <row r="23" spans="1:7">
      <c r="A23" s="33"/>
      <c r="B23" s="33"/>
      <c r="C23" s="33"/>
      <c r="D23" s="34"/>
    </row>
    <row r="24" spans="1:7">
      <c r="A24" s="33"/>
      <c r="B24" s="33"/>
      <c r="C24" s="33"/>
      <c r="D24" s="34"/>
    </row>
    <row r="25" spans="1:7">
      <c r="A25" s="33"/>
      <c r="B25" s="33"/>
      <c r="C25" s="33"/>
      <c r="D25" s="34"/>
    </row>
    <row r="26" spans="1:7">
      <c r="A26" s="33"/>
      <c r="B26" s="33"/>
      <c r="C26" s="33"/>
      <c r="D26" s="34"/>
    </row>
    <row r="27" spans="1:7">
      <c r="A27" s="33"/>
      <c r="B27" s="33"/>
      <c r="C27" s="33"/>
      <c r="D27" s="34"/>
    </row>
    <row r="28" spans="1:7">
      <c r="A28" s="33"/>
      <c r="B28" s="33"/>
      <c r="C28" s="33"/>
      <c r="D28" s="34"/>
    </row>
    <row r="29" spans="1:7">
      <c r="A29" s="33"/>
      <c r="B29" s="33"/>
      <c r="C29" s="33"/>
      <c r="D29" s="34"/>
    </row>
    <row r="30" spans="1:7">
      <c r="A30" s="33"/>
      <c r="B30" s="33"/>
      <c r="C30" s="33"/>
      <c r="D30" s="34"/>
    </row>
    <row r="31" spans="1:7">
      <c r="A31" s="33"/>
      <c r="B31" s="33"/>
      <c r="C31" s="33"/>
      <c r="D31" s="34"/>
    </row>
    <row r="32" spans="1:7">
      <c r="A32" s="33"/>
      <c r="B32" s="33"/>
      <c r="C32" s="33"/>
      <c r="D32" s="34"/>
    </row>
    <row r="33" spans="1:4">
      <c r="A33" s="33"/>
      <c r="B33" s="33"/>
      <c r="C33" s="33"/>
      <c r="D33" s="34"/>
    </row>
    <row r="34" spans="1:4">
      <c r="A34" s="33"/>
      <c r="B34" s="33"/>
      <c r="C34" s="33"/>
      <c r="D34" s="34"/>
    </row>
    <row r="35" spans="1:4">
      <c r="A35" s="33"/>
      <c r="B35" s="33"/>
      <c r="C35" s="33"/>
      <c r="D35" s="34"/>
    </row>
    <row r="36" spans="1:4">
      <c r="A36" s="33"/>
      <c r="B36" s="33"/>
      <c r="C36" s="33"/>
      <c r="D36" s="34"/>
    </row>
    <row r="37" spans="1:4">
      <c r="A37" s="33"/>
      <c r="B37" s="33"/>
      <c r="C37" s="33"/>
      <c r="D37" s="34"/>
    </row>
    <row r="38" spans="1:4">
      <c r="A38" s="33"/>
      <c r="B38" s="33"/>
      <c r="C38" s="33"/>
      <c r="D38" s="34"/>
    </row>
    <row r="39" spans="1:4">
      <c r="A39" s="33"/>
      <c r="B39" s="33"/>
      <c r="C39" s="33"/>
      <c r="D39" s="34"/>
    </row>
    <row r="40" spans="1:4">
      <c r="A40" s="33"/>
      <c r="B40" s="33"/>
      <c r="C40" s="33"/>
      <c r="D40" s="34"/>
    </row>
    <row r="41" spans="1:4">
      <c r="A41" s="33"/>
      <c r="B41" s="33"/>
      <c r="C41" s="33"/>
      <c r="D41" s="34"/>
    </row>
    <row r="42" spans="1:4">
      <c r="A42" s="33"/>
      <c r="B42" s="33"/>
      <c r="C42" s="33"/>
      <c r="D42" s="34"/>
    </row>
    <row r="43" spans="1:4">
      <c r="A43" s="33"/>
      <c r="B43" s="33"/>
      <c r="C43" s="33"/>
      <c r="D43" s="34"/>
    </row>
    <row r="44" spans="1:4">
      <c r="A44" s="33"/>
      <c r="B44" s="33"/>
      <c r="C44" s="33"/>
      <c r="D44" s="34"/>
    </row>
    <row r="45" spans="1:4">
      <c r="A45" s="33"/>
      <c r="B45" s="33"/>
      <c r="C45" s="33"/>
      <c r="D45" s="34"/>
    </row>
    <row r="46" spans="1:4">
      <c r="A46" s="33"/>
      <c r="B46" s="33"/>
      <c r="C46" s="33"/>
      <c r="D46" s="34"/>
    </row>
    <row r="47" spans="1:4">
      <c r="A47" s="33"/>
      <c r="B47" s="33"/>
      <c r="C47" s="33"/>
      <c r="D47" s="34"/>
    </row>
    <row r="48" spans="1:4">
      <c r="A48" s="33"/>
      <c r="B48" s="33"/>
      <c r="C48" s="33"/>
      <c r="D48" s="34"/>
    </row>
    <row r="49" spans="1:4">
      <c r="A49" s="33"/>
      <c r="B49" s="33"/>
      <c r="C49" s="33"/>
      <c r="D49" s="34"/>
    </row>
    <row r="50" spans="1:4">
      <c r="A50" s="33"/>
      <c r="B50" s="33"/>
      <c r="C50" s="33"/>
      <c r="D50" s="34"/>
    </row>
    <row r="51" spans="1:4">
      <c r="A51" s="33"/>
      <c r="B51" s="33"/>
      <c r="C51" s="33"/>
      <c r="D51" s="34"/>
    </row>
    <row r="52" spans="1:4">
      <c r="A52" s="33"/>
      <c r="B52" s="33"/>
      <c r="C52" s="33"/>
      <c r="D52" s="34"/>
    </row>
    <row r="53" spans="1:4">
      <c r="A53" s="33"/>
      <c r="B53" s="33"/>
      <c r="C53" s="33"/>
      <c r="D53" s="34"/>
    </row>
    <row r="54" spans="1:4">
      <c r="A54" s="33"/>
      <c r="B54" s="33"/>
      <c r="C54" s="33"/>
      <c r="D54" s="34"/>
    </row>
    <row r="55" spans="1:4">
      <c r="A55" s="33"/>
      <c r="B55" s="33"/>
      <c r="C55" s="33"/>
      <c r="D55" s="34"/>
    </row>
    <row r="56" spans="1:4">
      <c r="A56" s="33"/>
      <c r="B56" s="33"/>
      <c r="C56" s="33"/>
      <c r="D56" s="34"/>
    </row>
    <row r="57" spans="1:4">
      <c r="A57" s="33"/>
      <c r="B57" s="33"/>
      <c r="C57" s="33"/>
      <c r="D57" s="34"/>
    </row>
    <row r="58" spans="1:4">
      <c r="A58" s="33"/>
      <c r="B58" s="33"/>
      <c r="C58" s="33"/>
      <c r="D58" s="34"/>
    </row>
    <row r="59" spans="1:4">
      <c r="A59" s="33"/>
      <c r="B59" s="33"/>
      <c r="C59" s="33"/>
      <c r="D59" s="34"/>
    </row>
    <row r="60" spans="1:4">
      <c r="A60" s="33"/>
      <c r="B60" s="33"/>
      <c r="C60" s="33"/>
      <c r="D60" s="34"/>
    </row>
    <row r="61" spans="1:4">
      <c r="A61" s="33"/>
      <c r="B61" s="33"/>
      <c r="C61" s="33"/>
      <c r="D61" s="34"/>
    </row>
    <row r="62" spans="1:4">
      <c r="A62" s="33"/>
      <c r="B62" s="33"/>
      <c r="C62" s="33"/>
      <c r="D62" s="34"/>
    </row>
    <row r="63" spans="1:4">
      <c r="A63" s="33"/>
      <c r="B63" s="33"/>
      <c r="C63" s="33"/>
      <c r="D63" s="34"/>
    </row>
    <row r="64" spans="1:4">
      <c r="A64" s="33"/>
      <c r="B64" s="33"/>
      <c r="C64" s="33"/>
      <c r="D64" s="34"/>
    </row>
    <row r="65" spans="1:4">
      <c r="A65" s="33"/>
      <c r="B65" s="33"/>
      <c r="C65" s="33"/>
      <c r="D65" s="34"/>
    </row>
    <row r="66" spans="1:4">
      <c r="A66" s="33"/>
      <c r="B66" s="33"/>
      <c r="C66" s="33"/>
      <c r="D66" s="34"/>
    </row>
    <row r="67" spans="1:4">
      <c r="A67" s="33"/>
      <c r="B67" s="33"/>
      <c r="C67" s="33"/>
      <c r="D67" s="34"/>
    </row>
    <row r="68" spans="1:4">
      <c r="A68" s="33"/>
      <c r="B68" s="33"/>
      <c r="C68" s="33"/>
      <c r="D68" s="34"/>
    </row>
    <row r="69" spans="1:4">
      <c r="A69" s="33"/>
      <c r="B69" s="33"/>
      <c r="C69" s="33"/>
      <c r="D69" s="34"/>
    </row>
    <row r="70" spans="1:4">
      <c r="A70" s="33"/>
      <c r="B70" s="33"/>
      <c r="C70" s="33"/>
      <c r="D70" s="34"/>
    </row>
    <row r="71" spans="1:4">
      <c r="A71" s="33"/>
      <c r="B71" s="33"/>
      <c r="C71" s="33"/>
      <c r="D71" s="34"/>
    </row>
    <row r="72" spans="1:4">
      <c r="A72" s="33"/>
      <c r="B72" s="33"/>
      <c r="C72" s="33"/>
      <c r="D72" s="34"/>
    </row>
    <row r="73" spans="1:4">
      <c r="A73" s="33"/>
      <c r="B73" s="33"/>
      <c r="C73" s="33"/>
      <c r="D73" s="34"/>
    </row>
    <row r="74" spans="1:4">
      <c r="A74" s="33"/>
      <c r="B74" s="33"/>
      <c r="C74" s="33"/>
      <c r="D74" s="34"/>
    </row>
    <row r="75" spans="1:4">
      <c r="A75" s="33"/>
      <c r="B75" s="33"/>
      <c r="C75" s="33"/>
      <c r="D75" s="34"/>
    </row>
    <row r="76" spans="1:4">
      <c r="A76" s="33"/>
      <c r="B76" s="33"/>
      <c r="C76" s="33"/>
      <c r="D76" s="34"/>
    </row>
    <row r="77" spans="1:4">
      <c r="A77" s="33"/>
      <c r="B77" s="33"/>
      <c r="C77" s="33"/>
      <c r="D77" s="34"/>
    </row>
    <row r="78" spans="1:4">
      <c r="A78" s="33"/>
      <c r="B78" s="33"/>
      <c r="C78" s="33"/>
      <c r="D78" s="34"/>
    </row>
    <row r="79" spans="1:4">
      <c r="A79" s="33"/>
      <c r="B79" s="33"/>
      <c r="C79" s="33"/>
      <c r="D79" s="34"/>
    </row>
    <row r="80" spans="1:4">
      <c r="A80" s="33"/>
      <c r="B80" s="33"/>
      <c r="C80" s="33"/>
      <c r="D80" s="34"/>
    </row>
    <row r="81" spans="1:4">
      <c r="A81" s="33"/>
      <c r="B81" s="33"/>
      <c r="C81" s="33"/>
      <c r="D81" s="34"/>
    </row>
    <row r="82" spans="1:4">
      <c r="A82" s="33"/>
      <c r="B82" s="33"/>
      <c r="C82" s="33"/>
      <c r="D82" s="34"/>
    </row>
    <row r="83" spans="1:4">
      <c r="A83" s="33"/>
      <c r="B83" s="33"/>
      <c r="C83" s="33"/>
      <c r="D83" s="34"/>
    </row>
    <row r="84" spans="1:4">
      <c r="A84" s="33"/>
      <c r="B84" s="33"/>
      <c r="C84" s="33"/>
      <c r="D84" s="34"/>
    </row>
    <row r="85" spans="1:4">
      <c r="A85" s="33"/>
      <c r="B85" s="33"/>
      <c r="C85" s="33"/>
      <c r="D85" s="34"/>
    </row>
    <row r="86" spans="1:4">
      <c r="A86" s="33"/>
      <c r="B86" s="33"/>
      <c r="C86" s="33"/>
      <c r="D86" s="34"/>
    </row>
    <row r="87" spans="1:4">
      <c r="A87" s="33"/>
      <c r="B87" s="33"/>
      <c r="C87" s="33"/>
      <c r="D87" s="34"/>
    </row>
    <row r="88" spans="1:4">
      <c r="A88" s="33"/>
      <c r="B88" s="33"/>
      <c r="C88" s="33"/>
      <c r="D88" s="34"/>
    </row>
    <row r="89" spans="1:4">
      <c r="A89" s="33"/>
      <c r="B89" s="33"/>
      <c r="C89" s="33"/>
      <c r="D89" s="34"/>
    </row>
    <row r="90" spans="1:4">
      <c r="A90" s="33"/>
      <c r="B90" s="33"/>
      <c r="C90" s="33"/>
      <c r="D90" s="34"/>
    </row>
    <row r="91" spans="1:4">
      <c r="A91" s="33"/>
      <c r="B91" s="33"/>
      <c r="C91" s="33"/>
      <c r="D91" s="34"/>
    </row>
    <row r="92" spans="1:4">
      <c r="A92" s="33"/>
      <c r="B92" s="33"/>
      <c r="C92" s="33"/>
      <c r="D92" s="34"/>
    </row>
    <row r="93" spans="1:4">
      <c r="A93" s="33"/>
      <c r="B93" s="33"/>
      <c r="C93" s="33"/>
      <c r="D93" s="34"/>
    </row>
    <row r="94" spans="1:4">
      <c r="A94" s="33"/>
      <c r="B94" s="33"/>
      <c r="C94" s="33"/>
      <c r="D94" s="34"/>
    </row>
    <row r="95" spans="1:4">
      <c r="A95" s="33"/>
      <c r="B95" s="33"/>
      <c r="C95" s="33"/>
      <c r="D95" s="34"/>
    </row>
    <row r="96" spans="1:4">
      <c r="A96" s="33"/>
      <c r="B96" s="33"/>
      <c r="C96" s="33"/>
      <c r="D96" s="34"/>
    </row>
    <row r="97" spans="1:4">
      <c r="A97" s="33"/>
      <c r="B97" s="33"/>
      <c r="C97" s="33"/>
      <c r="D97" s="34"/>
    </row>
    <row r="98" spans="1:4">
      <c r="A98" s="33"/>
      <c r="B98" s="33"/>
      <c r="C98" s="33"/>
      <c r="D98" s="34"/>
    </row>
    <row r="99" spans="1:4">
      <c r="A99" s="33"/>
      <c r="B99" s="33"/>
      <c r="C99" s="33"/>
      <c r="D99" s="34"/>
    </row>
    <row r="100" spans="1:4">
      <c r="A100" s="33"/>
      <c r="B100" s="33"/>
      <c r="C100" s="33"/>
      <c r="D100" s="34"/>
    </row>
    <row r="101" spans="1:4">
      <c r="A101" s="33"/>
      <c r="B101" s="33"/>
      <c r="C101" s="33"/>
      <c r="D101" s="34"/>
    </row>
    <row r="102" spans="1:4">
      <c r="A102" s="33"/>
      <c r="B102" s="33"/>
      <c r="C102" s="33"/>
      <c r="D102" s="34"/>
    </row>
    <row r="103" spans="1:4">
      <c r="A103" s="33"/>
      <c r="B103" s="33"/>
      <c r="C103" s="33"/>
      <c r="D103" s="34"/>
    </row>
    <row r="104" spans="1:4">
      <c r="A104" s="33"/>
      <c r="B104" s="33"/>
      <c r="C104" s="33"/>
      <c r="D104" s="34"/>
    </row>
    <row r="105" spans="1:4">
      <c r="A105" s="33"/>
      <c r="B105" s="33"/>
      <c r="C105" s="33"/>
      <c r="D105" s="34"/>
    </row>
    <row r="106" spans="1:4">
      <c r="A106" s="33"/>
      <c r="B106" s="33"/>
      <c r="C106" s="33"/>
      <c r="D106" s="34"/>
    </row>
    <row r="107" spans="1:4">
      <c r="A107" s="33"/>
      <c r="B107" s="33"/>
      <c r="C107" s="33"/>
      <c r="D107" s="34"/>
    </row>
    <row r="108" spans="1:4">
      <c r="A108" s="33"/>
      <c r="B108" s="33"/>
      <c r="C108" s="33"/>
      <c r="D108" s="34"/>
    </row>
    <row r="109" spans="1:4">
      <c r="A109" s="33"/>
      <c r="B109" s="33"/>
      <c r="C109" s="33"/>
      <c r="D109" s="34"/>
    </row>
    <row r="110" spans="1:4">
      <c r="A110" s="33"/>
      <c r="B110" s="33"/>
      <c r="C110" s="33"/>
      <c r="D110" s="34"/>
    </row>
    <row r="111" spans="1:4">
      <c r="A111" s="33"/>
      <c r="B111" s="33"/>
      <c r="C111" s="33"/>
      <c r="D111" s="34"/>
    </row>
    <row r="112" spans="1:4">
      <c r="A112" s="33"/>
      <c r="B112" s="33"/>
      <c r="C112" s="33"/>
      <c r="D112" s="34"/>
    </row>
    <row r="113" spans="1:4">
      <c r="A113" s="33"/>
      <c r="B113" s="33"/>
      <c r="C113" s="33"/>
      <c r="D113" s="34"/>
    </row>
    <row r="114" spans="1:4">
      <c r="A114" s="33"/>
      <c r="B114" s="33"/>
      <c r="C114" s="33"/>
      <c r="D114" s="34"/>
    </row>
    <row r="115" spans="1:4">
      <c r="A115" s="33"/>
      <c r="B115" s="33"/>
      <c r="C115" s="33"/>
      <c r="D115" s="34"/>
    </row>
    <row r="116" spans="1:4">
      <c r="A116" s="33"/>
      <c r="B116" s="33"/>
      <c r="C116" s="33"/>
      <c r="D116" s="34"/>
    </row>
    <row r="117" spans="1:4">
      <c r="A117" s="33"/>
      <c r="B117" s="33"/>
      <c r="C117" s="33"/>
      <c r="D117" s="34"/>
    </row>
    <row r="118" spans="1:4">
      <c r="A118" s="33"/>
      <c r="B118" s="33"/>
      <c r="C118" s="33"/>
      <c r="D118" s="34"/>
    </row>
    <row r="119" spans="1:4">
      <c r="A119" s="33"/>
      <c r="B119" s="33"/>
      <c r="C119" s="33"/>
      <c r="D119" s="34"/>
    </row>
    <row r="120" spans="1:4">
      <c r="A120" s="33"/>
      <c r="B120" s="33"/>
      <c r="C120" s="33"/>
      <c r="D120" s="34"/>
    </row>
    <row r="121" spans="1:4">
      <c r="A121" s="33"/>
      <c r="B121" s="33"/>
      <c r="C121" s="33"/>
      <c r="D121" s="34"/>
    </row>
    <row r="122" spans="1:4">
      <c r="A122" s="33"/>
      <c r="B122" s="33"/>
      <c r="C122" s="33"/>
      <c r="D122" s="34"/>
    </row>
    <row r="123" spans="1:4">
      <c r="A123" s="33"/>
      <c r="B123" s="33"/>
      <c r="C123" s="33"/>
      <c r="D123" s="34"/>
    </row>
    <row r="124" spans="1:4">
      <c r="A124" s="33"/>
      <c r="B124" s="33"/>
      <c r="C124" s="33"/>
      <c r="D124" s="34"/>
    </row>
    <row r="125" spans="1:4">
      <c r="A125" s="33"/>
      <c r="B125" s="33"/>
      <c r="C125" s="33"/>
      <c r="D125" s="34"/>
    </row>
    <row r="126" spans="1:4">
      <c r="A126" s="33"/>
      <c r="B126" s="33"/>
      <c r="C126" s="33"/>
      <c r="D126" s="34"/>
    </row>
    <row r="127" spans="1:4">
      <c r="A127" s="33"/>
      <c r="B127" s="33"/>
      <c r="C127" s="33"/>
      <c r="D127" s="34"/>
    </row>
    <row r="128" spans="1:4">
      <c r="A128" s="33"/>
      <c r="B128" s="33"/>
      <c r="C128" s="33"/>
      <c r="D128" s="34"/>
    </row>
    <row r="129" spans="1:4">
      <c r="A129" s="33"/>
      <c r="B129" s="33"/>
      <c r="C129" s="33"/>
      <c r="D129" s="34"/>
    </row>
    <row r="130" spans="1:4">
      <c r="A130" s="33"/>
      <c r="B130" s="33"/>
      <c r="C130" s="33"/>
      <c r="D130" s="34"/>
    </row>
    <row r="131" spans="1:4">
      <c r="A131" s="33"/>
      <c r="B131" s="33"/>
      <c r="C131" s="33"/>
      <c r="D131" s="34"/>
    </row>
    <row r="132" spans="1:4">
      <c r="A132" s="33"/>
      <c r="B132" s="33"/>
      <c r="C132" s="33"/>
      <c r="D132" s="34"/>
    </row>
    <row r="133" spans="1:4">
      <c r="A133" s="33"/>
      <c r="B133" s="33"/>
      <c r="C133" s="33"/>
      <c r="D133" s="34"/>
    </row>
    <row r="134" spans="1:4">
      <c r="A134" s="33"/>
      <c r="B134" s="33"/>
      <c r="C134" s="33"/>
      <c r="D134" s="34"/>
    </row>
    <row r="135" spans="1:4">
      <c r="A135" s="33"/>
      <c r="B135" s="33"/>
      <c r="C135" s="33"/>
      <c r="D135" s="34"/>
    </row>
    <row r="136" spans="1:4">
      <c r="A136" s="33"/>
      <c r="B136" s="33"/>
      <c r="C136" s="33"/>
      <c r="D136" s="34"/>
    </row>
    <row r="137" spans="1:4">
      <c r="A137" s="33"/>
      <c r="B137" s="33"/>
      <c r="C137" s="33"/>
      <c r="D137" s="34"/>
    </row>
    <row r="138" spans="1:4">
      <c r="A138" s="33"/>
      <c r="B138" s="33"/>
      <c r="C138" s="33"/>
      <c r="D138" s="34"/>
    </row>
    <row r="139" spans="1:4">
      <c r="A139" s="33"/>
      <c r="B139" s="33"/>
      <c r="C139" s="33"/>
      <c r="D139" s="34"/>
    </row>
    <row r="140" spans="1:4">
      <c r="A140" s="33"/>
      <c r="B140" s="33"/>
      <c r="C140" s="33"/>
      <c r="D140" s="34"/>
    </row>
    <row r="141" spans="1:4">
      <c r="A141" s="33"/>
      <c r="B141" s="33"/>
      <c r="C141" s="33"/>
      <c r="D141" s="34"/>
    </row>
    <row r="142" spans="1:4">
      <c r="A142" s="33"/>
      <c r="B142" s="33"/>
      <c r="C142" s="33"/>
      <c r="D142" s="34"/>
    </row>
    <row r="143" spans="1:4">
      <c r="A143" s="33"/>
      <c r="B143" s="33"/>
      <c r="C143" s="33"/>
      <c r="D143" s="34"/>
    </row>
    <row r="144" spans="1:4">
      <c r="A144" s="33"/>
      <c r="B144" s="33"/>
      <c r="C144" s="33"/>
      <c r="D144" s="34"/>
    </row>
    <row r="145" spans="1:4">
      <c r="A145" s="33"/>
      <c r="B145" s="33"/>
      <c r="C145" s="33"/>
      <c r="D145" s="34"/>
    </row>
    <row r="146" spans="1:4">
      <c r="A146" s="33"/>
      <c r="B146" s="33"/>
      <c r="C146" s="33"/>
      <c r="D146" s="34"/>
    </row>
    <row r="147" spans="1:4">
      <c r="A147" s="33"/>
      <c r="B147" s="33"/>
      <c r="C147" s="33"/>
      <c r="D147" s="34"/>
    </row>
    <row r="148" spans="1:4">
      <c r="A148" s="33"/>
      <c r="B148" s="33"/>
      <c r="C148" s="33"/>
      <c r="D148" s="34"/>
    </row>
    <row r="149" spans="1:4">
      <c r="A149" s="33"/>
      <c r="B149" s="33"/>
      <c r="C149" s="33"/>
      <c r="D149" s="34"/>
    </row>
    <row r="150" spans="1:4">
      <c r="A150" s="33"/>
      <c r="B150" s="33"/>
      <c r="C150" s="33"/>
      <c r="D150" s="34"/>
    </row>
    <row r="151" spans="1:4">
      <c r="A151" s="33"/>
      <c r="B151" s="33"/>
      <c r="C151" s="33"/>
      <c r="D151" s="34"/>
    </row>
    <row r="152" spans="1:4">
      <c r="A152" s="33"/>
      <c r="B152" s="33"/>
      <c r="C152" s="33"/>
      <c r="D152" s="34"/>
    </row>
    <row r="153" spans="1:4">
      <c r="A153" s="33"/>
      <c r="B153" s="33"/>
      <c r="C153" s="33"/>
      <c r="D153" s="34"/>
    </row>
    <row r="154" spans="1:4">
      <c r="A154" s="33"/>
      <c r="B154" s="33"/>
      <c r="C154" s="33"/>
      <c r="D154" s="34"/>
    </row>
    <row r="155" spans="1:4">
      <c r="A155" s="33"/>
      <c r="B155" s="33"/>
      <c r="C155" s="33"/>
      <c r="D155" s="34"/>
    </row>
    <row r="156" spans="1:4">
      <c r="A156" s="33"/>
      <c r="B156" s="33"/>
      <c r="C156" s="33"/>
      <c r="D156" s="34"/>
    </row>
    <row r="157" spans="1:4">
      <c r="A157" s="33"/>
      <c r="B157" s="33"/>
      <c r="C157" s="33"/>
      <c r="D157" s="34"/>
    </row>
    <row r="158" spans="1:4">
      <c r="A158" s="33"/>
      <c r="B158" s="33"/>
      <c r="C158" s="33"/>
      <c r="D158" s="34"/>
    </row>
    <row r="159" spans="1:4">
      <c r="A159" s="33"/>
      <c r="B159" s="33"/>
      <c r="C159" s="33"/>
      <c r="D159" s="34"/>
    </row>
    <row r="160" spans="1:4">
      <c r="A160" s="33"/>
      <c r="B160" s="33"/>
      <c r="C160" s="33"/>
      <c r="D160" s="34"/>
    </row>
    <row r="161" spans="1:4">
      <c r="A161" s="33"/>
      <c r="B161" s="33"/>
      <c r="C161" s="33"/>
      <c r="D161" s="34"/>
    </row>
    <row r="162" spans="1:4">
      <c r="A162" s="33"/>
      <c r="B162" s="33"/>
      <c r="C162" s="33"/>
      <c r="D162" s="34"/>
    </row>
    <row r="163" spans="1:4">
      <c r="A163" s="33"/>
      <c r="B163" s="33"/>
      <c r="C163" s="33"/>
      <c r="D163" s="34"/>
    </row>
    <row r="164" spans="1:4">
      <c r="A164" s="33"/>
      <c r="B164" s="33"/>
      <c r="C164" s="33"/>
      <c r="D164" s="34"/>
    </row>
    <row r="165" spans="1:4">
      <c r="A165" s="33"/>
      <c r="B165" s="33"/>
      <c r="C165" s="33"/>
      <c r="D165" s="34"/>
    </row>
    <row r="166" spans="1:4">
      <c r="A166" s="33"/>
      <c r="B166" s="33"/>
      <c r="C166" s="33"/>
      <c r="D166" s="34"/>
    </row>
    <row r="167" spans="1:4">
      <c r="A167" s="33"/>
      <c r="B167" s="33"/>
      <c r="C167" s="33"/>
      <c r="D167" s="34"/>
    </row>
    <row r="168" spans="1:4">
      <c r="A168" s="33"/>
      <c r="B168" s="33"/>
      <c r="C168" s="33"/>
      <c r="D168" s="34"/>
    </row>
    <row r="169" spans="1:4">
      <c r="A169" s="33"/>
      <c r="B169" s="33"/>
      <c r="C169" s="33"/>
      <c r="D169" s="34"/>
    </row>
    <row r="170" spans="1:4">
      <c r="A170" s="33"/>
      <c r="B170" s="33"/>
      <c r="C170" s="33"/>
      <c r="D170" s="34"/>
    </row>
    <row r="171" spans="1:4">
      <c r="A171" s="33"/>
      <c r="B171" s="33"/>
      <c r="C171" s="33"/>
      <c r="D171" s="34"/>
    </row>
    <row r="172" spans="1:4">
      <c r="A172" s="33"/>
      <c r="B172" s="33"/>
      <c r="C172" s="33"/>
      <c r="D172" s="34"/>
    </row>
    <row r="173" spans="1:4">
      <c r="A173" s="33"/>
      <c r="B173" s="33"/>
      <c r="C173" s="33"/>
      <c r="D173" s="34"/>
    </row>
    <row r="174" spans="1:4">
      <c r="A174" s="33"/>
      <c r="B174" s="33"/>
      <c r="C174" s="33"/>
      <c r="D174" s="34"/>
    </row>
    <row r="175" spans="1:4">
      <c r="A175" s="33"/>
      <c r="B175" s="33"/>
      <c r="C175" s="33"/>
      <c r="D175" s="34"/>
    </row>
    <row r="176" spans="1:4">
      <c r="A176" s="33"/>
      <c r="B176" s="33"/>
      <c r="C176" s="33"/>
      <c r="D176" s="34"/>
    </row>
    <row r="177" spans="1:4">
      <c r="A177" s="33"/>
      <c r="B177" s="33"/>
      <c r="C177" s="33"/>
      <c r="D177" s="34"/>
    </row>
    <row r="178" spans="1:4">
      <c r="A178" s="33"/>
      <c r="B178" s="33"/>
      <c r="C178" s="33"/>
      <c r="D178" s="34"/>
    </row>
    <row r="179" spans="1:4">
      <c r="A179" s="33"/>
      <c r="B179" s="33"/>
      <c r="C179" s="33"/>
      <c r="D179" s="34"/>
    </row>
    <row r="180" spans="1:4">
      <c r="A180" s="33"/>
      <c r="B180" s="33"/>
      <c r="C180" s="33"/>
      <c r="D180" s="34"/>
    </row>
    <row r="181" spans="1:4">
      <c r="A181" s="33"/>
      <c r="B181" s="33"/>
      <c r="C181" s="33"/>
      <c r="D181" s="34"/>
    </row>
    <row r="182" spans="1:4">
      <c r="A182" s="33"/>
      <c r="B182" s="33"/>
      <c r="C182" s="33"/>
      <c r="D182" s="34"/>
    </row>
    <row r="183" spans="1:4">
      <c r="A183" s="33"/>
      <c r="B183" s="33"/>
      <c r="C183" s="33"/>
      <c r="D183" s="34"/>
    </row>
    <row r="184" spans="1:4">
      <c r="A184" s="33"/>
      <c r="B184" s="33"/>
      <c r="C184" s="33"/>
      <c r="D184" s="34"/>
    </row>
    <row r="185" spans="1:4">
      <c r="A185" s="33"/>
      <c r="B185" s="33"/>
      <c r="C185" s="33"/>
      <c r="D185" s="34"/>
    </row>
    <row r="186" spans="1:4">
      <c r="A186" s="33"/>
      <c r="B186" s="33"/>
      <c r="C186" s="33"/>
      <c r="D186" s="34"/>
    </row>
    <row r="187" spans="1:4">
      <c r="A187" s="33"/>
      <c r="B187" s="33"/>
      <c r="C187" s="33"/>
      <c r="D187" s="34"/>
    </row>
    <row r="188" spans="1:4">
      <c r="A188" s="33"/>
      <c r="B188" s="33"/>
      <c r="C188" s="33"/>
      <c r="D188" s="34"/>
    </row>
    <row r="189" spans="1:4">
      <c r="A189" s="33"/>
      <c r="B189" s="33"/>
      <c r="C189" s="33"/>
      <c r="D189" s="34"/>
    </row>
    <row r="190" spans="1:4">
      <c r="A190" s="33"/>
      <c r="B190" s="33"/>
      <c r="C190" s="33"/>
      <c r="D190" s="34"/>
    </row>
    <row r="191" spans="1:4">
      <c r="A191" s="33"/>
      <c r="B191" s="33"/>
      <c r="C191" s="33"/>
      <c r="D191" s="34"/>
    </row>
    <row r="192" spans="1:4">
      <c r="A192" s="33"/>
      <c r="B192" s="33"/>
      <c r="C192" s="33"/>
      <c r="D192" s="34"/>
    </row>
    <row r="193" spans="1:4">
      <c r="A193" s="33"/>
      <c r="B193" s="33"/>
      <c r="C193" s="33"/>
      <c r="D193" s="34"/>
    </row>
    <row r="194" spans="1:4">
      <c r="A194" s="33"/>
      <c r="B194" s="33"/>
      <c r="C194" s="33"/>
      <c r="D194" s="34"/>
    </row>
    <row r="195" spans="1:4">
      <c r="A195" s="33"/>
      <c r="B195" s="33"/>
      <c r="C195" s="33"/>
      <c r="D195" s="34"/>
    </row>
    <row r="196" spans="1:4">
      <c r="A196" s="33"/>
      <c r="B196" s="33"/>
      <c r="C196" s="33"/>
      <c r="D196" s="34"/>
    </row>
    <row r="197" spans="1:4">
      <c r="A197" s="33"/>
      <c r="B197" s="33"/>
      <c r="C197" s="33"/>
      <c r="D197" s="34"/>
    </row>
    <row r="198" spans="1:4">
      <c r="A198" s="33"/>
      <c r="B198" s="33"/>
      <c r="C198" s="33"/>
      <c r="D198" s="34"/>
    </row>
    <row r="199" spans="1:4">
      <c r="A199" s="33"/>
      <c r="B199" s="33"/>
      <c r="C199" s="33"/>
      <c r="D199" s="34"/>
    </row>
    <row r="200" spans="1:4">
      <c r="A200" s="33"/>
      <c r="B200" s="33"/>
      <c r="C200" s="33"/>
      <c r="D200" s="34"/>
    </row>
    <row r="201" spans="1:4">
      <c r="A201" s="33"/>
      <c r="B201" s="33"/>
      <c r="C201" s="33"/>
      <c r="D201" s="34"/>
    </row>
    <row r="202" spans="1:4">
      <c r="A202" s="33"/>
      <c r="B202" s="33"/>
      <c r="C202" s="33"/>
      <c r="D202" s="34"/>
    </row>
    <row r="203" spans="1:4">
      <c r="A203" s="33"/>
      <c r="B203" s="33"/>
      <c r="C203" s="33"/>
      <c r="D203" s="34"/>
    </row>
    <row r="204" spans="1:4">
      <c r="A204" s="33"/>
      <c r="B204" s="33"/>
      <c r="C204" s="33"/>
      <c r="D204" s="34"/>
    </row>
    <row r="205" spans="1:4">
      <c r="A205" s="33"/>
      <c r="B205" s="33"/>
      <c r="C205" s="33"/>
      <c r="D205" s="34"/>
    </row>
    <row r="206" spans="1:4">
      <c r="A206" s="33"/>
      <c r="B206" s="33"/>
      <c r="C206" s="33"/>
      <c r="D206" s="34"/>
    </row>
    <row r="207" spans="1:4">
      <c r="A207" s="33"/>
      <c r="B207" s="33"/>
      <c r="C207" s="33"/>
      <c r="D207" s="34"/>
    </row>
    <row r="208" spans="1:4">
      <c r="A208" s="33"/>
      <c r="B208" s="33"/>
      <c r="C208" s="33"/>
      <c r="D208" s="34"/>
    </row>
    <row r="209" spans="1:4">
      <c r="A209" s="33"/>
      <c r="B209" s="33"/>
      <c r="C209" s="33"/>
      <c r="D209" s="34"/>
    </row>
    <row r="210" spans="1:4">
      <c r="A210" s="33"/>
      <c r="B210" s="33"/>
      <c r="C210" s="33"/>
      <c r="D210" s="34"/>
    </row>
    <row r="211" spans="1:4">
      <c r="A211" s="33"/>
      <c r="B211" s="33"/>
      <c r="C211" s="33"/>
      <c r="D211" s="34"/>
    </row>
    <row r="212" spans="1:4">
      <c r="A212" s="33"/>
      <c r="B212" s="33"/>
      <c r="C212" s="33"/>
      <c r="D212" s="34"/>
    </row>
    <row r="213" spans="1:4">
      <c r="A213" s="33"/>
      <c r="B213" s="33"/>
      <c r="C213" s="33"/>
      <c r="D213" s="34"/>
    </row>
    <row r="214" spans="1:4">
      <c r="A214" s="33"/>
      <c r="B214" s="33"/>
      <c r="C214" s="33"/>
      <c r="D214" s="34"/>
    </row>
    <row r="215" spans="1:4">
      <c r="A215" s="33"/>
      <c r="B215" s="33"/>
      <c r="C215" s="33"/>
      <c r="D215" s="34"/>
    </row>
    <row r="216" spans="1:4">
      <c r="A216" s="33"/>
      <c r="B216" s="33"/>
      <c r="C216" s="33"/>
      <c r="D216" s="34"/>
    </row>
    <row r="217" spans="1:4">
      <c r="A217" s="33"/>
      <c r="B217" s="33"/>
      <c r="C217" s="33"/>
      <c r="D217" s="34"/>
    </row>
    <row r="218" spans="1:4">
      <c r="A218" s="33"/>
      <c r="B218" s="33"/>
      <c r="C218" s="33"/>
      <c r="D218" s="34"/>
    </row>
    <row r="219" spans="1:4">
      <c r="A219" s="33"/>
      <c r="B219" s="33"/>
      <c r="C219" s="33"/>
      <c r="D219" s="34"/>
    </row>
    <row r="220" spans="1:4">
      <c r="A220" s="33"/>
      <c r="B220" s="33"/>
      <c r="C220" s="33"/>
      <c r="D220" s="34"/>
    </row>
    <row r="221" spans="1:4">
      <c r="A221" s="33"/>
      <c r="B221" s="33"/>
      <c r="C221" s="33"/>
      <c r="D221" s="34"/>
    </row>
    <row r="222" spans="1:4">
      <c r="A222" s="33"/>
      <c r="B222" s="33"/>
      <c r="C222" s="33"/>
      <c r="D222" s="34"/>
    </row>
    <row r="223" spans="1:4">
      <c r="A223" s="33"/>
      <c r="B223" s="33"/>
      <c r="C223" s="33"/>
      <c r="D223" s="34"/>
    </row>
    <row r="224" spans="1:4">
      <c r="A224" s="33"/>
      <c r="B224" s="33"/>
      <c r="C224" s="33"/>
      <c r="D224" s="34"/>
    </row>
    <row r="225" spans="1:4">
      <c r="A225" s="33"/>
      <c r="B225" s="33"/>
      <c r="C225" s="33"/>
      <c r="D225" s="34"/>
    </row>
    <row r="226" spans="1:4">
      <c r="A226" s="33"/>
      <c r="B226" s="33"/>
      <c r="C226" s="33"/>
      <c r="D226" s="34"/>
    </row>
    <row r="227" spans="1:4">
      <c r="A227" s="33"/>
      <c r="B227" s="33"/>
      <c r="C227" s="33"/>
      <c r="D227" s="34"/>
    </row>
    <row r="228" spans="1:4">
      <c r="A228" s="33"/>
      <c r="B228" s="33"/>
      <c r="C228" s="33"/>
      <c r="D228" s="34"/>
    </row>
    <row r="229" spans="1:4">
      <c r="A229" s="33"/>
      <c r="B229" s="33"/>
      <c r="C229" s="33"/>
      <c r="D229" s="34"/>
    </row>
    <row r="230" spans="1:4">
      <c r="A230" s="33"/>
      <c r="B230" s="33"/>
      <c r="C230" s="33"/>
      <c r="D230" s="34"/>
    </row>
    <row r="231" spans="1:4">
      <c r="A231" s="33"/>
      <c r="B231" s="33"/>
      <c r="C231" s="33"/>
      <c r="D231" s="34"/>
    </row>
    <row r="232" spans="1:4">
      <c r="A232" s="33"/>
      <c r="B232" s="33"/>
      <c r="C232" s="33"/>
      <c r="D232" s="34"/>
    </row>
    <row r="233" spans="1:4">
      <c r="A233" s="33"/>
      <c r="B233" s="33"/>
      <c r="C233" s="33"/>
      <c r="D233" s="34"/>
    </row>
    <row r="234" spans="1:4">
      <c r="A234" s="33"/>
      <c r="B234" s="33"/>
      <c r="C234" s="33"/>
      <c r="D234" s="34"/>
    </row>
    <row r="235" spans="1:4">
      <c r="A235" s="33"/>
      <c r="B235" s="33"/>
      <c r="C235" s="33"/>
      <c r="D235" s="34"/>
    </row>
    <row r="236" spans="1:4">
      <c r="A236" s="33"/>
      <c r="B236" s="33"/>
      <c r="C236" s="33"/>
      <c r="D236" s="34"/>
    </row>
    <row r="237" spans="1:4">
      <c r="A237" s="33"/>
      <c r="B237" s="33"/>
      <c r="C237" s="33"/>
      <c r="D237" s="34"/>
    </row>
    <row r="238" spans="1:4">
      <c r="A238" s="33"/>
      <c r="B238" s="33"/>
      <c r="C238" s="33"/>
      <c r="D238" s="34"/>
    </row>
    <row r="239" spans="1:4">
      <c r="A239" s="33"/>
      <c r="B239" s="33"/>
      <c r="C239" s="33"/>
      <c r="D239" s="34"/>
    </row>
    <row r="240" spans="1:4">
      <c r="A240" s="33"/>
      <c r="B240" s="33"/>
      <c r="C240" s="33"/>
      <c r="D240" s="34"/>
    </row>
    <row r="241" spans="1:4">
      <c r="A241" s="33"/>
      <c r="B241" s="33"/>
      <c r="C241" s="33"/>
      <c r="D241" s="34"/>
    </row>
    <row r="242" spans="1:4">
      <c r="A242" s="33"/>
      <c r="B242" s="33"/>
      <c r="C242" s="33"/>
      <c r="D242" s="34"/>
    </row>
    <row r="243" spans="1:4">
      <c r="A243" s="33"/>
      <c r="B243" s="33"/>
      <c r="C243" s="33"/>
      <c r="D243" s="34"/>
    </row>
    <row r="244" spans="1:4">
      <c r="A244" s="33"/>
      <c r="B244" s="33"/>
      <c r="C244" s="33"/>
      <c r="D244" s="34"/>
    </row>
    <row r="245" spans="1:4">
      <c r="A245" s="33"/>
      <c r="B245" s="33"/>
      <c r="C245" s="33"/>
      <c r="D245" s="34"/>
    </row>
    <row r="246" spans="1:4">
      <c r="A246" s="33"/>
      <c r="B246" s="33"/>
      <c r="C246" s="33"/>
      <c r="D246" s="34"/>
    </row>
    <row r="247" spans="1:4">
      <c r="A247" s="33"/>
      <c r="B247" s="33"/>
      <c r="C247" s="33"/>
      <c r="D247" s="34"/>
    </row>
    <row r="248" spans="1:4">
      <c r="A248" s="33"/>
      <c r="B248" s="33"/>
      <c r="C248" s="33"/>
      <c r="D248" s="34"/>
    </row>
    <row r="249" spans="1:4">
      <c r="A249" s="33"/>
      <c r="B249" s="33"/>
      <c r="C249" s="33"/>
      <c r="D249" s="34"/>
    </row>
    <row r="250" spans="1:4">
      <c r="A250" s="33"/>
      <c r="B250" s="33"/>
      <c r="C250" s="33"/>
      <c r="D250" s="34"/>
    </row>
    <row r="251" spans="1:4">
      <c r="A251" s="33"/>
      <c r="B251" s="33"/>
      <c r="C251" s="33"/>
      <c r="D251" s="34"/>
    </row>
    <row r="252" spans="1:4">
      <c r="A252" s="33"/>
      <c r="B252" s="33"/>
      <c r="C252" s="33"/>
      <c r="D252" s="34"/>
    </row>
    <row r="253" spans="1:4">
      <c r="A253" s="33"/>
      <c r="B253" s="33"/>
      <c r="C253" s="33"/>
      <c r="D253" s="34"/>
    </row>
    <row r="254" spans="1:4">
      <c r="A254" s="33"/>
      <c r="B254" s="33"/>
      <c r="C254" s="33"/>
      <c r="D254" s="34"/>
    </row>
    <row r="255" spans="1:4">
      <c r="A255" s="33"/>
      <c r="B255" s="33"/>
      <c r="C255" s="33"/>
      <c r="D255" s="34"/>
    </row>
    <row r="256" spans="1:4">
      <c r="A256" s="33"/>
      <c r="B256" s="33"/>
      <c r="C256" s="33"/>
      <c r="D256" s="34"/>
    </row>
    <row r="257" spans="1:4">
      <c r="A257" s="33"/>
      <c r="B257" s="33"/>
      <c r="C257" s="33"/>
      <c r="D257" s="34"/>
    </row>
    <row r="258" spans="1:4">
      <c r="A258" s="33"/>
      <c r="B258" s="33"/>
      <c r="C258" s="33"/>
      <c r="D258" s="34"/>
    </row>
    <row r="259" spans="1:4">
      <c r="A259" s="33"/>
      <c r="B259" s="33"/>
      <c r="C259" s="33"/>
      <c r="D259" s="34"/>
    </row>
    <row r="260" spans="1:4">
      <c r="A260" s="33"/>
      <c r="B260" s="33"/>
      <c r="C260" s="33"/>
      <c r="D260" s="34"/>
    </row>
    <row r="261" spans="1:4">
      <c r="A261" s="33"/>
      <c r="B261" s="33"/>
      <c r="C261" s="33"/>
      <c r="D261" s="34"/>
    </row>
    <row r="262" spans="1:4">
      <c r="A262" s="33"/>
      <c r="B262" s="33"/>
      <c r="C262" s="33"/>
      <c r="D262" s="34"/>
    </row>
    <row r="263" spans="1:4">
      <c r="A263" s="33"/>
      <c r="B263" s="33"/>
      <c r="C263" s="33"/>
      <c r="D263" s="34"/>
    </row>
    <row r="264" spans="1:4">
      <c r="A264" s="33"/>
      <c r="B264" s="33"/>
      <c r="C264" s="33"/>
      <c r="D264" s="34"/>
    </row>
    <row r="265" spans="1:4">
      <c r="A265" s="33"/>
      <c r="B265" s="33"/>
      <c r="C265" s="33"/>
      <c r="D265" s="34"/>
    </row>
    <row r="266" spans="1:4">
      <c r="A266" s="33"/>
      <c r="B266" s="33"/>
      <c r="C266" s="33"/>
      <c r="D266" s="34"/>
    </row>
    <row r="267" spans="1:4">
      <c r="A267" s="33"/>
      <c r="B267" s="33"/>
      <c r="C267" s="33"/>
      <c r="D267" s="34"/>
    </row>
    <row r="268" spans="1:4">
      <c r="A268" s="33"/>
      <c r="B268" s="33"/>
      <c r="C268" s="33"/>
      <c r="D268" s="34"/>
    </row>
    <row r="269" spans="1:4">
      <c r="A269" s="33"/>
      <c r="B269" s="33"/>
      <c r="C269" s="33"/>
      <c r="D269" s="34"/>
    </row>
    <row r="270" spans="1:4">
      <c r="A270" s="33"/>
      <c r="B270" s="33"/>
      <c r="C270" s="33"/>
      <c r="D270" s="34"/>
    </row>
    <row r="271" spans="1:4">
      <c r="A271" s="33"/>
      <c r="B271" s="33"/>
      <c r="C271" s="33"/>
      <c r="D271" s="34"/>
    </row>
    <row r="272" spans="1:4">
      <c r="A272" s="33"/>
      <c r="B272" s="33"/>
      <c r="C272" s="33"/>
      <c r="D272" s="34"/>
    </row>
    <row r="273" spans="1:4">
      <c r="A273" s="33"/>
      <c r="B273" s="33"/>
      <c r="C273" s="33"/>
      <c r="D273" s="34"/>
    </row>
    <row r="274" spans="1:4">
      <c r="A274" s="33"/>
      <c r="B274" s="33"/>
      <c r="C274" s="33"/>
      <c r="D274" s="34"/>
    </row>
    <row r="275" spans="1:4">
      <c r="A275" s="33"/>
      <c r="B275" s="33"/>
      <c r="C275" s="33"/>
      <c r="D275" s="34"/>
    </row>
    <row r="276" spans="1:4">
      <c r="A276" s="33"/>
      <c r="B276" s="33"/>
      <c r="C276" s="33"/>
      <c r="D276" s="34"/>
    </row>
    <row r="277" spans="1:4">
      <c r="A277" s="33"/>
      <c r="B277" s="33"/>
      <c r="C277" s="33"/>
      <c r="D277" s="34"/>
    </row>
    <row r="278" spans="1:4">
      <c r="A278" s="33"/>
      <c r="B278" s="33"/>
      <c r="C278" s="33"/>
      <c r="D278" s="34"/>
    </row>
    <row r="279" spans="1:4">
      <c r="A279" s="33"/>
      <c r="B279" s="33"/>
      <c r="C279" s="33"/>
      <c r="D279" s="34"/>
    </row>
    <row r="280" spans="1:4">
      <c r="A280" s="33"/>
      <c r="B280" s="33"/>
      <c r="C280" s="33"/>
      <c r="D280" s="34"/>
    </row>
    <row r="281" spans="1:4">
      <c r="A281" s="33"/>
      <c r="B281" s="33"/>
      <c r="C281" s="33"/>
      <c r="D281" s="34"/>
    </row>
    <row r="282" spans="1:4">
      <c r="A282" s="33"/>
      <c r="B282" s="33"/>
      <c r="C282" s="33"/>
      <c r="D282" s="34"/>
    </row>
    <row r="283" spans="1:4">
      <c r="A283" s="33"/>
      <c r="B283" s="33"/>
      <c r="C283" s="33"/>
      <c r="D283" s="34"/>
    </row>
    <row r="284" spans="1:4">
      <c r="A284" s="33"/>
      <c r="B284" s="33"/>
      <c r="C284" s="33"/>
      <c r="D284" s="34"/>
    </row>
    <row r="285" spans="1:4">
      <c r="A285" s="33"/>
      <c r="B285" s="33"/>
      <c r="C285" s="33"/>
      <c r="D285" s="34"/>
    </row>
    <row r="286" spans="1:4">
      <c r="A286" s="33"/>
      <c r="B286" s="33"/>
      <c r="C286" s="33"/>
      <c r="D286" s="34"/>
    </row>
    <row r="287" spans="1:4">
      <c r="A287" s="33"/>
      <c r="B287" s="33"/>
      <c r="C287" s="33"/>
      <c r="D287" s="34"/>
    </row>
    <row r="288" spans="1:4">
      <c r="A288" s="33"/>
      <c r="B288" s="33"/>
      <c r="C288" s="33"/>
      <c r="D288" s="34"/>
    </row>
    <row r="289" spans="1:4">
      <c r="A289" s="33"/>
      <c r="B289" s="33"/>
      <c r="C289" s="33"/>
      <c r="D289" s="34"/>
    </row>
    <row r="290" spans="1:4">
      <c r="A290" s="33"/>
      <c r="B290" s="33"/>
      <c r="C290" s="33"/>
      <c r="D290" s="34"/>
    </row>
    <row r="291" spans="1:4">
      <c r="A291" s="33"/>
      <c r="B291" s="33"/>
      <c r="C291" s="33"/>
      <c r="D291" s="34"/>
    </row>
    <row r="292" spans="1:4">
      <c r="A292" s="33"/>
      <c r="B292" s="33"/>
      <c r="C292" s="33"/>
      <c r="D292" s="34"/>
    </row>
    <row r="293" spans="1:4">
      <c r="A293" s="33"/>
      <c r="B293" s="33"/>
      <c r="C293" s="33"/>
      <c r="D293" s="34"/>
    </row>
    <row r="294" spans="1:4">
      <c r="A294" s="33"/>
      <c r="B294" s="33"/>
      <c r="C294" s="33"/>
      <c r="D294" s="34"/>
    </row>
    <row r="295" spans="1:4">
      <c r="A295" s="33"/>
      <c r="B295" s="33"/>
      <c r="C295" s="33"/>
      <c r="D295" s="34"/>
    </row>
    <row r="296" spans="1:4">
      <c r="A296" s="33"/>
      <c r="B296" s="33"/>
      <c r="C296" s="33"/>
      <c r="D296" s="34"/>
    </row>
    <row r="297" spans="1:4">
      <c r="A297" s="33"/>
      <c r="B297" s="33"/>
      <c r="C297" s="33"/>
      <c r="D297" s="34"/>
    </row>
    <row r="298" spans="1:4">
      <c r="A298" s="33"/>
      <c r="B298" s="33"/>
      <c r="C298" s="33"/>
      <c r="D298" s="34"/>
    </row>
    <row r="299" spans="1:4">
      <c r="A299" s="33"/>
      <c r="B299" s="33"/>
      <c r="C299" s="33"/>
      <c r="D299" s="34"/>
    </row>
    <row r="300" spans="1:4">
      <c r="A300" s="33"/>
      <c r="B300" s="33"/>
      <c r="C300" s="33"/>
      <c r="D300" s="34"/>
    </row>
    <row r="301" spans="1:4">
      <c r="A301" s="33"/>
      <c r="B301" s="33"/>
      <c r="C301" s="33"/>
      <c r="D301" s="34"/>
    </row>
    <row r="302" spans="1:4">
      <c r="A302" s="33"/>
      <c r="B302" s="33"/>
      <c r="C302" s="33"/>
      <c r="D302" s="34"/>
    </row>
    <row r="303" spans="1:4">
      <c r="A303" s="33"/>
      <c r="B303" s="33"/>
      <c r="C303" s="33"/>
      <c r="D303" s="34"/>
    </row>
    <row r="304" spans="1:4">
      <c r="A304" s="33"/>
      <c r="B304" s="33"/>
      <c r="C304" s="33"/>
      <c r="D304" s="34"/>
    </row>
    <row r="305" spans="1:4">
      <c r="A305" s="33"/>
      <c r="B305" s="33"/>
      <c r="C305" s="33"/>
      <c r="D305" s="34"/>
    </row>
    <row r="306" spans="1:4">
      <c r="A306" s="33"/>
      <c r="B306" s="33"/>
      <c r="C306" s="33"/>
      <c r="D306" s="34"/>
    </row>
    <row r="307" spans="1:4">
      <c r="A307" s="33"/>
      <c r="B307" s="33"/>
      <c r="C307" s="33"/>
      <c r="D307" s="34"/>
    </row>
    <row r="308" spans="1:4">
      <c r="A308" s="33"/>
      <c r="B308" s="33"/>
      <c r="C308" s="33"/>
      <c r="D308" s="34"/>
    </row>
    <row r="309" spans="1:4">
      <c r="A309" s="33"/>
      <c r="B309" s="33"/>
      <c r="C309" s="33"/>
      <c r="D309" s="34"/>
    </row>
    <row r="310" spans="1:4">
      <c r="A310" s="33"/>
      <c r="B310" s="33"/>
      <c r="C310" s="33"/>
      <c r="D310" s="34"/>
    </row>
    <row r="311" spans="1:4">
      <c r="A311" s="33"/>
      <c r="B311" s="33"/>
      <c r="C311" s="33"/>
      <c r="D311" s="34"/>
    </row>
    <row r="312" spans="1:4">
      <c r="A312" s="33"/>
      <c r="B312" s="33"/>
      <c r="C312" s="33"/>
      <c r="D312" s="34"/>
    </row>
    <row r="313" spans="1:4">
      <c r="A313" s="33"/>
      <c r="B313" s="33"/>
      <c r="C313" s="33"/>
      <c r="D313" s="34"/>
    </row>
    <row r="314" spans="1:4">
      <c r="A314" s="33"/>
      <c r="B314" s="33"/>
      <c r="C314" s="33"/>
      <c r="D314" s="34"/>
    </row>
    <row r="315" spans="1:4">
      <c r="A315" s="33"/>
      <c r="B315" s="33"/>
      <c r="C315" s="33"/>
      <c r="D315" s="34"/>
    </row>
    <row r="316" spans="1:4">
      <c r="A316" s="33"/>
      <c r="B316" s="33"/>
      <c r="C316" s="33"/>
      <c r="D316" s="34"/>
    </row>
    <row r="317" spans="1:4">
      <c r="A317" s="33"/>
      <c r="B317" s="33"/>
      <c r="C317" s="33"/>
      <c r="D317" s="34"/>
    </row>
    <row r="318" spans="1:4">
      <c r="A318" s="33"/>
      <c r="B318" s="33"/>
      <c r="C318" s="33"/>
      <c r="D318" s="34"/>
    </row>
    <row r="319" spans="1:4">
      <c r="A319" s="33"/>
      <c r="B319" s="33"/>
      <c r="C319" s="33"/>
      <c r="D319" s="34"/>
    </row>
    <row r="320" spans="1:4">
      <c r="A320" s="33"/>
      <c r="B320" s="33"/>
      <c r="C320" s="33"/>
      <c r="D320" s="34"/>
    </row>
    <row r="321" spans="1:4">
      <c r="A321" s="33"/>
      <c r="B321" s="33"/>
      <c r="C321" s="33"/>
      <c r="D321" s="34"/>
    </row>
    <row r="322" spans="1:4">
      <c r="A322" s="33"/>
      <c r="B322" s="33"/>
      <c r="C322" s="33"/>
      <c r="D322" s="34"/>
    </row>
    <row r="323" spans="1:4">
      <c r="A323" s="33"/>
      <c r="B323" s="33"/>
      <c r="C323" s="33"/>
      <c r="D323" s="34"/>
    </row>
    <row r="324" spans="1:4">
      <c r="A324" s="33"/>
      <c r="B324" s="33"/>
      <c r="C324" s="33"/>
      <c r="D324" s="34"/>
    </row>
    <row r="325" spans="1:4">
      <c r="A325" s="33"/>
      <c r="B325" s="33"/>
      <c r="C325" s="33"/>
      <c r="D325" s="34"/>
    </row>
    <row r="326" spans="1:4">
      <c r="A326" s="33"/>
      <c r="B326" s="33"/>
      <c r="C326" s="33"/>
      <c r="D326" s="34"/>
    </row>
    <row r="327" spans="1:4">
      <c r="A327" s="33"/>
      <c r="B327" s="33"/>
      <c r="C327" s="33"/>
      <c r="D327" s="34"/>
    </row>
    <row r="328" spans="1:4">
      <c r="A328" s="33"/>
      <c r="B328" s="33"/>
      <c r="C328" s="33"/>
      <c r="D328" s="34"/>
    </row>
    <row r="329" spans="1:4">
      <c r="A329" s="33"/>
      <c r="B329" s="33"/>
      <c r="C329" s="33"/>
      <c r="D329" s="34"/>
    </row>
    <row r="330" spans="1:4">
      <c r="A330" s="33"/>
      <c r="B330" s="33"/>
      <c r="C330" s="33"/>
      <c r="D330" s="34"/>
    </row>
    <row r="331" spans="1:4">
      <c r="A331" s="33"/>
      <c r="B331" s="33"/>
      <c r="C331" s="33"/>
      <c r="D331" s="34"/>
    </row>
    <row r="332" spans="1:4">
      <c r="A332" s="33"/>
      <c r="B332" s="33"/>
      <c r="C332" s="33"/>
      <c r="D332" s="34"/>
    </row>
    <row r="333" spans="1:4">
      <c r="A333" s="33"/>
      <c r="B333" s="33"/>
      <c r="C333" s="33"/>
      <c r="D333" s="34"/>
    </row>
    <row r="334" spans="1:4">
      <c r="A334" s="33"/>
      <c r="B334" s="33"/>
      <c r="C334" s="33"/>
      <c r="D334" s="34"/>
    </row>
    <row r="335" spans="1:4">
      <c r="A335" s="33"/>
      <c r="B335" s="33"/>
      <c r="C335" s="33"/>
      <c r="D335" s="34"/>
    </row>
    <row r="336" spans="1:4">
      <c r="A336" s="33"/>
      <c r="B336" s="33"/>
      <c r="C336" s="33"/>
      <c r="D336" s="34"/>
    </row>
    <row r="337" spans="1:4">
      <c r="A337" s="33"/>
      <c r="B337" s="33"/>
      <c r="C337" s="33"/>
      <c r="D337" s="34"/>
    </row>
    <row r="338" spans="1:4">
      <c r="A338" s="33"/>
      <c r="B338" s="33"/>
      <c r="C338" s="33"/>
      <c r="D338" s="34"/>
    </row>
    <row r="339" spans="1:4">
      <c r="A339" s="33"/>
      <c r="B339" s="33"/>
      <c r="C339" s="33"/>
      <c r="D339" s="34"/>
    </row>
    <row r="340" spans="1:4">
      <c r="A340" s="33"/>
      <c r="B340" s="33"/>
      <c r="C340" s="33"/>
      <c r="D340" s="34"/>
    </row>
    <row r="341" spans="1:4">
      <c r="A341" s="33"/>
      <c r="B341" s="33"/>
      <c r="C341" s="33"/>
      <c r="D341" s="34"/>
    </row>
    <row r="342" spans="1:4">
      <c r="A342" s="33"/>
      <c r="B342" s="33"/>
      <c r="C342" s="33"/>
      <c r="D342" s="34"/>
    </row>
    <row r="343" spans="1:4">
      <c r="A343" s="33"/>
      <c r="B343" s="33"/>
      <c r="C343" s="33"/>
      <c r="D343" s="34"/>
    </row>
    <row r="344" spans="1:4">
      <c r="A344" s="33"/>
      <c r="B344" s="33"/>
      <c r="C344" s="33"/>
      <c r="D344" s="34"/>
    </row>
    <row r="345" spans="1:4">
      <c r="A345" s="33"/>
      <c r="B345" s="33"/>
      <c r="C345" s="33"/>
      <c r="D345" s="34"/>
    </row>
    <row r="346" spans="1:4">
      <c r="A346" s="33"/>
      <c r="B346" s="33"/>
      <c r="C346" s="33"/>
      <c r="D346" s="34"/>
    </row>
    <row r="347" spans="1:4">
      <c r="A347" s="33"/>
      <c r="B347" s="33"/>
      <c r="C347" s="33"/>
      <c r="D347" s="34"/>
    </row>
    <row r="348" spans="1:4">
      <c r="A348" s="33"/>
      <c r="B348" s="33"/>
      <c r="C348" s="33"/>
      <c r="D348" s="34"/>
    </row>
    <row r="349" spans="1:4">
      <c r="A349" s="33"/>
      <c r="B349" s="33"/>
      <c r="C349" s="33"/>
      <c r="D349" s="34"/>
    </row>
    <row r="350" spans="1:4">
      <c r="A350" s="33"/>
      <c r="B350" s="33"/>
      <c r="C350" s="33"/>
      <c r="D350" s="34"/>
    </row>
    <row r="351" spans="1:4">
      <c r="A351" s="33"/>
      <c r="B351" s="33"/>
      <c r="C351" s="33"/>
      <c r="D351" s="34"/>
    </row>
    <row r="352" spans="1:4">
      <c r="A352" s="33"/>
      <c r="B352" s="33"/>
      <c r="C352" s="33"/>
      <c r="D352" s="34"/>
    </row>
    <row r="353" spans="1:4">
      <c r="A353" s="33"/>
      <c r="B353" s="33"/>
      <c r="C353" s="33"/>
      <c r="D353" s="34"/>
    </row>
    <row r="354" spans="1:4">
      <c r="A354" s="33"/>
      <c r="B354" s="33"/>
      <c r="C354" s="33"/>
      <c r="D354" s="34"/>
    </row>
    <row r="355" spans="1:4">
      <c r="A355" s="33"/>
      <c r="B355" s="33"/>
      <c r="C355" s="33"/>
      <c r="D355" s="34"/>
    </row>
    <row r="356" spans="1:4">
      <c r="A356" s="33"/>
      <c r="B356" s="33"/>
      <c r="C356" s="33"/>
      <c r="D356" s="34"/>
    </row>
    <row r="357" spans="1:4">
      <c r="A357" s="33"/>
      <c r="B357" s="33"/>
      <c r="C357" s="33"/>
      <c r="D357" s="34"/>
    </row>
    <row r="358" spans="1:4">
      <c r="A358" s="33"/>
      <c r="B358" s="33"/>
      <c r="C358" s="33"/>
      <c r="D358" s="34"/>
    </row>
    <row r="359" spans="1:4">
      <c r="A359" s="33"/>
      <c r="B359" s="33"/>
      <c r="C359" s="33"/>
      <c r="D359" s="34"/>
    </row>
    <row r="360" spans="1:4">
      <c r="A360" s="33"/>
      <c r="B360" s="33"/>
      <c r="C360" s="33"/>
      <c r="D360" s="34"/>
    </row>
    <row r="361" spans="1:4">
      <c r="A361" s="33"/>
      <c r="B361" s="33"/>
      <c r="C361" s="33"/>
      <c r="D361" s="34"/>
    </row>
    <row r="362" spans="1:4">
      <c r="A362" s="33"/>
      <c r="B362" s="33"/>
      <c r="C362" s="33"/>
      <c r="D362" s="34"/>
    </row>
    <row r="363" spans="1:4">
      <c r="A363" s="33"/>
      <c r="B363" s="33"/>
      <c r="C363" s="33"/>
      <c r="D363" s="34"/>
    </row>
    <row r="364" spans="1:4">
      <c r="A364" s="33"/>
      <c r="B364" s="33"/>
      <c r="C364" s="33"/>
      <c r="D364" s="34"/>
    </row>
    <row r="365" spans="1:4">
      <c r="A365" s="33"/>
      <c r="B365" s="33"/>
      <c r="C365" s="33"/>
      <c r="D365" s="34"/>
    </row>
    <row r="366" spans="1:4">
      <c r="A366" s="33"/>
      <c r="B366" s="33"/>
      <c r="C366" s="33"/>
      <c r="D366" s="34"/>
    </row>
    <row r="367" spans="1:4">
      <c r="A367" s="33"/>
      <c r="B367" s="33"/>
      <c r="C367" s="33"/>
      <c r="D367" s="34"/>
    </row>
    <row r="368" spans="1:4">
      <c r="A368" s="33"/>
      <c r="B368" s="33"/>
      <c r="C368" s="33"/>
      <c r="D368" s="34"/>
    </row>
    <row r="369" spans="1:4">
      <c r="A369" s="33"/>
      <c r="B369" s="33"/>
      <c r="C369" s="33"/>
      <c r="D369" s="34"/>
    </row>
    <row r="370" spans="1:4">
      <c r="A370" s="33"/>
      <c r="B370" s="33"/>
      <c r="C370" s="33"/>
      <c r="D370" s="34"/>
    </row>
    <row r="371" spans="1:4">
      <c r="A371" s="33"/>
      <c r="B371" s="33"/>
      <c r="C371" s="33"/>
      <c r="D371" s="34"/>
    </row>
    <row r="372" spans="1:4">
      <c r="A372" s="33"/>
      <c r="B372" s="33"/>
      <c r="C372" s="33"/>
      <c r="D372" s="34"/>
    </row>
    <row r="373" spans="1:4">
      <c r="A373" s="33"/>
      <c r="B373" s="33"/>
      <c r="C373" s="33"/>
      <c r="D373" s="34"/>
    </row>
    <row r="374" spans="1:4">
      <c r="A374" s="33"/>
      <c r="B374" s="33"/>
      <c r="C374" s="33"/>
      <c r="D374" s="34"/>
    </row>
    <row r="375" spans="1:4">
      <c r="A375" s="33"/>
      <c r="B375" s="33"/>
      <c r="C375" s="33"/>
      <c r="D375" s="34"/>
    </row>
    <row r="376" spans="1:4">
      <c r="A376" s="33"/>
      <c r="B376" s="33"/>
      <c r="C376" s="33"/>
      <c r="D376" s="34"/>
    </row>
    <row r="377" spans="1:4">
      <c r="A377" s="33"/>
      <c r="B377" s="33"/>
      <c r="C377" s="33"/>
      <c r="D377" s="34"/>
    </row>
    <row r="378" spans="1:4">
      <c r="A378" s="33"/>
      <c r="B378" s="33"/>
      <c r="C378" s="33"/>
      <c r="D378" s="34"/>
    </row>
    <row r="379" spans="1:4">
      <c r="A379" s="33"/>
      <c r="B379" s="33"/>
      <c r="C379" s="33"/>
      <c r="D379" s="34"/>
    </row>
    <row r="380" spans="1:4">
      <c r="A380" s="33"/>
      <c r="B380" s="33"/>
      <c r="C380" s="33"/>
      <c r="D380" s="34"/>
    </row>
    <row r="381" spans="1:4">
      <c r="A381" s="33"/>
      <c r="B381" s="33"/>
      <c r="C381" s="33"/>
      <c r="D381" s="34"/>
    </row>
    <row r="382" spans="1:4">
      <c r="A382" s="33"/>
      <c r="B382" s="33"/>
      <c r="C382" s="33"/>
      <c r="D382" s="34"/>
    </row>
    <row r="383" spans="1:4">
      <c r="A383" s="33"/>
      <c r="B383" s="33"/>
      <c r="C383" s="33"/>
      <c r="D383" s="34"/>
    </row>
    <row r="384" spans="1:4">
      <c r="A384" s="33"/>
      <c r="B384" s="33"/>
      <c r="C384" s="33"/>
      <c r="D384" s="34"/>
    </row>
    <row r="385" spans="1:4">
      <c r="A385" s="33"/>
      <c r="B385" s="33"/>
      <c r="C385" s="33"/>
      <c r="D385" s="34"/>
    </row>
    <row r="386" spans="1:4">
      <c r="A386" s="33"/>
      <c r="B386" s="33"/>
      <c r="C386" s="33"/>
      <c r="D386" s="34"/>
    </row>
    <row r="387" spans="1:4">
      <c r="A387" s="33"/>
      <c r="B387" s="33"/>
      <c r="C387" s="33"/>
      <c r="D387" s="34"/>
    </row>
    <row r="388" spans="1:4">
      <c r="A388" s="33"/>
      <c r="B388" s="33"/>
      <c r="C388" s="33"/>
      <c r="D388" s="34"/>
    </row>
    <row r="389" spans="1:4">
      <c r="A389" s="33"/>
      <c r="B389" s="33"/>
      <c r="C389" s="33"/>
      <c r="D389" s="34"/>
    </row>
    <row r="390" spans="1:4">
      <c r="A390" s="33"/>
      <c r="B390" s="33"/>
      <c r="C390" s="33"/>
      <c r="D390" s="34"/>
    </row>
    <row r="391" spans="1:4">
      <c r="A391" s="33"/>
      <c r="B391" s="33"/>
      <c r="C391" s="33"/>
      <c r="D391" s="34"/>
    </row>
    <row r="392" spans="1:4">
      <c r="A392" s="33"/>
      <c r="B392" s="33"/>
      <c r="C392" s="33"/>
      <c r="D392" s="34"/>
    </row>
    <row r="393" spans="1:4">
      <c r="A393" s="33"/>
      <c r="B393" s="33"/>
      <c r="C393" s="33"/>
      <c r="D393" s="34"/>
    </row>
    <row r="394" spans="1:4">
      <c r="A394" s="33"/>
      <c r="B394" s="33"/>
      <c r="C394" s="33"/>
      <c r="D394" s="34"/>
    </row>
    <row r="395" spans="1:4">
      <c r="A395" s="33"/>
      <c r="B395" s="33"/>
      <c r="C395" s="33"/>
      <c r="D395" s="34"/>
    </row>
    <row r="396" spans="1:4">
      <c r="A396" s="33"/>
      <c r="B396" s="33"/>
      <c r="C396" s="33"/>
      <c r="D396" s="34"/>
    </row>
    <row r="397" spans="1:4">
      <c r="A397" s="33"/>
      <c r="B397" s="33"/>
      <c r="C397" s="33"/>
      <c r="D397" s="34"/>
    </row>
    <row r="398" spans="1:4">
      <c r="A398" s="33"/>
      <c r="B398" s="33"/>
      <c r="C398" s="33"/>
      <c r="D398" s="34"/>
    </row>
    <row r="399" spans="1:4">
      <c r="A399" s="33"/>
      <c r="B399" s="33"/>
      <c r="C399" s="33"/>
      <c r="D399" s="34"/>
    </row>
    <row r="400" spans="1:4">
      <c r="A400" s="33"/>
      <c r="B400" s="33"/>
      <c r="C400" s="33"/>
      <c r="D400" s="34"/>
    </row>
    <row r="401" spans="1:4">
      <c r="A401" s="33"/>
      <c r="B401" s="33"/>
      <c r="C401" s="33"/>
      <c r="D401" s="34"/>
    </row>
    <row r="402" spans="1:4">
      <c r="A402" s="33"/>
      <c r="B402" s="33"/>
      <c r="C402" s="33"/>
      <c r="D402" s="34"/>
    </row>
    <row r="403" spans="1:4">
      <c r="A403" s="33"/>
      <c r="B403" s="33"/>
      <c r="C403" s="33"/>
      <c r="D403" s="34"/>
    </row>
    <row r="404" spans="1:4">
      <c r="A404" s="33"/>
      <c r="B404" s="33"/>
      <c r="C404" s="33"/>
      <c r="D404" s="34"/>
    </row>
    <row r="405" spans="1:4">
      <c r="A405" s="33"/>
      <c r="B405" s="33"/>
      <c r="C405" s="33"/>
      <c r="D405" s="34"/>
    </row>
    <row r="406" spans="1:4">
      <c r="A406" s="33"/>
      <c r="B406" s="33"/>
      <c r="C406" s="33"/>
      <c r="D406" s="34"/>
    </row>
    <row r="407" spans="1:4">
      <c r="A407" s="33"/>
      <c r="B407" s="33"/>
      <c r="C407" s="33"/>
      <c r="D407" s="34"/>
    </row>
    <row r="408" spans="1:4">
      <c r="A408" s="33"/>
      <c r="B408" s="33"/>
      <c r="C408" s="33"/>
      <c r="D408" s="34"/>
    </row>
    <row r="409" spans="1:4">
      <c r="A409" s="33"/>
      <c r="B409" s="33"/>
      <c r="C409" s="33"/>
      <c r="D409" s="34"/>
    </row>
    <row r="410" spans="1:4">
      <c r="A410" s="33"/>
      <c r="B410" s="33"/>
      <c r="C410" s="33"/>
      <c r="D410" s="34"/>
    </row>
    <row r="411" spans="1:4">
      <c r="A411" s="33"/>
      <c r="B411" s="33"/>
      <c r="C411" s="33"/>
      <c r="D411" s="34"/>
    </row>
    <row r="412" spans="1:4">
      <c r="A412" s="33"/>
      <c r="B412" s="33"/>
      <c r="C412" s="33"/>
      <c r="D412" s="34"/>
    </row>
    <row r="413" spans="1:4">
      <c r="A413" s="33"/>
      <c r="B413" s="33"/>
      <c r="C413" s="33"/>
      <c r="D413" s="34"/>
    </row>
    <row r="414" spans="1:4">
      <c r="A414" s="33"/>
      <c r="B414" s="33"/>
      <c r="C414" s="33"/>
      <c r="D414" s="34"/>
    </row>
    <row r="415" spans="1:4">
      <c r="A415" s="33"/>
      <c r="B415" s="33"/>
      <c r="C415" s="33"/>
      <c r="D415" s="34"/>
    </row>
    <row r="416" spans="1:4">
      <c r="A416" s="33"/>
      <c r="B416" s="33"/>
      <c r="C416" s="33"/>
      <c r="D416" s="34"/>
    </row>
    <row r="417" spans="1:4">
      <c r="A417" s="33"/>
      <c r="B417" s="33"/>
      <c r="C417" s="33"/>
      <c r="D417" s="34"/>
    </row>
    <row r="418" spans="1:4">
      <c r="A418" s="33"/>
      <c r="B418" s="33"/>
      <c r="C418" s="33"/>
      <c r="D418" s="34"/>
    </row>
    <row r="419" spans="1:4">
      <c r="A419" s="33"/>
      <c r="B419" s="33"/>
      <c r="C419" s="33"/>
      <c r="D419" s="34"/>
    </row>
    <row r="420" spans="1:4">
      <c r="A420" s="33"/>
      <c r="B420" s="33"/>
      <c r="C420" s="33"/>
      <c r="D420" s="34"/>
    </row>
    <row r="421" spans="1:4">
      <c r="A421" s="33"/>
      <c r="B421" s="33"/>
      <c r="C421" s="33"/>
      <c r="D421" s="34"/>
    </row>
    <row r="422" spans="1:4">
      <c r="A422" s="33"/>
      <c r="B422" s="33"/>
      <c r="C422" s="33"/>
      <c r="D422" s="34"/>
    </row>
    <row r="423" spans="1:4">
      <c r="A423" s="33"/>
      <c r="B423" s="33"/>
      <c r="C423" s="33"/>
      <c r="D423" s="34"/>
    </row>
    <row r="424" spans="1:4">
      <c r="A424" s="33"/>
      <c r="B424" s="33"/>
      <c r="C424" s="33"/>
      <c r="D424" s="34"/>
    </row>
    <row r="425" spans="1:4">
      <c r="A425" s="33"/>
      <c r="B425" s="33"/>
      <c r="C425" s="33"/>
      <c r="D425" s="34"/>
    </row>
    <row r="426" spans="1:4">
      <c r="A426" s="33"/>
      <c r="B426" s="33"/>
      <c r="C426" s="33"/>
      <c r="D426" s="34"/>
    </row>
    <row r="427" spans="1:4">
      <c r="A427" s="33"/>
      <c r="B427" s="33"/>
      <c r="C427" s="33"/>
      <c r="D427" s="34"/>
    </row>
    <row r="428" spans="1:4">
      <c r="A428" s="33"/>
      <c r="B428" s="33"/>
      <c r="C428" s="33"/>
      <c r="D428" s="34"/>
    </row>
    <row r="429" spans="1:4">
      <c r="A429" s="33"/>
      <c r="B429" s="33"/>
      <c r="C429" s="33"/>
      <c r="D429" s="34"/>
    </row>
    <row r="430" spans="1:4">
      <c r="A430" s="33"/>
      <c r="B430" s="33"/>
      <c r="C430" s="33"/>
      <c r="D430" s="34"/>
    </row>
    <row r="431" spans="1:4">
      <c r="A431" s="33"/>
      <c r="B431" s="33"/>
      <c r="C431" s="33"/>
      <c r="D431" s="34"/>
    </row>
    <row r="432" spans="1:4">
      <c r="A432" s="33"/>
      <c r="B432" s="33"/>
      <c r="C432" s="33"/>
      <c r="D432" s="34"/>
    </row>
    <row r="433" spans="1:4">
      <c r="A433" s="33"/>
      <c r="B433" s="33"/>
      <c r="C433" s="33"/>
      <c r="D433" s="34"/>
    </row>
    <row r="434" spans="1:4">
      <c r="A434" s="33"/>
      <c r="B434" s="33"/>
      <c r="C434" s="33"/>
      <c r="D434" s="34"/>
    </row>
    <row r="435" spans="1:4">
      <c r="A435" s="33"/>
      <c r="B435" s="33"/>
      <c r="C435" s="33"/>
      <c r="D435" s="34"/>
    </row>
    <row r="436" spans="1:4">
      <c r="A436" s="33"/>
      <c r="B436" s="33"/>
      <c r="C436" s="33"/>
      <c r="D436" s="34"/>
    </row>
    <row r="437" spans="1:4">
      <c r="A437" s="33"/>
      <c r="B437" s="33"/>
      <c r="C437" s="33"/>
      <c r="D437" s="34"/>
    </row>
    <row r="438" spans="1:4">
      <c r="A438" s="33"/>
      <c r="B438" s="33"/>
      <c r="C438" s="33"/>
      <c r="D438" s="34"/>
    </row>
    <row r="439" spans="1:4">
      <c r="A439" s="33"/>
      <c r="B439" s="33"/>
      <c r="C439" s="33"/>
      <c r="D439" s="34"/>
    </row>
    <row r="440" spans="1:4">
      <c r="A440" s="33"/>
      <c r="B440" s="33"/>
      <c r="C440" s="33"/>
      <c r="D440" s="34"/>
    </row>
    <row r="441" spans="1:4">
      <c r="A441" s="33"/>
      <c r="B441" s="33"/>
      <c r="C441" s="33"/>
      <c r="D441" s="34"/>
    </row>
    <row r="442" spans="1:4">
      <c r="A442" s="33"/>
      <c r="B442" s="33"/>
      <c r="C442" s="33"/>
      <c r="D442" s="34"/>
    </row>
    <row r="443" spans="1:4">
      <c r="A443" s="33"/>
      <c r="B443" s="33"/>
      <c r="C443" s="33"/>
      <c r="D443" s="34"/>
    </row>
    <row r="444" spans="1:4">
      <c r="A444" s="33"/>
      <c r="B444" s="33"/>
      <c r="C444" s="33"/>
      <c r="D444" s="34"/>
    </row>
    <row r="445" spans="1:4">
      <c r="A445" s="33"/>
      <c r="B445" s="33"/>
      <c r="C445" s="33"/>
      <c r="D445" s="34"/>
    </row>
    <row r="446" spans="1:4">
      <c r="A446" s="33"/>
      <c r="B446" s="33"/>
      <c r="C446" s="33"/>
      <c r="D446" s="34"/>
    </row>
    <row r="447" spans="1:4">
      <c r="A447" s="33"/>
      <c r="B447" s="33"/>
      <c r="C447" s="33"/>
      <c r="D447" s="34"/>
    </row>
    <row r="448" spans="1:4">
      <c r="A448" s="33"/>
      <c r="B448" s="33"/>
      <c r="C448" s="33"/>
      <c r="D448" s="34"/>
    </row>
    <row r="449" spans="1:4">
      <c r="A449" s="33"/>
      <c r="B449" s="33"/>
      <c r="C449" s="33"/>
      <c r="D449" s="34"/>
    </row>
    <row r="450" spans="1:4">
      <c r="A450" s="33"/>
      <c r="B450" s="33"/>
      <c r="C450" s="33"/>
      <c r="D450" s="34"/>
    </row>
    <row r="451" spans="1:4">
      <c r="A451" s="33"/>
      <c r="B451" s="33"/>
      <c r="C451" s="33"/>
      <c r="D451" s="34"/>
    </row>
    <row r="452" spans="1:4">
      <c r="A452" s="33"/>
      <c r="B452" s="33"/>
      <c r="C452" s="33"/>
      <c r="D452" s="34"/>
    </row>
    <row r="453" spans="1:4">
      <c r="A453" s="33"/>
      <c r="B453" s="33"/>
      <c r="C453" s="33"/>
      <c r="D453" s="34"/>
    </row>
    <row r="454" spans="1:4">
      <c r="A454" s="33"/>
      <c r="B454" s="33"/>
      <c r="C454" s="33"/>
      <c r="D454" s="34"/>
    </row>
    <row r="455" spans="1:4">
      <c r="A455" s="33"/>
      <c r="B455" s="33"/>
      <c r="C455" s="33"/>
      <c r="D455" s="34"/>
    </row>
    <row r="456" spans="1:4">
      <c r="A456" s="33"/>
      <c r="B456" s="33"/>
      <c r="C456" s="33"/>
      <c r="D456" s="34"/>
    </row>
    <row r="457" spans="1:4">
      <c r="A457" s="33"/>
      <c r="B457" s="33"/>
      <c r="C457" s="33"/>
      <c r="D457" s="34"/>
    </row>
    <row r="458" spans="1:4">
      <c r="A458" s="33"/>
      <c r="B458" s="33"/>
      <c r="C458" s="33"/>
      <c r="D458" s="34"/>
    </row>
    <row r="459" spans="1:4">
      <c r="A459" s="33"/>
      <c r="B459" s="33"/>
      <c r="C459" s="33"/>
      <c r="D459" s="34"/>
    </row>
    <row r="460" spans="1:4">
      <c r="A460" s="33"/>
      <c r="B460" s="33"/>
      <c r="C460" s="33"/>
      <c r="D460" s="34"/>
    </row>
    <row r="461" spans="1:4">
      <c r="A461" s="33"/>
      <c r="B461" s="33"/>
      <c r="C461" s="33"/>
      <c r="D461" s="34"/>
    </row>
    <row r="462" spans="1:4">
      <c r="A462" s="33"/>
      <c r="B462" s="33"/>
      <c r="C462" s="33"/>
      <c r="D462" s="34"/>
    </row>
    <row r="463" spans="1:4">
      <c r="A463" s="33"/>
      <c r="B463" s="33"/>
      <c r="C463" s="33"/>
      <c r="D463" s="34"/>
    </row>
    <row r="464" spans="1:4">
      <c r="A464" s="33"/>
      <c r="B464" s="33"/>
      <c r="C464" s="33"/>
      <c r="D464" s="34"/>
    </row>
    <row r="465" spans="1:4">
      <c r="A465" s="33"/>
      <c r="B465" s="33"/>
      <c r="C465" s="33"/>
      <c r="D465" s="34"/>
    </row>
    <row r="466" spans="1:4">
      <c r="A466" s="33"/>
      <c r="B466" s="33"/>
      <c r="C466" s="33"/>
      <c r="D466" s="34"/>
    </row>
    <row r="467" spans="1:4">
      <c r="A467" s="33"/>
      <c r="B467" s="33"/>
      <c r="C467" s="33"/>
      <c r="D467" s="34"/>
    </row>
    <row r="468" spans="1:4">
      <c r="A468" s="33"/>
      <c r="B468" s="33"/>
      <c r="C468" s="33"/>
      <c r="D468" s="34"/>
    </row>
    <row r="469" spans="1:4">
      <c r="A469" s="33"/>
      <c r="B469" s="33"/>
      <c r="C469" s="33"/>
      <c r="D469" s="34"/>
    </row>
    <row r="470" spans="1:4">
      <c r="A470" s="33"/>
      <c r="B470" s="33"/>
      <c r="C470" s="33"/>
      <c r="D470" s="34"/>
    </row>
    <row r="471" spans="1:4">
      <c r="A471" s="33"/>
      <c r="B471" s="33"/>
      <c r="C471" s="33"/>
      <c r="D471" s="34"/>
    </row>
    <row r="472" spans="1:4">
      <c r="A472" s="33"/>
      <c r="B472" s="33"/>
      <c r="C472" s="33"/>
      <c r="D472" s="34"/>
    </row>
    <row r="473" spans="1:4">
      <c r="A473" s="33"/>
      <c r="B473" s="33"/>
      <c r="C473" s="33"/>
      <c r="D473" s="34"/>
    </row>
    <row r="474" spans="1:4">
      <c r="A474" s="33"/>
      <c r="B474" s="33"/>
      <c r="C474" s="33"/>
      <c r="D474" s="34"/>
    </row>
    <row r="475" spans="1:4">
      <c r="A475" s="33"/>
      <c r="B475" s="33"/>
      <c r="C475" s="33"/>
      <c r="D475" s="34"/>
    </row>
    <row r="476" spans="1:4">
      <c r="A476" s="33"/>
      <c r="B476" s="33"/>
      <c r="C476" s="33"/>
      <c r="D476" s="34"/>
    </row>
    <row r="477" spans="1:4">
      <c r="A477" s="33"/>
      <c r="B477" s="33"/>
      <c r="C477" s="33"/>
      <c r="D477" s="34"/>
    </row>
    <row r="478" spans="1:4">
      <c r="A478" s="33"/>
      <c r="B478" s="33"/>
      <c r="C478" s="33"/>
      <c r="D478" s="34"/>
    </row>
    <row r="479" spans="1:4">
      <c r="A479" s="33"/>
      <c r="B479" s="33"/>
      <c r="C479" s="33"/>
      <c r="D479" s="34"/>
    </row>
    <row r="480" spans="1:4">
      <c r="A480" s="33"/>
      <c r="B480" s="33"/>
      <c r="C480" s="33"/>
      <c r="D480" s="34"/>
    </row>
    <row r="481" spans="1:4">
      <c r="A481" s="33"/>
      <c r="B481" s="33"/>
      <c r="C481" s="33"/>
      <c r="D481" s="34"/>
    </row>
    <row r="482" spans="1:4">
      <c r="A482" s="33"/>
      <c r="B482" s="33"/>
      <c r="C482" s="33"/>
      <c r="D482" s="34"/>
    </row>
    <row r="483" spans="1:4">
      <c r="A483" s="33"/>
      <c r="B483" s="33"/>
      <c r="C483" s="33"/>
      <c r="D483" s="34"/>
    </row>
    <row r="484" spans="1:4">
      <c r="A484" s="33"/>
      <c r="B484" s="33"/>
      <c r="C484" s="33"/>
      <c r="D484" s="34"/>
    </row>
    <row r="485" spans="1:4">
      <c r="A485" s="33"/>
      <c r="B485" s="33"/>
      <c r="C485" s="33"/>
      <c r="D485" s="34"/>
    </row>
    <row r="486" spans="1:4">
      <c r="A486" s="33"/>
      <c r="B486" s="33"/>
      <c r="C486" s="33"/>
      <c r="D486" s="34"/>
    </row>
    <row r="487" spans="1:4">
      <c r="A487" s="33"/>
      <c r="B487" s="33"/>
      <c r="C487" s="33"/>
      <c r="D487" s="34"/>
    </row>
    <row r="488" spans="1:4">
      <c r="A488" s="33"/>
      <c r="B488" s="33"/>
      <c r="C488" s="33"/>
      <c r="D488" s="34"/>
    </row>
    <row r="489" spans="1:4">
      <c r="A489" s="33"/>
      <c r="B489" s="33"/>
      <c r="C489" s="33"/>
      <c r="D489" s="34"/>
    </row>
    <row r="490" spans="1:4">
      <c r="A490" s="33"/>
      <c r="B490" s="33"/>
      <c r="C490" s="33"/>
      <c r="D490" s="34"/>
    </row>
    <row r="491" spans="1:4">
      <c r="A491" s="33"/>
      <c r="B491" s="33"/>
      <c r="C491" s="33"/>
      <c r="D491" s="34"/>
    </row>
    <row r="492" spans="1:4">
      <c r="A492" s="33"/>
      <c r="B492" s="33"/>
      <c r="C492" s="33"/>
      <c r="D492" s="34"/>
    </row>
    <row r="493" spans="1:4">
      <c r="A493" s="33"/>
      <c r="B493" s="33"/>
      <c r="C493" s="33"/>
      <c r="D493" s="34"/>
    </row>
    <row r="494" spans="1:4">
      <c r="A494" s="33"/>
      <c r="B494" s="33"/>
      <c r="C494" s="33"/>
      <c r="D494" s="34"/>
    </row>
    <row r="495" spans="1:4">
      <c r="A495" s="33"/>
      <c r="B495" s="33"/>
      <c r="C495" s="33"/>
      <c r="D495" s="34"/>
    </row>
    <row r="496" spans="1:4">
      <c r="A496" s="33"/>
      <c r="B496" s="33"/>
      <c r="C496" s="33"/>
      <c r="D496" s="34"/>
    </row>
    <row r="497" spans="1:4">
      <c r="A497" s="33"/>
      <c r="B497" s="33"/>
      <c r="C497" s="33"/>
      <c r="D497" s="34"/>
    </row>
    <row r="498" spans="1:4">
      <c r="A498" s="33"/>
      <c r="B498" s="33"/>
      <c r="C498" s="33"/>
      <c r="D498" s="34"/>
    </row>
    <row r="499" spans="1:4">
      <c r="A499" s="33"/>
      <c r="B499" s="33"/>
      <c r="C499" s="33"/>
      <c r="D499" s="34"/>
    </row>
    <row r="500" spans="1:4">
      <c r="A500" s="33"/>
      <c r="B500" s="33"/>
      <c r="C500" s="33"/>
      <c r="D500" s="34"/>
    </row>
    <row r="501" spans="1:4">
      <c r="A501" s="33"/>
      <c r="B501" s="33"/>
      <c r="C501" s="33"/>
      <c r="D501" s="34"/>
    </row>
    <row r="502" spans="1:4">
      <c r="A502" s="33"/>
      <c r="B502" s="33"/>
      <c r="C502" s="33"/>
      <c r="D502" s="34"/>
    </row>
    <row r="503" spans="1:4">
      <c r="A503" s="33"/>
      <c r="B503" s="33"/>
      <c r="C503" s="33"/>
      <c r="D503" s="34"/>
    </row>
    <row r="504" spans="1:4">
      <c r="A504" s="33"/>
      <c r="B504" s="33"/>
      <c r="C504" s="33"/>
      <c r="D504" s="34"/>
    </row>
    <row r="505" spans="1:4">
      <c r="A505" s="33"/>
      <c r="B505" s="33"/>
      <c r="C505" s="33"/>
      <c r="D505" s="34"/>
    </row>
    <row r="506" spans="1:4">
      <c r="A506" s="33"/>
      <c r="B506" s="33"/>
      <c r="C506" s="33"/>
      <c r="D506" s="34"/>
    </row>
    <row r="507" spans="1:4">
      <c r="A507" s="33"/>
      <c r="B507" s="33"/>
      <c r="C507" s="33"/>
      <c r="D507" s="34"/>
    </row>
    <row r="508" spans="1:4">
      <c r="A508" s="33"/>
      <c r="B508" s="33"/>
      <c r="C508" s="33"/>
      <c r="D508" s="34"/>
    </row>
    <row r="509" spans="1:4">
      <c r="A509" s="33"/>
      <c r="B509" s="33"/>
      <c r="C509" s="33"/>
      <c r="D509" s="34"/>
    </row>
  </sheetData>
  <phoneticPr fontId="1" type="noConversion"/>
  <dataValidations count="1">
    <dataValidation type="list" allowBlank="1" showInputMessage="1" showErrorMessage="1" sqref="A2:A400" xr:uid="{89AC9CCE-FBFD-4A10-8E3B-97AA7509E85C}">
      <formula1>$F$2:$F$12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AFC2-CB13-4A97-BEBF-3653E1DD6438}">
  <sheetPr codeName="Sheet17"/>
  <dimension ref="A1:A2"/>
  <sheetViews>
    <sheetView workbookViewId="0"/>
  </sheetViews>
  <sheetFormatPr defaultRowHeight="16.5"/>
  <cols>
    <col min="1" max="1" width="210.375" style="31" customWidth="1"/>
  </cols>
  <sheetData>
    <row r="1" spans="1:1" ht="42.75">
      <c r="A1" s="30" t="s">
        <v>169</v>
      </c>
    </row>
    <row r="2" spans="1:1" ht="42.75">
      <c r="A2" s="30" t="s">
        <v>170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BD560-70EC-4DC6-A8BB-EB32EA438E62}">
  <sheetPr codeName="Sheet16"/>
  <dimension ref="A1"/>
  <sheetViews>
    <sheetView workbookViewId="0">
      <selection activeCell="A2" sqref="A2"/>
    </sheetView>
  </sheetViews>
  <sheetFormatPr defaultRowHeight="16.5"/>
  <sheetData>
    <row r="1" spans="1:1">
      <c r="A1" t="str">
        <f ca="1">CELL("filename")</f>
        <v>D:\Repository\VBA\[세특작성도우미_v1.xlsm]1_교과이수내용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0BE6A-712B-4AFB-BAC8-6961FEFED38D}">
  <sheetPr codeName="Sheet13"/>
  <dimension ref="B1:B17"/>
  <sheetViews>
    <sheetView workbookViewId="0">
      <selection activeCell="B28" sqref="B28"/>
    </sheetView>
  </sheetViews>
  <sheetFormatPr defaultRowHeight="16.5"/>
  <cols>
    <col min="1" max="1" width="1.625" customWidth="1"/>
    <col min="2" max="2" width="209" bestFit="1" customWidth="1"/>
  </cols>
  <sheetData>
    <row r="1" spans="2:2" ht="17.25" thickBot="1"/>
    <row r="2" spans="2:2">
      <c r="B2" s="1" t="s">
        <v>0</v>
      </c>
    </row>
    <row r="3" spans="2:2">
      <c r="B3" s="2" t="s">
        <v>1</v>
      </c>
    </row>
    <row r="4" spans="2:2">
      <c r="B4" s="2" t="s">
        <v>2</v>
      </c>
    </row>
    <row r="5" spans="2:2">
      <c r="B5" s="3" t="s">
        <v>3</v>
      </c>
    </row>
    <row r="6" spans="2:2">
      <c r="B6" s="2"/>
    </row>
    <row r="7" spans="2:2">
      <c r="B7" s="4" t="s">
        <v>4</v>
      </c>
    </row>
    <row r="8" spans="2:2">
      <c r="B8" s="2" t="s">
        <v>5</v>
      </c>
    </row>
    <row r="9" spans="2:2">
      <c r="B9" s="2" t="s">
        <v>6</v>
      </c>
    </row>
    <row r="10" spans="2:2">
      <c r="B10" s="3"/>
    </row>
    <row r="11" spans="2:2">
      <c r="B11" s="4" t="s">
        <v>7</v>
      </c>
    </row>
    <row r="12" spans="2:2">
      <c r="B12" s="3" t="s">
        <v>10</v>
      </c>
    </row>
    <row r="13" spans="2:2">
      <c r="B13" s="2" t="s">
        <v>8</v>
      </c>
    </row>
    <row r="14" spans="2:2" ht="17.25" thickBot="1">
      <c r="B14" s="5" t="s">
        <v>9</v>
      </c>
    </row>
    <row r="15" spans="2:2" ht="33">
      <c r="B15" s="6" t="s">
        <v>11</v>
      </c>
    </row>
    <row r="17" spans="2:2">
      <c r="B17" t="s">
        <v>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2</vt:i4>
      </vt:variant>
    </vt:vector>
  </HeadingPairs>
  <TitlesOfParts>
    <vt:vector size="19" baseType="lpstr">
      <vt:lpstr>학생명렬표</vt:lpstr>
      <vt:lpstr>1_교과이수내용</vt:lpstr>
      <vt:lpstr>2_지적성장과정</vt:lpstr>
      <vt:lpstr>3_학업성취도</vt:lpstr>
      <vt:lpstr>4_태도</vt:lpstr>
      <vt:lpstr>5_적극성</vt:lpstr>
      <vt:lpstr>6_지적호기심</vt:lpstr>
      <vt:lpstr>7_특별한관심</vt:lpstr>
      <vt:lpstr>8_탁월한능력</vt:lpstr>
      <vt:lpstr>9_탐구활동</vt:lpstr>
      <vt:lpstr>10_진로관련사항</vt:lpstr>
      <vt:lpstr>11_프로젝트활동</vt:lpstr>
      <vt:lpstr>종합</vt:lpstr>
      <vt:lpstr>예시문</vt:lpstr>
      <vt:lpstr>세특 예시</vt:lpstr>
      <vt:lpstr>Setting</vt:lpstr>
      <vt:lpstr>세특작성방법</vt:lpstr>
      <vt:lpstr>예시문!Criteria</vt:lpstr>
      <vt:lpstr>예시문!Extract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2021-06-20T23:24:14Z</dcterms:created>
  <dcterms:modified xsi:type="dcterms:W3CDTF">2021-06-24T04:53:47Z</dcterms:modified>
</cp:coreProperties>
</file>